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obissgh1-my.sharepoint.com/personal/frederick_obedekah_vobissgh_com/Documents/Desktop/"/>
    </mc:Choice>
  </mc:AlternateContent>
  <xr:revisionPtr revIDLastSave="1" documentId="8_{16C98812-135B-4D5E-9541-D2A6D7121983}" xr6:coauthVersionLast="47" xr6:coauthVersionMax="47" xr10:uidLastSave="{BEAA2459-B5BB-4EC5-9FF8-764BEEB3B735}"/>
  <bookViews>
    <workbookView xWindow="0" yWindow="0" windowWidth="19200" windowHeight="10800" tabRatio="819" xr2:uid="{00000000-000D-0000-FFFF-FFFF00000000}"/>
  </bookViews>
  <sheets>
    <sheet name="SUMMARY" sheetId="14" r:id="rId1"/>
    <sheet name="AGE" sheetId="15" r:id="rId2"/>
    <sheet name="TOTALS(ACTIVE)" sheetId="6" r:id="rId3"/>
    <sheet name="TOTALS(PASSIVE)" sheetId="13" r:id="rId4"/>
    <sheet name="PoP &amp; EQUIPMENT" sheetId="4" r:id="rId5"/>
    <sheet name="MASTER-BACKHAUL" sheetId="9" r:id="rId6"/>
    <sheet name="MASTER-ACCESSORIES - BACKHAUL" sheetId="11" r:id="rId7"/>
    <sheet name="MASTER-METRO" sheetId="8" r:id="rId8"/>
    <sheet name="POLES" sheetId="18" r:id="rId9"/>
    <sheet name="NEDCO - BACKHAUL" sheetId="16" r:id="rId10"/>
    <sheet name="NEDCO - METRO" sheetId="17" r:id="rId11"/>
    <sheet name="MASTER-ACCESSORIES- METRO" sheetId="12" r:id="rId12"/>
  </sheets>
  <definedNames>
    <definedName name="_xlnm._FilterDatabase" localSheetId="6" hidden="1">'MASTER-ACCESSORIES - BACKHAUL'!$A$1:$L$102</definedName>
    <definedName name="_xlnm._FilterDatabase" localSheetId="11" hidden="1">'MASTER-ACCESSORIES- METRO'!$A$1:$P$2420</definedName>
    <definedName name="_xlnm._FilterDatabase" localSheetId="5" hidden="1">'MASTER-BACKHAUL'!$A$1:$O$100</definedName>
    <definedName name="_xlnm._FilterDatabase" localSheetId="7" hidden="1">'MASTER-METRO'!$A$1:$CN$2391</definedName>
    <definedName name="_xlnm._FilterDatabase" localSheetId="4" hidden="1">'PoP &amp; EQUIPMENT'!$A$3:$CB$9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2" i="11" l="1"/>
  <c r="F86" i="11"/>
  <c r="G86" i="11" s="1"/>
  <c r="H86" i="11"/>
  <c r="K86" i="11"/>
  <c r="F87" i="11"/>
  <c r="G87" i="11" s="1"/>
  <c r="H87" i="11"/>
  <c r="I87" i="11" s="1"/>
  <c r="J87" i="11" s="1"/>
  <c r="K87" i="11"/>
  <c r="F88" i="11"/>
  <c r="G88" i="11" s="1"/>
  <c r="H88" i="11"/>
  <c r="I88" i="11" s="1"/>
  <c r="J88" i="11" s="1"/>
  <c r="K88" i="11"/>
  <c r="F89" i="11"/>
  <c r="G89" i="11" s="1"/>
  <c r="H89" i="11"/>
  <c r="K89" i="11"/>
  <c r="F90" i="11"/>
  <c r="G90" i="11" s="1"/>
  <c r="H90" i="11"/>
  <c r="K90" i="11"/>
  <c r="F91" i="11"/>
  <c r="G91" i="11" s="1"/>
  <c r="H91" i="11"/>
  <c r="I91" i="11" s="1"/>
  <c r="J91" i="11" s="1"/>
  <c r="K91" i="11"/>
  <c r="F92" i="11"/>
  <c r="G92" i="11" s="1"/>
  <c r="H92" i="11"/>
  <c r="I92" i="11" s="1"/>
  <c r="J92" i="11" s="1"/>
  <c r="K92" i="11"/>
  <c r="F93" i="11"/>
  <c r="G93" i="11" s="1"/>
  <c r="H93" i="11"/>
  <c r="I93" i="11" s="1"/>
  <c r="J93" i="11" s="1"/>
  <c r="K93" i="11"/>
  <c r="F94" i="11"/>
  <c r="G94" i="11" s="1"/>
  <c r="H94" i="11"/>
  <c r="K94" i="11"/>
  <c r="F95" i="11"/>
  <c r="G95" i="11"/>
  <c r="H95" i="11"/>
  <c r="K95" i="11"/>
  <c r="F96" i="11"/>
  <c r="I96" i="11" s="1"/>
  <c r="J96" i="11" s="1"/>
  <c r="G96" i="11"/>
  <c r="H96" i="11"/>
  <c r="K96" i="11"/>
  <c r="F97" i="11"/>
  <c r="G97" i="11" s="1"/>
  <c r="H97" i="11"/>
  <c r="K97" i="11"/>
  <c r="F98" i="11"/>
  <c r="G98" i="11" s="1"/>
  <c r="H98" i="11"/>
  <c r="I98" i="11" s="1"/>
  <c r="J98" i="11" s="1"/>
  <c r="K98" i="11"/>
  <c r="F99" i="11"/>
  <c r="G99" i="11" s="1"/>
  <c r="H99" i="11"/>
  <c r="K99" i="11"/>
  <c r="F100" i="11"/>
  <c r="G100" i="11" s="1"/>
  <c r="H100" i="11"/>
  <c r="I100" i="11" s="1"/>
  <c r="J100" i="11" s="1"/>
  <c r="K100" i="11"/>
  <c r="F101" i="11"/>
  <c r="I101" i="11" s="1"/>
  <c r="J101" i="11" s="1"/>
  <c r="H101" i="11"/>
  <c r="K101" i="11"/>
  <c r="F102" i="11"/>
  <c r="G102" i="11" s="1"/>
  <c r="H102" i="11"/>
  <c r="K102" i="11"/>
  <c r="H102" i="9"/>
  <c r="G2307" i="12"/>
  <c r="H2307" i="12" s="1"/>
  <c r="I2307" i="12"/>
  <c r="L2307" i="12"/>
  <c r="M2307" i="12"/>
  <c r="J2307" i="12" l="1"/>
  <c r="K2307" i="12" s="1"/>
  <c r="I97" i="11"/>
  <c r="J97" i="11" s="1"/>
  <c r="I95" i="11"/>
  <c r="J95" i="11" s="1"/>
  <c r="I90" i="11"/>
  <c r="J90" i="11" s="1"/>
  <c r="I89" i="11"/>
  <c r="J89" i="11" s="1"/>
  <c r="I86" i="11"/>
  <c r="J86" i="11" s="1"/>
  <c r="G101" i="11"/>
  <c r="I99" i="11"/>
  <c r="J99" i="11" s="1"/>
  <c r="I102" i="11"/>
  <c r="J102" i="11" s="1"/>
  <c r="I94" i="11"/>
  <c r="J94" i="11" s="1"/>
  <c r="G2311" i="12" l="1"/>
  <c r="H2311" i="12" s="1"/>
  <c r="I2311" i="12"/>
  <c r="L2311" i="12"/>
  <c r="M2311" i="12"/>
  <c r="G2312" i="12"/>
  <c r="H2312" i="12" s="1"/>
  <c r="I2312" i="12"/>
  <c r="L2312" i="12"/>
  <c r="M2312" i="12"/>
  <c r="G2313" i="12"/>
  <c r="H2313" i="12" s="1"/>
  <c r="I2313" i="12"/>
  <c r="L2313" i="12"/>
  <c r="M2313" i="12"/>
  <c r="G2314" i="12"/>
  <c r="H2314" i="12" s="1"/>
  <c r="I2314" i="12"/>
  <c r="L2314" i="12"/>
  <c r="M2314" i="12"/>
  <c r="G2315" i="12"/>
  <c r="H2315" i="12" s="1"/>
  <c r="I2315" i="12"/>
  <c r="L2315" i="12"/>
  <c r="M2315" i="12"/>
  <c r="G2316" i="12"/>
  <c r="H2316" i="12" s="1"/>
  <c r="I2316" i="12"/>
  <c r="L2316" i="12"/>
  <c r="M2316" i="12"/>
  <c r="G2317" i="12"/>
  <c r="H2317" i="12" s="1"/>
  <c r="I2317" i="12"/>
  <c r="L2317" i="12"/>
  <c r="M2317" i="12"/>
  <c r="G2318" i="12"/>
  <c r="H2318" i="12" s="1"/>
  <c r="I2318" i="12"/>
  <c r="L2318" i="12"/>
  <c r="M2318" i="12"/>
  <c r="G2319" i="12"/>
  <c r="H2319" i="12" s="1"/>
  <c r="I2319" i="12"/>
  <c r="L2319" i="12"/>
  <c r="M2319" i="12"/>
  <c r="G2320" i="12"/>
  <c r="H2320" i="12" s="1"/>
  <c r="I2320" i="12"/>
  <c r="L2320" i="12"/>
  <c r="M2320" i="12"/>
  <c r="G2321" i="12"/>
  <c r="H2321" i="12" s="1"/>
  <c r="I2321" i="12"/>
  <c r="L2321" i="12"/>
  <c r="M2321" i="12"/>
  <c r="G2322" i="12"/>
  <c r="H2322" i="12" s="1"/>
  <c r="I2322" i="12"/>
  <c r="L2322" i="12"/>
  <c r="M2322" i="12"/>
  <c r="G2323" i="12"/>
  <c r="H2323" i="12" s="1"/>
  <c r="I2323" i="12"/>
  <c r="L2323" i="12"/>
  <c r="M2323" i="12"/>
  <c r="G2324" i="12"/>
  <c r="H2324" i="12" s="1"/>
  <c r="I2324" i="12"/>
  <c r="L2324" i="12"/>
  <c r="M2324" i="12"/>
  <c r="G2325" i="12"/>
  <c r="H2325" i="12" s="1"/>
  <c r="I2325" i="12"/>
  <c r="L2325" i="12"/>
  <c r="M2325" i="12"/>
  <c r="G2326" i="12"/>
  <c r="H2326" i="12" s="1"/>
  <c r="I2326" i="12"/>
  <c r="L2326" i="12"/>
  <c r="M2326" i="12"/>
  <c r="G2327" i="12"/>
  <c r="H2327" i="12" s="1"/>
  <c r="I2327" i="12"/>
  <c r="L2327" i="12"/>
  <c r="M2327" i="12"/>
  <c r="G2328" i="12"/>
  <c r="H2328" i="12" s="1"/>
  <c r="I2328" i="12"/>
  <c r="L2328" i="12"/>
  <c r="M2328" i="12"/>
  <c r="G2329" i="12"/>
  <c r="H2329" i="12" s="1"/>
  <c r="I2329" i="12"/>
  <c r="L2329" i="12"/>
  <c r="M2329" i="12"/>
  <c r="G2330" i="12"/>
  <c r="H2330" i="12" s="1"/>
  <c r="I2330" i="12"/>
  <c r="L2330" i="12"/>
  <c r="M2330" i="12"/>
  <c r="G2331" i="12"/>
  <c r="H2331" i="12" s="1"/>
  <c r="I2331" i="12"/>
  <c r="L2331" i="12"/>
  <c r="M2331" i="12"/>
  <c r="G2332" i="12"/>
  <c r="H2332" i="12" s="1"/>
  <c r="I2332" i="12"/>
  <c r="L2332" i="12"/>
  <c r="M2332" i="12"/>
  <c r="G2333" i="12"/>
  <c r="H2333" i="12" s="1"/>
  <c r="I2333" i="12"/>
  <c r="L2333" i="12"/>
  <c r="M2333" i="12"/>
  <c r="G2334" i="12"/>
  <c r="H2334" i="12" s="1"/>
  <c r="I2334" i="12"/>
  <c r="L2334" i="12"/>
  <c r="M2334" i="12"/>
  <c r="G2335" i="12"/>
  <c r="H2335" i="12" s="1"/>
  <c r="I2335" i="12"/>
  <c r="L2335" i="12"/>
  <c r="M2335" i="12"/>
  <c r="G2336" i="12"/>
  <c r="H2336" i="12" s="1"/>
  <c r="I2336" i="12"/>
  <c r="L2336" i="12"/>
  <c r="M2336" i="12"/>
  <c r="G2337" i="12"/>
  <c r="H2337" i="12" s="1"/>
  <c r="I2337" i="12"/>
  <c r="L2337" i="12"/>
  <c r="M2337" i="12"/>
  <c r="G2338" i="12"/>
  <c r="H2338" i="12" s="1"/>
  <c r="I2338" i="12"/>
  <c r="L2338" i="12"/>
  <c r="M2338" i="12"/>
  <c r="G2339" i="12"/>
  <c r="H2339" i="12" s="1"/>
  <c r="I2339" i="12"/>
  <c r="L2339" i="12"/>
  <c r="M2339" i="12"/>
  <c r="G2340" i="12"/>
  <c r="H2340" i="12" s="1"/>
  <c r="I2340" i="12"/>
  <c r="L2340" i="12"/>
  <c r="M2340" i="12"/>
  <c r="G2341" i="12"/>
  <c r="H2341" i="12" s="1"/>
  <c r="I2341" i="12"/>
  <c r="L2341" i="12"/>
  <c r="M2341" i="12"/>
  <c r="G2342" i="12"/>
  <c r="H2342" i="12" s="1"/>
  <c r="I2342" i="12"/>
  <c r="L2342" i="12"/>
  <c r="M2342" i="12"/>
  <c r="G2343" i="12"/>
  <c r="H2343" i="12" s="1"/>
  <c r="I2343" i="12"/>
  <c r="L2343" i="12"/>
  <c r="M2343" i="12"/>
  <c r="G2344" i="12"/>
  <c r="H2344" i="12" s="1"/>
  <c r="I2344" i="12"/>
  <c r="L2344" i="12"/>
  <c r="M2344" i="12"/>
  <c r="G2345" i="12"/>
  <c r="H2345" i="12" s="1"/>
  <c r="I2345" i="12"/>
  <c r="L2345" i="12"/>
  <c r="M2345" i="12"/>
  <c r="G2346" i="12"/>
  <c r="H2346" i="12" s="1"/>
  <c r="I2346" i="12"/>
  <c r="L2346" i="12"/>
  <c r="M2346" i="12"/>
  <c r="G2347" i="12"/>
  <c r="H2347" i="12" s="1"/>
  <c r="I2347" i="12"/>
  <c r="L2347" i="12"/>
  <c r="M2347" i="12"/>
  <c r="G2348" i="12"/>
  <c r="H2348" i="12" s="1"/>
  <c r="I2348" i="12"/>
  <c r="L2348" i="12"/>
  <c r="M2348" i="12"/>
  <c r="G2349" i="12"/>
  <c r="H2349" i="12" s="1"/>
  <c r="I2349" i="12"/>
  <c r="L2349" i="12"/>
  <c r="M2349" i="12"/>
  <c r="G2350" i="12"/>
  <c r="H2350" i="12" s="1"/>
  <c r="I2350" i="12"/>
  <c r="L2350" i="12"/>
  <c r="M2350" i="12"/>
  <c r="G2351" i="12"/>
  <c r="H2351" i="12" s="1"/>
  <c r="I2351" i="12"/>
  <c r="L2351" i="12"/>
  <c r="M2351" i="12"/>
  <c r="G2352" i="12"/>
  <c r="H2352" i="12" s="1"/>
  <c r="I2352" i="12"/>
  <c r="L2352" i="12"/>
  <c r="M2352" i="12"/>
  <c r="G2353" i="12"/>
  <c r="I2353" i="12"/>
  <c r="L2353" i="12"/>
  <c r="M2353" i="12"/>
  <c r="G2354" i="12"/>
  <c r="H2354" i="12" s="1"/>
  <c r="I2354" i="12"/>
  <c r="L2354" i="12"/>
  <c r="M2354" i="12"/>
  <c r="G2355" i="12"/>
  <c r="H2355" i="12" s="1"/>
  <c r="I2355" i="12"/>
  <c r="L2355" i="12"/>
  <c r="M2355" i="12"/>
  <c r="G2356" i="12"/>
  <c r="H2356" i="12" s="1"/>
  <c r="I2356" i="12"/>
  <c r="L2356" i="12"/>
  <c r="M2356" i="12"/>
  <c r="G2357" i="12"/>
  <c r="H2357" i="12" s="1"/>
  <c r="I2357" i="12"/>
  <c r="L2357" i="12"/>
  <c r="M2357" i="12"/>
  <c r="G2358" i="12"/>
  <c r="H2358" i="12" s="1"/>
  <c r="I2358" i="12"/>
  <c r="L2358" i="12"/>
  <c r="M2358" i="12"/>
  <c r="G2359" i="12"/>
  <c r="H2359" i="12" s="1"/>
  <c r="I2359" i="12"/>
  <c r="L2359" i="12"/>
  <c r="M2359" i="12"/>
  <c r="G2360" i="12"/>
  <c r="H2360" i="12" s="1"/>
  <c r="I2360" i="12"/>
  <c r="L2360" i="12"/>
  <c r="M2360" i="12"/>
  <c r="G2361" i="12"/>
  <c r="H2361" i="12" s="1"/>
  <c r="I2361" i="12"/>
  <c r="L2361" i="12"/>
  <c r="M2361" i="12"/>
  <c r="G2362" i="12"/>
  <c r="H2362" i="12" s="1"/>
  <c r="I2362" i="12"/>
  <c r="L2362" i="12"/>
  <c r="M2362" i="12"/>
  <c r="G2363" i="12"/>
  <c r="H2363" i="12" s="1"/>
  <c r="I2363" i="12"/>
  <c r="L2363" i="12"/>
  <c r="M2363" i="12"/>
  <c r="G2364" i="12"/>
  <c r="H2364" i="12" s="1"/>
  <c r="I2364" i="12"/>
  <c r="L2364" i="12"/>
  <c r="M2364" i="12"/>
  <c r="G2365" i="12"/>
  <c r="H2365" i="12" s="1"/>
  <c r="I2365" i="12"/>
  <c r="L2365" i="12"/>
  <c r="M2365" i="12"/>
  <c r="G2366" i="12"/>
  <c r="H2366" i="12" s="1"/>
  <c r="I2366" i="12"/>
  <c r="L2366" i="12"/>
  <c r="M2366" i="12"/>
  <c r="G2367" i="12"/>
  <c r="H2367" i="12" s="1"/>
  <c r="I2367" i="12"/>
  <c r="L2367" i="12"/>
  <c r="M2367" i="12"/>
  <c r="G2368" i="12"/>
  <c r="H2368" i="12" s="1"/>
  <c r="I2368" i="12"/>
  <c r="L2368" i="12"/>
  <c r="M2368" i="12"/>
  <c r="G2369" i="12"/>
  <c r="H2369" i="12" s="1"/>
  <c r="I2369" i="12"/>
  <c r="L2369" i="12"/>
  <c r="M2369" i="12"/>
  <c r="G2370" i="12"/>
  <c r="H2370" i="12" s="1"/>
  <c r="I2370" i="12"/>
  <c r="L2370" i="12"/>
  <c r="M2370" i="12"/>
  <c r="G2371" i="12"/>
  <c r="H2371" i="12" s="1"/>
  <c r="I2371" i="12"/>
  <c r="L2371" i="12"/>
  <c r="M2371" i="12"/>
  <c r="G2372" i="12"/>
  <c r="H2372" i="12" s="1"/>
  <c r="I2372" i="12"/>
  <c r="L2372" i="12"/>
  <c r="M2372" i="12"/>
  <c r="G2373" i="12"/>
  <c r="H2373" i="12" s="1"/>
  <c r="I2373" i="12"/>
  <c r="L2373" i="12"/>
  <c r="M2373" i="12"/>
  <c r="G2374" i="12"/>
  <c r="H2374" i="12" s="1"/>
  <c r="I2374" i="12"/>
  <c r="L2374" i="12"/>
  <c r="M2374" i="12"/>
  <c r="G2375" i="12"/>
  <c r="H2375" i="12" s="1"/>
  <c r="I2375" i="12"/>
  <c r="L2375" i="12"/>
  <c r="M2375" i="12"/>
  <c r="G2376" i="12"/>
  <c r="H2376" i="12" s="1"/>
  <c r="I2376" i="12"/>
  <c r="L2376" i="12"/>
  <c r="M2376" i="12"/>
  <c r="G2377" i="12"/>
  <c r="H2377" i="12" s="1"/>
  <c r="I2377" i="12"/>
  <c r="L2377" i="12"/>
  <c r="M2377" i="12"/>
  <c r="G2378" i="12"/>
  <c r="H2378" i="12" s="1"/>
  <c r="I2378" i="12"/>
  <c r="L2378" i="12"/>
  <c r="M2378" i="12"/>
  <c r="G2379" i="12"/>
  <c r="H2379" i="12" s="1"/>
  <c r="I2379" i="12"/>
  <c r="L2379" i="12"/>
  <c r="M2379" i="12"/>
  <c r="G2380" i="12"/>
  <c r="H2380" i="12" s="1"/>
  <c r="I2380" i="12"/>
  <c r="L2380" i="12"/>
  <c r="M2380" i="12"/>
  <c r="G2381" i="12"/>
  <c r="H2381" i="12" s="1"/>
  <c r="I2381" i="12"/>
  <c r="L2381" i="12"/>
  <c r="M2381" i="12"/>
  <c r="G2382" i="12"/>
  <c r="H2382" i="12" s="1"/>
  <c r="I2382" i="12"/>
  <c r="L2382" i="12"/>
  <c r="M2382" i="12"/>
  <c r="G2383" i="12"/>
  <c r="H2383" i="12" s="1"/>
  <c r="I2383" i="12"/>
  <c r="L2383" i="12"/>
  <c r="M2383" i="12"/>
  <c r="G2384" i="12"/>
  <c r="H2384" i="12" s="1"/>
  <c r="I2384" i="12"/>
  <c r="L2384" i="12"/>
  <c r="M2384" i="12"/>
  <c r="G2385" i="12"/>
  <c r="H2385" i="12" s="1"/>
  <c r="I2385" i="12"/>
  <c r="L2385" i="12"/>
  <c r="M2385" i="12"/>
  <c r="G2386" i="12"/>
  <c r="H2386" i="12" s="1"/>
  <c r="I2386" i="12"/>
  <c r="L2386" i="12"/>
  <c r="M2386" i="12"/>
  <c r="G2387" i="12"/>
  <c r="H2387" i="12" s="1"/>
  <c r="I2387" i="12"/>
  <c r="L2387" i="12"/>
  <c r="M2387" i="12"/>
  <c r="G2388" i="12"/>
  <c r="H2388" i="12" s="1"/>
  <c r="I2388" i="12"/>
  <c r="L2388" i="12"/>
  <c r="M2388" i="12"/>
  <c r="G2389" i="12"/>
  <c r="H2389" i="12" s="1"/>
  <c r="I2389" i="12"/>
  <c r="L2389" i="12"/>
  <c r="M2389" i="12"/>
  <c r="G2390" i="12"/>
  <c r="H2390" i="12" s="1"/>
  <c r="I2390" i="12"/>
  <c r="L2390" i="12"/>
  <c r="M2390" i="12"/>
  <c r="G2391" i="12"/>
  <c r="H2391" i="12" s="1"/>
  <c r="I2391" i="12"/>
  <c r="L2391" i="12"/>
  <c r="M2391" i="12"/>
  <c r="G2392" i="12"/>
  <c r="H2392" i="12" s="1"/>
  <c r="I2392" i="12"/>
  <c r="L2392" i="12"/>
  <c r="M2392" i="12"/>
  <c r="G2393" i="12"/>
  <c r="H2393" i="12" s="1"/>
  <c r="I2393" i="12"/>
  <c r="L2393" i="12"/>
  <c r="M2393" i="12"/>
  <c r="G2394" i="12"/>
  <c r="H2394" i="12" s="1"/>
  <c r="I2394" i="12"/>
  <c r="L2394" i="12"/>
  <c r="M2394" i="12"/>
  <c r="G2395" i="12"/>
  <c r="H2395" i="12" s="1"/>
  <c r="I2395" i="12"/>
  <c r="L2395" i="12"/>
  <c r="M2395" i="12"/>
  <c r="G2396" i="12"/>
  <c r="H2396" i="12" s="1"/>
  <c r="I2396" i="12"/>
  <c r="L2396" i="12"/>
  <c r="M2396" i="12"/>
  <c r="G2397" i="12"/>
  <c r="H2397" i="12" s="1"/>
  <c r="I2397" i="12"/>
  <c r="L2397" i="12"/>
  <c r="M2397" i="12"/>
  <c r="G2398" i="12"/>
  <c r="H2398" i="12" s="1"/>
  <c r="I2398" i="12"/>
  <c r="L2398" i="12"/>
  <c r="M2398" i="12"/>
  <c r="G2399" i="12"/>
  <c r="H2399" i="12" s="1"/>
  <c r="I2399" i="12"/>
  <c r="L2399" i="12"/>
  <c r="M2399" i="12"/>
  <c r="G2400" i="12"/>
  <c r="H2400" i="12" s="1"/>
  <c r="I2400" i="12"/>
  <c r="L2400" i="12"/>
  <c r="M2400" i="12"/>
  <c r="G2401" i="12"/>
  <c r="H2401" i="12" s="1"/>
  <c r="I2401" i="12"/>
  <c r="L2401" i="12"/>
  <c r="M2401" i="12"/>
  <c r="G2402" i="12"/>
  <c r="H2402" i="12" s="1"/>
  <c r="I2402" i="12"/>
  <c r="L2402" i="12"/>
  <c r="M2402" i="12"/>
  <c r="G2403" i="12"/>
  <c r="H2403" i="12" s="1"/>
  <c r="I2403" i="12"/>
  <c r="L2403" i="12"/>
  <c r="M2403" i="12"/>
  <c r="G2404" i="12"/>
  <c r="H2404" i="12" s="1"/>
  <c r="I2404" i="12"/>
  <c r="L2404" i="12"/>
  <c r="M2404" i="12"/>
  <c r="G2405" i="12"/>
  <c r="H2405" i="12" s="1"/>
  <c r="I2405" i="12"/>
  <c r="L2405" i="12"/>
  <c r="M2405" i="12"/>
  <c r="G2406" i="12"/>
  <c r="H2406" i="12" s="1"/>
  <c r="I2406" i="12"/>
  <c r="L2406" i="12"/>
  <c r="M2406" i="12"/>
  <c r="G2407" i="12"/>
  <c r="H2407" i="12" s="1"/>
  <c r="I2407" i="12"/>
  <c r="L2407" i="12"/>
  <c r="M2407" i="12"/>
  <c r="G2408" i="12"/>
  <c r="H2408" i="12" s="1"/>
  <c r="I2408" i="12"/>
  <c r="L2408" i="12"/>
  <c r="M2408" i="12"/>
  <c r="G2409" i="12"/>
  <c r="H2409" i="12" s="1"/>
  <c r="I2409" i="12"/>
  <c r="L2409" i="12"/>
  <c r="M2409" i="12"/>
  <c r="G2410" i="12"/>
  <c r="H2410" i="12" s="1"/>
  <c r="I2410" i="12"/>
  <c r="L2410" i="12"/>
  <c r="M2410" i="12"/>
  <c r="G2411" i="12"/>
  <c r="H2411" i="12" s="1"/>
  <c r="I2411" i="12"/>
  <c r="L2411" i="12"/>
  <c r="M2411" i="12"/>
  <c r="G2412" i="12"/>
  <c r="H2412" i="12" s="1"/>
  <c r="I2412" i="12"/>
  <c r="L2412" i="12"/>
  <c r="M2412" i="12"/>
  <c r="G2413" i="12"/>
  <c r="H2413" i="12" s="1"/>
  <c r="I2413" i="12"/>
  <c r="L2413" i="12"/>
  <c r="M2413" i="12"/>
  <c r="G2414" i="12"/>
  <c r="H2414" i="12" s="1"/>
  <c r="I2414" i="12"/>
  <c r="L2414" i="12"/>
  <c r="M2414" i="12"/>
  <c r="G2415" i="12"/>
  <c r="H2415" i="12" s="1"/>
  <c r="I2415" i="12"/>
  <c r="L2415" i="12"/>
  <c r="M2415" i="12"/>
  <c r="G2416" i="12"/>
  <c r="H2416" i="12" s="1"/>
  <c r="I2416" i="12"/>
  <c r="L2416" i="12"/>
  <c r="M2416" i="12"/>
  <c r="G2417" i="12"/>
  <c r="H2417" i="12" s="1"/>
  <c r="I2417" i="12"/>
  <c r="L2417" i="12"/>
  <c r="M2417" i="12"/>
  <c r="G2418" i="12"/>
  <c r="H2418" i="12" s="1"/>
  <c r="I2418" i="12"/>
  <c r="L2418" i="12"/>
  <c r="M2418" i="12"/>
  <c r="G2419" i="12"/>
  <c r="H2419" i="12" s="1"/>
  <c r="I2419" i="12"/>
  <c r="L2419" i="12"/>
  <c r="M2419" i="12"/>
  <c r="G2420" i="12"/>
  <c r="H2420" i="12" s="1"/>
  <c r="I2420" i="12"/>
  <c r="L2420" i="12"/>
  <c r="M2420" i="12"/>
  <c r="K2325" i="8"/>
  <c r="K2324" i="8"/>
  <c r="K2323" i="8"/>
  <c r="K2321" i="8"/>
  <c r="K2320" i="8"/>
  <c r="K2319" i="8"/>
  <c r="K2318" i="8"/>
  <c r="K2317" i="8"/>
  <c r="K2316" i="8"/>
  <c r="K2315" i="8"/>
  <c r="K2314" i="8"/>
  <c r="K2313" i="8"/>
  <c r="K2312" i="8"/>
  <c r="K2311" i="8"/>
  <c r="K2310" i="8"/>
  <c r="K2309" i="8"/>
  <c r="K2308" i="8"/>
  <c r="K2307" i="8"/>
  <c r="K2306" i="8"/>
  <c r="K2305" i="8"/>
  <c r="K2303" i="8"/>
  <c r="K2302" i="8"/>
  <c r="K2301" i="8"/>
  <c r="K2300" i="8"/>
  <c r="K2299" i="8"/>
  <c r="K2298" i="8"/>
  <c r="K2297" i="8"/>
  <c r="K2296" i="8"/>
  <c r="K2295" i="8"/>
  <c r="K2294" i="8"/>
  <c r="K2292" i="8"/>
  <c r="K2291" i="8"/>
  <c r="K2290" i="8"/>
  <c r="K2289" i="8"/>
  <c r="K2287" i="8"/>
  <c r="K2286" i="8"/>
  <c r="K2285" i="8"/>
  <c r="K2284" i="8"/>
  <c r="K2283" i="8"/>
  <c r="K2282" i="8"/>
  <c r="K2281" i="8"/>
  <c r="K2280" i="8"/>
  <c r="K2279" i="8"/>
  <c r="K2278" i="8"/>
  <c r="K2277" i="8"/>
  <c r="K2276" i="8"/>
  <c r="K2275" i="8"/>
  <c r="K2274" i="8"/>
  <c r="K2273" i="8"/>
  <c r="K2272" i="8"/>
  <c r="K2271" i="8"/>
  <c r="K2270" i="8"/>
  <c r="K2269" i="8"/>
  <c r="K2268" i="8"/>
  <c r="K2267" i="8"/>
  <c r="K2266" i="8"/>
  <c r="K2265" i="8"/>
  <c r="K2264" i="8"/>
  <c r="K2262" i="8"/>
  <c r="K2261" i="8"/>
  <c r="K2260" i="8"/>
  <c r="K2259" i="8"/>
  <c r="K2258" i="8"/>
  <c r="K2257" i="8"/>
  <c r="K2256" i="8"/>
  <c r="K2254" i="8"/>
  <c r="K2252" i="8"/>
  <c r="K2251" i="8"/>
  <c r="K2250" i="8"/>
  <c r="K2249" i="8"/>
  <c r="K2248" i="8"/>
  <c r="K2245" i="8"/>
  <c r="K2244" i="8"/>
  <c r="K2243" i="8"/>
  <c r="K2242" i="8"/>
  <c r="K2241" i="8"/>
  <c r="K2239" i="8"/>
  <c r="K2238" i="8"/>
  <c r="K2237" i="8"/>
  <c r="K2236" i="8"/>
  <c r="K2235" i="8"/>
  <c r="K2234" i="8"/>
  <c r="K2233" i="8"/>
  <c r="K2232" i="8"/>
  <c r="K2231" i="8"/>
  <c r="K2230" i="8"/>
  <c r="K2229" i="8"/>
  <c r="K2226" i="8"/>
  <c r="K2225" i="8"/>
  <c r="K2224" i="8"/>
  <c r="K2223" i="8"/>
  <c r="K2222" i="8"/>
  <c r="K2221" i="8"/>
  <c r="K2220" i="8"/>
  <c r="K2219" i="8"/>
  <c r="K2218" i="8"/>
  <c r="K2217" i="8"/>
  <c r="K2216" i="8"/>
  <c r="K2215" i="8"/>
  <c r="K2214" i="8"/>
  <c r="K2213" i="8"/>
  <c r="K2211" i="8"/>
  <c r="K2210" i="8"/>
  <c r="K2209" i="8"/>
  <c r="K2208" i="8"/>
  <c r="K2207" i="8"/>
  <c r="K2206" i="8"/>
  <c r="K2205" i="8"/>
  <c r="K2204" i="8"/>
  <c r="K2203" i="8"/>
  <c r="K2202" i="8"/>
  <c r="K2200" i="8"/>
  <c r="K2198" i="8"/>
  <c r="K2197" i="8"/>
  <c r="K2196" i="8"/>
  <c r="K2195" i="8"/>
  <c r="K2193" i="8"/>
  <c r="K2192" i="8"/>
  <c r="K2191" i="8"/>
  <c r="K2190" i="8"/>
  <c r="K2189" i="8"/>
  <c r="K2188" i="8"/>
  <c r="K2187" i="8"/>
  <c r="K2186" i="8"/>
  <c r="K2185" i="8"/>
  <c r="K2184" i="8"/>
  <c r="K2183" i="8"/>
  <c r="K2182" i="8"/>
  <c r="K2181" i="8"/>
  <c r="K2179" i="8"/>
  <c r="K2178" i="8"/>
  <c r="K2177" i="8"/>
  <c r="K2176" i="8"/>
  <c r="K2175" i="8"/>
  <c r="K2174" i="8"/>
  <c r="K2173" i="8"/>
  <c r="K2172" i="8"/>
  <c r="K2171" i="8"/>
  <c r="K2170" i="8"/>
  <c r="K2169" i="8"/>
  <c r="K2168" i="8"/>
  <c r="K2167" i="8"/>
  <c r="K2166" i="8"/>
  <c r="K2165" i="8"/>
  <c r="K2164" i="8"/>
  <c r="K2163" i="8"/>
  <c r="K2162" i="8"/>
  <c r="K2161" i="8"/>
  <c r="K2160" i="8"/>
  <c r="K2159" i="8"/>
  <c r="K2158" i="8"/>
  <c r="K2157" i="8"/>
  <c r="K2156" i="8"/>
  <c r="K2155" i="8"/>
  <c r="K2154" i="8"/>
  <c r="K2153" i="8"/>
  <c r="K2152" i="8"/>
  <c r="K2151" i="8"/>
  <c r="K2150" i="8"/>
  <c r="K2149" i="8"/>
  <c r="K2148" i="8"/>
  <c r="K2147" i="8"/>
  <c r="K2146" i="8"/>
  <c r="K2145" i="8"/>
  <c r="K2144" i="8"/>
  <c r="K2143" i="8"/>
  <c r="K2142" i="8"/>
  <c r="K2141" i="8"/>
  <c r="K2140" i="8"/>
  <c r="K2139" i="8"/>
  <c r="K2138" i="8"/>
  <c r="K2137" i="8"/>
  <c r="K2136" i="8"/>
  <c r="K2135" i="8"/>
  <c r="K2134" i="8"/>
  <c r="K2133" i="8"/>
  <c r="K2132" i="8"/>
  <c r="K2131" i="8"/>
  <c r="K2130" i="8"/>
  <c r="K2129" i="8"/>
  <c r="K2128" i="8"/>
  <c r="K2127" i="8"/>
  <c r="K2126" i="8"/>
  <c r="K2125" i="8"/>
  <c r="K2124" i="8"/>
  <c r="K2123" i="8"/>
  <c r="K2122" i="8"/>
  <c r="K2121" i="8"/>
  <c r="K2120" i="8"/>
  <c r="K2119" i="8"/>
  <c r="K2118" i="8"/>
  <c r="K2117" i="8"/>
  <c r="K2116" i="8"/>
  <c r="K2115" i="8"/>
  <c r="K2114" i="8"/>
  <c r="K2113" i="8"/>
  <c r="K2112" i="8"/>
  <c r="K2111" i="8"/>
  <c r="K2110" i="8"/>
  <c r="K2109" i="8"/>
  <c r="K2108" i="8"/>
  <c r="K2107" i="8"/>
  <c r="K2106" i="8"/>
  <c r="K2105" i="8"/>
  <c r="K2104" i="8"/>
  <c r="K2103" i="8"/>
  <c r="K2102" i="8"/>
  <c r="K2101" i="8"/>
  <c r="K2100" i="8"/>
  <c r="K2099" i="8"/>
  <c r="K2098" i="8"/>
  <c r="K2097" i="8"/>
  <c r="K2096" i="8"/>
  <c r="K2095" i="8"/>
  <c r="K2094" i="8"/>
  <c r="K2093" i="8"/>
  <c r="K2092" i="8"/>
  <c r="K2091" i="8"/>
  <c r="K2090" i="8"/>
  <c r="K2089" i="8"/>
  <c r="K2088" i="8"/>
  <c r="K2087" i="8"/>
  <c r="K2086" i="8"/>
  <c r="K2085" i="8"/>
  <c r="K2084" i="8"/>
  <c r="K2083" i="8"/>
  <c r="K2082" i="8"/>
  <c r="K2081" i="8"/>
  <c r="K2080" i="8"/>
  <c r="K2079" i="8"/>
  <c r="K2078" i="8"/>
  <c r="K2077" i="8"/>
  <c r="K2076" i="8"/>
  <c r="K2075" i="8"/>
  <c r="K2074" i="8"/>
  <c r="K2073" i="8"/>
  <c r="K2072" i="8"/>
  <c r="K2071" i="8"/>
  <c r="K2070" i="8"/>
  <c r="K2069" i="8"/>
  <c r="K2068" i="8"/>
  <c r="K2067" i="8"/>
  <c r="K2066" i="8"/>
  <c r="K2065" i="8"/>
  <c r="K2064" i="8"/>
  <c r="K2063" i="8"/>
  <c r="K2062" i="8"/>
  <c r="K2061" i="8"/>
  <c r="K2060" i="8"/>
  <c r="K2059" i="8"/>
  <c r="K2058" i="8"/>
  <c r="K2057" i="8"/>
  <c r="K2056" i="8"/>
  <c r="K2055" i="8"/>
  <c r="K2054" i="8"/>
  <c r="K2053" i="8"/>
  <c r="K2052" i="8"/>
  <c r="K2051" i="8"/>
  <c r="K2050" i="8"/>
  <c r="K2049" i="8"/>
  <c r="K2048" i="8"/>
  <c r="K2047" i="8"/>
  <c r="K2046" i="8"/>
  <c r="K2045" i="8"/>
  <c r="K2044" i="8"/>
  <c r="K2043" i="8"/>
  <c r="K2042" i="8"/>
  <c r="K2041" i="8"/>
  <c r="K2040" i="8"/>
  <c r="K2039" i="8"/>
  <c r="K2038" i="8"/>
  <c r="K2037" i="8"/>
  <c r="K2036" i="8"/>
  <c r="K2035" i="8"/>
  <c r="K2034" i="8"/>
  <c r="K2033" i="8"/>
  <c r="K2032" i="8"/>
  <c r="K2031" i="8"/>
  <c r="K2030" i="8"/>
  <c r="K2029" i="8"/>
  <c r="K2028" i="8"/>
  <c r="K2027" i="8"/>
  <c r="K2026" i="8"/>
  <c r="K2025" i="8"/>
  <c r="K2024" i="8"/>
  <c r="K2023" i="8"/>
  <c r="K2022" i="8"/>
  <c r="K2021" i="8"/>
  <c r="K2020" i="8"/>
  <c r="K2019" i="8"/>
  <c r="K2018" i="8"/>
  <c r="K2017" i="8"/>
  <c r="K2016" i="8"/>
  <c r="K2015" i="8"/>
  <c r="K2014" i="8"/>
  <c r="K2013" i="8"/>
  <c r="K2012" i="8"/>
  <c r="K2011" i="8"/>
  <c r="K2010" i="8"/>
  <c r="K2009" i="8"/>
  <c r="K2008" i="8"/>
  <c r="K2007" i="8"/>
  <c r="K2006" i="8"/>
  <c r="K2005" i="8"/>
  <c r="K2004" i="8"/>
  <c r="K2003" i="8"/>
  <c r="K2002" i="8"/>
  <c r="K2001" i="8"/>
  <c r="K2000" i="8"/>
  <c r="K1999" i="8"/>
  <c r="K1998" i="8"/>
  <c r="K1997" i="8"/>
  <c r="K1996" i="8"/>
  <c r="K1995" i="8"/>
  <c r="K1994" i="8"/>
  <c r="K1993" i="8"/>
  <c r="K1992" i="8"/>
  <c r="K1991" i="8"/>
  <c r="K1990" i="8"/>
  <c r="K1989" i="8"/>
  <c r="K1988" i="8"/>
  <c r="K1987" i="8"/>
  <c r="K1986" i="8"/>
  <c r="K1985" i="8"/>
  <c r="K1984" i="8"/>
  <c r="K1983" i="8"/>
  <c r="K1982" i="8"/>
  <c r="K1981" i="8"/>
  <c r="K1980" i="8"/>
  <c r="K1979" i="8"/>
  <c r="K1978" i="8"/>
  <c r="K1977" i="8"/>
  <c r="K1976" i="8"/>
  <c r="K1975" i="8"/>
  <c r="K1974" i="8"/>
  <c r="K1973" i="8"/>
  <c r="K1972" i="8"/>
  <c r="K1971" i="8"/>
  <c r="K1970" i="8"/>
  <c r="K1969" i="8"/>
  <c r="K1968" i="8"/>
  <c r="K1967" i="8"/>
  <c r="K1966" i="8"/>
  <c r="K1965" i="8"/>
  <c r="K1964" i="8"/>
  <c r="K1963" i="8"/>
  <c r="K1962" i="8"/>
  <c r="K1961" i="8"/>
  <c r="K1960" i="8"/>
  <c r="K1959" i="8"/>
  <c r="K1958" i="8"/>
  <c r="K1957" i="8"/>
  <c r="K1956" i="8"/>
  <c r="K1955" i="8"/>
  <c r="K1954" i="8"/>
  <c r="K1953" i="8"/>
  <c r="K1952" i="8"/>
  <c r="K1951" i="8"/>
  <c r="K1950" i="8"/>
  <c r="K1949" i="8"/>
  <c r="K1948" i="8"/>
  <c r="K1947" i="8"/>
  <c r="K1946" i="8"/>
  <c r="K1945" i="8"/>
  <c r="K1944" i="8"/>
  <c r="K1943" i="8"/>
  <c r="K1942" i="8"/>
  <c r="K1941" i="8"/>
  <c r="K1940" i="8"/>
  <c r="K1939" i="8"/>
  <c r="K1938" i="8"/>
  <c r="K1937" i="8"/>
  <c r="K1936" i="8"/>
  <c r="K1935" i="8"/>
  <c r="K1934" i="8"/>
  <c r="K1933" i="8"/>
  <c r="K1932" i="8"/>
  <c r="K1931" i="8"/>
  <c r="K1930" i="8"/>
  <c r="K1929" i="8"/>
  <c r="K1928" i="8"/>
  <c r="K1927" i="8"/>
  <c r="K1926" i="8"/>
  <c r="K1925" i="8"/>
  <c r="K1924" i="8"/>
  <c r="K1920" i="8"/>
  <c r="K1919" i="8"/>
  <c r="K1918" i="8"/>
  <c r="K1917" i="8"/>
  <c r="K1916" i="8"/>
  <c r="K1915" i="8"/>
  <c r="K1914" i="8"/>
  <c r="K1913" i="8"/>
  <c r="K1912" i="8"/>
  <c r="K1911" i="8"/>
  <c r="K1910" i="8"/>
  <c r="K1909" i="8"/>
  <c r="K1908" i="8"/>
  <c r="K1907" i="8"/>
  <c r="K1906" i="8"/>
  <c r="K1905" i="8"/>
  <c r="K1904" i="8"/>
  <c r="K1903" i="8"/>
  <c r="K1902" i="8"/>
  <c r="K1901" i="8"/>
  <c r="K1900" i="8"/>
  <c r="K1899" i="8"/>
  <c r="K1898" i="8"/>
  <c r="K1897" i="8"/>
  <c r="K1896" i="8"/>
  <c r="K1895" i="8"/>
  <c r="K1894" i="8"/>
  <c r="K1893" i="8"/>
  <c r="K1892" i="8"/>
  <c r="K1891" i="8"/>
  <c r="K1889" i="8"/>
  <c r="K1888" i="8"/>
  <c r="K1887" i="8"/>
  <c r="K1886" i="8"/>
  <c r="K1885" i="8"/>
  <c r="K1884" i="8"/>
  <c r="K1883" i="8"/>
  <c r="K1882" i="8"/>
  <c r="K1881" i="8"/>
  <c r="K1880" i="8"/>
  <c r="K1879" i="8"/>
  <c r="K1878" i="8"/>
  <c r="K1877" i="8"/>
  <c r="K1876" i="8"/>
  <c r="K1875" i="8"/>
  <c r="K1874" i="8"/>
  <c r="K1873" i="8"/>
  <c r="K1872" i="8"/>
  <c r="K1871" i="8"/>
  <c r="K1870" i="8"/>
  <c r="K1869" i="8"/>
  <c r="K1868" i="8"/>
  <c r="K1867" i="8"/>
  <c r="K1866" i="8"/>
  <c r="K1865" i="8"/>
  <c r="K1864" i="8"/>
  <c r="K1863" i="8"/>
  <c r="K1862" i="8"/>
  <c r="K1861" i="8"/>
  <c r="K1860" i="8"/>
  <c r="K1859" i="8"/>
  <c r="K1858" i="8"/>
  <c r="K1857" i="8"/>
  <c r="K1856" i="8"/>
  <c r="K1855" i="8"/>
  <c r="K1854" i="8"/>
  <c r="K1853" i="8"/>
  <c r="K1852" i="8"/>
  <c r="K1851" i="8"/>
  <c r="K1850" i="8"/>
  <c r="K1849" i="8"/>
  <c r="K1848" i="8"/>
  <c r="K1847" i="8"/>
  <c r="K1846" i="8"/>
  <c r="K1845" i="8"/>
  <c r="K1844" i="8"/>
  <c r="K1843" i="8"/>
  <c r="K1842" i="8"/>
  <c r="K1841" i="8"/>
  <c r="K1840" i="8"/>
  <c r="K1839" i="8"/>
  <c r="K1838" i="8"/>
  <c r="K1837" i="8"/>
  <c r="K1836" i="8"/>
  <c r="K1835" i="8"/>
  <c r="K1834" i="8"/>
  <c r="K1833" i="8"/>
  <c r="K1832" i="8"/>
  <c r="K1831" i="8"/>
  <c r="K1830" i="8"/>
  <c r="K1829" i="8"/>
  <c r="K1828" i="8"/>
  <c r="K1827" i="8"/>
  <c r="K1826" i="8"/>
  <c r="K1825" i="8"/>
  <c r="K1824" i="8"/>
  <c r="K1823" i="8"/>
  <c r="K1822" i="8"/>
  <c r="K1821" i="8"/>
  <c r="K1820" i="8"/>
  <c r="K1819" i="8"/>
  <c r="K1818" i="8"/>
  <c r="K1817" i="8"/>
  <c r="K1816" i="8"/>
  <c r="K1815" i="8"/>
  <c r="K1814" i="8"/>
  <c r="K1813" i="8"/>
  <c r="K1812" i="8"/>
  <c r="K1811" i="8"/>
  <c r="K1810" i="8"/>
  <c r="K1809" i="8"/>
  <c r="K1808" i="8"/>
  <c r="K1807" i="8"/>
  <c r="K1806" i="8"/>
  <c r="K1805" i="8"/>
  <c r="K1804" i="8"/>
  <c r="K1803" i="8"/>
  <c r="K1802" i="8"/>
  <c r="K1801" i="8"/>
  <c r="K1800" i="8"/>
  <c r="K1799" i="8"/>
  <c r="K1798" i="8"/>
  <c r="K1797" i="8"/>
  <c r="K1796" i="8"/>
  <c r="K1795" i="8"/>
  <c r="K1794" i="8"/>
  <c r="K1793" i="8"/>
  <c r="K1792" i="8"/>
  <c r="K1791" i="8"/>
  <c r="K1790" i="8"/>
  <c r="K1789" i="8"/>
  <c r="K1788" i="8"/>
  <c r="K1787" i="8"/>
  <c r="K1786" i="8"/>
  <c r="K1785" i="8"/>
  <c r="K1784" i="8"/>
  <c r="K1783" i="8"/>
  <c r="K1782" i="8"/>
  <c r="K1781" i="8"/>
  <c r="K1780" i="8"/>
  <c r="K1779" i="8"/>
  <c r="K1778" i="8"/>
  <c r="K1777" i="8"/>
  <c r="K1776" i="8"/>
  <c r="K1775" i="8"/>
  <c r="K1774" i="8"/>
  <c r="K1773" i="8"/>
  <c r="K1772" i="8"/>
  <c r="K1771" i="8"/>
  <c r="K1770" i="8"/>
  <c r="K1769" i="8"/>
  <c r="K1768" i="8"/>
  <c r="K1767" i="8"/>
  <c r="K1766" i="8"/>
  <c r="K1765" i="8"/>
  <c r="K1764" i="8"/>
  <c r="K1763" i="8"/>
  <c r="K1762" i="8"/>
  <c r="K1761" i="8"/>
  <c r="K1760" i="8"/>
  <c r="K1759" i="8"/>
  <c r="K1758" i="8"/>
  <c r="K1757" i="8"/>
  <c r="K1756" i="8"/>
  <c r="K1755" i="8"/>
  <c r="K1754" i="8"/>
  <c r="K1753" i="8"/>
  <c r="K1752" i="8"/>
  <c r="K1751" i="8"/>
  <c r="K1750" i="8"/>
  <c r="K1749" i="8"/>
  <c r="K1747" i="8"/>
  <c r="K1746" i="8"/>
  <c r="K1745" i="8"/>
  <c r="K1744" i="8"/>
  <c r="K1743" i="8"/>
  <c r="K1742" i="8"/>
  <c r="K1741" i="8"/>
  <c r="K1740" i="8"/>
  <c r="K1739" i="8"/>
  <c r="K1738" i="8"/>
  <c r="K1737" i="8"/>
  <c r="K1736" i="8"/>
  <c r="K1735" i="8"/>
  <c r="K1734" i="8"/>
  <c r="K1733" i="8"/>
  <c r="K1732" i="8"/>
  <c r="K1731" i="8"/>
  <c r="K1730" i="8"/>
  <c r="K1729" i="8"/>
  <c r="K1728" i="8"/>
  <c r="K1727" i="8"/>
  <c r="K1726" i="8"/>
  <c r="K1725" i="8"/>
  <c r="K1724" i="8"/>
  <c r="K1723" i="8"/>
  <c r="K1722" i="8"/>
  <c r="K1721" i="8"/>
  <c r="K1720" i="8"/>
  <c r="K1719" i="8"/>
  <c r="K1718" i="8"/>
  <c r="K1717" i="8"/>
  <c r="K1716" i="8"/>
  <c r="K1715" i="8"/>
  <c r="K1714" i="8"/>
  <c r="K1713" i="8"/>
  <c r="K1712" i="8"/>
  <c r="K1711" i="8"/>
  <c r="K1710" i="8"/>
  <c r="K1709" i="8"/>
  <c r="K1708" i="8"/>
  <c r="K1707" i="8"/>
  <c r="K1706" i="8"/>
  <c r="K1705" i="8"/>
  <c r="K1704" i="8"/>
  <c r="K1702" i="8"/>
  <c r="K1701" i="8"/>
  <c r="K1700" i="8"/>
  <c r="K1699" i="8"/>
  <c r="K1698" i="8"/>
  <c r="K1697" i="8"/>
  <c r="K1696" i="8"/>
  <c r="K1695" i="8"/>
  <c r="K1694" i="8"/>
  <c r="K1693" i="8"/>
  <c r="K1692" i="8"/>
  <c r="K1691" i="8"/>
  <c r="K1690" i="8"/>
  <c r="K1689" i="8"/>
  <c r="K1688" i="8"/>
  <c r="K1687" i="8"/>
  <c r="K1685" i="8"/>
  <c r="K1684" i="8"/>
  <c r="K1683" i="8"/>
  <c r="K1682" i="8"/>
  <c r="K1681" i="8"/>
  <c r="K1680" i="8"/>
  <c r="K1679" i="8"/>
  <c r="K1678" i="8"/>
  <c r="K1677" i="8"/>
  <c r="K1676" i="8"/>
  <c r="K1675" i="8"/>
  <c r="K1674" i="8"/>
  <c r="K1673" i="8"/>
  <c r="K1672" i="8"/>
  <c r="K1671" i="8"/>
  <c r="K1670" i="8"/>
  <c r="K1669" i="8"/>
  <c r="K1668" i="8"/>
  <c r="K1667" i="8"/>
  <c r="K1666" i="8"/>
  <c r="K1665" i="8"/>
  <c r="K1664" i="8"/>
  <c r="K1663" i="8"/>
  <c r="K1662" i="8"/>
  <c r="K1661" i="8"/>
  <c r="K1660" i="8"/>
  <c r="K1659" i="8"/>
  <c r="K1658" i="8"/>
  <c r="K1657" i="8"/>
  <c r="K1656" i="8"/>
  <c r="K1655" i="8"/>
  <c r="K1654" i="8"/>
  <c r="K1653" i="8"/>
  <c r="K1652" i="8"/>
  <c r="K1651" i="8"/>
  <c r="K1650" i="8"/>
  <c r="K1649" i="8"/>
  <c r="K1648" i="8"/>
  <c r="K1647" i="8"/>
  <c r="K1646" i="8"/>
  <c r="K1645" i="8"/>
  <c r="K1644" i="8"/>
  <c r="K1643" i="8"/>
  <c r="K1642" i="8"/>
  <c r="K1641" i="8"/>
  <c r="K1640" i="8"/>
  <c r="K1639" i="8"/>
  <c r="K1638" i="8"/>
  <c r="K1637" i="8"/>
  <c r="K1636" i="8"/>
  <c r="K1635" i="8"/>
  <c r="K1634" i="8"/>
  <c r="K1633" i="8"/>
  <c r="K1632" i="8"/>
  <c r="K1631" i="8"/>
  <c r="K1630" i="8"/>
  <c r="K1629" i="8"/>
  <c r="K1628" i="8"/>
  <c r="K1627" i="8"/>
  <c r="K1626" i="8"/>
  <c r="K1625" i="8"/>
  <c r="K1624" i="8"/>
  <c r="K1623" i="8"/>
  <c r="K1622" i="8"/>
  <c r="K1621" i="8"/>
  <c r="K1620" i="8"/>
  <c r="K1619" i="8"/>
  <c r="K1618" i="8"/>
  <c r="K1617" i="8"/>
  <c r="K1616" i="8"/>
  <c r="K1615" i="8"/>
  <c r="K1614" i="8"/>
  <c r="K1613" i="8"/>
  <c r="K1612" i="8"/>
  <c r="K1611" i="8"/>
  <c r="K1610" i="8"/>
  <c r="K1609" i="8"/>
  <c r="K1608" i="8"/>
  <c r="K1607" i="8"/>
  <c r="K1606" i="8"/>
  <c r="K1605" i="8"/>
  <c r="K1604" i="8"/>
  <c r="K1603" i="8"/>
  <c r="K1602" i="8"/>
  <c r="K1601" i="8"/>
  <c r="K1600" i="8"/>
  <c r="K1599" i="8"/>
  <c r="K1598" i="8"/>
  <c r="K1597" i="8"/>
  <c r="K1596" i="8"/>
  <c r="K1595" i="8"/>
  <c r="K1594" i="8"/>
  <c r="K1593" i="8"/>
  <c r="K1592" i="8"/>
  <c r="K1591" i="8"/>
  <c r="K1590" i="8"/>
  <c r="K1589" i="8"/>
  <c r="K1588" i="8"/>
  <c r="K1587" i="8"/>
  <c r="K1586" i="8"/>
  <c r="K1585" i="8"/>
  <c r="K1584" i="8"/>
  <c r="K1583" i="8"/>
  <c r="K1582" i="8"/>
  <c r="K1581" i="8"/>
  <c r="K1580" i="8"/>
  <c r="K1579" i="8"/>
  <c r="K1578" i="8"/>
  <c r="K1577" i="8"/>
  <c r="K1576" i="8"/>
  <c r="K1575" i="8"/>
  <c r="K1574" i="8"/>
  <c r="K1573" i="8"/>
  <c r="K1572" i="8"/>
  <c r="K1571" i="8"/>
  <c r="K1570" i="8"/>
  <c r="K1569" i="8"/>
  <c r="K1568" i="8"/>
  <c r="K1567" i="8"/>
  <c r="K1566" i="8"/>
  <c r="K1565" i="8"/>
  <c r="K1564" i="8"/>
  <c r="K1563" i="8"/>
  <c r="K1562" i="8"/>
  <c r="K1561" i="8"/>
  <c r="K1560" i="8"/>
  <c r="K1559" i="8"/>
  <c r="K1558" i="8"/>
  <c r="K1557" i="8"/>
  <c r="K1556" i="8"/>
  <c r="K1555" i="8"/>
  <c r="K1554" i="8"/>
  <c r="K1553" i="8"/>
  <c r="K1552" i="8"/>
  <c r="K1551" i="8"/>
  <c r="K1550" i="8"/>
  <c r="K1549" i="8"/>
  <c r="K1548" i="8"/>
  <c r="K1547" i="8"/>
  <c r="K1546" i="8"/>
  <c r="K1545" i="8"/>
  <c r="K1544" i="8"/>
  <c r="K1543" i="8"/>
  <c r="K1542" i="8"/>
  <c r="K1541" i="8"/>
  <c r="K1540" i="8"/>
  <c r="K1539" i="8"/>
  <c r="K1538" i="8"/>
  <c r="K1537" i="8"/>
  <c r="K1536" i="8"/>
  <c r="K1535" i="8"/>
  <c r="K1534" i="8"/>
  <c r="K1533" i="8"/>
  <c r="K1532" i="8"/>
  <c r="K1531" i="8"/>
  <c r="K1530" i="8"/>
  <c r="K1529" i="8"/>
  <c r="K1528" i="8"/>
  <c r="K1527" i="8"/>
  <c r="K1525" i="8"/>
  <c r="K1524" i="8"/>
  <c r="K1523" i="8"/>
  <c r="K1522" i="8"/>
  <c r="K1521" i="8"/>
  <c r="K1520" i="8"/>
  <c r="K1519" i="8"/>
  <c r="K1518" i="8"/>
  <c r="K1517" i="8"/>
  <c r="K1516" i="8"/>
  <c r="K1515" i="8"/>
  <c r="K1514" i="8"/>
  <c r="K1513" i="8"/>
  <c r="K1512" i="8"/>
  <c r="K1511" i="8"/>
  <c r="K1510" i="8"/>
  <c r="K1509" i="8"/>
  <c r="K1508" i="8"/>
  <c r="K1507" i="8"/>
  <c r="K1506" i="8"/>
  <c r="K1505" i="8"/>
  <c r="K1504" i="8"/>
  <c r="K1503" i="8"/>
  <c r="K1502" i="8"/>
  <c r="K1501" i="8"/>
  <c r="K1500" i="8"/>
  <c r="K1499" i="8"/>
  <c r="K1498" i="8"/>
  <c r="K1497" i="8"/>
  <c r="K1496" i="8"/>
  <c r="K1495" i="8"/>
  <c r="K1494" i="8"/>
  <c r="K1493" i="8"/>
  <c r="K1492" i="8"/>
  <c r="K1491" i="8"/>
  <c r="K1490" i="8"/>
  <c r="K1489" i="8"/>
  <c r="K1488" i="8"/>
  <c r="K1487" i="8"/>
  <c r="K1486" i="8"/>
  <c r="K1485" i="8"/>
  <c r="K1484" i="8"/>
  <c r="K1483" i="8"/>
  <c r="K1482" i="8"/>
  <c r="K1481" i="8"/>
  <c r="K1480" i="8"/>
  <c r="K1479" i="8"/>
  <c r="K1478" i="8"/>
  <c r="K1477" i="8"/>
  <c r="K1476" i="8"/>
  <c r="K1475" i="8"/>
  <c r="K1474" i="8"/>
  <c r="K1473" i="8"/>
  <c r="K1472" i="8"/>
  <c r="K1470" i="8"/>
  <c r="K1469" i="8"/>
  <c r="K1468" i="8"/>
  <c r="K1467" i="8"/>
  <c r="K1466" i="8"/>
  <c r="K1465" i="8"/>
  <c r="K1464" i="8"/>
  <c r="K1463" i="8"/>
  <c r="K1462" i="8"/>
  <c r="K1461" i="8"/>
  <c r="K1460" i="8"/>
  <c r="K1459" i="8"/>
  <c r="K1458" i="8"/>
  <c r="K1457" i="8"/>
  <c r="K1456" i="8"/>
  <c r="K1455" i="8"/>
  <c r="K1454" i="8"/>
  <c r="K1453" i="8"/>
  <c r="K1452" i="8"/>
  <c r="K1450" i="8"/>
  <c r="K1449" i="8"/>
  <c r="K1448" i="8"/>
  <c r="K1447" i="8"/>
  <c r="K1446" i="8"/>
  <c r="K1444" i="8"/>
  <c r="K1443" i="8"/>
  <c r="K1442" i="8"/>
  <c r="K1441" i="8"/>
  <c r="K1440" i="8"/>
  <c r="K1439" i="8"/>
  <c r="K1437" i="8"/>
  <c r="K1436" i="8"/>
  <c r="K1435" i="8"/>
  <c r="K1434" i="8"/>
  <c r="K1433" i="8"/>
  <c r="K1430" i="8"/>
  <c r="K1427" i="8"/>
  <c r="K1424" i="8"/>
  <c r="K1422" i="8"/>
  <c r="K1421" i="8"/>
  <c r="K1420" i="8"/>
  <c r="K1419" i="8"/>
  <c r="K1418" i="8"/>
  <c r="K1417" i="8"/>
  <c r="K1413" i="8"/>
  <c r="K1411" i="8"/>
  <c r="K1410" i="8"/>
  <c r="K1409" i="8"/>
  <c r="K1408" i="8"/>
  <c r="K1407" i="8"/>
  <c r="K1405" i="8"/>
  <c r="K1404" i="8"/>
  <c r="K1403" i="8"/>
  <c r="K1400" i="8"/>
  <c r="K1399" i="8"/>
  <c r="K1398" i="8"/>
  <c r="K1397" i="8"/>
  <c r="K1396" i="8"/>
  <c r="K1395" i="8"/>
  <c r="K1394" i="8"/>
  <c r="K1393" i="8"/>
  <c r="K1392" i="8"/>
  <c r="K1390" i="8"/>
  <c r="K1389" i="8"/>
  <c r="K1388" i="8"/>
  <c r="K1387" i="8"/>
  <c r="K1386" i="8"/>
  <c r="K1385" i="8"/>
  <c r="K1384" i="8"/>
  <c r="K1383" i="8"/>
  <c r="K1381" i="8"/>
  <c r="K1380" i="8"/>
  <c r="K1379" i="8"/>
  <c r="K1378" i="8"/>
  <c r="K1377" i="8"/>
  <c r="K1376" i="8"/>
  <c r="K1375" i="8"/>
  <c r="K1374" i="8"/>
  <c r="K1373" i="8"/>
  <c r="K1372" i="8"/>
  <c r="K1371" i="8"/>
  <c r="K1370" i="8"/>
  <c r="K1369" i="8"/>
  <c r="K1368" i="8"/>
  <c r="K1367" i="8"/>
  <c r="K1366" i="8"/>
  <c r="K1365" i="8"/>
  <c r="K1364" i="8"/>
  <c r="K1363" i="8"/>
  <c r="K1362" i="8"/>
  <c r="K1361" i="8"/>
  <c r="K1360" i="8"/>
  <c r="K1359" i="8"/>
  <c r="K1358" i="8"/>
  <c r="K1357" i="8"/>
  <c r="K1356" i="8"/>
  <c r="K1355" i="8"/>
  <c r="K1354" i="8"/>
  <c r="K1353" i="8"/>
  <c r="K1352" i="8"/>
  <c r="K1351" i="8"/>
  <c r="K1350" i="8"/>
  <c r="K1349" i="8"/>
  <c r="K1348" i="8"/>
  <c r="K1347" i="8"/>
  <c r="K1346" i="8"/>
  <c r="K1345" i="8"/>
  <c r="K1343" i="8"/>
  <c r="K1342" i="8"/>
  <c r="K1341" i="8"/>
  <c r="K1338" i="8"/>
  <c r="K1337" i="8"/>
  <c r="K1336" i="8"/>
  <c r="K1335" i="8"/>
  <c r="K1334" i="8"/>
  <c r="K1333" i="8"/>
  <c r="K1332" i="8"/>
  <c r="K1331" i="8"/>
  <c r="K1330" i="8"/>
  <c r="K1329" i="8"/>
  <c r="K1328" i="8"/>
  <c r="K1327" i="8"/>
  <c r="K1326" i="8"/>
  <c r="K1325" i="8"/>
  <c r="K1324" i="8"/>
  <c r="K1323" i="8"/>
  <c r="K1322" i="8"/>
  <c r="K1320" i="8"/>
  <c r="K1319" i="8"/>
  <c r="K1317" i="8"/>
  <c r="K1316" i="8"/>
  <c r="K1315" i="8"/>
  <c r="K1314" i="8"/>
  <c r="K1313" i="8"/>
  <c r="K1312" i="8"/>
  <c r="K1311" i="8"/>
  <c r="K1309" i="8"/>
  <c r="K1308" i="8"/>
  <c r="K1307" i="8"/>
  <c r="K1306" i="8"/>
  <c r="K1305" i="8"/>
  <c r="K1304" i="8"/>
  <c r="K1303" i="8"/>
  <c r="K1302" i="8"/>
  <c r="K1300" i="8"/>
  <c r="K1299" i="8"/>
  <c r="K1298" i="8"/>
  <c r="K1297" i="8"/>
  <c r="K1296" i="8"/>
  <c r="K1295" i="8"/>
  <c r="K1294" i="8"/>
  <c r="K1293" i="8"/>
  <c r="K1292" i="8"/>
  <c r="K1290" i="8"/>
  <c r="K1289" i="8"/>
  <c r="K1288" i="8"/>
  <c r="K1287" i="8"/>
  <c r="K1284" i="8"/>
  <c r="K1283" i="8"/>
  <c r="K1281" i="8"/>
  <c r="K1280" i="8"/>
  <c r="K1279" i="8"/>
  <c r="K1277" i="8"/>
  <c r="K1276" i="8"/>
  <c r="K1275" i="8"/>
  <c r="K1274" i="8"/>
  <c r="K1273" i="8"/>
  <c r="K1272" i="8"/>
  <c r="K1271" i="8"/>
  <c r="K1269" i="8"/>
  <c r="K1263" i="8"/>
  <c r="K1262" i="8"/>
  <c r="K1261" i="8"/>
  <c r="K1260" i="8"/>
  <c r="K1259" i="8"/>
  <c r="K1256" i="8"/>
  <c r="K1254" i="8"/>
  <c r="K1253" i="8"/>
  <c r="K1252" i="8"/>
  <c r="K1251" i="8"/>
  <c r="K1249" i="8"/>
  <c r="K1248" i="8"/>
  <c r="K1247" i="8"/>
  <c r="K1245" i="8"/>
  <c r="K1244" i="8"/>
  <c r="K1243" i="8"/>
  <c r="K1242" i="8"/>
  <c r="K1241" i="8"/>
  <c r="K1240" i="8"/>
  <c r="K1239" i="8"/>
  <c r="K1238" i="8"/>
  <c r="K1237" i="8"/>
  <c r="K1235" i="8"/>
  <c r="K1230" i="8"/>
  <c r="K1228" i="8"/>
  <c r="K1227" i="8"/>
  <c r="K1226" i="8"/>
  <c r="K1225" i="8"/>
  <c r="K1224" i="8"/>
  <c r="K1223" i="8"/>
  <c r="K1222" i="8"/>
  <c r="K1221" i="8"/>
  <c r="K1220" i="8"/>
  <c r="K1219" i="8"/>
  <c r="K1218" i="8"/>
  <c r="K1217" i="8"/>
  <c r="K1216" i="8"/>
  <c r="K1215" i="8"/>
  <c r="K1214" i="8"/>
  <c r="K1213" i="8"/>
  <c r="K1212" i="8"/>
  <c r="K1211" i="8"/>
  <c r="K1210" i="8"/>
  <c r="K1209" i="8"/>
  <c r="K1208" i="8"/>
  <c r="K1207" i="8"/>
  <c r="K1206" i="8"/>
  <c r="K1205" i="8"/>
  <c r="K1204" i="8"/>
  <c r="K1203" i="8"/>
  <c r="K1202" i="8"/>
  <c r="K1201" i="8"/>
  <c r="K1200" i="8"/>
  <c r="K1199" i="8"/>
  <c r="K1198" i="8"/>
  <c r="K1197" i="8"/>
  <c r="K1196" i="8"/>
  <c r="K1195" i="8"/>
  <c r="K1194" i="8"/>
  <c r="K1193" i="8"/>
  <c r="K1192" i="8"/>
  <c r="K1191" i="8"/>
  <c r="K1190" i="8"/>
  <c r="K1189" i="8"/>
  <c r="K1188" i="8"/>
  <c r="K1187" i="8"/>
  <c r="K1186" i="8"/>
  <c r="K1185" i="8"/>
  <c r="K1184" i="8"/>
  <c r="K1183" i="8"/>
  <c r="K1182" i="8"/>
  <c r="K1181" i="8"/>
  <c r="K1180" i="8"/>
  <c r="K1179" i="8"/>
  <c r="K1178" i="8"/>
  <c r="K1177" i="8"/>
  <c r="K1176" i="8"/>
  <c r="K1175" i="8"/>
  <c r="K1174" i="8"/>
  <c r="K1173" i="8"/>
  <c r="K1172" i="8"/>
  <c r="K1171" i="8"/>
  <c r="K1170" i="8"/>
  <c r="K1169" i="8"/>
  <c r="K1168" i="8"/>
  <c r="K1167" i="8"/>
  <c r="K1166" i="8"/>
  <c r="K1165" i="8"/>
  <c r="K1164" i="8"/>
  <c r="K1163" i="8"/>
  <c r="K1162" i="8"/>
  <c r="K1161" i="8"/>
  <c r="K1160" i="8"/>
  <c r="K1159" i="8"/>
  <c r="K1158" i="8"/>
  <c r="K1157" i="8"/>
  <c r="K1156" i="8"/>
  <c r="K1155" i="8"/>
  <c r="K1154" i="8"/>
  <c r="K1153" i="8"/>
  <c r="K1152" i="8"/>
  <c r="K1151" i="8"/>
  <c r="K1150" i="8"/>
  <c r="K1149" i="8"/>
  <c r="K1148" i="8"/>
  <c r="K1147" i="8"/>
  <c r="K1146" i="8"/>
  <c r="K1145" i="8"/>
  <c r="K1144" i="8"/>
  <c r="K1143" i="8"/>
  <c r="K1142" i="8"/>
  <c r="K1141" i="8"/>
  <c r="K1140" i="8"/>
  <c r="K1139" i="8"/>
  <c r="K1138" i="8"/>
  <c r="K1137" i="8"/>
  <c r="K1136" i="8"/>
  <c r="K1135" i="8"/>
  <c r="K1134" i="8"/>
  <c r="K1133" i="8"/>
  <c r="K1132" i="8"/>
  <c r="K1131" i="8"/>
  <c r="K1130" i="8"/>
  <c r="K1129" i="8"/>
  <c r="K1128" i="8"/>
  <c r="K1127" i="8"/>
  <c r="K1126" i="8"/>
  <c r="K1125" i="8"/>
  <c r="K1124" i="8"/>
  <c r="K1123" i="8"/>
  <c r="K1122" i="8"/>
  <c r="K1121" i="8"/>
  <c r="K1120" i="8"/>
  <c r="K1119" i="8"/>
  <c r="K1118" i="8"/>
  <c r="K1117" i="8"/>
  <c r="K1116" i="8"/>
  <c r="K1115" i="8"/>
  <c r="K1114" i="8"/>
  <c r="K1113" i="8"/>
  <c r="K1112" i="8"/>
  <c r="K1111" i="8"/>
  <c r="K1110" i="8"/>
  <c r="K1109" i="8"/>
  <c r="K1108" i="8"/>
  <c r="K1107" i="8"/>
  <c r="K1106" i="8"/>
  <c r="K1105" i="8"/>
  <c r="K1104" i="8"/>
  <c r="K1103" i="8"/>
  <c r="K1102" i="8"/>
  <c r="K1101" i="8"/>
  <c r="K1100" i="8"/>
  <c r="K1099" i="8"/>
  <c r="K1098" i="8"/>
  <c r="K1097" i="8"/>
  <c r="K1096" i="8"/>
  <c r="K1095" i="8"/>
  <c r="K1094" i="8"/>
  <c r="K1093" i="8"/>
  <c r="K1092" i="8"/>
  <c r="K1091" i="8"/>
  <c r="K1090" i="8"/>
  <c r="K1089" i="8"/>
  <c r="K1088" i="8"/>
  <c r="K1087" i="8"/>
  <c r="K1086" i="8"/>
  <c r="K1085" i="8"/>
  <c r="K1084" i="8"/>
  <c r="K1083" i="8"/>
  <c r="K1082" i="8"/>
  <c r="K1081" i="8"/>
  <c r="K1080" i="8"/>
  <c r="K1079" i="8"/>
  <c r="K1078" i="8"/>
  <c r="K1077" i="8"/>
  <c r="K1076" i="8"/>
  <c r="K1075" i="8"/>
  <c r="K1074" i="8"/>
  <c r="K1073" i="8"/>
  <c r="K1072" i="8"/>
  <c r="K1071" i="8"/>
  <c r="K1070" i="8"/>
  <c r="K1069" i="8"/>
  <c r="K1068" i="8"/>
  <c r="K1067" i="8"/>
  <c r="K1066" i="8"/>
  <c r="K1065" i="8"/>
  <c r="K1064" i="8"/>
  <c r="K1063" i="8"/>
  <c r="K1062" i="8"/>
  <c r="K1061" i="8"/>
  <c r="K1060" i="8"/>
  <c r="K1059" i="8"/>
  <c r="K1058" i="8"/>
  <c r="K1057" i="8"/>
  <c r="K1056" i="8"/>
  <c r="K1055" i="8"/>
  <c r="K1054" i="8"/>
  <c r="K1053" i="8"/>
  <c r="K1052" i="8"/>
  <c r="K1051" i="8"/>
  <c r="K1050" i="8"/>
  <c r="K1049" i="8"/>
  <c r="K1048" i="8"/>
  <c r="K1047" i="8"/>
  <c r="K1046" i="8"/>
  <c r="K1045" i="8"/>
  <c r="K1044" i="8"/>
  <c r="K1043" i="8"/>
  <c r="K1042" i="8"/>
  <c r="K1041" i="8"/>
  <c r="K1040" i="8"/>
  <c r="K1039" i="8"/>
  <c r="K1038" i="8"/>
  <c r="K1037" i="8"/>
  <c r="K1036" i="8"/>
  <c r="K1035" i="8"/>
  <c r="K1034" i="8"/>
  <c r="K1033" i="8"/>
  <c r="K1032" i="8"/>
  <c r="K1031" i="8"/>
  <c r="K1030" i="8"/>
  <c r="K1029" i="8"/>
  <c r="K1028" i="8"/>
  <c r="K1027" i="8"/>
  <c r="K1026" i="8"/>
  <c r="K1025" i="8"/>
  <c r="K1024" i="8"/>
  <c r="K1023" i="8"/>
  <c r="K1022" i="8"/>
  <c r="K1021" i="8"/>
  <c r="K1020" i="8"/>
  <c r="K1019" i="8"/>
  <c r="K1018" i="8"/>
  <c r="K1017" i="8"/>
  <c r="K1016" i="8"/>
  <c r="K1015" i="8"/>
  <c r="K1014" i="8"/>
  <c r="K1013" i="8"/>
  <c r="K1012" i="8"/>
  <c r="K1011" i="8"/>
  <c r="K1010" i="8"/>
  <c r="K1009" i="8"/>
  <c r="K1008" i="8"/>
  <c r="K1007" i="8"/>
  <c r="K1006" i="8"/>
  <c r="K1005" i="8"/>
  <c r="K1004" i="8"/>
  <c r="K1003" i="8"/>
  <c r="K1002" i="8"/>
  <c r="K1001" i="8"/>
  <c r="K1000" i="8"/>
  <c r="K999" i="8"/>
  <c r="K998" i="8"/>
  <c r="K997" i="8"/>
  <c r="K996" i="8"/>
  <c r="K995" i="8"/>
  <c r="K994" i="8"/>
  <c r="K993" i="8"/>
  <c r="K992" i="8"/>
  <c r="K991" i="8"/>
  <c r="K990" i="8"/>
  <c r="K989" i="8"/>
  <c r="K988" i="8"/>
  <c r="K987" i="8"/>
  <c r="K986" i="8"/>
  <c r="K985" i="8"/>
  <c r="K984" i="8"/>
  <c r="K983" i="8"/>
  <c r="K982" i="8"/>
  <c r="K981" i="8"/>
  <c r="K980" i="8"/>
  <c r="K979" i="8"/>
  <c r="K978" i="8"/>
  <c r="K977" i="8"/>
  <c r="K976" i="8"/>
  <c r="K975" i="8"/>
  <c r="K974" i="8"/>
  <c r="K973" i="8"/>
  <c r="K972" i="8"/>
  <c r="K971" i="8"/>
  <c r="K970" i="8"/>
  <c r="K969" i="8"/>
  <c r="K968" i="8"/>
  <c r="K967" i="8"/>
  <c r="K966" i="8"/>
  <c r="K965" i="8"/>
  <c r="K964" i="8"/>
  <c r="K963" i="8"/>
  <c r="K962" i="8"/>
  <c r="K961" i="8"/>
  <c r="K960" i="8"/>
  <c r="K959" i="8"/>
  <c r="K958" i="8"/>
  <c r="K957" i="8"/>
  <c r="K956" i="8"/>
  <c r="K955" i="8"/>
  <c r="K954" i="8"/>
  <c r="K953" i="8"/>
  <c r="K952" i="8"/>
  <c r="K951" i="8"/>
  <c r="K950" i="8"/>
  <c r="K949" i="8"/>
  <c r="K948" i="8"/>
  <c r="K947" i="8"/>
  <c r="K946" i="8"/>
  <c r="K945" i="8"/>
  <c r="K944" i="8"/>
  <c r="K943" i="8"/>
  <c r="K942" i="8"/>
  <c r="K941" i="8"/>
  <c r="K940" i="8"/>
  <c r="K939" i="8"/>
  <c r="K938" i="8"/>
  <c r="K937" i="8"/>
  <c r="K936" i="8"/>
  <c r="K935" i="8"/>
  <c r="K934" i="8"/>
  <c r="K933" i="8"/>
  <c r="K932" i="8"/>
  <c r="K931" i="8"/>
  <c r="K930" i="8"/>
  <c r="K929" i="8"/>
  <c r="K928" i="8"/>
  <c r="K927" i="8"/>
  <c r="K926" i="8"/>
  <c r="K925" i="8"/>
  <c r="K924" i="8"/>
  <c r="K923" i="8"/>
  <c r="K922" i="8"/>
  <c r="K921" i="8"/>
  <c r="K920" i="8"/>
  <c r="K919" i="8"/>
  <c r="K918" i="8"/>
  <c r="K917" i="8"/>
  <c r="K916" i="8"/>
  <c r="K915" i="8"/>
  <c r="K914" i="8"/>
  <c r="K913" i="8"/>
  <c r="K912" i="8"/>
  <c r="K911" i="8"/>
  <c r="K910" i="8"/>
  <c r="K909" i="8"/>
  <c r="K908" i="8"/>
  <c r="K907" i="8"/>
  <c r="K906" i="8"/>
  <c r="K905" i="8"/>
  <c r="K904" i="8"/>
  <c r="K903" i="8"/>
  <c r="K902" i="8"/>
  <c r="K901" i="8"/>
  <c r="K900" i="8"/>
  <c r="K899" i="8"/>
  <c r="K898" i="8"/>
  <c r="K897" i="8"/>
  <c r="K896" i="8"/>
  <c r="K895" i="8"/>
  <c r="K894" i="8"/>
  <c r="K893" i="8"/>
  <c r="K892" i="8"/>
  <c r="K891" i="8"/>
  <c r="K890" i="8"/>
  <c r="K889" i="8"/>
  <c r="K888" i="8"/>
  <c r="K887" i="8"/>
  <c r="K886" i="8"/>
  <c r="K885" i="8"/>
  <c r="K884" i="8"/>
  <c r="K883" i="8"/>
  <c r="K882" i="8"/>
  <c r="K881" i="8"/>
  <c r="K880" i="8"/>
  <c r="K879" i="8"/>
  <c r="K878" i="8"/>
  <c r="K877" i="8"/>
  <c r="K876" i="8"/>
  <c r="K875" i="8"/>
  <c r="K874" i="8"/>
  <c r="K873" i="8"/>
  <c r="K872" i="8"/>
  <c r="K871" i="8"/>
  <c r="K870" i="8"/>
  <c r="K869" i="8"/>
  <c r="K868" i="8"/>
  <c r="K867" i="8"/>
  <c r="K866" i="8"/>
  <c r="K865" i="8"/>
  <c r="K864" i="8"/>
  <c r="K863" i="8"/>
  <c r="K862" i="8"/>
  <c r="K861" i="8"/>
  <c r="K860" i="8"/>
  <c r="K859" i="8"/>
  <c r="K858" i="8"/>
  <c r="K857" i="8"/>
  <c r="K856" i="8"/>
  <c r="K855" i="8"/>
  <c r="K854" i="8"/>
  <c r="K853" i="8"/>
  <c r="K852" i="8"/>
  <c r="K851" i="8"/>
  <c r="K850" i="8"/>
  <c r="K849" i="8"/>
  <c r="K848" i="8"/>
  <c r="K847" i="8"/>
  <c r="K846" i="8"/>
  <c r="K845" i="8"/>
  <c r="K844" i="8"/>
  <c r="K843" i="8"/>
  <c r="K842" i="8"/>
  <c r="K841" i="8"/>
  <c r="K840" i="8"/>
  <c r="K839" i="8"/>
  <c r="K838" i="8"/>
  <c r="K837" i="8"/>
  <c r="K836" i="8"/>
  <c r="K835" i="8"/>
  <c r="K834" i="8"/>
  <c r="K833" i="8"/>
  <c r="K832" i="8"/>
  <c r="K831" i="8"/>
  <c r="K830" i="8"/>
  <c r="K829" i="8"/>
  <c r="K828" i="8"/>
  <c r="K827" i="8"/>
  <c r="K826" i="8"/>
  <c r="K825" i="8"/>
  <c r="K824" i="8"/>
  <c r="K823" i="8"/>
  <c r="K822" i="8"/>
  <c r="K821" i="8"/>
  <c r="K820" i="8"/>
  <c r="K819" i="8"/>
  <c r="K818" i="8"/>
  <c r="K817" i="8"/>
  <c r="K816" i="8"/>
  <c r="K815" i="8"/>
  <c r="K814" i="8"/>
  <c r="K813" i="8"/>
  <c r="K812" i="8"/>
  <c r="K811" i="8"/>
  <c r="K810" i="8"/>
  <c r="K809" i="8"/>
  <c r="K808" i="8"/>
  <c r="K807" i="8"/>
  <c r="K806" i="8"/>
  <c r="K805" i="8"/>
  <c r="K804" i="8"/>
  <c r="K803" i="8"/>
  <c r="K802" i="8"/>
  <c r="K801" i="8"/>
  <c r="K800" i="8"/>
  <c r="K799" i="8"/>
  <c r="K798" i="8"/>
  <c r="K797" i="8"/>
  <c r="K796" i="8"/>
  <c r="K795" i="8"/>
  <c r="K794" i="8"/>
  <c r="K793" i="8"/>
  <c r="K792" i="8"/>
  <c r="K791" i="8"/>
  <c r="K790" i="8"/>
  <c r="K789" i="8"/>
  <c r="K788" i="8"/>
  <c r="K787" i="8"/>
  <c r="K786" i="8"/>
  <c r="K785" i="8"/>
  <c r="K784" i="8"/>
  <c r="K783" i="8"/>
  <c r="K782" i="8"/>
  <c r="K781" i="8"/>
  <c r="K780" i="8"/>
  <c r="K779" i="8"/>
  <c r="K778" i="8"/>
  <c r="K777" i="8"/>
  <c r="K776" i="8"/>
  <c r="K775" i="8"/>
  <c r="K774" i="8"/>
  <c r="K773" i="8"/>
  <c r="K772" i="8"/>
  <c r="K771" i="8"/>
  <c r="K770" i="8"/>
  <c r="K769" i="8"/>
  <c r="K768" i="8"/>
  <c r="K767" i="8"/>
  <c r="K766" i="8"/>
  <c r="K765" i="8"/>
  <c r="K764" i="8"/>
  <c r="K763" i="8"/>
  <c r="K762" i="8"/>
  <c r="K761" i="8"/>
  <c r="K760" i="8"/>
  <c r="K759" i="8"/>
  <c r="K758" i="8"/>
  <c r="K757" i="8"/>
  <c r="K756" i="8"/>
  <c r="K755" i="8"/>
  <c r="K754" i="8"/>
  <c r="K753" i="8"/>
  <c r="K752" i="8"/>
  <c r="K751" i="8"/>
  <c r="K750" i="8"/>
  <c r="K749" i="8"/>
  <c r="K748" i="8"/>
  <c r="K747" i="8"/>
  <c r="K746" i="8"/>
  <c r="K745" i="8"/>
  <c r="K744" i="8"/>
  <c r="K743" i="8"/>
  <c r="K742" i="8"/>
  <c r="K741" i="8"/>
  <c r="K740" i="8"/>
  <c r="K739" i="8"/>
  <c r="K738" i="8"/>
  <c r="K737" i="8"/>
  <c r="K736" i="8"/>
  <c r="K735" i="8"/>
  <c r="K734" i="8"/>
  <c r="K733" i="8"/>
  <c r="K732" i="8"/>
  <c r="K731" i="8"/>
  <c r="K730" i="8"/>
  <c r="K729" i="8"/>
  <c r="K728" i="8"/>
  <c r="K727" i="8"/>
  <c r="K726" i="8"/>
  <c r="K725" i="8"/>
  <c r="K724" i="8"/>
  <c r="K723" i="8"/>
  <c r="K722" i="8"/>
  <c r="K721" i="8"/>
  <c r="K720" i="8"/>
  <c r="K719" i="8"/>
  <c r="K718" i="8"/>
  <c r="K717" i="8"/>
  <c r="K716" i="8"/>
  <c r="K715" i="8"/>
  <c r="K714" i="8"/>
  <c r="K713" i="8"/>
  <c r="K712" i="8"/>
  <c r="K711" i="8"/>
  <c r="K710" i="8"/>
  <c r="K709" i="8"/>
  <c r="K708" i="8"/>
  <c r="K707" i="8"/>
  <c r="K706" i="8"/>
  <c r="K705" i="8"/>
  <c r="K704" i="8"/>
  <c r="K703" i="8"/>
  <c r="K702" i="8"/>
  <c r="K701" i="8"/>
  <c r="K700" i="8"/>
  <c r="K699" i="8"/>
  <c r="K698" i="8"/>
  <c r="K697" i="8"/>
  <c r="K696" i="8"/>
  <c r="K695" i="8"/>
  <c r="K694" i="8"/>
  <c r="K693" i="8"/>
  <c r="K692" i="8"/>
  <c r="K691" i="8"/>
  <c r="K690" i="8"/>
  <c r="K689" i="8"/>
  <c r="K688" i="8"/>
  <c r="K687" i="8"/>
  <c r="K686" i="8"/>
  <c r="K685" i="8"/>
  <c r="K684" i="8"/>
  <c r="K683" i="8"/>
  <c r="K682" i="8"/>
  <c r="K681" i="8"/>
  <c r="K680" i="8"/>
  <c r="K679" i="8"/>
  <c r="K678" i="8"/>
  <c r="K677" i="8"/>
  <c r="K676" i="8"/>
  <c r="K675" i="8"/>
  <c r="K674" i="8"/>
  <c r="K673" i="8"/>
  <c r="K672" i="8"/>
  <c r="K671" i="8"/>
  <c r="K670" i="8"/>
  <c r="K669" i="8"/>
  <c r="K668" i="8"/>
  <c r="K667" i="8"/>
  <c r="K666" i="8"/>
  <c r="K665" i="8"/>
  <c r="K664" i="8"/>
  <c r="K663" i="8"/>
  <c r="K662" i="8"/>
  <c r="K661" i="8"/>
  <c r="K660" i="8"/>
  <c r="K659" i="8"/>
  <c r="K658" i="8"/>
  <c r="K657" i="8"/>
  <c r="K656" i="8"/>
  <c r="K655" i="8"/>
  <c r="K654" i="8"/>
  <c r="K653" i="8"/>
  <c r="K652" i="8"/>
  <c r="K651" i="8"/>
  <c r="K650" i="8"/>
  <c r="K649" i="8"/>
  <c r="K648" i="8"/>
  <c r="K647" i="8"/>
  <c r="K646" i="8"/>
  <c r="K645" i="8"/>
  <c r="K644" i="8"/>
  <c r="K643" i="8"/>
  <c r="K642" i="8"/>
  <c r="K641" i="8"/>
  <c r="K640" i="8"/>
  <c r="K639" i="8"/>
  <c r="K638" i="8"/>
  <c r="K637" i="8"/>
  <c r="K636" i="8"/>
  <c r="K635" i="8"/>
  <c r="K634" i="8"/>
  <c r="K633" i="8"/>
  <c r="K632" i="8"/>
  <c r="K631" i="8"/>
  <c r="K630" i="8"/>
  <c r="K629" i="8"/>
  <c r="K628" i="8"/>
  <c r="K627" i="8"/>
  <c r="K626" i="8"/>
  <c r="K625" i="8"/>
  <c r="K624" i="8"/>
  <c r="K623" i="8"/>
  <c r="K622" i="8"/>
  <c r="K621" i="8"/>
  <c r="K620" i="8"/>
  <c r="K619" i="8"/>
  <c r="K618" i="8"/>
  <c r="K617" i="8"/>
  <c r="K616" i="8"/>
  <c r="K615" i="8"/>
  <c r="K614" i="8"/>
  <c r="K613" i="8"/>
  <c r="K612" i="8"/>
  <c r="K611" i="8"/>
  <c r="K610" i="8"/>
  <c r="K609" i="8"/>
  <c r="K608" i="8"/>
  <c r="K607" i="8"/>
  <c r="K606" i="8"/>
  <c r="K605" i="8"/>
  <c r="K604" i="8"/>
  <c r="K603" i="8"/>
  <c r="K602" i="8"/>
  <c r="K601" i="8"/>
  <c r="K600" i="8"/>
  <c r="K599" i="8"/>
  <c r="K598" i="8"/>
  <c r="K597" i="8"/>
  <c r="K596" i="8"/>
  <c r="K595" i="8"/>
  <c r="K594" i="8"/>
  <c r="K593" i="8"/>
  <c r="K592" i="8"/>
  <c r="K591" i="8"/>
  <c r="K590" i="8"/>
  <c r="K589" i="8"/>
  <c r="K588" i="8"/>
  <c r="K587" i="8"/>
  <c r="K586" i="8"/>
  <c r="K585" i="8"/>
  <c r="K584" i="8"/>
  <c r="K583" i="8"/>
  <c r="K582" i="8"/>
  <c r="K581" i="8"/>
  <c r="K580" i="8"/>
  <c r="K579" i="8"/>
  <c r="K578" i="8"/>
  <c r="K577" i="8"/>
  <c r="K576" i="8"/>
  <c r="K575" i="8"/>
  <c r="K574" i="8"/>
  <c r="K573" i="8"/>
  <c r="K572" i="8"/>
  <c r="K571" i="8"/>
  <c r="K570" i="8"/>
  <c r="K569" i="8"/>
  <c r="K568" i="8"/>
  <c r="K567" i="8"/>
  <c r="K566" i="8"/>
  <c r="K565" i="8"/>
  <c r="K564" i="8"/>
  <c r="K563" i="8"/>
  <c r="K562" i="8"/>
  <c r="K561" i="8"/>
  <c r="K560" i="8"/>
  <c r="K559" i="8"/>
  <c r="K558" i="8"/>
  <c r="K557" i="8"/>
  <c r="K556" i="8"/>
  <c r="K555" i="8"/>
  <c r="K554" i="8"/>
  <c r="K553" i="8"/>
  <c r="K552" i="8"/>
  <c r="K551" i="8"/>
  <c r="K550" i="8"/>
  <c r="K549" i="8"/>
  <c r="K548" i="8"/>
  <c r="K547" i="8"/>
  <c r="K546" i="8"/>
  <c r="K545" i="8"/>
  <c r="K544" i="8"/>
  <c r="K543" i="8"/>
  <c r="K542" i="8"/>
  <c r="K541" i="8"/>
  <c r="K540" i="8"/>
  <c r="K539" i="8"/>
  <c r="K538" i="8"/>
  <c r="K537" i="8"/>
  <c r="K536" i="8"/>
  <c r="K535" i="8"/>
  <c r="K534" i="8"/>
  <c r="K533" i="8"/>
  <c r="K532" i="8"/>
  <c r="K531" i="8"/>
  <c r="K530" i="8"/>
  <c r="K529" i="8"/>
  <c r="K528" i="8"/>
  <c r="K527" i="8"/>
  <c r="K526" i="8"/>
  <c r="K525" i="8"/>
  <c r="K524" i="8"/>
  <c r="K523" i="8"/>
  <c r="K522" i="8"/>
  <c r="K521" i="8"/>
  <c r="K520" i="8"/>
  <c r="K519" i="8"/>
  <c r="K518" i="8"/>
  <c r="K517" i="8"/>
  <c r="K516" i="8"/>
  <c r="K515" i="8"/>
  <c r="K514" i="8"/>
  <c r="K513" i="8"/>
  <c r="K512" i="8"/>
  <c r="K511" i="8"/>
  <c r="K510" i="8"/>
  <c r="K509" i="8"/>
  <c r="K508" i="8"/>
  <c r="K507" i="8"/>
  <c r="K506" i="8"/>
  <c r="K505" i="8"/>
  <c r="K504" i="8"/>
  <c r="K503" i="8"/>
  <c r="K502" i="8"/>
  <c r="K501" i="8"/>
  <c r="K500" i="8"/>
  <c r="K499" i="8"/>
  <c r="K498" i="8"/>
  <c r="K497" i="8"/>
  <c r="K496" i="8"/>
  <c r="K495" i="8"/>
  <c r="K494" i="8"/>
  <c r="K493" i="8"/>
  <c r="K492" i="8"/>
  <c r="K491" i="8"/>
  <c r="K490" i="8"/>
  <c r="K489" i="8"/>
  <c r="K488" i="8"/>
  <c r="K487" i="8"/>
  <c r="K486" i="8"/>
  <c r="K485" i="8"/>
  <c r="K484" i="8"/>
  <c r="K483" i="8"/>
  <c r="K482" i="8"/>
  <c r="K481" i="8"/>
  <c r="K480" i="8"/>
  <c r="K479" i="8"/>
  <c r="K478" i="8"/>
  <c r="K477" i="8"/>
  <c r="K476" i="8"/>
  <c r="K475" i="8"/>
  <c r="K474" i="8"/>
  <c r="K473" i="8"/>
  <c r="K472" i="8"/>
  <c r="K471" i="8"/>
  <c r="K470" i="8"/>
  <c r="K469" i="8"/>
  <c r="K468" i="8"/>
  <c r="K467" i="8"/>
  <c r="K466" i="8"/>
  <c r="K465" i="8"/>
  <c r="K464" i="8"/>
  <c r="K463" i="8"/>
  <c r="K462" i="8"/>
  <c r="K461" i="8"/>
  <c r="K460" i="8"/>
  <c r="K459" i="8"/>
  <c r="K458" i="8"/>
  <c r="K457" i="8"/>
  <c r="K456" i="8"/>
  <c r="K455" i="8"/>
  <c r="K454" i="8"/>
  <c r="K453" i="8"/>
  <c r="K452" i="8"/>
  <c r="K451" i="8"/>
  <c r="K450" i="8"/>
  <c r="K449" i="8"/>
  <c r="K448" i="8"/>
  <c r="K447" i="8"/>
  <c r="K446" i="8"/>
  <c r="K445" i="8"/>
  <c r="K444" i="8"/>
  <c r="K443" i="8"/>
  <c r="K442" i="8"/>
  <c r="K441" i="8"/>
  <c r="K440" i="8"/>
  <c r="K439" i="8"/>
  <c r="K438" i="8"/>
  <c r="K437" i="8"/>
  <c r="K436" i="8"/>
  <c r="K435" i="8"/>
  <c r="K434" i="8"/>
  <c r="K433" i="8"/>
  <c r="K432" i="8"/>
  <c r="K431" i="8"/>
  <c r="K430" i="8"/>
  <c r="K429" i="8"/>
  <c r="K428" i="8"/>
  <c r="K427" i="8"/>
  <c r="K426" i="8"/>
  <c r="K425" i="8"/>
  <c r="K424" i="8"/>
  <c r="K423" i="8"/>
  <c r="K422" i="8"/>
  <c r="K421" i="8"/>
  <c r="K420" i="8"/>
  <c r="K419" i="8"/>
  <c r="K418" i="8"/>
  <c r="K417" i="8"/>
  <c r="K416" i="8"/>
  <c r="K415" i="8"/>
  <c r="K414" i="8"/>
  <c r="K413" i="8"/>
  <c r="K412" i="8"/>
  <c r="K411" i="8"/>
  <c r="K410" i="8"/>
  <c r="K409" i="8"/>
  <c r="K408" i="8"/>
  <c r="K407" i="8"/>
  <c r="K406" i="8"/>
  <c r="K405" i="8"/>
  <c r="K404" i="8"/>
  <c r="K403" i="8"/>
  <c r="K402" i="8"/>
  <c r="K401" i="8"/>
  <c r="K400" i="8"/>
  <c r="K399" i="8"/>
  <c r="K398" i="8"/>
  <c r="K397" i="8"/>
  <c r="K396" i="8"/>
  <c r="K395" i="8"/>
  <c r="K394" i="8"/>
  <c r="K393" i="8"/>
  <c r="K392" i="8"/>
  <c r="K391" i="8"/>
  <c r="K390" i="8"/>
  <c r="K389" i="8"/>
  <c r="K388" i="8"/>
  <c r="K387" i="8"/>
  <c r="K386" i="8"/>
  <c r="K385" i="8"/>
  <c r="K384" i="8"/>
  <c r="K383" i="8"/>
  <c r="K382" i="8"/>
  <c r="K381" i="8"/>
  <c r="K380" i="8"/>
  <c r="K379" i="8"/>
  <c r="K378" i="8"/>
  <c r="K377" i="8"/>
  <c r="K376" i="8"/>
  <c r="K375" i="8"/>
  <c r="K374" i="8"/>
  <c r="K373" i="8"/>
  <c r="K372" i="8"/>
  <c r="K371" i="8"/>
  <c r="K370" i="8"/>
  <c r="K369" i="8"/>
  <c r="K368" i="8"/>
  <c r="K367" i="8"/>
  <c r="K366" i="8"/>
  <c r="K365" i="8"/>
  <c r="K364" i="8"/>
  <c r="K363" i="8"/>
  <c r="K362" i="8"/>
  <c r="K361" i="8"/>
  <c r="K360" i="8"/>
  <c r="K359" i="8"/>
  <c r="K358" i="8"/>
  <c r="K357" i="8"/>
  <c r="K356" i="8"/>
  <c r="K355" i="8"/>
  <c r="K354" i="8"/>
  <c r="K353" i="8"/>
  <c r="K352" i="8"/>
  <c r="K351" i="8"/>
  <c r="K350" i="8"/>
  <c r="K349" i="8"/>
  <c r="K348" i="8"/>
  <c r="K347" i="8"/>
  <c r="K346" i="8"/>
  <c r="K345" i="8"/>
  <c r="K344" i="8"/>
  <c r="K343" i="8"/>
  <c r="K342" i="8"/>
  <c r="K341" i="8"/>
  <c r="K340" i="8"/>
  <c r="K339" i="8"/>
  <c r="K338" i="8"/>
  <c r="K337" i="8"/>
  <c r="K336" i="8"/>
  <c r="K335" i="8"/>
  <c r="K334" i="8"/>
  <c r="K333" i="8"/>
  <c r="K332" i="8"/>
  <c r="K331" i="8"/>
  <c r="K330" i="8"/>
  <c r="K329" i="8"/>
  <c r="K328" i="8"/>
  <c r="K327" i="8"/>
  <c r="K326" i="8"/>
  <c r="K325" i="8"/>
  <c r="K324" i="8"/>
  <c r="K323" i="8"/>
  <c r="K322" i="8"/>
  <c r="K321" i="8"/>
  <c r="K320" i="8"/>
  <c r="K319" i="8"/>
  <c r="K318" i="8"/>
  <c r="K317" i="8"/>
  <c r="K316" i="8"/>
  <c r="K315" i="8"/>
  <c r="K314" i="8"/>
  <c r="K313" i="8"/>
  <c r="K312" i="8"/>
  <c r="K311" i="8"/>
  <c r="K310" i="8"/>
  <c r="K309" i="8"/>
  <c r="K308" i="8"/>
  <c r="K307" i="8"/>
  <c r="K306" i="8"/>
  <c r="K305" i="8"/>
  <c r="K304" i="8"/>
  <c r="K303" i="8"/>
  <c r="K302" i="8"/>
  <c r="K301" i="8"/>
  <c r="K300" i="8"/>
  <c r="K299" i="8"/>
  <c r="K298" i="8"/>
  <c r="K297" i="8"/>
  <c r="K296" i="8"/>
  <c r="K295" i="8"/>
  <c r="K294" i="8"/>
  <c r="K293" i="8"/>
  <c r="K292" i="8"/>
  <c r="K291" i="8"/>
  <c r="K290" i="8"/>
  <c r="K289" i="8"/>
  <c r="K288" i="8"/>
  <c r="K287" i="8"/>
  <c r="K286" i="8"/>
  <c r="K285" i="8"/>
  <c r="K284" i="8"/>
  <c r="K283" i="8"/>
  <c r="K282" i="8"/>
  <c r="K281" i="8"/>
  <c r="K280" i="8"/>
  <c r="K279" i="8"/>
  <c r="K278" i="8"/>
  <c r="K277" i="8"/>
  <c r="K276" i="8"/>
  <c r="K275" i="8"/>
  <c r="K274" i="8"/>
  <c r="K273" i="8"/>
  <c r="K272" i="8"/>
  <c r="K271" i="8"/>
  <c r="K270" i="8"/>
  <c r="K269" i="8"/>
  <c r="K268" i="8"/>
  <c r="K267" i="8"/>
  <c r="K266" i="8"/>
  <c r="K265" i="8"/>
  <c r="K264" i="8"/>
  <c r="K263" i="8"/>
  <c r="K262" i="8"/>
  <c r="K261" i="8"/>
  <c r="K260" i="8"/>
  <c r="K259" i="8"/>
  <c r="K258" i="8"/>
  <c r="K257" i="8"/>
  <c r="K256" i="8"/>
  <c r="K255" i="8"/>
  <c r="K254" i="8"/>
  <c r="K253" i="8"/>
  <c r="K252" i="8"/>
  <c r="K251" i="8"/>
  <c r="K250" i="8"/>
  <c r="K249" i="8"/>
  <c r="K248" i="8"/>
  <c r="K247" i="8"/>
  <c r="K246" i="8"/>
  <c r="K245" i="8"/>
  <c r="K244" i="8"/>
  <c r="K243" i="8"/>
  <c r="K242" i="8"/>
  <c r="K241" i="8"/>
  <c r="K240" i="8"/>
  <c r="K239" i="8"/>
  <c r="K238" i="8"/>
  <c r="K237" i="8"/>
  <c r="K236" i="8"/>
  <c r="K235" i="8"/>
  <c r="K234" i="8"/>
  <c r="K233" i="8"/>
  <c r="K232" i="8"/>
  <c r="K231" i="8"/>
  <c r="K230" i="8"/>
  <c r="K229" i="8"/>
  <c r="K228" i="8"/>
  <c r="K227" i="8"/>
  <c r="K226" i="8"/>
  <c r="K225" i="8"/>
  <c r="K224" i="8"/>
  <c r="K223" i="8"/>
  <c r="K222" i="8"/>
  <c r="K221" i="8"/>
  <c r="K220" i="8"/>
  <c r="K219" i="8"/>
  <c r="K218" i="8"/>
  <c r="K217" i="8"/>
  <c r="K216" i="8"/>
  <c r="K215" i="8"/>
  <c r="K214" i="8"/>
  <c r="K213" i="8"/>
  <c r="K212" i="8"/>
  <c r="K211" i="8"/>
  <c r="K210" i="8"/>
  <c r="K209" i="8"/>
  <c r="K208" i="8"/>
  <c r="K207" i="8"/>
  <c r="K206" i="8"/>
  <c r="K205" i="8"/>
  <c r="K204" i="8"/>
  <c r="K203" i="8"/>
  <c r="K202" i="8"/>
  <c r="K201" i="8"/>
  <c r="K200" i="8"/>
  <c r="K199" i="8"/>
  <c r="K198" i="8"/>
  <c r="K197" i="8"/>
  <c r="K196" i="8"/>
  <c r="K195" i="8"/>
  <c r="K194" i="8"/>
  <c r="K193" i="8"/>
  <c r="K192" i="8"/>
  <c r="K191" i="8"/>
  <c r="K190" i="8"/>
  <c r="K189" i="8"/>
  <c r="K188" i="8"/>
  <c r="K187" i="8"/>
  <c r="K186" i="8"/>
  <c r="K185" i="8"/>
  <c r="K184" i="8"/>
  <c r="K183" i="8"/>
  <c r="K182" i="8"/>
  <c r="K181" i="8"/>
  <c r="K180" i="8"/>
  <c r="K179" i="8"/>
  <c r="K178" i="8"/>
  <c r="K177" i="8"/>
  <c r="K176" i="8"/>
  <c r="K175" i="8"/>
  <c r="K174" i="8"/>
  <c r="K173" i="8"/>
  <c r="K172" i="8"/>
  <c r="K171" i="8"/>
  <c r="K170" i="8"/>
  <c r="K169" i="8"/>
  <c r="K168" i="8"/>
  <c r="K167" i="8"/>
  <c r="K166" i="8"/>
  <c r="K165" i="8"/>
  <c r="K164" i="8"/>
  <c r="K163" i="8"/>
  <c r="K162" i="8"/>
  <c r="K161" i="8"/>
  <c r="K160" i="8"/>
  <c r="K159" i="8"/>
  <c r="K158" i="8"/>
  <c r="K157" i="8"/>
  <c r="K156" i="8"/>
  <c r="K155" i="8"/>
  <c r="K154" i="8"/>
  <c r="K153" i="8"/>
  <c r="K152" i="8"/>
  <c r="K151" i="8"/>
  <c r="K150" i="8"/>
  <c r="K149" i="8"/>
  <c r="K148" i="8"/>
  <c r="K147" i="8"/>
  <c r="K146" i="8"/>
  <c r="K145" i="8"/>
  <c r="K144" i="8"/>
  <c r="K143" i="8"/>
  <c r="K142" i="8"/>
  <c r="K141" i="8"/>
  <c r="K140" i="8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E3" i="6" a="1"/>
  <c r="E3" i="6" s="1"/>
  <c r="A2" i="8" a="1"/>
  <c r="A2" i="8" s="1"/>
  <c r="M2117" i="12"/>
  <c r="L2117" i="12"/>
  <c r="I2117" i="12"/>
  <c r="G2117" i="12"/>
  <c r="H2117" i="12" s="1"/>
  <c r="M2140" i="12"/>
  <c r="L2140" i="12"/>
  <c r="I2140" i="12"/>
  <c r="G2140" i="12"/>
  <c r="H2140" i="12" s="1"/>
  <c r="M2148" i="12"/>
  <c r="L2148" i="12"/>
  <c r="I2148" i="12"/>
  <c r="G2148" i="12"/>
  <c r="H2148" i="12" s="1"/>
  <c r="M2151" i="12"/>
  <c r="L2151" i="12"/>
  <c r="I2151" i="12"/>
  <c r="G2151" i="12"/>
  <c r="H2151" i="12" s="1"/>
  <c r="M2152" i="12"/>
  <c r="M2155" i="12"/>
  <c r="L2155" i="12"/>
  <c r="I2155" i="12"/>
  <c r="G2155" i="12"/>
  <c r="H2155" i="12" s="1"/>
  <c r="M2156" i="12"/>
  <c r="L2156" i="12"/>
  <c r="I2156" i="12"/>
  <c r="G2156" i="12"/>
  <c r="H2156" i="12" s="1"/>
  <c r="M2157" i="12"/>
  <c r="L2157" i="12"/>
  <c r="I2157" i="12"/>
  <c r="G2157" i="12"/>
  <c r="H2157" i="12" s="1"/>
  <c r="M2158" i="12"/>
  <c r="L2158" i="12"/>
  <c r="I2158" i="12"/>
  <c r="G2158" i="12"/>
  <c r="M2163" i="12"/>
  <c r="L2163" i="12"/>
  <c r="I2163" i="12"/>
  <c r="G2163" i="12"/>
  <c r="H2163" i="12" s="1"/>
  <c r="M2172" i="12"/>
  <c r="L2172" i="12"/>
  <c r="I2172" i="12"/>
  <c r="G2172" i="12"/>
  <c r="H2172" i="12" s="1"/>
  <c r="M2186" i="12"/>
  <c r="L2186" i="12"/>
  <c r="I2186" i="12"/>
  <c r="G2186" i="12"/>
  <c r="H2186" i="12" s="1"/>
  <c r="M2191" i="12"/>
  <c r="L2191" i="12"/>
  <c r="I2191" i="12"/>
  <c r="G2191" i="12"/>
  <c r="H2191" i="12" s="1"/>
  <c r="M2198" i="12"/>
  <c r="L2198" i="12"/>
  <c r="I2198" i="12"/>
  <c r="G2198" i="12"/>
  <c r="H2198" i="12" s="1"/>
  <c r="M2205" i="12"/>
  <c r="L2205" i="12"/>
  <c r="I2205" i="12"/>
  <c r="G2205" i="12"/>
  <c r="H2205" i="12" s="1"/>
  <c r="M2208" i="12"/>
  <c r="L2208" i="12"/>
  <c r="I2208" i="12"/>
  <c r="G2208" i="12"/>
  <c r="H2208" i="12" s="1"/>
  <c r="M2210" i="12"/>
  <c r="L2210" i="12"/>
  <c r="I2210" i="12"/>
  <c r="G2210" i="12"/>
  <c r="H2210" i="12" s="1"/>
  <c r="M2217" i="12"/>
  <c r="L2217" i="12"/>
  <c r="I2217" i="12"/>
  <c r="G2217" i="12"/>
  <c r="H2217" i="12" s="1"/>
  <c r="M2220" i="12"/>
  <c r="L2220" i="12"/>
  <c r="I2220" i="12"/>
  <c r="G2220" i="12"/>
  <c r="H2220" i="12" s="1"/>
  <c r="M2229" i="12"/>
  <c r="L2229" i="12"/>
  <c r="I2229" i="12"/>
  <c r="G2229" i="12"/>
  <c r="M2233" i="12"/>
  <c r="L2233" i="12"/>
  <c r="I2233" i="12"/>
  <c r="G2233" i="12"/>
  <c r="H2233" i="12" s="1"/>
  <c r="M2234" i="12"/>
  <c r="L2234" i="12"/>
  <c r="I2234" i="12"/>
  <c r="G2234" i="12"/>
  <c r="H2234" i="12" s="1"/>
  <c r="M2242" i="12"/>
  <c r="L2242" i="12"/>
  <c r="I2242" i="12"/>
  <c r="G2242" i="12"/>
  <c r="H2242" i="12" s="1"/>
  <c r="M2255" i="12"/>
  <c r="L2255" i="12"/>
  <c r="I2255" i="12"/>
  <c r="G2255" i="12"/>
  <c r="H2255" i="12" s="1"/>
  <c r="M2260" i="12"/>
  <c r="L2260" i="12"/>
  <c r="I2260" i="12"/>
  <c r="G2260" i="12"/>
  <c r="M2268" i="12"/>
  <c r="L2268" i="12"/>
  <c r="I2268" i="12"/>
  <c r="G2268" i="12"/>
  <c r="H2268" i="12" s="1"/>
  <c r="M2267" i="12"/>
  <c r="L2267" i="12"/>
  <c r="I2267" i="12"/>
  <c r="G2267" i="12"/>
  <c r="H2267" i="12" s="1"/>
  <c r="M2265" i="12"/>
  <c r="L2265" i="12"/>
  <c r="I2265" i="12"/>
  <c r="G2265" i="12"/>
  <c r="H2265" i="12" s="1"/>
  <c r="M2264" i="12"/>
  <c r="L2264" i="12"/>
  <c r="I2264" i="12"/>
  <c r="G2264" i="12"/>
  <c r="H2264" i="12" s="1"/>
  <c r="M2263" i="12"/>
  <c r="L2263" i="12"/>
  <c r="I2263" i="12"/>
  <c r="G2263" i="12"/>
  <c r="H2263" i="12" s="1"/>
  <c r="M2272" i="12"/>
  <c r="L2272" i="12"/>
  <c r="I2272" i="12"/>
  <c r="G2272" i="12"/>
  <c r="H2272" i="12" s="1"/>
  <c r="M2279" i="12"/>
  <c r="L2279" i="12"/>
  <c r="I2279" i="12"/>
  <c r="G2279" i="12"/>
  <c r="H2279" i="12" s="1"/>
  <c r="M2277" i="12"/>
  <c r="L2277" i="12"/>
  <c r="I2277" i="12"/>
  <c r="G2277" i="12"/>
  <c r="M2276" i="12"/>
  <c r="L2276" i="12"/>
  <c r="I2276" i="12"/>
  <c r="G2276" i="12"/>
  <c r="M2310" i="12"/>
  <c r="L2310" i="12"/>
  <c r="I2310" i="12"/>
  <c r="G2310" i="12"/>
  <c r="H2310" i="12" s="1"/>
  <c r="M2309" i="12"/>
  <c r="L2309" i="12"/>
  <c r="I2309" i="12"/>
  <c r="G2309" i="12"/>
  <c r="H2309" i="12" s="1"/>
  <c r="M2298" i="12"/>
  <c r="G2299" i="12"/>
  <c r="H2299" i="12" s="1"/>
  <c r="I2299" i="12"/>
  <c r="L2299" i="12"/>
  <c r="M2299" i="12"/>
  <c r="M2300" i="12"/>
  <c r="M2301" i="12"/>
  <c r="M2302" i="12"/>
  <c r="G2303" i="12"/>
  <c r="H2303" i="12" s="1"/>
  <c r="I2303" i="12"/>
  <c r="L2303" i="12"/>
  <c r="M2303" i="12"/>
  <c r="M2304" i="12"/>
  <c r="M2305" i="12"/>
  <c r="G2306" i="12"/>
  <c r="H2306" i="12" s="1"/>
  <c r="I2306" i="12"/>
  <c r="L2306" i="12"/>
  <c r="M2306" i="12"/>
  <c r="G2308" i="12"/>
  <c r="H2308" i="12" s="1"/>
  <c r="I2308" i="12"/>
  <c r="L2308" i="12"/>
  <c r="M2308" i="12"/>
  <c r="M2295" i="12"/>
  <c r="L2295" i="12"/>
  <c r="I2295" i="12"/>
  <c r="G2295" i="12"/>
  <c r="H2295" i="12" s="1"/>
  <c r="M2294" i="12"/>
  <c r="L2294" i="12"/>
  <c r="I2294" i="12"/>
  <c r="G2294" i="12"/>
  <c r="H2294" i="12" s="1"/>
  <c r="M2293" i="12"/>
  <c r="L2293" i="12"/>
  <c r="I2293" i="12"/>
  <c r="G2293" i="12"/>
  <c r="H2293" i="12" s="1"/>
  <c r="M2291" i="12"/>
  <c r="L2291" i="12"/>
  <c r="I2291" i="12"/>
  <c r="G2291" i="12"/>
  <c r="H2291" i="12" s="1"/>
  <c r="M2290" i="12"/>
  <c r="L2290" i="12"/>
  <c r="I2290" i="12"/>
  <c r="G2290" i="12"/>
  <c r="H2290" i="12" s="1"/>
  <c r="M2289" i="12"/>
  <c r="L2289" i="12"/>
  <c r="I2289" i="12"/>
  <c r="G2289" i="12"/>
  <c r="G2288" i="12"/>
  <c r="M1735" i="12"/>
  <c r="M1734" i="12"/>
  <c r="M1733" i="12"/>
  <c r="M1732" i="12"/>
  <c r="M1731" i="12"/>
  <c r="M1730" i="12"/>
  <c r="M1729" i="12"/>
  <c r="M1728" i="12"/>
  <c r="M1727" i="12"/>
  <c r="M1726" i="12"/>
  <c r="M1725" i="12"/>
  <c r="M1724" i="12"/>
  <c r="M1723" i="12"/>
  <c r="M1722" i="12"/>
  <c r="M1721" i="12"/>
  <c r="M1720" i="12"/>
  <c r="M1719" i="12"/>
  <c r="M1718" i="12"/>
  <c r="M1717" i="12"/>
  <c r="M1716" i="12"/>
  <c r="M1715" i="12"/>
  <c r="M1714" i="12"/>
  <c r="M1713" i="12"/>
  <c r="M1712" i="12"/>
  <c r="M1711" i="12"/>
  <c r="M1710" i="12"/>
  <c r="M1709" i="12"/>
  <c r="M1708" i="12"/>
  <c r="M1707" i="12"/>
  <c r="M1706" i="12"/>
  <c r="M1705" i="12"/>
  <c r="M1704" i="12"/>
  <c r="M1703" i="12"/>
  <c r="M1702" i="12"/>
  <c r="M1701" i="12"/>
  <c r="M1700" i="12"/>
  <c r="M1699" i="12"/>
  <c r="M1698" i="12"/>
  <c r="M1697" i="12"/>
  <c r="M1696" i="12"/>
  <c r="M1695" i="12"/>
  <c r="M1694" i="12"/>
  <c r="M1693" i="12"/>
  <c r="M1692" i="12"/>
  <c r="M1691" i="12"/>
  <c r="M1690" i="12"/>
  <c r="M1689" i="12"/>
  <c r="M1688" i="12"/>
  <c r="M1687" i="12"/>
  <c r="M1686" i="12"/>
  <c r="M1685" i="12"/>
  <c r="M1684" i="12"/>
  <c r="M1683" i="12"/>
  <c r="M1682" i="12"/>
  <c r="M1681" i="12"/>
  <c r="M1680" i="12"/>
  <c r="M1679" i="12"/>
  <c r="M1678" i="12"/>
  <c r="M1677" i="12"/>
  <c r="M1676" i="12"/>
  <c r="M1675" i="12"/>
  <c r="M1674" i="12"/>
  <c r="M1673" i="12"/>
  <c r="M1672" i="12"/>
  <c r="M1671" i="12"/>
  <c r="M1670" i="12"/>
  <c r="M1669" i="12"/>
  <c r="M1668" i="12"/>
  <c r="M1667" i="12"/>
  <c r="M1666" i="12"/>
  <c r="M1665" i="12"/>
  <c r="M1664" i="12"/>
  <c r="M1663" i="12"/>
  <c r="M1662" i="12"/>
  <c r="M1661" i="12"/>
  <c r="M1660" i="12"/>
  <c r="M1659" i="12"/>
  <c r="M1658" i="12"/>
  <c r="M1657" i="12"/>
  <c r="M1656" i="12"/>
  <c r="M1655" i="12"/>
  <c r="M1654" i="12"/>
  <c r="M1653" i="12"/>
  <c r="M1652" i="12"/>
  <c r="M1651" i="12"/>
  <c r="M1650" i="12"/>
  <c r="M1649" i="12"/>
  <c r="M1648" i="12"/>
  <c r="M1647" i="12"/>
  <c r="M1646" i="12"/>
  <c r="M1645" i="12"/>
  <c r="M1644" i="12"/>
  <c r="M1643" i="12"/>
  <c r="M1642" i="12"/>
  <c r="M1641" i="12"/>
  <c r="M1640" i="12"/>
  <c r="M1639" i="12"/>
  <c r="M1638" i="12"/>
  <c r="M1637" i="12"/>
  <c r="M1636" i="12"/>
  <c r="M1635" i="12"/>
  <c r="M1634" i="12"/>
  <c r="M1633" i="12"/>
  <c r="M1632" i="12"/>
  <c r="M1631" i="12"/>
  <c r="M1630" i="12"/>
  <c r="M1629" i="12"/>
  <c r="M1628" i="12"/>
  <c r="M1627" i="12"/>
  <c r="M1626" i="12"/>
  <c r="M1625" i="12"/>
  <c r="M1624" i="12"/>
  <c r="M1623" i="12"/>
  <c r="M1622" i="12"/>
  <c r="M1621" i="12"/>
  <c r="M1620" i="12"/>
  <c r="M1619" i="12"/>
  <c r="M1618" i="12"/>
  <c r="M1617" i="12"/>
  <c r="M1616" i="12"/>
  <c r="M1615" i="12"/>
  <c r="M1614" i="12"/>
  <c r="M1613" i="12"/>
  <c r="M1612" i="12"/>
  <c r="M1611" i="12"/>
  <c r="M1610" i="12"/>
  <c r="M1609" i="12"/>
  <c r="M1608" i="12"/>
  <c r="M1607" i="12"/>
  <c r="M1606" i="12"/>
  <c r="M1605" i="12"/>
  <c r="M1604" i="12"/>
  <c r="M1603" i="12"/>
  <c r="M1602" i="12"/>
  <c r="M1601" i="12"/>
  <c r="M1600" i="12"/>
  <c r="M1599" i="12"/>
  <c r="M1598" i="12"/>
  <c r="M1597" i="12"/>
  <c r="M1596" i="12"/>
  <c r="M1595" i="12"/>
  <c r="M1594" i="12"/>
  <c r="M1593" i="12"/>
  <c r="M1592" i="12"/>
  <c r="M1591" i="12"/>
  <c r="M1590" i="12"/>
  <c r="M1589" i="12"/>
  <c r="M1588" i="12"/>
  <c r="M1587" i="12"/>
  <c r="M1586" i="12"/>
  <c r="M1585" i="12"/>
  <c r="M1584" i="12"/>
  <c r="M1583" i="12"/>
  <c r="M1582" i="12"/>
  <c r="M1581" i="12"/>
  <c r="M1580" i="12"/>
  <c r="M1579" i="12"/>
  <c r="M1578" i="12"/>
  <c r="M1577" i="12"/>
  <c r="M1576" i="12"/>
  <c r="M1575" i="12"/>
  <c r="M1574" i="12"/>
  <c r="M1573" i="12"/>
  <c r="M1572" i="12"/>
  <c r="M1571" i="12"/>
  <c r="M1570" i="12"/>
  <c r="M1569" i="12"/>
  <c r="M1568" i="12"/>
  <c r="M1567" i="12"/>
  <c r="M1566" i="12"/>
  <c r="M1565" i="12"/>
  <c r="M1564" i="12"/>
  <c r="M1563" i="12"/>
  <c r="M1562" i="12"/>
  <c r="M1561" i="12"/>
  <c r="M1560" i="12"/>
  <c r="M1559" i="12"/>
  <c r="M1558" i="12"/>
  <c r="M1557" i="12"/>
  <c r="M1556" i="12"/>
  <c r="M1555" i="12"/>
  <c r="M1554" i="12"/>
  <c r="M1553" i="12"/>
  <c r="M1552" i="12"/>
  <c r="M1551" i="12"/>
  <c r="M1550" i="12"/>
  <c r="M1549" i="12"/>
  <c r="M1548" i="12"/>
  <c r="M1547" i="12"/>
  <c r="M1546" i="12"/>
  <c r="M1545" i="12"/>
  <c r="M1544" i="12"/>
  <c r="M1543" i="12"/>
  <c r="M1542" i="12"/>
  <c r="M1541" i="12"/>
  <c r="M1540" i="12"/>
  <c r="M1539" i="12"/>
  <c r="M1538" i="12"/>
  <c r="M1537" i="12"/>
  <c r="M1536" i="12"/>
  <c r="M1535" i="12"/>
  <c r="M1534" i="12"/>
  <c r="M1533" i="12"/>
  <c r="M1532" i="12"/>
  <c r="M1531" i="12"/>
  <c r="M1530" i="12"/>
  <c r="M1529" i="12"/>
  <c r="M1528" i="12"/>
  <c r="M1527" i="12"/>
  <c r="M1526" i="12"/>
  <c r="M1525" i="12"/>
  <c r="M1524" i="12"/>
  <c r="M1523" i="12"/>
  <c r="M1522" i="12"/>
  <c r="M1521" i="12"/>
  <c r="M1520" i="12"/>
  <c r="M1519" i="12"/>
  <c r="M1518" i="12"/>
  <c r="M1517" i="12"/>
  <c r="M1516" i="12"/>
  <c r="M1515" i="12"/>
  <c r="M1514" i="12"/>
  <c r="M1513" i="12"/>
  <c r="M1512" i="12"/>
  <c r="M1511" i="12"/>
  <c r="M1510" i="12"/>
  <c r="M1509" i="12"/>
  <c r="M1508" i="12"/>
  <c r="M1507" i="12"/>
  <c r="M1506" i="12"/>
  <c r="M1505" i="12"/>
  <c r="M1504" i="12"/>
  <c r="M1503" i="12"/>
  <c r="M1502" i="12"/>
  <c r="M1501" i="12"/>
  <c r="M1500" i="12"/>
  <c r="M1499" i="12"/>
  <c r="M1498" i="12"/>
  <c r="M1497" i="12"/>
  <c r="M1496" i="12"/>
  <c r="M1495" i="12"/>
  <c r="M1494" i="12"/>
  <c r="M1493" i="12"/>
  <c r="M1492" i="12"/>
  <c r="M1491" i="12"/>
  <c r="M1490" i="12"/>
  <c r="M1489" i="12"/>
  <c r="M1488" i="12"/>
  <c r="M1487" i="12"/>
  <c r="M1486" i="12"/>
  <c r="M1485" i="12"/>
  <c r="M1484" i="12"/>
  <c r="M1483" i="12"/>
  <c r="M1482" i="12"/>
  <c r="M1481" i="12"/>
  <c r="M1480" i="12"/>
  <c r="M1479" i="12"/>
  <c r="M1478" i="12"/>
  <c r="M1477" i="12"/>
  <c r="M1476" i="12"/>
  <c r="M1475" i="12"/>
  <c r="M1474" i="12"/>
  <c r="M1473" i="12"/>
  <c r="M1472" i="12"/>
  <c r="M1471" i="12"/>
  <c r="M1470" i="12"/>
  <c r="M1469" i="12"/>
  <c r="M1468" i="12"/>
  <c r="M1467" i="12"/>
  <c r="M1466" i="12"/>
  <c r="M1465" i="12"/>
  <c r="M1464" i="12"/>
  <c r="M1463" i="12"/>
  <c r="M1462" i="12"/>
  <c r="M1461" i="12"/>
  <c r="M1460" i="12"/>
  <c r="M1459" i="12"/>
  <c r="M1458" i="12"/>
  <c r="M1457" i="12"/>
  <c r="M1456" i="12"/>
  <c r="M1455" i="12"/>
  <c r="M1454" i="12"/>
  <c r="M1453" i="12"/>
  <c r="M1452" i="12"/>
  <c r="M1451" i="12"/>
  <c r="M1450" i="12"/>
  <c r="M1449" i="12"/>
  <c r="M1448" i="12"/>
  <c r="M1447" i="12"/>
  <c r="M1446" i="12"/>
  <c r="M1445" i="12"/>
  <c r="M1444" i="12"/>
  <c r="M1443" i="12"/>
  <c r="M1442" i="12"/>
  <c r="M1441" i="12"/>
  <c r="M1440" i="12"/>
  <c r="M1439" i="12"/>
  <c r="M1438" i="12"/>
  <c r="M1437" i="12"/>
  <c r="M1436" i="12"/>
  <c r="M1435" i="12"/>
  <c r="M1434" i="12"/>
  <c r="M1433" i="12"/>
  <c r="M1432" i="12"/>
  <c r="M1431" i="12"/>
  <c r="M1430" i="12"/>
  <c r="M1429" i="12"/>
  <c r="M1428" i="12"/>
  <c r="M1427" i="12"/>
  <c r="M1426" i="12"/>
  <c r="M1425" i="12"/>
  <c r="M1424" i="12"/>
  <c r="M1423" i="12"/>
  <c r="M1422" i="12"/>
  <c r="M1421" i="12"/>
  <c r="M1420" i="12"/>
  <c r="M1419" i="12"/>
  <c r="M1418" i="12"/>
  <c r="M1417" i="12"/>
  <c r="M1416" i="12"/>
  <c r="M1415" i="12"/>
  <c r="M1414" i="12"/>
  <c r="M1413" i="12"/>
  <c r="M1412" i="12"/>
  <c r="M1411" i="12"/>
  <c r="M1410" i="12"/>
  <c r="M1409" i="12"/>
  <c r="M1408" i="12"/>
  <c r="M1407" i="12"/>
  <c r="M1406" i="12"/>
  <c r="M1405" i="12"/>
  <c r="M1404" i="12"/>
  <c r="M1403" i="12"/>
  <c r="M1402" i="12"/>
  <c r="M1401" i="12"/>
  <c r="M1400" i="12"/>
  <c r="M1399" i="12"/>
  <c r="M1398" i="12"/>
  <c r="M1397" i="12"/>
  <c r="M1396" i="12"/>
  <c r="M1395" i="12"/>
  <c r="M1394" i="12"/>
  <c r="M1393" i="12"/>
  <c r="M1392" i="12"/>
  <c r="M1391" i="12"/>
  <c r="M1390" i="12"/>
  <c r="M1389" i="12"/>
  <c r="M1388" i="12"/>
  <c r="M1387" i="12"/>
  <c r="M1386" i="12"/>
  <c r="M1385" i="12"/>
  <c r="M1384" i="12"/>
  <c r="M1383" i="12"/>
  <c r="M1382" i="12"/>
  <c r="M1381" i="12"/>
  <c r="M1380" i="12"/>
  <c r="M1379" i="12"/>
  <c r="M1378" i="12"/>
  <c r="M1377" i="12"/>
  <c r="M1376" i="12"/>
  <c r="M1375" i="12"/>
  <c r="M1374" i="12"/>
  <c r="M1373" i="12"/>
  <c r="M1372" i="12"/>
  <c r="M1371" i="12"/>
  <c r="M1370" i="12"/>
  <c r="M1369" i="12"/>
  <c r="M1368" i="12"/>
  <c r="M1367" i="12"/>
  <c r="M1366" i="12"/>
  <c r="M1365" i="12"/>
  <c r="M1364" i="12"/>
  <c r="M1363" i="12"/>
  <c r="M1362" i="12"/>
  <c r="M1361" i="12"/>
  <c r="M1360" i="12"/>
  <c r="M1359" i="12"/>
  <c r="M1358" i="12"/>
  <c r="M1357" i="12"/>
  <c r="M1356" i="12"/>
  <c r="M1355" i="12"/>
  <c r="M1354" i="12"/>
  <c r="M1353" i="12"/>
  <c r="M1352" i="12"/>
  <c r="M1351" i="12"/>
  <c r="M1350" i="12"/>
  <c r="M1349" i="12"/>
  <c r="M1348" i="12"/>
  <c r="M1347" i="12"/>
  <c r="M1346" i="12"/>
  <c r="M1345" i="12"/>
  <c r="M1344" i="12"/>
  <c r="M1343" i="12"/>
  <c r="M1342" i="12"/>
  <c r="M1341" i="12"/>
  <c r="M1340" i="12"/>
  <c r="M1339" i="12"/>
  <c r="M1338" i="12"/>
  <c r="M1337" i="12"/>
  <c r="M1336" i="12"/>
  <c r="M1335" i="12"/>
  <c r="M1334" i="12"/>
  <c r="M1333" i="12"/>
  <c r="M1332" i="12"/>
  <c r="M1331" i="12"/>
  <c r="M1330" i="12"/>
  <c r="M1329" i="12"/>
  <c r="M1328" i="12"/>
  <c r="M1327" i="12"/>
  <c r="M1326" i="12"/>
  <c r="M1325" i="12"/>
  <c r="M1324" i="12"/>
  <c r="M1323" i="12"/>
  <c r="M1322" i="12"/>
  <c r="M1321" i="12"/>
  <c r="M1320" i="12"/>
  <c r="M1319" i="12"/>
  <c r="M1318" i="12"/>
  <c r="M1317" i="12"/>
  <c r="M1316" i="12"/>
  <c r="M1315" i="12"/>
  <c r="M1314" i="12"/>
  <c r="M1313" i="12"/>
  <c r="M1312" i="12"/>
  <c r="M1311" i="12"/>
  <c r="M1310" i="12"/>
  <c r="M1309" i="12"/>
  <c r="M1308" i="12"/>
  <c r="M1307" i="12"/>
  <c r="M1306" i="12"/>
  <c r="M1305" i="12"/>
  <c r="M1304" i="12"/>
  <c r="M1303" i="12"/>
  <c r="M1302" i="12"/>
  <c r="M1301" i="12"/>
  <c r="M1300" i="12"/>
  <c r="M1299" i="12"/>
  <c r="M1298" i="12"/>
  <c r="M1297" i="12"/>
  <c r="M1296" i="12"/>
  <c r="M1295" i="12"/>
  <c r="M1294" i="12"/>
  <c r="M1293" i="12"/>
  <c r="M1292" i="12"/>
  <c r="M1291" i="12"/>
  <c r="M1290" i="12"/>
  <c r="M1289" i="12"/>
  <c r="M1288" i="12"/>
  <c r="M1287" i="12"/>
  <c r="M1286" i="12"/>
  <c r="M1285" i="12"/>
  <c r="M1284" i="12"/>
  <c r="M1283" i="12"/>
  <c r="M1282" i="12"/>
  <c r="M1281" i="12"/>
  <c r="M1280" i="12"/>
  <c r="M1279" i="12"/>
  <c r="M1278" i="12"/>
  <c r="M1277" i="12"/>
  <c r="M1276" i="12"/>
  <c r="M1275" i="12"/>
  <c r="M1274" i="12"/>
  <c r="M1273" i="12"/>
  <c r="M1272" i="12"/>
  <c r="M1271" i="12"/>
  <c r="M1270" i="12"/>
  <c r="M1269" i="12"/>
  <c r="M1268" i="12"/>
  <c r="M1267" i="12"/>
  <c r="M1266" i="12"/>
  <c r="M1265" i="12"/>
  <c r="M1264" i="12"/>
  <c r="M1263" i="12"/>
  <c r="M1262" i="12"/>
  <c r="M1261" i="12"/>
  <c r="M1260" i="12"/>
  <c r="M1259" i="12"/>
  <c r="M1258" i="12"/>
  <c r="M1257" i="12"/>
  <c r="M1256" i="12"/>
  <c r="M1255" i="12"/>
  <c r="M1254" i="12"/>
  <c r="M1253" i="12"/>
  <c r="M1252" i="12"/>
  <c r="M1251" i="12"/>
  <c r="M1250" i="12"/>
  <c r="M1249" i="12"/>
  <c r="M1248" i="12"/>
  <c r="M1247" i="12"/>
  <c r="M1246" i="12"/>
  <c r="M1245" i="12"/>
  <c r="M1244" i="12"/>
  <c r="M1243" i="12"/>
  <c r="M1242" i="12"/>
  <c r="M1241" i="12"/>
  <c r="M1240" i="12"/>
  <c r="M1239" i="12"/>
  <c r="M1238" i="12"/>
  <c r="M1237" i="12"/>
  <c r="M1236" i="12"/>
  <c r="M1235" i="12"/>
  <c r="M1234" i="12"/>
  <c r="M1233" i="12"/>
  <c r="M1232" i="12"/>
  <c r="M1231" i="12"/>
  <c r="M1230" i="12"/>
  <c r="M1229" i="12"/>
  <c r="M1228" i="12"/>
  <c r="M1227" i="12"/>
  <c r="M1226" i="12"/>
  <c r="M1225" i="12"/>
  <c r="M1224" i="12"/>
  <c r="M1223" i="12"/>
  <c r="M1222" i="12"/>
  <c r="M1221" i="12"/>
  <c r="M1220" i="12"/>
  <c r="M1219" i="12"/>
  <c r="M1218" i="12"/>
  <c r="M1217" i="12"/>
  <c r="M1216" i="12"/>
  <c r="M1215" i="12"/>
  <c r="M1214" i="12"/>
  <c r="M1213" i="12"/>
  <c r="M1212" i="12"/>
  <c r="M1211" i="12"/>
  <c r="M1210" i="12"/>
  <c r="M1209" i="12"/>
  <c r="M1208" i="12"/>
  <c r="M1207" i="12"/>
  <c r="M1206" i="12"/>
  <c r="M1205" i="12"/>
  <c r="M1204" i="12"/>
  <c r="M1203" i="12"/>
  <c r="M1202" i="12"/>
  <c r="M1201" i="12"/>
  <c r="M1200" i="12"/>
  <c r="M1199" i="12"/>
  <c r="M1198" i="12"/>
  <c r="M1197" i="12"/>
  <c r="M1196" i="12"/>
  <c r="M1195" i="12"/>
  <c r="M1194" i="12"/>
  <c r="M1193" i="12"/>
  <c r="M1192" i="12"/>
  <c r="M1191" i="12"/>
  <c r="M1190" i="12"/>
  <c r="M1189" i="12"/>
  <c r="M1188" i="12"/>
  <c r="M1187" i="12"/>
  <c r="M1186" i="12"/>
  <c r="M1185" i="12"/>
  <c r="M1184" i="12"/>
  <c r="M1183" i="12"/>
  <c r="M1182" i="12"/>
  <c r="M1181" i="12"/>
  <c r="M1180" i="12"/>
  <c r="M1179" i="12"/>
  <c r="M1178" i="12"/>
  <c r="M1177" i="12"/>
  <c r="M1176" i="12"/>
  <c r="M1175" i="12"/>
  <c r="M1174" i="12"/>
  <c r="M1173" i="12"/>
  <c r="M1172" i="12"/>
  <c r="M1171" i="12"/>
  <c r="M1170" i="12"/>
  <c r="M1169" i="12"/>
  <c r="M1168" i="12"/>
  <c r="M1167" i="12"/>
  <c r="M1166" i="12"/>
  <c r="M1165" i="12"/>
  <c r="M1164" i="12"/>
  <c r="M1163" i="12"/>
  <c r="M1162" i="12"/>
  <c r="M1161" i="12"/>
  <c r="M1160" i="12"/>
  <c r="M1159" i="12"/>
  <c r="M1158" i="12"/>
  <c r="M1157" i="12"/>
  <c r="M1156" i="12"/>
  <c r="M1155" i="12"/>
  <c r="M1154" i="12"/>
  <c r="M1153" i="12"/>
  <c r="M1152" i="12"/>
  <c r="M1151" i="12"/>
  <c r="M1150" i="12"/>
  <c r="M1149" i="12"/>
  <c r="M1148" i="12"/>
  <c r="M1147" i="12"/>
  <c r="M1146" i="12"/>
  <c r="M1145" i="12"/>
  <c r="M1144" i="12"/>
  <c r="M1143" i="12"/>
  <c r="M1142" i="12"/>
  <c r="M1141" i="12"/>
  <c r="M1140" i="12"/>
  <c r="M1139" i="12"/>
  <c r="M1138" i="12"/>
  <c r="M1137" i="12"/>
  <c r="M1136" i="12"/>
  <c r="M1135" i="12"/>
  <c r="M1134" i="12"/>
  <c r="M1133" i="12"/>
  <c r="M1132" i="12"/>
  <c r="M1131" i="12"/>
  <c r="M1130" i="12"/>
  <c r="M1129" i="12"/>
  <c r="M1128" i="12"/>
  <c r="M1127" i="12"/>
  <c r="M1126" i="12"/>
  <c r="M1125" i="12"/>
  <c r="M1124" i="12"/>
  <c r="M1123" i="12"/>
  <c r="M1122" i="12"/>
  <c r="M1121" i="12"/>
  <c r="M1120" i="12"/>
  <c r="M1119" i="12"/>
  <c r="M1118" i="12"/>
  <c r="M1117" i="12"/>
  <c r="M1116" i="12"/>
  <c r="M1115" i="12"/>
  <c r="M1114" i="12"/>
  <c r="M1113" i="12"/>
  <c r="M1112" i="12"/>
  <c r="M1111" i="12"/>
  <c r="M1110" i="12"/>
  <c r="M1109" i="12"/>
  <c r="M1108" i="12"/>
  <c r="M1107" i="12"/>
  <c r="M1106" i="12"/>
  <c r="M1105" i="12"/>
  <c r="M1104" i="12"/>
  <c r="M1103" i="12"/>
  <c r="M1102" i="12"/>
  <c r="M1101" i="12"/>
  <c r="M1100" i="12"/>
  <c r="M1099" i="12"/>
  <c r="M1098" i="12"/>
  <c r="M1097" i="12"/>
  <c r="M1096" i="12"/>
  <c r="M1095" i="12"/>
  <c r="M1094" i="12"/>
  <c r="M1093" i="12"/>
  <c r="M1092" i="12"/>
  <c r="M1091" i="12"/>
  <c r="M1090" i="12"/>
  <c r="M1089" i="12"/>
  <c r="M1088" i="12"/>
  <c r="M1087" i="12"/>
  <c r="M1086" i="12"/>
  <c r="M1085" i="12"/>
  <c r="M1084" i="12"/>
  <c r="M1083" i="12"/>
  <c r="M1082" i="12"/>
  <c r="M1081" i="12"/>
  <c r="M1080" i="12"/>
  <c r="M1079" i="12"/>
  <c r="M1078" i="12"/>
  <c r="M1077" i="12"/>
  <c r="M1076" i="12"/>
  <c r="M1075" i="12"/>
  <c r="M1074" i="12"/>
  <c r="M1073" i="12"/>
  <c r="M1072" i="12"/>
  <c r="M1071" i="12"/>
  <c r="M1070" i="12"/>
  <c r="M1069" i="12"/>
  <c r="M1068" i="12"/>
  <c r="M1067" i="12"/>
  <c r="M1066" i="12"/>
  <c r="M1065" i="12"/>
  <c r="M1064" i="12"/>
  <c r="M1063" i="12"/>
  <c r="M1062" i="12"/>
  <c r="M1061" i="12"/>
  <c r="M1060" i="12"/>
  <c r="M1059" i="12"/>
  <c r="M1058" i="12"/>
  <c r="M1057" i="12"/>
  <c r="M1056" i="12"/>
  <c r="M1055" i="12"/>
  <c r="M1054" i="12"/>
  <c r="M1053" i="12"/>
  <c r="M1052" i="12"/>
  <c r="M1051" i="12"/>
  <c r="M1050" i="12"/>
  <c r="M1049" i="12"/>
  <c r="M1048" i="12"/>
  <c r="M1047" i="12"/>
  <c r="M1046" i="12"/>
  <c r="M1045" i="12"/>
  <c r="M1044" i="12"/>
  <c r="M1043" i="12"/>
  <c r="M1042" i="12"/>
  <c r="M1041" i="12"/>
  <c r="M1040" i="12"/>
  <c r="M1039" i="12"/>
  <c r="M1038" i="12"/>
  <c r="M1037" i="12"/>
  <c r="M1036" i="12"/>
  <c r="M1035" i="12"/>
  <c r="M1034" i="12"/>
  <c r="M1033" i="12"/>
  <c r="M1032" i="12"/>
  <c r="M1031" i="12"/>
  <c r="M1030" i="12"/>
  <c r="M1029" i="12"/>
  <c r="M1028" i="12"/>
  <c r="M1027" i="12"/>
  <c r="M1026" i="12"/>
  <c r="M1025" i="12"/>
  <c r="M1024" i="12"/>
  <c r="M1023" i="12"/>
  <c r="M1022" i="12"/>
  <c r="M1021" i="12"/>
  <c r="M1020" i="12"/>
  <c r="M1019" i="12"/>
  <c r="M1018" i="12"/>
  <c r="M1017" i="12"/>
  <c r="M1016" i="12"/>
  <c r="M1015" i="12"/>
  <c r="M1014" i="12"/>
  <c r="M1013" i="12"/>
  <c r="M1012" i="12"/>
  <c r="M1011" i="12"/>
  <c r="M1010" i="12"/>
  <c r="M1009" i="12"/>
  <c r="M1008" i="12"/>
  <c r="M1007" i="12"/>
  <c r="M1006" i="12"/>
  <c r="M1005" i="12"/>
  <c r="M1004" i="12"/>
  <c r="M1003" i="12"/>
  <c r="M1002" i="12"/>
  <c r="M1001" i="12"/>
  <c r="M1000" i="12"/>
  <c r="M999" i="12"/>
  <c r="M998" i="12"/>
  <c r="M997" i="12"/>
  <c r="M996" i="12"/>
  <c r="M995" i="12"/>
  <c r="M994" i="12"/>
  <c r="M993" i="12"/>
  <c r="M992" i="12"/>
  <c r="M991" i="12"/>
  <c r="M990" i="12"/>
  <c r="M989" i="12"/>
  <c r="M988" i="12"/>
  <c r="M987" i="12"/>
  <c r="M986" i="12"/>
  <c r="M985" i="12"/>
  <c r="M984" i="12"/>
  <c r="M983" i="12"/>
  <c r="M982" i="12"/>
  <c r="M981" i="12"/>
  <c r="M980" i="12"/>
  <c r="M979" i="12"/>
  <c r="M978" i="12"/>
  <c r="M977" i="12"/>
  <c r="M976" i="12"/>
  <c r="M975" i="12"/>
  <c r="M974" i="12"/>
  <c r="M973" i="12"/>
  <c r="M972" i="12"/>
  <c r="M971" i="12"/>
  <c r="M970" i="12"/>
  <c r="M969" i="12"/>
  <c r="M968" i="12"/>
  <c r="M967" i="12"/>
  <c r="M966" i="12"/>
  <c r="M965" i="12"/>
  <c r="M964" i="12"/>
  <c r="M963" i="12"/>
  <c r="M962" i="12"/>
  <c r="M961" i="12"/>
  <c r="M960" i="12"/>
  <c r="M959" i="12"/>
  <c r="M958" i="12"/>
  <c r="M957" i="12"/>
  <c r="M956" i="12"/>
  <c r="M955" i="12"/>
  <c r="M954" i="12"/>
  <c r="M953" i="12"/>
  <c r="M952" i="12"/>
  <c r="M951" i="12"/>
  <c r="M950" i="12"/>
  <c r="M949" i="12"/>
  <c r="M948" i="12"/>
  <c r="M947" i="12"/>
  <c r="M946" i="12"/>
  <c r="M945" i="12"/>
  <c r="M944" i="12"/>
  <c r="M943" i="12"/>
  <c r="M942" i="12"/>
  <c r="M941" i="12"/>
  <c r="M940" i="12"/>
  <c r="M939" i="12"/>
  <c r="M938" i="12"/>
  <c r="M937" i="12"/>
  <c r="M936" i="12"/>
  <c r="M935" i="12"/>
  <c r="M934" i="12"/>
  <c r="M933" i="12"/>
  <c r="M932" i="12"/>
  <c r="M931" i="12"/>
  <c r="M930" i="12"/>
  <c r="M929" i="12"/>
  <c r="M928" i="12"/>
  <c r="M927" i="12"/>
  <c r="M926" i="12"/>
  <c r="M925" i="12"/>
  <c r="M924" i="12"/>
  <c r="M923" i="12"/>
  <c r="M922" i="12"/>
  <c r="M921" i="12"/>
  <c r="M920" i="12"/>
  <c r="M919" i="12"/>
  <c r="M918" i="12"/>
  <c r="M917" i="12"/>
  <c r="M916" i="12"/>
  <c r="M915" i="12"/>
  <c r="M914" i="12"/>
  <c r="M913" i="12"/>
  <c r="M912" i="12"/>
  <c r="M911" i="12"/>
  <c r="M910" i="12"/>
  <c r="M909" i="12"/>
  <c r="M908" i="12"/>
  <c r="M907" i="12"/>
  <c r="M906" i="12"/>
  <c r="M905" i="12"/>
  <c r="M904" i="12"/>
  <c r="M903" i="12"/>
  <c r="M902" i="12"/>
  <c r="M901" i="12"/>
  <c r="M900" i="12"/>
  <c r="M899" i="12"/>
  <c r="M898" i="12"/>
  <c r="M897" i="12"/>
  <c r="M896" i="12"/>
  <c r="M895" i="12"/>
  <c r="M894" i="12"/>
  <c r="M893" i="12"/>
  <c r="M892" i="12"/>
  <c r="M891" i="12"/>
  <c r="M890" i="12"/>
  <c r="M889" i="12"/>
  <c r="M888" i="12"/>
  <c r="M887" i="12"/>
  <c r="M886" i="12"/>
  <c r="M885" i="12"/>
  <c r="M884" i="12"/>
  <c r="M883" i="12"/>
  <c r="M882" i="12"/>
  <c r="M881" i="12"/>
  <c r="M880" i="12"/>
  <c r="M879" i="12"/>
  <c r="M878" i="12"/>
  <c r="M877" i="12"/>
  <c r="M876" i="12"/>
  <c r="M875" i="12"/>
  <c r="M874" i="12"/>
  <c r="M873" i="12"/>
  <c r="M872" i="12"/>
  <c r="M871" i="12"/>
  <c r="M870" i="12"/>
  <c r="M869" i="12"/>
  <c r="M868" i="12"/>
  <c r="M867" i="12"/>
  <c r="M866" i="12"/>
  <c r="M865" i="12"/>
  <c r="M864" i="12"/>
  <c r="M863" i="12"/>
  <c r="M862" i="12"/>
  <c r="M861" i="12"/>
  <c r="M860" i="12"/>
  <c r="M859" i="12"/>
  <c r="M858" i="12"/>
  <c r="M857" i="12"/>
  <c r="M856" i="12"/>
  <c r="M855" i="12"/>
  <c r="M854" i="12"/>
  <c r="M853" i="12"/>
  <c r="M852" i="12"/>
  <c r="M851" i="12"/>
  <c r="M850" i="12"/>
  <c r="M849" i="12"/>
  <c r="M848" i="12"/>
  <c r="M847" i="12"/>
  <c r="M846" i="12"/>
  <c r="M845" i="12"/>
  <c r="M844" i="12"/>
  <c r="M843" i="12"/>
  <c r="M842" i="12"/>
  <c r="M841" i="12"/>
  <c r="M840" i="12"/>
  <c r="M839" i="12"/>
  <c r="M838" i="12"/>
  <c r="M837" i="12"/>
  <c r="M836" i="12"/>
  <c r="M835" i="12"/>
  <c r="M834" i="12"/>
  <c r="M833" i="12"/>
  <c r="M832" i="12"/>
  <c r="M831" i="12"/>
  <c r="M830" i="12"/>
  <c r="M829" i="12"/>
  <c r="M828" i="12"/>
  <c r="M827" i="12"/>
  <c r="M826" i="12"/>
  <c r="M825" i="12"/>
  <c r="M824" i="12"/>
  <c r="M823" i="12"/>
  <c r="M822" i="12"/>
  <c r="M821" i="12"/>
  <c r="M820" i="12"/>
  <c r="M819" i="12"/>
  <c r="M818" i="12"/>
  <c r="M817" i="12"/>
  <c r="M816" i="12"/>
  <c r="M815" i="12"/>
  <c r="M814" i="12"/>
  <c r="M813" i="12"/>
  <c r="M812" i="12"/>
  <c r="M811" i="12"/>
  <c r="M810" i="12"/>
  <c r="M809" i="12"/>
  <c r="M808" i="12"/>
  <c r="M807" i="12"/>
  <c r="M806" i="12"/>
  <c r="M805" i="12"/>
  <c r="M804" i="12"/>
  <c r="M803" i="12"/>
  <c r="M802" i="12"/>
  <c r="M801" i="12"/>
  <c r="M800" i="12"/>
  <c r="M799" i="12"/>
  <c r="M798" i="12"/>
  <c r="M797" i="12"/>
  <c r="M796" i="12"/>
  <c r="M795" i="12"/>
  <c r="M794" i="12"/>
  <c r="M793" i="12"/>
  <c r="M792" i="12"/>
  <c r="M791" i="12"/>
  <c r="M790" i="12"/>
  <c r="M789" i="12"/>
  <c r="M788" i="12"/>
  <c r="M787" i="12"/>
  <c r="M786" i="12"/>
  <c r="M785" i="12"/>
  <c r="M784" i="12"/>
  <c r="M783" i="12"/>
  <c r="M782" i="12"/>
  <c r="M781" i="12"/>
  <c r="M780" i="12"/>
  <c r="M779" i="12"/>
  <c r="M778" i="12"/>
  <c r="M777" i="12"/>
  <c r="M776" i="12"/>
  <c r="M775" i="12"/>
  <c r="M774" i="12"/>
  <c r="M773" i="12"/>
  <c r="M772" i="12"/>
  <c r="M771" i="12"/>
  <c r="M770" i="12"/>
  <c r="M769" i="12"/>
  <c r="M768" i="12"/>
  <c r="M767" i="12"/>
  <c r="M766" i="12"/>
  <c r="M765" i="12"/>
  <c r="M764" i="12"/>
  <c r="M763" i="12"/>
  <c r="M762" i="12"/>
  <c r="M761" i="12"/>
  <c r="M760" i="12"/>
  <c r="M759" i="12"/>
  <c r="M758" i="12"/>
  <c r="M757" i="12"/>
  <c r="M756" i="12"/>
  <c r="M755" i="12"/>
  <c r="M754" i="12"/>
  <c r="M753" i="12"/>
  <c r="M752" i="12"/>
  <c r="M751" i="12"/>
  <c r="M750" i="12"/>
  <c r="M749" i="12"/>
  <c r="M748" i="12"/>
  <c r="M747" i="12"/>
  <c r="M746" i="12"/>
  <c r="M745" i="12"/>
  <c r="M744" i="12"/>
  <c r="M743" i="12"/>
  <c r="M742" i="12"/>
  <c r="M741" i="12"/>
  <c r="M740" i="12"/>
  <c r="M739" i="12"/>
  <c r="M738" i="12"/>
  <c r="M737" i="12"/>
  <c r="M736" i="12"/>
  <c r="M735" i="12"/>
  <c r="M734" i="12"/>
  <c r="M733" i="12"/>
  <c r="M732" i="12"/>
  <c r="M731" i="12"/>
  <c r="M730" i="12"/>
  <c r="M729" i="12"/>
  <c r="M728" i="12"/>
  <c r="M727" i="12"/>
  <c r="M726" i="12"/>
  <c r="M725" i="12"/>
  <c r="M724" i="12"/>
  <c r="M723" i="12"/>
  <c r="M722" i="12"/>
  <c r="M721" i="12"/>
  <c r="M720" i="12"/>
  <c r="M719" i="12"/>
  <c r="M718" i="12"/>
  <c r="M717" i="12"/>
  <c r="M716" i="12"/>
  <c r="M715" i="12"/>
  <c r="M714" i="12"/>
  <c r="M713" i="12"/>
  <c r="M712" i="12"/>
  <c r="M711" i="12"/>
  <c r="M710" i="12"/>
  <c r="M709" i="12"/>
  <c r="M708" i="12"/>
  <c r="M707" i="12"/>
  <c r="M706" i="12"/>
  <c r="M705" i="12"/>
  <c r="M704" i="12"/>
  <c r="M703" i="12"/>
  <c r="M702" i="12"/>
  <c r="M701" i="12"/>
  <c r="M700" i="12"/>
  <c r="M699" i="12"/>
  <c r="M698" i="12"/>
  <c r="M697" i="12"/>
  <c r="M696" i="12"/>
  <c r="M695" i="12"/>
  <c r="M694" i="12"/>
  <c r="M693" i="12"/>
  <c r="M692" i="12"/>
  <c r="M691" i="12"/>
  <c r="M690" i="12"/>
  <c r="M689" i="12"/>
  <c r="M688" i="12"/>
  <c r="M687" i="12"/>
  <c r="M686" i="12"/>
  <c r="M685" i="12"/>
  <c r="M684" i="12"/>
  <c r="M683" i="12"/>
  <c r="M682" i="12"/>
  <c r="M681" i="12"/>
  <c r="M680" i="12"/>
  <c r="M679" i="12"/>
  <c r="M678" i="12"/>
  <c r="M677" i="12"/>
  <c r="M676" i="12"/>
  <c r="M675" i="12"/>
  <c r="M674" i="12"/>
  <c r="M673" i="12"/>
  <c r="M672" i="12"/>
  <c r="M671" i="12"/>
  <c r="M670" i="12"/>
  <c r="M669" i="12"/>
  <c r="M668" i="12"/>
  <c r="M667" i="12"/>
  <c r="M666" i="12"/>
  <c r="M665" i="12"/>
  <c r="M664" i="12"/>
  <c r="M663" i="12"/>
  <c r="M662" i="12"/>
  <c r="M661" i="12"/>
  <c r="M660" i="12"/>
  <c r="M659" i="12"/>
  <c r="M658" i="12"/>
  <c r="M657" i="12"/>
  <c r="M656" i="12"/>
  <c r="M655" i="12"/>
  <c r="M654" i="12"/>
  <c r="M653" i="12"/>
  <c r="M652" i="12"/>
  <c r="M651" i="12"/>
  <c r="M650" i="12"/>
  <c r="M649" i="12"/>
  <c r="M648" i="12"/>
  <c r="M647" i="12"/>
  <c r="M646" i="12"/>
  <c r="M645" i="12"/>
  <c r="M644" i="12"/>
  <c r="M643" i="12"/>
  <c r="M642" i="12"/>
  <c r="M641" i="12"/>
  <c r="M640" i="12"/>
  <c r="M639" i="12"/>
  <c r="M638" i="12"/>
  <c r="M637" i="12"/>
  <c r="M636" i="12"/>
  <c r="M635" i="12"/>
  <c r="M634" i="12"/>
  <c r="M633" i="12"/>
  <c r="M632" i="12"/>
  <c r="M631" i="12"/>
  <c r="M630" i="12"/>
  <c r="M629" i="12"/>
  <c r="M628" i="12"/>
  <c r="M627" i="12"/>
  <c r="M626" i="12"/>
  <c r="M625" i="12"/>
  <c r="M624" i="12"/>
  <c r="M623" i="12"/>
  <c r="M622" i="12"/>
  <c r="M621" i="12"/>
  <c r="M620" i="12"/>
  <c r="M619" i="12"/>
  <c r="M618" i="12"/>
  <c r="M617" i="12"/>
  <c r="M616" i="12"/>
  <c r="M615" i="12"/>
  <c r="M614" i="12"/>
  <c r="M613" i="12"/>
  <c r="M612" i="12"/>
  <c r="M611" i="12"/>
  <c r="M610" i="12"/>
  <c r="M609" i="12"/>
  <c r="M608" i="12"/>
  <c r="M607" i="12"/>
  <c r="M606" i="12"/>
  <c r="M605" i="12"/>
  <c r="M604" i="12"/>
  <c r="M603" i="12"/>
  <c r="M602" i="12"/>
  <c r="M601" i="12"/>
  <c r="M600" i="12"/>
  <c r="M599" i="12"/>
  <c r="M598" i="12"/>
  <c r="M597" i="12"/>
  <c r="M596" i="12"/>
  <c r="M595" i="12"/>
  <c r="M594" i="12"/>
  <c r="M593" i="12"/>
  <c r="M592" i="12"/>
  <c r="M591" i="12"/>
  <c r="M590" i="12"/>
  <c r="M589" i="12"/>
  <c r="M588" i="12"/>
  <c r="M587" i="12"/>
  <c r="M586" i="12"/>
  <c r="M585" i="12"/>
  <c r="M584" i="12"/>
  <c r="M583" i="12"/>
  <c r="M582" i="12"/>
  <c r="M581" i="12"/>
  <c r="M580" i="12"/>
  <c r="M579" i="12"/>
  <c r="M578" i="12"/>
  <c r="M577" i="12"/>
  <c r="M576" i="12"/>
  <c r="M575" i="12"/>
  <c r="M574" i="12"/>
  <c r="M573" i="12"/>
  <c r="M572" i="12"/>
  <c r="M571" i="12"/>
  <c r="M570" i="12"/>
  <c r="M569" i="12"/>
  <c r="M568" i="12"/>
  <c r="M567" i="12"/>
  <c r="M566" i="12"/>
  <c r="M565" i="12"/>
  <c r="M564" i="12"/>
  <c r="M563" i="12"/>
  <c r="M562" i="12"/>
  <c r="M561" i="12"/>
  <c r="M560" i="12"/>
  <c r="M559" i="12"/>
  <c r="M558" i="12"/>
  <c r="M557" i="12"/>
  <c r="M556" i="12"/>
  <c r="M555" i="12"/>
  <c r="M554" i="12"/>
  <c r="M553" i="12"/>
  <c r="M552" i="12"/>
  <c r="M551" i="12"/>
  <c r="M550" i="12"/>
  <c r="M549" i="12"/>
  <c r="M548" i="12"/>
  <c r="M547" i="12"/>
  <c r="M546" i="12"/>
  <c r="M545" i="12"/>
  <c r="M544" i="12"/>
  <c r="M543" i="12"/>
  <c r="M542" i="12"/>
  <c r="M541" i="12"/>
  <c r="M540" i="12"/>
  <c r="M539" i="12"/>
  <c r="M538" i="12"/>
  <c r="M537" i="12"/>
  <c r="M536" i="12"/>
  <c r="M535" i="12"/>
  <c r="M534" i="12"/>
  <c r="M533" i="12"/>
  <c r="M532" i="12"/>
  <c r="M531" i="12"/>
  <c r="M530" i="12"/>
  <c r="M529" i="12"/>
  <c r="M528" i="12"/>
  <c r="M527" i="12"/>
  <c r="M526" i="12"/>
  <c r="M525" i="12"/>
  <c r="M524" i="12"/>
  <c r="M523" i="12"/>
  <c r="M522" i="12"/>
  <c r="M521" i="12"/>
  <c r="M520" i="12"/>
  <c r="M519" i="12"/>
  <c r="M518" i="12"/>
  <c r="M517" i="12"/>
  <c r="M516" i="12"/>
  <c r="M515" i="12"/>
  <c r="M514" i="12"/>
  <c r="M513" i="12"/>
  <c r="M512" i="12"/>
  <c r="M511" i="12"/>
  <c r="M510" i="12"/>
  <c r="M509" i="12"/>
  <c r="M508" i="12"/>
  <c r="M507" i="12"/>
  <c r="M506" i="12"/>
  <c r="M505" i="12"/>
  <c r="M504" i="12"/>
  <c r="M503" i="12"/>
  <c r="M502" i="12"/>
  <c r="M501" i="12"/>
  <c r="M500" i="12"/>
  <c r="M499" i="12"/>
  <c r="M498" i="12"/>
  <c r="M497" i="12"/>
  <c r="M496" i="12"/>
  <c r="M495" i="12"/>
  <c r="M494" i="12"/>
  <c r="M493" i="12"/>
  <c r="M492" i="12"/>
  <c r="M491" i="12"/>
  <c r="M490" i="12"/>
  <c r="M489" i="12"/>
  <c r="M488" i="12"/>
  <c r="M487" i="12"/>
  <c r="M486" i="12"/>
  <c r="M485" i="12"/>
  <c r="M484" i="12"/>
  <c r="M483" i="12"/>
  <c r="M482" i="12"/>
  <c r="M481" i="12"/>
  <c r="M480" i="12"/>
  <c r="M479" i="12"/>
  <c r="M478" i="12"/>
  <c r="M477" i="12"/>
  <c r="M476" i="12"/>
  <c r="M475" i="12"/>
  <c r="M474" i="12"/>
  <c r="M473" i="12"/>
  <c r="M472" i="12"/>
  <c r="M471" i="12"/>
  <c r="M470" i="12"/>
  <c r="M469" i="12"/>
  <c r="M468" i="12"/>
  <c r="M467" i="12"/>
  <c r="M466" i="12"/>
  <c r="M465" i="12"/>
  <c r="M464" i="12"/>
  <c r="M463" i="12"/>
  <c r="M462" i="12"/>
  <c r="M461" i="12"/>
  <c r="M460" i="12"/>
  <c r="M459" i="12"/>
  <c r="M458" i="12"/>
  <c r="M457" i="12"/>
  <c r="M456" i="12"/>
  <c r="M455" i="12"/>
  <c r="M454" i="12"/>
  <c r="M453" i="12"/>
  <c r="M452" i="12"/>
  <c r="M451" i="12"/>
  <c r="M450" i="12"/>
  <c r="M449" i="12"/>
  <c r="M448" i="12"/>
  <c r="M447" i="12"/>
  <c r="M446" i="12"/>
  <c r="M445" i="12"/>
  <c r="M444" i="12"/>
  <c r="M443" i="12"/>
  <c r="M442" i="12"/>
  <c r="M441" i="12"/>
  <c r="M440" i="12"/>
  <c r="M439" i="12"/>
  <c r="M438" i="12"/>
  <c r="M437" i="12"/>
  <c r="M436" i="12"/>
  <c r="M435" i="12"/>
  <c r="M434" i="12"/>
  <c r="M433" i="12"/>
  <c r="M432" i="12"/>
  <c r="M431" i="12"/>
  <c r="M430" i="12"/>
  <c r="M429" i="12"/>
  <c r="M428" i="12"/>
  <c r="M427" i="12"/>
  <c r="M426" i="12"/>
  <c r="M425" i="12"/>
  <c r="M424" i="12"/>
  <c r="M423" i="12"/>
  <c r="M422" i="12"/>
  <c r="M421" i="12"/>
  <c r="M420" i="12"/>
  <c r="M419" i="12"/>
  <c r="M418" i="12"/>
  <c r="M417" i="12"/>
  <c r="M416" i="12"/>
  <c r="M415" i="12"/>
  <c r="M414" i="12"/>
  <c r="M413" i="12"/>
  <c r="M412" i="12"/>
  <c r="M411" i="12"/>
  <c r="M410" i="12"/>
  <c r="M409" i="12"/>
  <c r="M408" i="12"/>
  <c r="M407" i="12"/>
  <c r="M406" i="12"/>
  <c r="M405" i="12"/>
  <c r="M404" i="12"/>
  <c r="M403" i="12"/>
  <c r="M402" i="12"/>
  <c r="M401" i="12"/>
  <c r="M400" i="12"/>
  <c r="M399" i="12"/>
  <c r="M398" i="12"/>
  <c r="M397" i="12"/>
  <c r="M396" i="12"/>
  <c r="M395" i="12"/>
  <c r="M394" i="12"/>
  <c r="M393" i="12"/>
  <c r="M392" i="12"/>
  <c r="M391" i="12"/>
  <c r="M390" i="12"/>
  <c r="M389" i="12"/>
  <c r="M388" i="12"/>
  <c r="M387" i="12"/>
  <c r="M386" i="12"/>
  <c r="M385" i="12"/>
  <c r="M384" i="12"/>
  <c r="M383" i="12"/>
  <c r="M382" i="12"/>
  <c r="M381" i="12"/>
  <c r="M380" i="12"/>
  <c r="M379" i="12"/>
  <c r="M378" i="12"/>
  <c r="M377" i="12"/>
  <c r="M376" i="12"/>
  <c r="M375" i="12"/>
  <c r="M374" i="12"/>
  <c r="M373" i="12"/>
  <c r="M372" i="12"/>
  <c r="M371" i="12"/>
  <c r="M370" i="12"/>
  <c r="M369" i="12"/>
  <c r="M368" i="12"/>
  <c r="M367" i="12"/>
  <c r="M366" i="12"/>
  <c r="M365" i="12"/>
  <c r="M364" i="12"/>
  <c r="M363" i="12"/>
  <c r="M362" i="12"/>
  <c r="M361" i="12"/>
  <c r="M360" i="12"/>
  <c r="M359" i="12"/>
  <c r="M358" i="12"/>
  <c r="M357" i="12"/>
  <c r="M356" i="12"/>
  <c r="M355" i="12"/>
  <c r="M354" i="12"/>
  <c r="M353" i="12"/>
  <c r="M352" i="12"/>
  <c r="M351" i="12"/>
  <c r="M350" i="12"/>
  <c r="M349" i="12"/>
  <c r="M348" i="12"/>
  <c r="M347" i="12"/>
  <c r="M346" i="12"/>
  <c r="M345" i="12"/>
  <c r="M344" i="12"/>
  <c r="M343" i="12"/>
  <c r="M342" i="12"/>
  <c r="M341" i="12"/>
  <c r="M340" i="12"/>
  <c r="M339" i="12"/>
  <c r="M338" i="12"/>
  <c r="M337" i="12"/>
  <c r="M336" i="12"/>
  <c r="M335" i="12"/>
  <c r="M334" i="12"/>
  <c r="M333" i="12"/>
  <c r="M332" i="12"/>
  <c r="M331" i="12"/>
  <c r="M330" i="12"/>
  <c r="M329" i="12"/>
  <c r="M328" i="12"/>
  <c r="M327" i="12"/>
  <c r="M326" i="12"/>
  <c r="M325" i="12"/>
  <c r="M324" i="12"/>
  <c r="M323" i="12"/>
  <c r="M322" i="12"/>
  <c r="M321" i="12"/>
  <c r="M320" i="12"/>
  <c r="M319" i="12"/>
  <c r="M318" i="12"/>
  <c r="M317" i="12"/>
  <c r="M316" i="12"/>
  <c r="M315" i="12"/>
  <c r="M314" i="12"/>
  <c r="M313" i="12"/>
  <c r="M312" i="12"/>
  <c r="M311" i="12"/>
  <c r="M310" i="12"/>
  <c r="M309" i="12"/>
  <c r="M308" i="12"/>
  <c r="M307" i="12"/>
  <c r="M306" i="12"/>
  <c r="M305" i="12"/>
  <c r="M304" i="12"/>
  <c r="M303" i="12"/>
  <c r="M302" i="12"/>
  <c r="M301" i="12"/>
  <c r="M300" i="12"/>
  <c r="M299" i="12"/>
  <c r="M298" i="12"/>
  <c r="M297" i="12"/>
  <c r="M296" i="12"/>
  <c r="M295" i="12"/>
  <c r="M294" i="12"/>
  <c r="M293" i="12"/>
  <c r="M292" i="12"/>
  <c r="M291" i="12"/>
  <c r="M290" i="12"/>
  <c r="M289" i="12"/>
  <c r="M288" i="12"/>
  <c r="M287" i="12"/>
  <c r="M286" i="12"/>
  <c r="M285" i="12"/>
  <c r="M284" i="12"/>
  <c r="M283" i="12"/>
  <c r="M282" i="12"/>
  <c r="M281" i="12"/>
  <c r="M280" i="12"/>
  <c r="M279" i="12"/>
  <c r="M278" i="12"/>
  <c r="M277" i="12"/>
  <c r="M276" i="12"/>
  <c r="M275" i="12"/>
  <c r="M274" i="12"/>
  <c r="M273" i="12"/>
  <c r="M272" i="12"/>
  <c r="M271" i="12"/>
  <c r="M270" i="12"/>
  <c r="M269" i="12"/>
  <c r="M268" i="12"/>
  <c r="M267" i="12"/>
  <c r="M266" i="12"/>
  <c r="M265" i="12"/>
  <c r="M264" i="12"/>
  <c r="M263" i="12"/>
  <c r="M262" i="12"/>
  <c r="M261" i="12"/>
  <c r="M260" i="12"/>
  <c r="M259" i="12"/>
  <c r="M258" i="12"/>
  <c r="M257" i="12"/>
  <c r="M256" i="12"/>
  <c r="M255" i="12"/>
  <c r="M254" i="12"/>
  <c r="M253" i="12"/>
  <c r="M252" i="12"/>
  <c r="M251" i="12"/>
  <c r="M250" i="12"/>
  <c r="M249" i="12"/>
  <c r="M248" i="12"/>
  <c r="M247" i="12"/>
  <c r="M246" i="12"/>
  <c r="M245" i="12"/>
  <c r="M244" i="12"/>
  <c r="M243" i="12"/>
  <c r="M242" i="12"/>
  <c r="M241" i="12"/>
  <c r="M240" i="12"/>
  <c r="M239" i="12"/>
  <c r="M238" i="12"/>
  <c r="M237" i="12"/>
  <c r="M236" i="12"/>
  <c r="M235" i="12"/>
  <c r="M234" i="12"/>
  <c r="M233" i="12"/>
  <c r="M232" i="12"/>
  <c r="M231" i="12"/>
  <c r="M230" i="12"/>
  <c r="M229" i="12"/>
  <c r="M228" i="12"/>
  <c r="M227" i="12"/>
  <c r="M226" i="12"/>
  <c r="M225" i="12"/>
  <c r="M224" i="12"/>
  <c r="M223" i="12"/>
  <c r="M222" i="12"/>
  <c r="M221" i="12"/>
  <c r="M220" i="12"/>
  <c r="M219" i="12"/>
  <c r="M218" i="12"/>
  <c r="M217" i="12"/>
  <c r="M216" i="12"/>
  <c r="M215" i="12"/>
  <c r="M214" i="12"/>
  <c r="M213" i="12"/>
  <c r="M212" i="12"/>
  <c r="M211" i="12"/>
  <c r="M210" i="12"/>
  <c r="M209" i="12"/>
  <c r="M208" i="12"/>
  <c r="M207" i="12"/>
  <c r="M206" i="12"/>
  <c r="M205" i="12"/>
  <c r="M204" i="12"/>
  <c r="M203" i="12"/>
  <c r="M202" i="12"/>
  <c r="M201" i="12"/>
  <c r="M200" i="12"/>
  <c r="M199" i="12"/>
  <c r="M198" i="12"/>
  <c r="M197" i="12"/>
  <c r="M196" i="12"/>
  <c r="M195" i="12"/>
  <c r="M194" i="12"/>
  <c r="M193" i="12"/>
  <c r="M192" i="12"/>
  <c r="M191" i="12"/>
  <c r="M190" i="12"/>
  <c r="M189" i="12"/>
  <c r="M188" i="12"/>
  <c r="M187" i="12"/>
  <c r="M186" i="12"/>
  <c r="M185" i="12"/>
  <c r="M184" i="12"/>
  <c r="M183" i="12"/>
  <c r="M182" i="12"/>
  <c r="M181" i="12"/>
  <c r="M180" i="12"/>
  <c r="M179" i="12"/>
  <c r="M178" i="12"/>
  <c r="M177" i="12"/>
  <c r="M176" i="12"/>
  <c r="M175" i="12"/>
  <c r="M174" i="12"/>
  <c r="M173" i="12"/>
  <c r="M172" i="12"/>
  <c r="M171" i="12"/>
  <c r="M170" i="12"/>
  <c r="M169" i="12"/>
  <c r="M168" i="12"/>
  <c r="M167" i="12"/>
  <c r="M166" i="12"/>
  <c r="M165" i="12"/>
  <c r="M164" i="12"/>
  <c r="M163" i="12"/>
  <c r="M162" i="12"/>
  <c r="M161" i="12"/>
  <c r="M160" i="12"/>
  <c r="M159" i="12"/>
  <c r="M158" i="12"/>
  <c r="M157" i="12"/>
  <c r="M156" i="12"/>
  <c r="M155" i="12"/>
  <c r="M154" i="12"/>
  <c r="M153" i="12"/>
  <c r="M152" i="12"/>
  <c r="M151" i="12"/>
  <c r="M150" i="12"/>
  <c r="M149" i="12"/>
  <c r="M148" i="12"/>
  <c r="M147" i="12"/>
  <c r="M146" i="12"/>
  <c r="M145" i="12"/>
  <c r="M144" i="12"/>
  <c r="M143" i="12"/>
  <c r="M142" i="12"/>
  <c r="M141" i="12"/>
  <c r="M140" i="12"/>
  <c r="M139" i="12"/>
  <c r="M138" i="12"/>
  <c r="M137" i="12"/>
  <c r="M136" i="12"/>
  <c r="M135" i="12"/>
  <c r="M134" i="12"/>
  <c r="M133" i="12"/>
  <c r="M132" i="12"/>
  <c r="M131" i="12"/>
  <c r="M130" i="12"/>
  <c r="M129" i="12"/>
  <c r="M128" i="12"/>
  <c r="M127" i="12"/>
  <c r="M126" i="12"/>
  <c r="M125" i="12"/>
  <c r="M124" i="12"/>
  <c r="M123" i="12"/>
  <c r="M122" i="12"/>
  <c r="M121" i="12"/>
  <c r="M120" i="12"/>
  <c r="M119" i="12"/>
  <c r="M118" i="12"/>
  <c r="M117" i="12"/>
  <c r="M116" i="12"/>
  <c r="M115" i="12"/>
  <c r="M114" i="12"/>
  <c r="M113" i="12"/>
  <c r="M112" i="12"/>
  <c r="M111" i="12"/>
  <c r="M110" i="12"/>
  <c r="M109" i="12"/>
  <c r="M108" i="12"/>
  <c r="M107" i="12"/>
  <c r="M106" i="12"/>
  <c r="M105" i="12"/>
  <c r="M104" i="12"/>
  <c r="M103" i="12"/>
  <c r="M102" i="12"/>
  <c r="M101" i="12"/>
  <c r="M100" i="12"/>
  <c r="M99" i="12"/>
  <c r="M98" i="12"/>
  <c r="M97" i="12"/>
  <c r="M96" i="12"/>
  <c r="M95" i="12"/>
  <c r="M94" i="12"/>
  <c r="M93" i="12"/>
  <c r="M92" i="12"/>
  <c r="M91" i="12"/>
  <c r="M90" i="12"/>
  <c r="M89" i="12"/>
  <c r="M88" i="12"/>
  <c r="M87" i="12"/>
  <c r="M86" i="12"/>
  <c r="M85" i="12"/>
  <c r="M84" i="12"/>
  <c r="M83" i="12"/>
  <c r="M82" i="12"/>
  <c r="M81" i="12"/>
  <c r="M80" i="12"/>
  <c r="M79" i="12"/>
  <c r="M78" i="12"/>
  <c r="M77" i="12"/>
  <c r="M76" i="12"/>
  <c r="M75" i="12"/>
  <c r="M74" i="12"/>
  <c r="M73" i="12"/>
  <c r="M72" i="12"/>
  <c r="M71" i="12"/>
  <c r="M70" i="12"/>
  <c r="M69" i="12"/>
  <c r="M68" i="12"/>
  <c r="M67" i="12"/>
  <c r="M66" i="12"/>
  <c r="M65" i="12"/>
  <c r="M64" i="12"/>
  <c r="M63" i="12"/>
  <c r="M62" i="12"/>
  <c r="M61" i="12"/>
  <c r="M60" i="12"/>
  <c r="M59" i="12"/>
  <c r="M58" i="12"/>
  <c r="M57" i="12"/>
  <c r="M56" i="12"/>
  <c r="M55" i="12"/>
  <c r="M54" i="12"/>
  <c r="M53" i="12"/>
  <c r="M52" i="12"/>
  <c r="M51" i="12"/>
  <c r="M50" i="12"/>
  <c r="M49" i="12"/>
  <c r="M48" i="12"/>
  <c r="M47" i="12"/>
  <c r="M46" i="12"/>
  <c r="M45" i="12"/>
  <c r="M44" i="12"/>
  <c r="M43" i="12"/>
  <c r="M42" i="12"/>
  <c r="M41" i="12"/>
  <c r="M40" i="12"/>
  <c r="M39" i="12"/>
  <c r="M38" i="12"/>
  <c r="M37" i="12"/>
  <c r="M36" i="12"/>
  <c r="M35" i="12"/>
  <c r="M34" i="12"/>
  <c r="M33" i="12"/>
  <c r="M32" i="12"/>
  <c r="M31" i="12"/>
  <c r="M30" i="12"/>
  <c r="M29" i="12"/>
  <c r="M28" i="12"/>
  <c r="M27" i="12"/>
  <c r="M26" i="12"/>
  <c r="M25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M10" i="12"/>
  <c r="M9" i="12"/>
  <c r="M8" i="12"/>
  <c r="M7" i="12"/>
  <c r="M6" i="12"/>
  <c r="M5" i="12"/>
  <c r="M4" i="12"/>
  <c r="M3" i="12"/>
  <c r="M2" i="12"/>
  <c r="F3" i="6" a="1"/>
  <c r="F3" i="6" s="1"/>
  <c r="X76" i="4"/>
  <c r="J2272" i="12" l="1"/>
  <c r="K2272" i="12" s="1"/>
  <c r="J2267" i="12"/>
  <c r="K2267" i="12" s="1"/>
  <c r="J2220" i="12"/>
  <c r="K2220" i="12" s="1"/>
  <c r="J2191" i="12"/>
  <c r="K2191" i="12" s="1"/>
  <c r="J2264" i="12"/>
  <c r="K2264" i="12" s="1"/>
  <c r="J2210" i="12"/>
  <c r="K2210" i="12" s="1"/>
  <c r="J2172" i="12"/>
  <c r="K2172" i="12" s="1"/>
  <c r="J2242" i="12"/>
  <c r="K2242" i="12" s="1"/>
  <c r="J2205" i="12"/>
  <c r="K2205" i="12" s="1"/>
  <c r="J2156" i="12"/>
  <c r="K2156" i="12" s="1"/>
  <c r="J2279" i="12"/>
  <c r="K2279" i="12" s="1"/>
  <c r="J2263" i="12"/>
  <c r="K2263" i="12" s="1"/>
  <c r="J2265" i="12"/>
  <c r="K2265" i="12" s="1"/>
  <c r="J2268" i="12"/>
  <c r="K2268" i="12" s="1"/>
  <c r="J2234" i="12"/>
  <c r="K2234" i="12" s="1"/>
  <c r="J2217" i="12"/>
  <c r="K2217" i="12" s="1"/>
  <c r="J2208" i="12"/>
  <c r="K2208" i="12" s="1"/>
  <c r="J2198" i="12"/>
  <c r="K2198" i="12" s="1"/>
  <c r="J2186" i="12"/>
  <c r="K2186" i="12" s="1"/>
  <c r="J2233" i="12"/>
  <c r="K2233" i="12" s="1"/>
  <c r="J2155" i="12"/>
  <c r="K2155" i="12" s="1"/>
  <c r="J2394" i="12"/>
  <c r="K2394" i="12" s="1"/>
  <c r="J2380" i="12"/>
  <c r="K2380" i="12" s="1"/>
  <c r="J2378" i="12"/>
  <c r="K2378" i="12" s="1"/>
  <c r="J2374" i="12"/>
  <c r="K2374" i="12" s="1"/>
  <c r="J2365" i="12"/>
  <c r="K2365" i="12" s="1"/>
  <c r="J2363" i="12"/>
  <c r="K2363" i="12" s="1"/>
  <c r="J2291" i="12"/>
  <c r="K2291" i="12" s="1"/>
  <c r="J2420" i="12"/>
  <c r="K2420" i="12" s="1"/>
  <c r="J2416" i="12"/>
  <c r="K2416" i="12" s="1"/>
  <c r="J2414" i="12"/>
  <c r="K2414" i="12" s="1"/>
  <c r="J2412" i="12"/>
  <c r="K2412" i="12" s="1"/>
  <c r="J2410" i="12"/>
  <c r="K2410" i="12" s="1"/>
  <c r="J2355" i="12"/>
  <c r="K2355" i="12" s="1"/>
  <c r="J2333" i="12"/>
  <c r="K2333" i="12" s="1"/>
  <c r="J2331" i="12"/>
  <c r="K2331" i="12" s="1"/>
  <c r="J2315" i="12"/>
  <c r="K2315" i="12" s="1"/>
  <c r="J2309" i="12"/>
  <c r="K2309" i="12" s="1"/>
  <c r="J2310" i="12"/>
  <c r="K2310" i="12" s="1"/>
  <c r="J2373" i="12"/>
  <c r="K2373" i="12" s="1"/>
  <c r="J2367" i="12"/>
  <c r="K2367" i="12" s="1"/>
  <c r="J2316" i="12"/>
  <c r="K2316" i="12" s="1"/>
  <c r="J2290" i="12"/>
  <c r="K2290" i="12" s="1"/>
  <c r="J2293" i="12"/>
  <c r="K2293" i="12" s="1"/>
  <c r="J2327" i="12"/>
  <c r="K2327" i="12" s="1"/>
  <c r="J2319" i="12"/>
  <c r="K2319" i="12" s="1"/>
  <c r="J2255" i="12"/>
  <c r="K2255" i="12" s="1"/>
  <c r="J2163" i="12"/>
  <c r="K2163" i="12" s="1"/>
  <c r="J2157" i="12"/>
  <c r="K2157" i="12" s="1"/>
  <c r="J2419" i="12"/>
  <c r="K2419" i="12" s="1"/>
  <c r="J2411" i="12"/>
  <c r="K2411" i="12" s="1"/>
  <c r="J2364" i="12"/>
  <c r="K2364" i="12" s="1"/>
  <c r="J2389" i="12"/>
  <c r="K2389" i="12" s="1"/>
  <c r="J2381" i="12"/>
  <c r="K2381" i="12" s="1"/>
  <c r="J2336" i="12"/>
  <c r="K2336" i="12" s="1"/>
  <c r="J2402" i="12"/>
  <c r="K2402" i="12" s="1"/>
  <c r="J2356" i="12"/>
  <c r="K2356" i="12" s="1"/>
  <c r="J2314" i="12"/>
  <c r="K2314" i="12" s="1"/>
  <c r="J2386" i="12"/>
  <c r="K2386" i="12" s="1"/>
  <c r="J2403" i="12"/>
  <c r="K2403" i="12" s="1"/>
  <c r="J2332" i="12"/>
  <c r="K2332" i="12" s="1"/>
  <c r="J2393" i="12"/>
  <c r="K2393" i="12" s="1"/>
  <c r="J2372" i="12"/>
  <c r="K2372" i="12" s="1"/>
  <c r="J2391" i="12"/>
  <c r="K2391" i="12" s="1"/>
  <c r="J2351" i="12"/>
  <c r="K2351" i="12" s="1"/>
  <c r="J2343" i="12"/>
  <c r="K2343" i="12" s="1"/>
  <c r="J2328" i="12"/>
  <c r="K2328" i="12" s="1"/>
  <c r="J2324" i="12"/>
  <c r="K2324" i="12" s="1"/>
  <c r="J2322" i="12"/>
  <c r="K2322" i="12" s="1"/>
  <c r="J2320" i="12"/>
  <c r="K2320" i="12" s="1"/>
  <c r="J2408" i="12"/>
  <c r="K2408" i="12" s="1"/>
  <c r="J2406" i="12"/>
  <c r="K2406" i="12" s="1"/>
  <c r="J2387" i="12"/>
  <c r="K2387" i="12" s="1"/>
  <c r="J2360" i="12"/>
  <c r="K2360" i="12" s="1"/>
  <c r="J2353" i="12"/>
  <c r="K2353" i="12" s="1"/>
  <c r="J2349" i="12"/>
  <c r="K2349" i="12" s="1"/>
  <c r="J2347" i="12"/>
  <c r="K2347" i="12" s="1"/>
  <c r="J2338" i="12"/>
  <c r="K2338" i="12" s="1"/>
  <c r="J2417" i="12"/>
  <c r="K2417" i="12" s="1"/>
  <c r="J2413" i="12"/>
  <c r="K2413" i="12" s="1"/>
  <c r="J2404" i="12"/>
  <c r="K2404" i="12" s="1"/>
  <c r="J2339" i="12"/>
  <c r="K2339" i="12" s="1"/>
  <c r="J2325" i="12"/>
  <c r="K2325" i="12" s="1"/>
  <c r="J2370" i="12"/>
  <c r="K2370" i="12" s="1"/>
  <c r="J2352" i="12"/>
  <c r="K2352" i="12" s="1"/>
  <c r="J2405" i="12"/>
  <c r="K2405" i="12" s="1"/>
  <c r="J2368" i="12"/>
  <c r="K2368" i="12" s="1"/>
  <c r="J2359" i="12"/>
  <c r="K2359" i="12" s="1"/>
  <c r="J2357" i="12"/>
  <c r="K2357" i="12" s="1"/>
  <c r="J2350" i="12"/>
  <c r="K2350" i="12" s="1"/>
  <c r="J2318" i="12"/>
  <c r="K2318" i="12" s="1"/>
  <c r="J2337" i="12"/>
  <c r="K2337" i="12" s="1"/>
  <c r="J2346" i="12"/>
  <c r="K2346" i="12" s="1"/>
  <c r="J2342" i="12"/>
  <c r="K2342" i="12" s="1"/>
  <c r="J2340" i="12"/>
  <c r="K2340" i="12" s="1"/>
  <c r="J2306" i="12"/>
  <c r="K2306" i="12" s="1"/>
  <c r="J2388" i="12"/>
  <c r="K2388" i="12" s="1"/>
  <c r="J2385" i="12"/>
  <c r="K2385" i="12" s="1"/>
  <c r="J2354" i="12"/>
  <c r="K2354" i="12" s="1"/>
  <c r="J2348" i="12"/>
  <c r="K2348" i="12" s="1"/>
  <c r="J2345" i="12"/>
  <c r="K2345" i="12" s="1"/>
  <c r="J2330" i="12"/>
  <c r="K2330" i="12" s="1"/>
  <c r="J2398" i="12"/>
  <c r="K2398" i="12" s="1"/>
  <c r="J2396" i="12"/>
  <c r="K2396" i="12" s="1"/>
  <c r="J2383" i="12"/>
  <c r="K2383" i="12" s="1"/>
  <c r="J2377" i="12"/>
  <c r="K2377" i="12" s="1"/>
  <c r="J2369" i="12"/>
  <c r="K2369" i="12" s="1"/>
  <c r="J2358" i="12"/>
  <c r="K2358" i="12" s="1"/>
  <c r="J2334" i="12"/>
  <c r="K2334" i="12" s="1"/>
  <c r="J2321" i="12"/>
  <c r="K2321" i="12" s="1"/>
  <c r="J2409" i="12"/>
  <c r="K2409" i="12" s="1"/>
  <c r="J2326" i="12"/>
  <c r="K2326" i="12" s="1"/>
  <c r="J2401" i="12"/>
  <c r="K2401" i="12" s="1"/>
  <c r="J2390" i="12"/>
  <c r="K2390" i="12" s="1"/>
  <c r="J2379" i="12"/>
  <c r="K2379" i="12" s="1"/>
  <c r="J2375" i="12"/>
  <c r="K2375" i="12" s="1"/>
  <c r="J2371" i="12"/>
  <c r="K2371" i="12" s="1"/>
  <c r="J2361" i="12"/>
  <c r="K2361" i="12" s="1"/>
  <c r="J2341" i="12"/>
  <c r="K2341" i="12" s="1"/>
  <c r="J2335" i="12"/>
  <c r="K2335" i="12" s="1"/>
  <c r="J2323" i="12"/>
  <c r="K2323" i="12" s="1"/>
  <c r="J2317" i="12"/>
  <c r="K2317" i="12" s="1"/>
  <c r="J2311" i="12"/>
  <c r="K2311" i="12" s="1"/>
  <c r="J2299" i="12"/>
  <c r="K2299" i="12" s="1"/>
  <c r="J2418" i="12"/>
  <c r="K2418" i="12" s="1"/>
  <c r="J2397" i="12"/>
  <c r="K2397" i="12" s="1"/>
  <c r="J2395" i="12"/>
  <c r="K2395" i="12" s="1"/>
  <c r="J2382" i="12"/>
  <c r="K2382" i="12" s="1"/>
  <c r="J2362" i="12"/>
  <c r="K2362" i="12" s="1"/>
  <c r="J2344" i="12"/>
  <c r="K2344" i="12" s="1"/>
  <c r="J2329" i="12"/>
  <c r="K2329" i="12" s="1"/>
  <c r="J2313" i="12"/>
  <c r="K2313" i="12" s="1"/>
  <c r="J2308" i="12"/>
  <c r="K2308" i="12" s="1"/>
  <c r="J2303" i="12"/>
  <c r="K2303" i="12" s="1"/>
  <c r="J2366" i="12"/>
  <c r="K2366" i="12" s="1"/>
  <c r="H2353" i="12"/>
  <c r="J2400" i="12"/>
  <c r="K2400" i="12" s="1"/>
  <c r="J2415" i="12"/>
  <c r="K2415" i="12" s="1"/>
  <c r="J2407" i="12"/>
  <c r="K2407" i="12" s="1"/>
  <c r="J2399" i="12"/>
  <c r="K2399" i="12" s="1"/>
  <c r="J2392" i="12"/>
  <c r="K2392" i="12" s="1"/>
  <c r="J2384" i="12"/>
  <c r="K2384" i="12" s="1"/>
  <c r="J2376" i="12"/>
  <c r="K2376" i="12" s="1"/>
  <c r="J2312" i="12"/>
  <c r="K2312" i="12" s="1"/>
  <c r="J2276" i="12"/>
  <c r="K2276" i="12" s="1"/>
  <c r="J2229" i="12"/>
  <c r="K2229" i="12" s="1"/>
  <c r="J2295" i="12"/>
  <c r="K2295" i="12" s="1"/>
  <c r="J2148" i="12"/>
  <c r="K2148" i="12" s="1"/>
  <c r="J2117" i="12"/>
  <c r="K2117" i="12" s="1"/>
  <c r="J2289" i="12"/>
  <c r="K2289" i="12" s="1"/>
  <c r="J2277" i="12"/>
  <c r="K2277" i="12" s="1"/>
  <c r="J2260" i="12"/>
  <c r="K2260" i="12" s="1"/>
  <c r="J2158" i="12"/>
  <c r="K2158" i="12" s="1"/>
  <c r="J2294" i="12"/>
  <c r="K2294" i="12" s="1"/>
  <c r="J2151" i="12"/>
  <c r="K2151" i="12" s="1"/>
  <c r="J2140" i="12"/>
  <c r="K2140" i="12" s="1"/>
  <c r="H2158" i="12"/>
  <c r="H2229" i="12"/>
  <c r="H2260" i="12"/>
  <c r="H2277" i="12"/>
  <c r="H2276" i="12"/>
  <c r="H2289" i="12"/>
  <c r="M2282" i="12"/>
  <c r="M2281" i="12"/>
  <c r="M2278" i="12"/>
  <c r="M2274" i="12"/>
  <c r="M2273" i="12"/>
  <c r="M2270" i="12"/>
  <c r="M2266" i="12"/>
  <c r="M2261" i="12"/>
  <c r="M2259" i="12"/>
  <c r="M2258" i="12"/>
  <c r="M2257" i="12"/>
  <c r="M2256" i="12"/>
  <c r="M2252" i="12"/>
  <c r="M2251" i="12"/>
  <c r="M2247" i="12"/>
  <c r="M2246" i="12"/>
  <c r="M2245" i="12"/>
  <c r="M2244" i="12"/>
  <c r="M2243" i="12"/>
  <c r="M2241" i="12"/>
  <c r="M2236" i="12"/>
  <c r="M2235" i="12"/>
  <c r="M2232" i="12"/>
  <c r="M2227" i="12"/>
  <c r="M2226" i="12"/>
  <c r="M2224" i="12"/>
  <c r="M2223" i="12"/>
  <c r="M2222" i="12"/>
  <c r="M2221" i="12"/>
  <c r="M2216" i="12"/>
  <c r="M2214" i="12"/>
  <c r="M2213" i="12"/>
  <c r="M2212" i="12"/>
  <c r="M2209" i="12"/>
  <c r="M2204" i="12"/>
  <c r="M2203" i="12"/>
  <c r="M2202" i="12"/>
  <c r="M2201" i="12"/>
  <c r="M2197" i="12"/>
  <c r="M2193" i="12"/>
  <c r="M2185" i="12"/>
  <c r="M2184" i="12"/>
  <c r="M2182" i="12"/>
  <c r="M2181" i="12"/>
  <c r="M2180" i="12"/>
  <c r="M2174" i="12"/>
  <c r="M2173" i="12"/>
  <c r="M2169" i="12"/>
  <c r="M2164" i="12"/>
  <c r="M2162" i="12"/>
  <c r="M2161" i="12"/>
  <c r="M2149" i="12"/>
  <c r="M2144" i="12"/>
  <c r="M2143" i="12"/>
  <c r="M2141" i="12"/>
  <c r="M2128" i="12"/>
  <c r="M2116" i="12"/>
  <c r="M2114" i="12"/>
  <c r="M2113" i="12"/>
  <c r="M2112" i="12"/>
  <c r="M2097" i="12"/>
  <c r="M2240" i="12"/>
  <c r="M2297" i="12"/>
  <c r="L2297" i="12"/>
  <c r="I2297" i="12"/>
  <c r="G2297" i="12"/>
  <c r="H2297" i="12" s="1"/>
  <c r="M2296" i="12"/>
  <c r="L2296" i="12"/>
  <c r="I2296" i="12"/>
  <c r="G2296" i="12"/>
  <c r="H2296" i="12" s="1"/>
  <c r="M2292" i="12"/>
  <c r="L2292" i="12"/>
  <c r="I2292" i="12"/>
  <c r="G2292" i="12"/>
  <c r="M2288" i="12"/>
  <c r="L2288" i="12"/>
  <c r="I2288" i="12"/>
  <c r="M2287" i="12"/>
  <c r="L2287" i="12"/>
  <c r="I2287" i="12"/>
  <c r="G2287" i="12"/>
  <c r="H2287" i="12" s="1"/>
  <c r="M2286" i="12"/>
  <c r="L2286" i="12"/>
  <c r="I2286" i="12"/>
  <c r="G2286" i="12"/>
  <c r="H2286" i="12" s="1"/>
  <c r="M2285" i="12"/>
  <c r="L2285" i="12"/>
  <c r="I2285" i="12"/>
  <c r="G2285" i="12"/>
  <c r="H2285" i="12" s="1"/>
  <c r="M2284" i="12"/>
  <c r="L2284" i="12"/>
  <c r="I2284" i="12"/>
  <c r="G2284" i="12"/>
  <c r="H2284" i="12" s="1"/>
  <c r="M2283" i="12"/>
  <c r="L2283" i="12"/>
  <c r="I2283" i="12"/>
  <c r="G2283" i="12"/>
  <c r="H2283" i="12" s="1"/>
  <c r="M2280" i="12"/>
  <c r="L2280" i="12"/>
  <c r="I2280" i="12"/>
  <c r="G2280" i="12"/>
  <c r="M2275" i="12"/>
  <c r="L2275" i="12"/>
  <c r="I2275" i="12"/>
  <c r="G2275" i="12"/>
  <c r="H2275" i="12" s="1"/>
  <c r="M2271" i="12"/>
  <c r="L2271" i="12"/>
  <c r="I2271" i="12"/>
  <c r="G2271" i="12"/>
  <c r="H2271" i="12" s="1"/>
  <c r="M2269" i="12"/>
  <c r="L2269" i="12"/>
  <c r="I2269" i="12"/>
  <c r="G2269" i="12"/>
  <c r="H2269" i="12" s="1"/>
  <c r="M2262" i="12"/>
  <c r="L2262" i="12"/>
  <c r="I2262" i="12"/>
  <c r="G2262" i="12"/>
  <c r="H2262" i="12" s="1"/>
  <c r="M2254" i="12"/>
  <c r="L2254" i="12"/>
  <c r="I2254" i="12"/>
  <c r="G2254" i="12"/>
  <c r="H2254" i="12" s="1"/>
  <c r="M2253" i="12"/>
  <c r="L2253" i="12"/>
  <c r="I2253" i="12"/>
  <c r="G2253" i="12"/>
  <c r="H2253" i="12" s="1"/>
  <c r="M2250" i="12"/>
  <c r="L2250" i="12"/>
  <c r="I2250" i="12"/>
  <c r="G2250" i="12"/>
  <c r="H2250" i="12" s="1"/>
  <c r="M2249" i="12"/>
  <c r="L2249" i="12"/>
  <c r="I2249" i="12"/>
  <c r="G2249" i="12"/>
  <c r="H2249" i="12" s="1"/>
  <c r="M2248" i="12"/>
  <c r="L2248" i="12"/>
  <c r="I2248" i="12"/>
  <c r="G2248" i="12"/>
  <c r="H2248" i="12" s="1"/>
  <c r="L2240" i="12"/>
  <c r="I2240" i="12"/>
  <c r="G2240" i="12"/>
  <c r="M2239" i="12"/>
  <c r="L2239" i="12"/>
  <c r="I2239" i="12"/>
  <c r="G2239" i="12"/>
  <c r="H2239" i="12" s="1"/>
  <c r="M2238" i="12"/>
  <c r="L2238" i="12"/>
  <c r="I2238" i="12"/>
  <c r="G2238" i="12"/>
  <c r="H2238" i="12" s="1"/>
  <c r="M2237" i="12"/>
  <c r="L2237" i="12"/>
  <c r="I2237" i="12"/>
  <c r="G2237" i="12"/>
  <c r="H2237" i="12" s="1"/>
  <c r="M2231" i="12"/>
  <c r="L2231" i="12"/>
  <c r="I2231" i="12"/>
  <c r="G2231" i="12"/>
  <c r="H2231" i="12" s="1"/>
  <c r="M2230" i="12"/>
  <c r="L2230" i="12"/>
  <c r="I2230" i="12"/>
  <c r="G2230" i="12"/>
  <c r="H2230" i="12" s="1"/>
  <c r="M2228" i="12"/>
  <c r="L2228" i="12"/>
  <c r="I2228" i="12"/>
  <c r="G2228" i="12"/>
  <c r="H2228" i="12" s="1"/>
  <c r="M2225" i="12"/>
  <c r="L2225" i="12"/>
  <c r="I2225" i="12"/>
  <c r="G2225" i="12"/>
  <c r="H2225" i="12" s="1"/>
  <c r="M2219" i="12"/>
  <c r="L2219" i="12"/>
  <c r="I2219" i="12"/>
  <c r="G2219" i="12"/>
  <c r="H2219" i="12" s="1"/>
  <c r="M2218" i="12"/>
  <c r="L2218" i="12"/>
  <c r="I2218" i="12"/>
  <c r="G2218" i="12"/>
  <c r="H2218" i="12" s="1"/>
  <c r="M2215" i="12"/>
  <c r="L2215" i="12"/>
  <c r="I2215" i="12"/>
  <c r="G2215" i="12"/>
  <c r="H2215" i="12" s="1"/>
  <c r="M2211" i="12"/>
  <c r="L2211" i="12"/>
  <c r="I2211" i="12"/>
  <c r="G2211" i="12"/>
  <c r="H2211" i="12" s="1"/>
  <c r="M2207" i="12"/>
  <c r="L2207" i="12"/>
  <c r="I2207" i="12"/>
  <c r="G2207" i="12"/>
  <c r="H2207" i="12" s="1"/>
  <c r="M2206" i="12"/>
  <c r="L2206" i="12"/>
  <c r="I2206" i="12"/>
  <c r="G2206" i="12"/>
  <c r="M2200" i="12"/>
  <c r="L2200" i="12"/>
  <c r="I2200" i="12"/>
  <c r="G2200" i="12"/>
  <c r="H2200" i="12" s="1"/>
  <c r="M2199" i="12"/>
  <c r="L2199" i="12"/>
  <c r="I2199" i="12"/>
  <c r="G2199" i="12"/>
  <c r="H2199" i="12" s="1"/>
  <c r="M2196" i="12"/>
  <c r="L2196" i="12"/>
  <c r="I2196" i="12"/>
  <c r="G2196" i="12"/>
  <c r="M2195" i="12"/>
  <c r="L2195" i="12"/>
  <c r="I2195" i="12"/>
  <c r="G2195" i="12"/>
  <c r="H2195" i="12" s="1"/>
  <c r="M2194" i="12"/>
  <c r="L2194" i="12"/>
  <c r="I2194" i="12"/>
  <c r="G2194" i="12"/>
  <c r="H2194" i="12" s="1"/>
  <c r="M2192" i="12"/>
  <c r="L2192" i="12"/>
  <c r="I2192" i="12"/>
  <c r="G2192" i="12"/>
  <c r="H2192" i="12" s="1"/>
  <c r="M2190" i="12"/>
  <c r="L2190" i="12"/>
  <c r="I2190" i="12"/>
  <c r="G2190" i="12"/>
  <c r="H2190" i="12" s="1"/>
  <c r="M2189" i="12"/>
  <c r="L2189" i="12"/>
  <c r="I2189" i="12"/>
  <c r="G2189" i="12"/>
  <c r="H2189" i="12" s="1"/>
  <c r="M2188" i="12"/>
  <c r="L2188" i="12"/>
  <c r="I2188" i="12"/>
  <c r="G2188" i="12"/>
  <c r="H2188" i="12" s="1"/>
  <c r="M2187" i="12"/>
  <c r="L2187" i="12"/>
  <c r="I2187" i="12"/>
  <c r="G2187" i="12"/>
  <c r="H2187" i="12" s="1"/>
  <c r="M2183" i="12"/>
  <c r="L2183" i="12"/>
  <c r="I2183" i="12"/>
  <c r="G2183" i="12"/>
  <c r="H2183" i="12" s="1"/>
  <c r="M2179" i="12"/>
  <c r="L2179" i="12"/>
  <c r="I2179" i="12"/>
  <c r="G2179" i="12"/>
  <c r="H2179" i="12" s="1"/>
  <c r="M2178" i="12"/>
  <c r="L2178" i="12"/>
  <c r="I2178" i="12"/>
  <c r="G2178" i="12"/>
  <c r="H2178" i="12" s="1"/>
  <c r="M2177" i="12"/>
  <c r="L2177" i="12"/>
  <c r="I2177" i="12"/>
  <c r="G2177" i="12"/>
  <c r="H2177" i="12" s="1"/>
  <c r="M2176" i="12"/>
  <c r="L2176" i="12"/>
  <c r="I2176" i="12"/>
  <c r="G2176" i="12"/>
  <c r="M2175" i="12"/>
  <c r="L2175" i="12"/>
  <c r="I2175" i="12"/>
  <c r="G2175" i="12"/>
  <c r="H2175" i="12" s="1"/>
  <c r="M2171" i="12"/>
  <c r="L2171" i="12"/>
  <c r="I2171" i="12"/>
  <c r="G2171" i="12"/>
  <c r="H2171" i="12" s="1"/>
  <c r="M2170" i="12"/>
  <c r="L2170" i="12"/>
  <c r="I2170" i="12"/>
  <c r="G2170" i="12"/>
  <c r="M2168" i="12"/>
  <c r="L2168" i="12"/>
  <c r="I2168" i="12"/>
  <c r="G2168" i="12"/>
  <c r="H2168" i="12" s="1"/>
  <c r="M2167" i="12"/>
  <c r="L2167" i="12"/>
  <c r="I2167" i="12"/>
  <c r="G2167" i="12"/>
  <c r="H2167" i="12" s="1"/>
  <c r="M2166" i="12"/>
  <c r="L2166" i="12"/>
  <c r="I2166" i="12"/>
  <c r="G2166" i="12"/>
  <c r="H2166" i="12" s="1"/>
  <c r="M2165" i="12"/>
  <c r="L2165" i="12"/>
  <c r="I2165" i="12"/>
  <c r="G2165" i="12"/>
  <c r="H2165" i="12" s="1"/>
  <c r="M2160" i="12"/>
  <c r="L2160" i="12"/>
  <c r="I2160" i="12"/>
  <c r="G2160" i="12"/>
  <c r="M2159" i="12"/>
  <c r="L2159" i="12"/>
  <c r="I2159" i="12"/>
  <c r="G2159" i="12"/>
  <c r="H2159" i="12" s="1"/>
  <c r="M2154" i="12"/>
  <c r="L2154" i="12"/>
  <c r="I2154" i="12"/>
  <c r="G2154" i="12"/>
  <c r="H2154" i="12" s="1"/>
  <c r="M2153" i="12"/>
  <c r="L2153" i="12"/>
  <c r="I2153" i="12"/>
  <c r="G2153" i="12"/>
  <c r="H2153" i="12" s="1"/>
  <c r="M2150" i="12"/>
  <c r="L2150" i="12"/>
  <c r="I2150" i="12"/>
  <c r="G2150" i="12"/>
  <c r="H2150" i="12" s="1"/>
  <c r="M2147" i="12"/>
  <c r="L2147" i="12"/>
  <c r="I2147" i="12"/>
  <c r="G2147" i="12"/>
  <c r="H2147" i="12" s="1"/>
  <c r="M2146" i="12"/>
  <c r="L2146" i="12"/>
  <c r="I2146" i="12"/>
  <c r="G2146" i="12"/>
  <c r="H2146" i="12" s="1"/>
  <c r="M2145" i="12"/>
  <c r="L2145" i="12"/>
  <c r="I2145" i="12"/>
  <c r="G2145" i="12"/>
  <c r="H2145" i="12" s="1"/>
  <c r="M2142" i="12"/>
  <c r="L2142" i="12"/>
  <c r="I2142" i="12"/>
  <c r="G2142" i="12"/>
  <c r="H2142" i="12" s="1"/>
  <c r="M2139" i="12"/>
  <c r="L2139" i="12"/>
  <c r="I2139" i="12"/>
  <c r="G2139" i="12"/>
  <c r="H2139" i="12" s="1"/>
  <c r="M2138" i="12"/>
  <c r="L2138" i="12"/>
  <c r="I2138" i="12"/>
  <c r="G2138" i="12"/>
  <c r="H2138" i="12" s="1"/>
  <c r="M2137" i="12"/>
  <c r="L2137" i="12"/>
  <c r="I2137" i="12"/>
  <c r="G2137" i="12"/>
  <c r="H2137" i="12" s="1"/>
  <c r="M2136" i="12"/>
  <c r="L2136" i="12"/>
  <c r="I2136" i="12"/>
  <c r="G2136" i="12"/>
  <c r="M2135" i="12"/>
  <c r="L2135" i="12"/>
  <c r="I2135" i="12"/>
  <c r="G2135" i="12"/>
  <c r="H2135" i="12" s="1"/>
  <c r="M2134" i="12"/>
  <c r="L2134" i="12"/>
  <c r="I2134" i="12"/>
  <c r="G2134" i="12"/>
  <c r="H2134" i="12" s="1"/>
  <c r="M2133" i="12"/>
  <c r="L2133" i="12"/>
  <c r="I2133" i="12"/>
  <c r="G2133" i="12"/>
  <c r="H2133" i="12" s="1"/>
  <c r="M2132" i="12"/>
  <c r="L2132" i="12"/>
  <c r="I2132" i="12"/>
  <c r="G2132" i="12"/>
  <c r="H2132" i="12" s="1"/>
  <c r="M2131" i="12"/>
  <c r="L2131" i="12"/>
  <c r="I2131" i="12"/>
  <c r="G2131" i="12"/>
  <c r="H2131" i="12" s="1"/>
  <c r="M2130" i="12"/>
  <c r="L2130" i="12"/>
  <c r="I2130" i="12"/>
  <c r="G2130" i="12"/>
  <c r="H2130" i="12" s="1"/>
  <c r="M2129" i="12"/>
  <c r="L2129" i="12"/>
  <c r="I2129" i="12"/>
  <c r="G2129" i="12"/>
  <c r="H2129" i="12" s="1"/>
  <c r="M2127" i="12"/>
  <c r="L2127" i="12"/>
  <c r="I2127" i="12"/>
  <c r="G2127" i="12"/>
  <c r="H2127" i="12" s="1"/>
  <c r="M2126" i="12"/>
  <c r="L2126" i="12"/>
  <c r="I2126" i="12"/>
  <c r="G2126" i="12"/>
  <c r="H2126" i="12" s="1"/>
  <c r="M2125" i="12"/>
  <c r="L2125" i="12"/>
  <c r="I2125" i="12"/>
  <c r="G2125" i="12"/>
  <c r="H2125" i="12" s="1"/>
  <c r="M2124" i="12"/>
  <c r="L2124" i="12"/>
  <c r="I2124" i="12"/>
  <c r="G2124" i="12"/>
  <c r="H2124" i="12" s="1"/>
  <c r="M2123" i="12"/>
  <c r="L2123" i="12"/>
  <c r="I2123" i="12"/>
  <c r="G2123" i="12"/>
  <c r="H2123" i="12" s="1"/>
  <c r="M2122" i="12"/>
  <c r="L2122" i="12"/>
  <c r="I2122" i="12"/>
  <c r="G2122" i="12"/>
  <c r="H2122" i="12" s="1"/>
  <c r="M2121" i="12"/>
  <c r="L2121" i="12"/>
  <c r="I2121" i="12"/>
  <c r="G2121" i="12"/>
  <c r="H2121" i="12" s="1"/>
  <c r="M2120" i="12"/>
  <c r="L2120" i="12"/>
  <c r="I2120" i="12"/>
  <c r="G2120" i="12"/>
  <c r="H2120" i="12" s="1"/>
  <c r="M2119" i="12"/>
  <c r="L2119" i="12"/>
  <c r="I2119" i="12"/>
  <c r="G2119" i="12"/>
  <c r="H2119" i="12" s="1"/>
  <c r="M2118" i="12"/>
  <c r="L2118" i="12"/>
  <c r="I2118" i="12"/>
  <c r="G2118" i="12"/>
  <c r="H2118" i="12" s="1"/>
  <c r="M2115" i="12"/>
  <c r="L2115" i="12"/>
  <c r="I2115" i="12"/>
  <c r="G2115" i="12"/>
  <c r="H2115" i="12" s="1"/>
  <c r="M2111" i="12"/>
  <c r="L2111" i="12"/>
  <c r="I2111" i="12"/>
  <c r="G2111" i="12"/>
  <c r="H2111" i="12" s="1"/>
  <c r="M2110" i="12"/>
  <c r="L2110" i="12"/>
  <c r="I2110" i="12"/>
  <c r="G2110" i="12"/>
  <c r="H2110" i="12" s="1"/>
  <c r="M2109" i="12"/>
  <c r="L2109" i="12"/>
  <c r="I2109" i="12"/>
  <c r="G2109" i="12"/>
  <c r="M2108" i="12"/>
  <c r="L2108" i="12"/>
  <c r="I2108" i="12"/>
  <c r="G2108" i="12"/>
  <c r="H2108" i="12" s="1"/>
  <c r="M2107" i="12"/>
  <c r="L2107" i="12"/>
  <c r="I2107" i="12"/>
  <c r="G2107" i="12"/>
  <c r="H2107" i="12" s="1"/>
  <c r="M2106" i="12"/>
  <c r="L2106" i="12"/>
  <c r="I2106" i="12"/>
  <c r="G2106" i="12"/>
  <c r="M2105" i="12"/>
  <c r="L2105" i="12"/>
  <c r="I2105" i="12"/>
  <c r="G2105" i="12"/>
  <c r="H2105" i="12" s="1"/>
  <c r="M2104" i="12"/>
  <c r="L2104" i="12"/>
  <c r="I2104" i="12"/>
  <c r="G2104" i="12"/>
  <c r="H2104" i="12" s="1"/>
  <c r="M2103" i="12"/>
  <c r="L2103" i="12"/>
  <c r="I2103" i="12"/>
  <c r="G2103" i="12"/>
  <c r="H2103" i="12" s="1"/>
  <c r="M2102" i="12"/>
  <c r="L2102" i="12"/>
  <c r="I2102" i="12"/>
  <c r="G2102" i="12"/>
  <c r="H2102" i="12" s="1"/>
  <c r="M2101" i="12"/>
  <c r="L2101" i="12"/>
  <c r="I2101" i="12"/>
  <c r="G2101" i="12"/>
  <c r="M2100" i="12"/>
  <c r="L2100" i="12"/>
  <c r="I2100" i="12"/>
  <c r="G2100" i="12"/>
  <c r="H2100" i="12" s="1"/>
  <c r="M2099" i="12"/>
  <c r="L2099" i="12"/>
  <c r="I2099" i="12"/>
  <c r="G2099" i="12"/>
  <c r="H2099" i="12" s="1"/>
  <c r="M2098" i="12"/>
  <c r="L2098" i="12"/>
  <c r="I2098" i="12"/>
  <c r="G2098" i="12"/>
  <c r="H2098" i="12" s="1"/>
  <c r="M2096" i="12"/>
  <c r="L2096" i="12"/>
  <c r="I2096" i="12"/>
  <c r="G2096" i="12"/>
  <c r="H2096" i="12" s="1"/>
  <c r="M2095" i="12"/>
  <c r="L2095" i="12"/>
  <c r="I2095" i="12"/>
  <c r="G2095" i="12"/>
  <c r="H2095" i="12" s="1"/>
  <c r="M2094" i="12"/>
  <c r="L2094" i="12"/>
  <c r="I2094" i="12"/>
  <c r="G2094" i="12"/>
  <c r="H2094" i="12" s="1"/>
  <c r="M2093" i="12"/>
  <c r="L2093" i="12"/>
  <c r="I2093" i="12"/>
  <c r="G2093" i="12"/>
  <c r="H2093" i="12" s="1"/>
  <c r="M2092" i="12"/>
  <c r="L2092" i="12"/>
  <c r="I2092" i="12"/>
  <c r="G2092" i="12"/>
  <c r="H2092" i="12" s="1"/>
  <c r="M2091" i="12"/>
  <c r="L2091" i="12"/>
  <c r="I2091" i="12"/>
  <c r="G2091" i="12"/>
  <c r="H2091" i="12" s="1"/>
  <c r="M2090" i="12"/>
  <c r="L2090" i="12"/>
  <c r="I2090" i="12"/>
  <c r="G2090" i="12"/>
  <c r="M2089" i="12"/>
  <c r="L2089" i="12"/>
  <c r="I2089" i="12"/>
  <c r="G2089" i="12"/>
  <c r="H2089" i="12" s="1"/>
  <c r="M2088" i="12"/>
  <c r="L2088" i="12"/>
  <c r="I2088" i="12"/>
  <c r="G2088" i="12"/>
  <c r="H2088" i="12" s="1"/>
  <c r="M2087" i="12"/>
  <c r="L2087" i="12"/>
  <c r="I2087" i="12"/>
  <c r="G2087" i="12"/>
  <c r="H2087" i="12" s="1"/>
  <c r="M2086" i="12"/>
  <c r="L2086" i="12"/>
  <c r="I2086" i="12"/>
  <c r="G2086" i="12"/>
  <c r="H2086" i="12" s="1"/>
  <c r="M2085" i="12"/>
  <c r="L2085" i="12"/>
  <c r="I2085" i="12"/>
  <c r="G2085" i="12"/>
  <c r="H2085" i="12" s="1"/>
  <c r="M2084" i="12"/>
  <c r="L2084" i="12"/>
  <c r="I2084" i="12"/>
  <c r="G2084" i="12"/>
  <c r="H2084" i="12" s="1"/>
  <c r="M2083" i="12"/>
  <c r="L2083" i="12"/>
  <c r="I2083" i="12"/>
  <c r="G2083" i="12"/>
  <c r="H2083" i="12" s="1"/>
  <c r="M2082" i="12"/>
  <c r="L2082" i="12"/>
  <c r="I2082" i="12"/>
  <c r="G2082" i="12"/>
  <c r="H2082" i="12" s="1"/>
  <c r="M2081" i="12"/>
  <c r="L2081" i="12"/>
  <c r="I2081" i="12"/>
  <c r="G2081" i="12"/>
  <c r="H2081" i="12" s="1"/>
  <c r="M2080" i="12"/>
  <c r="L2080" i="12"/>
  <c r="I2080" i="12"/>
  <c r="G2080" i="12"/>
  <c r="H2080" i="12" s="1"/>
  <c r="M2079" i="12"/>
  <c r="L2079" i="12"/>
  <c r="I2079" i="12"/>
  <c r="G2079" i="12"/>
  <c r="H2079" i="12" s="1"/>
  <c r="M2078" i="12"/>
  <c r="L2078" i="12"/>
  <c r="I2078" i="12"/>
  <c r="G2078" i="12"/>
  <c r="H2078" i="12" s="1"/>
  <c r="M2077" i="12"/>
  <c r="L2077" i="12"/>
  <c r="I2077" i="12"/>
  <c r="G2077" i="12"/>
  <c r="H2077" i="12" s="1"/>
  <c r="M2076" i="12"/>
  <c r="L2076" i="12"/>
  <c r="I2076" i="12"/>
  <c r="G2076" i="12"/>
  <c r="H2076" i="12" s="1"/>
  <c r="M2075" i="12"/>
  <c r="L2075" i="12"/>
  <c r="I2075" i="12"/>
  <c r="G2075" i="12"/>
  <c r="H2075" i="12" s="1"/>
  <c r="M2074" i="12"/>
  <c r="L2074" i="12"/>
  <c r="I2074" i="12"/>
  <c r="G2074" i="12"/>
  <c r="M2073" i="12"/>
  <c r="L2073" i="12"/>
  <c r="I2073" i="12"/>
  <c r="G2073" i="12"/>
  <c r="H2073" i="12" s="1"/>
  <c r="M2072" i="12"/>
  <c r="L2072" i="12"/>
  <c r="I2072" i="12"/>
  <c r="G2072" i="12"/>
  <c r="H2072" i="12" s="1"/>
  <c r="M2071" i="12"/>
  <c r="L2071" i="12"/>
  <c r="I2071" i="12"/>
  <c r="G2071" i="12"/>
  <c r="H2071" i="12" s="1"/>
  <c r="M2070" i="12"/>
  <c r="L2070" i="12"/>
  <c r="I2070" i="12"/>
  <c r="G2070" i="12"/>
  <c r="H2070" i="12" s="1"/>
  <c r="M2069" i="12"/>
  <c r="L2069" i="12"/>
  <c r="I2069" i="12"/>
  <c r="G2069" i="12"/>
  <c r="H2069" i="12" s="1"/>
  <c r="M2068" i="12"/>
  <c r="L2068" i="12"/>
  <c r="I2068" i="12"/>
  <c r="G2068" i="12"/>
  <c r="H2068" i="12" s="1"/>
  <c r="M2067" i="12"/>
  <c r="L2067" i="12"/>
  <c r="I2067" i="12"/>
  <c r="G2067" i="12"/>
  <c r="H2067" i="12" s="1"/>
  <c r="M2066" i="12"/>
  <c r="L2066" i="12"/>
  <c r="I2066" i="12"/>
  <c r="G2066" i="12"/>
  <c r="H2066" i="12" s="1"/>
  <c r="M2065" i="12"/>
  <c r="L2065" i="12"/>
  <c r="I2065" i="12"/>
  <c r="G2065" i="12"/>
  <c r="H2065" i="12" s="1"/>
  <c r="M2064" i="12"/>
  <c r="L2064" i="12"/>
  <c r="I2064" i="12"/>
  <c r="G2064" i="12"/>
  <c r="H2064" i="12" s="1"/>
  <c r="M2063" i="12"/>
  <c r="L2063" i="12"/>
  <c r="I2063" i="12"/>
  <c r="G2063" i="12"/>
  <c r="H2063" i="12" s="1"/>
  <c r="M2062" i="12"/>
  <c r="L2062" i="12"/>
  <c r="I2062" i="12"/>
  <c r="G2062" i="12"/>
  <c r="H2062" i="12" s="1"/>
  <c r="M2061" i="12"/>
  <c r="L2061" i="12"/>
  <c r="I2061" i="12"/>
  <c r="G2061" i="12"/>
  <c r="H2061" i="12" s="1"/>
  <c r="M2060" i="12"/>
  <c r="L2060" i="12"/>
  <c r="I2060" i="12"/>
  <c r="G2060" i="12"/>
  <c r="H2060" i="12" s="1"/>
  <c r="M2059" i="12"/>
  <c r="L2059" i="12"/>
  <c r="I2059" i="12"/>
  <c r="G2059" i="12"/>
  <c r="H2059" i="12" s="1"/>
  <c r="M2058" i="12"/>
  <c r="L2058" i="12"/>
  <c r="I2058" i="12"/>
  <c r="G2058" i="12"/>
  <c r="H2058" i="12" s="1"/>
  <c r="M2057" i="12"/>
  <c r="L2057" i="12"/>
  <c r="I2057" i="12"/>
  <c r="G2057" i="12"/>
  <c r="H2057" i="12" s="1"/>
  <c r="M2056" i="12"/>
  <c r="L2056" i="12"/>
  <c r="I2056" i="12"/>
  <c r="G2056" i="12"/>
  <c r="H2056" i="12" s="1"/>
  <c r="M2055" i="12"/>
  <c r="L2055" i="12"/>
  <c r="I2055" i="12"/>
  <c r="G2055" i="12"/>
  <c r="M2054" i="12"/>
  <c r="L2054" i="12"/>
  <c r="I2054" i="12"/>
  <c r="G2054" i="12"/>
  <c r="H2054" i="12" s="1"/>
  <c r="M2053" i="12"/>
  <c r="L2053" i="12"/>
  <c r="I2053" i="12"/>
  <c r="G2053" i="12"/>
  <c r="H2053" i="12" s="1"/>
  <c r="M2052" i="12"/>
  <c r="L2052" i="12"/>
  <c r="I2052" i="12"/>
  <c r="G2052" i="12"/>
  <c r="H2052" i="12" s="1"/>
  <c r="M2051" i="12"/>
  <c r="L2051" i="12"/>
  <c r="I2051" i="12"/>
  <c r="G2051" i="12"/>
  <c r="H2051" i="12" s="1"/>
  <c r="M2050" i="12"/>
  <c r="L2050" i="12"/>
  <c r="I2050" i="12"/>
  <c r="G2050" i="12"/>
  <c r="M2049" i="12"/>
  <c r="L2049" i="12"/>
  <c r="I2049" i="12"/>
  <c r="G2049" i="12"/>
  <c r="H2049" i="12" s="1"/>
  <c r="M2048" i="12"/>
  <c r="L2048" i="12"/>
  <c r="I2048" i="12"/>
  <c r="G2048" i="12"/>
  <c r="H2048" i="12" s="1"/>
  <c r="M2047" i="12"/>
  <c r="L2047" i="12"/>
  <c r="I2047" i="12"/>
  <c r="G2047" i="12"/>
  <c r="M2046" i="12"/>
  <c r="L2046" i="12"/>
  <c r="I2046" i="12"/>
  <c r="G2046" i="12"/>
  <c r="H2046" i="12" s="1"/>
  <c r="M2045" i="12"/>
  <c r="L2045" i="12"/>
  <c r="I2045" i="12"/>
  <c r="G2045" i="12"/>
  <c r="H2045" i="12" s="1"/>
  <c r="M2044" i="12"/>
  <c r="L2044" i="12"/>
  <c r="I2044" i="12"/>
  <c r="G2044" i="12"/>
  <c r="H2044" i="12" s="1"/>
  <c r="M2043" i="12"/>
  <c r="L2043" i="12"/>
  <c r="I2043" i="12"/>
  <c r="G2043" i="12"/>
  <c r="H2043" i="12" s="1"/>
  <c r="M2042" i="12"/>
  <c r="L2042" i="12"/>
  <c r="I2042" i="12"/>
  <c r="G2042" i="12"/>
  <c r="H2042" i="12" s="1"/>
  <c r="M2041" i="12"/>
  <c r="L2041" i="12"/>
  <c r="I2041" i="12"/>
  <c r="G2041" i="12"/>
  <c r="M2040" i="12"/>
  <c r="L2040" i="12"/>
  <c r="I2040" i="12"/>
  <c r="G2040" i="12"/>
  <c r="H2040" i="12" s="1"/>
  <c r="M2039" i="12"/>
  <c r="L2039" i="12"/>
  <c r="I2039" i="12"/>
  <c r="G2039" i="12"/>
  <c r="H2039" i="12" s="1"/>
  <c r="M2038" i="12"/>
  <c r="L2038" i="12"/>
  <c r="I2038" i="12"/>
  <c r="G2038" i="12"/>
  <c r="H2038" i="12" s="1"/>
  <c r="M2037" i="12"/>
  <c r="L2037" i="12"/>
  <c r="I2037" i="12"/>
  <c r="G2037" i="12"/>
  <c r="H2037" i="12" s="1"/>
  <c r="M2036" i="12"/>
  <c r="L2036" i="12"/>
  <c r="I2036" i="12"/>
  <c r="G2036" i="12"/>
  <c r="H2036" i="12" s="1"/>
  <c r="M2035" i="12"/>
  <c r="L2035" i="12"/>
  <c r="I2035" i="12"/>
  <c r="G2035" i="12"/>
  <c r="H2035" i="12" s="1"/>
  <c r="M2034" i="12"/>
  <c r="L2034" i="12"/>
  <c r="I2034" i="12"/>
  <c r="G2034" i="12"/>
  <c r="H2034" i="12" s="1"/>
  <c r="M2033" i="12"/>
  <c r="L2033" i="12"/>
  <c r="I2033" i="12"/>
  <c r="G2033" i="12"/>
  <c r="M2032" i="12"/>
  <c r="L2032" i="12"/>
  <c r="I2032" i="12"/>
  <c r="G2032" i="12"/>
  <c r="H2032" i="12" s="1"/>
  <c r="M2031" i="12"/>
  <c r="L2031" i="12"/>
  <c r="I2031" i="12"/>
  <c r="G2031" i="12"/>
  <c r="H2031" i="12" s="1"/>
  <c r="M2030" i="12"/>
  <c r="L2030" i="12"/>
  <c r="I2030" i="12"/>
  <c r="G2030" i="12"/>
  <c r="H2030" i="12" s="1"/>
  <c r="M2029" i="12"/>
  <c r="L2029" i="12"/>
  <c r="I2029" i="12"/>
  <c r="G2029" i="12"/>
  <c r="H2029" i="12" s="1"/>
  <c r="M2028" i="12"/>
  <c r="L2028" i="12"/>
  <c r="I2028" i="12"/>
  <c r="G2028" i="12"/>
  <c r="H2028" i="12" s="1"/>
  <c r="M2027" i="12"/>
  <c r="L2027" i="12"/>
  <c r="I2027" i="12"/>
  <c r="G2027" i="12"/>
  <c r="H2027" i="12" s="1"/>
  <c r="M2026" i="12"/>
  <c r="L2026" i="12"/>
  <c r="I2026" i="12"/>
  <c r="G2026" i="12"/>
  <c r="H2026" i="12" s="1"/>
  <c r="M2025" i="12"/>
  <c r="L2025" i="12"/>
  <c r="I2025" i="12"/>
  <c r="G2025" i="12"/>
  <c r="H2025" i="12" s="1"/>
  <c r="M2024" i="12"/>
  <c r="L2024" i="12"/>
  <c r="I2024" i="12"/>
  <c r="G2024" i="12"/>
  <c r="H2024" i="12" s="1"/>
  <c r="M2023" i="12"/>
  <c r="L2023" i="12"/>
  <c r="I2023" i="12"/>
  <c r="G2023" i="12"/>
  <c r="H2023" i="12" s="1"/>
  <c r="M2022" i="12"/>
  <c r="L2022" i="12"/>
  <c r="I2022" i="12"/>
  <c r="G2022" i="12"/>
  <c r="H2022" i="12" s="1"/>
  <c r="M2021" i="12"/>
  <c r="L2021" i="12"/>
  <c r="I2021" i="12"/>
  <c r="G2021" i="12"/>
  <c r="H2021" i="12" s="1"/>
  <c r="C8" i="15"/>
  <c r="J3" i="13" a="1"/>
  <c r="J3" i="13" s="1"/>
  <c r="C4" i="18" s="1"/>
  <c r="J2098" i="12" l="1"/>
  <c r="K2098" i="12" s="1"/>
  <c r="J2036" i="12"/>
  <c r="K2036" i="12" s="1"/>
  <c r="J2038" i="12"/>
  <c r="K2038" i="12" s="1"/>
  <c r="J2225" i="12"/>
  <c r="K2225" i="12" s="1"/>
  <c r="J2056" i="12"/>
  <c r="K2056" i="12" s="1"/>
  <c r="J2068" i="12"/>
  <c r="K2068" i="12" s="1"/>
  <c r="J2086" i="12"/>
  <c r="K2086" i="12" s="1"/>
  <c r="J2122" i="12"/>
  <c r="K2122" i="12" s="1"/>
  <c r="J2178" i="12"/>
  <c r="K2178" i="12" s="1"/>
  <c r="J2188" i="12"/>
  <c r="K2188" i="12" s="1"/>
  <c r="J2194" i="12"/>
  <c r="K2194" i="12" s="1"/>
  <c r="J2200" i="12"/>
  <c r="K2200" i="12" s="1"/>
  <c r="J2207" i="12"/>
  <c r="K2207" i="12" s="1"/>
  <c r="J2238" i="12"/>
  <c r="K2238" i="12" s="1"/>
  <c r="J2262" i="12"/>
  <c r="K2262" i="12" s="1"/>
  <c r="J2296" i="12"/>
  <c r="K2296" i="12" s="1"/>
  <c r="J2135" i="12"/>
  <c r="K2135" i="12" s="1"/>
  <c r="J2168" i="12"/>
  <c r="K2168" i="12" s="1"/>
  <c r="J2023" i="12"/>
  <c r="K2023" i="12" s="1"/>
  <c r="J2051" i="12"/>
  <c r="K2051" i="12" s="1"/>
  <c r="J2069" i="12"/>
  <c r="K2069" i="12" s="1"/>
  <c r="J2071" i="12"/>
  <c r="K2071" i="12" s="1"/>
  <c r="J2085" i="12"/>
  <c r="K2085" i="12" s="1"/>
  <c r="J2111" i="12"/>
  <c r="K2111" i="12" s="1"/>
  <c r="J2123" i="12"/>
  <c r="K2123" i="12" s="1"/>
  <c r="J2248" i="12"/>
  <c r="K2248" i="12" s="1"/>
  <c r="J2230" i="12"/>
  <c r="K2230" i="12" s="1"/>
  <c r="J2039" i="12"/>
  <c r="K2039" i="12" s="1"/>
  <c r="J2047" i="12"/>
  <c r="K2047" i="12" s="1"/>
  <c r="J2115" i="12"/>
  <c r="K2115" i="12" s="1"/>
  <c r="J2119" i="12"/>
  <c r="K2119" i="12" s="1"/>
  <c r="J2121" i="12"/>
  <c r="K2121" i="12" s="1"/>
  <c r="J2176" i="12"/>
  <c r="K2176" i="12" s="1"/>
  <c r="J2239" i="12"/>
  <c r="K2239" i="12" s="1"/>
  <c r="J2092" i="12"/>
  <c r="K2092" i="12" s="1"/>
  <c r="J2096" i="12"/>
  <c r="K2096" i="12" s="1"/>
  <c r="J2219" i="12"/>
  <c r="K2219" i="12" s="1"/>
  <c r="J2022" i="12"/>
  <c r="K2022" i="12" s="1"/>
  <c r="J2134" i="12"/>
  <c r="K2134" i="12" s="1"/>
  <c r="J2043" i="12"/>
  <c r="K2043" i="12" s="1"/>
  <c r="J2107" i="12"/>
  <c r="K2107" i="12" s="1"/>
  <c r="J2138" i="12"/>
  <c r="K2138" i="12" s="1"/>
  <c r="J2280" i="12"/>
  <c r="K2280" i="12" s="1"/>
  <c r="J2147" i="12"/>
  <c r="K2147" i="12" s="1"/>
  <c r="J2044" i="12"/>
  <c r="K2044" i="12" s="1"/>
  <c r="J2124" i="12"/>
  <c r="K2124" i="12" s="1"/>
  <c r="J2187" i="12"/>
  <c r="K2187" i="12" s="1"/>
  <c r="J2192" i="12"/>
  <c r="K2192" i="12" s="1"/>
  <c r="J2199" i="12"/>
  <c r="K2199" i="12" s="1"/>
  <c r="J2028" i="12"/>
  <c r="K2028" i="12" s="1"/>
  <c r="J2095" i="12"/>
  <c r="K2095" i="12" s="1"/>
  <c r="J2126" i="12"/>
  <c r="K2126" i="12" s="1"/>
  <c r="J2211" i="12"/>
  <c r="K2211" i="12" s="1"/>
  <c r="J2218" i="12"/>
  <c r="K2218" i="12" s="1"/>
  <c r="J2129" i="12"/>
  <c r="K2129" i="12" s="1"/>
  <c r="J2029" i="12"/>
  <c r="K2029" i="12" s="1"/>
  <c r="J2031" i="12"/>
  <c r="K2031" i="12" s="1"/>
  <c r="J2048" i="12"/>
  <c r="K2048" i="12" s="1"/>
  <c r="J2061" i="12"/>
  <c r="K2061" i="12" s="1"/>
  <c r="J2063" i="12"/>
  <c r="K2063" i="12" s="1"/>
  <c r="J2065" i="12"/>
  <c r="K2065" i="12" s="1"/>
  <c r="J2080" i="12"/>
  <c r="K2080" i="12" s="1"/>
  <c r="J2082" i="12"/>
  <c r="K2082" i="12" s="1"/>
  <c r="J2093" i="12"/>
  <c r="K2093" i="12" s="1"/>
  <c r="J2142" i="12"/>
  <c r="K2142" i="12" s="1"/>
  <c r="J2166" i="12"/>
  <c r="K2166" i="12" s="1"/>
  <c r="J2175" i="12"/>
  <c r="K2175" i="12" s="1"/>
  <c r="J2206" i="12"/>
  <c r="K2206" i="12" s="1"/>
  <c r="J2283" i="12"/>
  <c r="K2283" i="12" s="1"/>
  <c r="J2035" i="12"/>
  <c r="K2035" i="12" s="1"/>
  <c r="J2037" i="12"/>
  <c r="K2037" i="12" s="1"/>
  <c r="J2041" i="12"/>
  <c r="K2041" i="12" s="1"/>
  <c r="J2101" i="12"/>
  <c r="K2101" i="12" s="1"/>
  <c r="J2118" i="12"/>
  <c r="K2118" i="12" s="1"/>
  <c r="J2120" i="12"/>
  <c r="K2120" i="12" s="1"/>
  <c r="J2179" i="12"/>
  <c r="K2179" i="12" s="1"/>
  <c r="J2195" i="12"/>
  <c r="K2195" i="12" s="1"/>
  <c r="J2076" i="12"/>
  <c r="K2076" i="12" s="1"/>
  <c r="J2231" i="12"/>
  <c r="K2231" i="12" s="1"/>
  <c r="J2090" i="12"/>
  <c r="K2090" i="12" s="1"/>
  <c r="J2109" i="12"/>
  <c r="K2109" i="12" s="1"/>
  <c r="J2127" i="12"/>
  <c r="K2127" i="12" s="1"/>
  <c r="J2058" i="12"/>
  <c r="K2058" i="12" s="1"/>
  <c r="J2060" i="12"/>
  <c r="K2060" i="12" s="1"/>
  <c r="J2075" i="12"/>
  <c r="K2075" i="12" s="1"/>
  <c r="J2079" i="12"/>
  <c r="K2079" i="12" s="1"/>
  <c r="J2130" i="12"/>
  <c r="K2130" i="12" s="1"/>
  <c r="J2139" i="12"/>
  <c r="K2139" i="12" s="1"/>
  <c r="J2110" i="12"/>
  <c r="K2110" i="12" s="1"/>
  <c r="J2034" i="12"/>
  <c r="K2034" i="12" s="1"/>
  <c r="J2081" i="12"/>
  <c r="K2081" i="12" s="1"/>
  <c r="J2167" i="12"/>
  <c r="K2167" i="12" s="1"/>
  <c r="J2196" i="12"/>
  <c r="K2196" i="12" s="1"/>
  <c r="J2284" i="12"/>
  <c r="K2284" i="12" s="1"/>
  <c r="J2021" i="12"/>
  <c r="K2021" i="12" s="1"/>
  <c r="J2049" i="12"/>
  <c r="K2049" i="12" s="1"/>
  <c r="J2136" i="12"/>
  <c r="K2136" i="12" s="1"/>
  <c r="J2240" i="12"/>
  <c r="K2240" i="12" s="1"/>
  <c r="J2288" i="12"/>
  <c r="K2288" i="12" s="1"/>
  <c r="J2040" i="12"/>
  <c r="K2040" i="12" s="1"/>
  <c r="J2269" i="12"/>
  <c r="K2269" i="12" s="1"/>
  <c r="J2030" i="12"/>
  <c r="K2030" i="12" s="1"/>
  <c r="J2042" i="12"/>
  <c r="K2042" i="12" s="1"/>
  <c r="J2045" i="12"/>
  <c r="K2045" i="12" s="1"/>
  <c r="J2067" i="12"/>
  <c r="K2067" i="12" s="1"/>
  <c r="J2072" i="12"/>
  <c r="K2072" i="12" s="1"/>
  <c r="J2074" i="12"/>
  <c r="K2074" i="12" s="1"/>
  <c r="J2077" i="12"/>
  <c r="K2077" i="12" s="1"/>
  <c r="J2084" i="12"/>
  <c r="K2084" i="12" s="1"/>
  <c r="J2094" i="12"/>
  <c r="K2094" i="12" s="1"/>
  <c r="J2099" i="12"/>
  <c r="K2099" i="12" s="1"/>
  <c r="H2101" i="12"/>
  <c r="J2104" i="12"/>
  <c r="K2104" i="12" s="1"/>
  <c r="J2106" i="12"/>
  <c r="K2106" i="12" s="1"/>
  <c r="H2109" i="12"/>
  <c r="H2136" i="12"/>
  <c r="H2196" i="12"/>
  <c r="H2206" i="12"/>
  <c r="H2240" i="12"/>
  <c r="J2250" i="12"/>
  <c r="K2250" i="12" s="1"/>
  <c r="J2253" i="12"/>
  <c r="K2253" i="12" s="1"/>
  <c r="J2287" i="12"/>
  <c r="K2287" i="12" s="1"/>
  <c r="J2057" i="12"/>
  <c r="K2057" i="12" s="1"/>
  <c r="J2027" i="12"/>
  <c r="K2027" i="12" s="1"/>
  <c r="J2032" i="12"/>
  <c r="K2032" i="12" s="1"/>
  <c r="J2054" i="12"/>
  <c r="K2054" i="12" s="1"/>
  <c r="J2064" i="12"/>
  <c r="K2064" i="12" s="1"/>
  <c r="J2066" i="12"/>
  <c r="K2066" i="12" s="1"/>
  <c r="H2074" i="12"/>
  <c r="J2091" i="12"/>
  <c r="K2091" i="12" s="1"/>
  <c r="H2106" i="12"/>
  <c r="J2133" i="12"/>
  <c r="K2133" i="12" s="1"/>
  <c r="J2146" i="12"/>
  <c r="K2146" i="12" s="1"/>
  <c r="J2190" i="12"/>
  <c r="K2190" i="12" s="1"/>
  <c r="J2271" i="12"/>
  <c r="K2271" i="12" s="1"/>
  <c r="J2062" i="12"/>
  <c r="K2062" i="12" s="1"/>
  <c r="J2154" i="12"/>
  <c r="K2154" i="12" s="1"/>
  <c r="J2024" i="12"/>
  <c r="K2024" i="12" s="1"/>
  <c r="J2297" i="12"/>
  <c r="K2297" i="12" s="1"/>
  <c r="J2026" i="12"/>
  <c r="K2026" i="12" s="1"/>
  <c r="J2033" i="12"/>
  <c r="K2033" i="12" s="1"/>
  <c r="J2046" i="12"/>
  <c r="K2046" i="12" s="1"/>
  <c r="J2053" i="12"/>
  <c r="K2053" i="12" s="1"/>
  <c r="J2078" i="12"/>
  <c r="K2078" i="12" s="1"/>
  <c r="J2083" i="12"/>
  <c r="K2083" i="12" s="1"/>
  <c r="J2088" i="12"/>
  <c r="K2088" i="12" s="1"/>
  <c r="J2100" i="12"/>
  <c r="K2100" i="12" s="1"/>
  <c r="J2108" i="12"/>
  <c r="K2108" i="12" s="1"/>
  <c r="J2132" i="12"/>
  <c r="K2132" i="12" s="1"/>
  <c r="H2176" i="12"/>
  <c r="J2189" i="12"/>
  <c r="K2189" i="12" s="1"/>
  <c r="J2228" i="12"/>
  <c r="K2228" i="12" s="1"/>
  <c r="J2286" i="12"/>
  <c r="K2286" i="12" s="1"/>
  <c r="H2288" i="12"/>
  <c r="J2102" i="12"/>
  <c r="K2102" i="12" s="1"/>
  <c r="J2050" i="12"/>
  <c r="K2050" i="12" s="1"/>
  <c r="J2055" i="12"/>
  <c r="K2055" i="12" s="1"/>
  <c r="J2131" i="12"/>
  <c r="K2131" i="12" s="1"/>
  <c r="J2150" i="12"/>
  <c r="K2150" i="12" s="1"/>
  <c r="J2165" i="12"/>
  <c r="K2165" i="12" s="1"/>
  <c r="J2254" i="12"/>
  <c r="K2254" i="12" s="1"/>
  <c r="J2275" i="12"/>
  <c r="K2275" i="12" s="1"/>
  <c r="H2041" i="12"/>
  <c r="H2090" i="12"/>
  <c r="J2125" i="12"/>
  <c r="K2125" i="12" s="1"/>
  <c r="H2033" i="12"/>
  <c r="J2103" i="12"/>
  <c r="K2103" i="12" s="1"/>
  <c r="H2292" i="12"/>
  <c r="J2292" i="12"/>
  <c r="K2292" i="12" s="1"/>
  <c r="H2047" i="12"/>
  <c r="J2070" i="12"/>
  <c r="K2070" i="12" s="1"/>
  <c r="J2025" i="12"/>
  <c r="K2025" i="12" s="1"/>
  <c r="J2052" i="12"/>
  <c r="K2052" i="12" s="1"/>
  <c r="J2087" i="12"/>
  <c r="K2087" i="12" s="1"/>
  <c r="J2073" i="12"/>
  <c r="K2073" i="12" s="1"/>
  <c r="J2105" i="12"/>
  <c r="K2105" i="12" s="1"/>
  <c r="J2171" i="12"/>
  <c r="K2171" i="12" s="1"/>
  <c r="J2177" i="12"/>
  <c r="K2177" i="12" s="1"/>
  <c r="H2050" i="12"/>
  <c r="H2055" i="12"/>
  <c r="J2137" i="12"/>
  <c r="K2137" i="12" s="1"/>
  <c r="J2159" i="12"/>
  <c r="K2159" i="12" s="1"/>
  <c r="J2089" i="12"/>
  <c r="K2089" i="12" s="1"/>
  <c r="J2059" i="12"/>
  <c r="K2059" i="12" s="1"/>
  <c r="J2160" i="12"/>
  <c r="K2160" i="12" s="1"/>
  <c r="H2160" i="12"/>
  <c r="J2170" i="12"/>
  <c r="K2170" i="12" s="1"/>
  <c r="H2170" i="12"/>
  <c r="J2237" i="12"/>
  <c r="K2237" i="12" s="1"/>
  <c r="H2280" i="12"/>
  <c r="J2285" i="12"/>
  <c r="K2285" i="12" s="1"/>
  <c r="J2153" i="12"/>
  <c r="K2153" i="12" s="1"/>
  <c r="J2249" i="12"/>
  <c r="K2249" i="12" s="1"/>
  <c r="J2145" i="12"/>
  <c r="K2145" i="12" s="1"/>
  <c r="J2183" i="12"/>
  <c r="K2183" i="12" s="1"/>
  <c r="J2215" i="12"/>
  <c r="K2215" i="12" s="1"/>
  <c r="C5" i="18"/>
  <c r="G3" i="6" a="1"/>
  <c r="G3" i="6" s="1"/>
  <c r="N4" i="18"/>
  <c r="D3" i="6" a="1"/>
  <c r="D3" i="6" s="1"/>
  <c r="B5" i="18"/>
  <c r="M1737" i="12"/>
  <c r="M1738" i="12"/>
  <c r="M1739" i="12"/>
  <c r="M1740" i="12"/>
  <c r="M1741" i="12"/>
  <c r="M1742" i="12"/>
  <c r="M1743" i="12"/>
  <c r="M1744" i="12"/>
  <c r="M1745" i="12"/>
  <c r="M1746" i="12"/>
  <c r="M1747" i="12"/>
  <c r="M1748" i="12"/>
  <c r="M1749" i="12"/>
  <c r="M1750" i="12"/>
  <c r="M1751" i="12"/>
  <c r="M1752" i="12"/>
  <c r="M1753" i="12"/>
  <c r="M1754" i="12"/>
  <c r="M1755" i="12"/>
  <c r="M1756" i="12"/>
  <c r="M1757" i="12"/>
  <c r="M1758" i="12"/>
  <c r="M1759" i="12"/>
  <c r="M1760" i="12"/>
  <c r="M1761" i="12"/>
  <c r="M1762" i="12"/>
  <c r="M1763" i="12"/>
  <c r="M1764" i="12"/>
  <c r="M1765" i="12"/>
  <c r="M1766" i="12"/>
  <c r="M1767" i="12"/>
  <c r="M1768" i="12"/>
  <c r="M1769" i="12"/>
  <c r="M1770" i="12"/>
  <c r="M1771" i="12"/>
  <c r="M1772" i="12"/>
  <c r="M1773" i="12"/>
  <c r="M1774" i="12"/>
  <c r="M1775" i="12"/>
  <c r="M1776" i="12"/>
  <c r="M1777" i="12"/>
  <c r="M1778" i="12"/>
  <c r="M1779" i="12"/>
  <c r="M1780" i="12"/>
  <c r="M1781" i="12"/>
  <c r="M1782" i="12"/>
  <c r="M1783" i="12"/>
  <c r="M1784" i="12"/>
  <c r="M1785" i="12"/>
  <c r="M1786" i="12"/>
  <c r="M1787" i="12"/>
  <c r="M1788" i="12"/>
  <c r="M1789" i="12"/>
  <c r="M1790" i="12"/>
  <c r="M1791" i="12"/>
  <c r="M1792" i="12"/>
  <c r="M1793" i="12"/>
  <c r="M1794" i="12"/>
  <c r="M1795" i="12"/>
  <c r="M1796" i="12"/>
  <c r="M1797" i="12"/>
  <c r="M1798" i="12"/>
  <c r="M1799" i="12"/>
  <c r="M1800" i="12"/>
  <c r="M1801" i="12"/>
  <c r="M1802" i="12"/>
  <c r="M1803" i="12"/>
  <c r="M1804" i="12"/>
  <c r="M1805" i="12"/>
  <c r="M1806" i="12"/>
  <c r="M1807" i="12"/>
  <c r="M1808" i="12"/>
  <c r="M1809" i="12"/>
  <c r="M1810" i="12"/>
  <c r="M1811" i="12"/>
  <c r="M1812" i="12"/>
  <c r="M1813" i="12"/>
  <c r="M1814" i="12"/>
  <c r="M1815" i="12"/>
  <c r="M1816" i="12"/>
  <c r="M1817" i="12"/>
  <c r="M1818" i="12"/>
  <c r="M1819" i="12"/>
  <c r="M1820" i="12"/>
  <c r="M1821" i="12"/>
  <c r="M1822" i="12"/>
  <c r="M1823" i="12"/>
  <c r="M1824" i="12"/>
  <c r="M1825" i="12"/>
  <c r="M1826" i="12"/>
  <c r="M1827" i="12"/>
  <c r="M1828" i="12"/>
  <c r="M1829" i="12"/>
  <c r="M1830" i="12"/>
  <c r="M1831" i="12"/>
  <c r="M1832" i="12"/>
  <c r="M1833" i="12"/>
  <c r="M1834" i="12"/>
  <c r="M1835" i="12"/>
  <c r="M1836" i="12"/>
  <c r="M1837" i="12"/>
  <c r="M1838" i="12"/>
  <c r="M1839" i="12"/>
  <c r="M1840" i="12"/>
  <c r="M1841" i="12"/>
  <c r="M1842" i="12"/>
  <c r="M1843" i="12"/>
  <c r="M1844" i="12"/>
  <c r="M1845" i="12"/>
  <c r="M1846" i="12"/>
  <c r="M1847" i="12"/>
  <c r="M1848" i="12"/>
  <c r="M1849" i="12"/>
  <c r="M1850" i="12"/>
  <c r="M1851" i="12"/>
  <c r="M1852" i="12"/>
  <c r="M1853" i="12"/>
  <c r="M1854" i="12"/>
  <c r="M1855" i="12"/>
  <c r="M1856" i="12"/>
  <c r="M1857" i="12"/>
  <c r="M1858" i="12"/>
  <c r="M1859" i="12"/>
  <c r="M1860" i="12"/>
  <c r="M1861" i="12"/>
  <c r="M1862" i="12"/>
  <c r="M1863" i="12"/>
  <c r="M1864" i="12"/>
  <c r="M1865" i="12"/>
  <c r="M1866" i="12"/>
  <c r="M1867" i="12"/>
  <c r="M1868" i="12"/>
  <c r="M1869" i="12"/>
  <c r="M1870" i="12"/>
  <c r="M1871" i="12"/>
  <c r="M1872" i="12"/>
  <c r="M1873" i="12"/>
  <c r="M1874" i="12"/>
  <c r="M1875" i="12"/>
  <c r="M1876" i="12"/>
  <c r="M1877" i="12"/>
  <c r="M1878" i="12"/>
  <c r="M1879" i="12"/>
  <c r="M1880" i="12"/>
  <c r="M1881" i="12"/>
  <c r="M1882" i="12"/>
  <c r="M1883" i="12"/>
  <c r="M1884" i="12"/>
  <c r="M1885" i="12"/>
  <c r="M1886" i="12"/>
  <c r="M1887" i="12"/>
  <c r="M1888" i="12"/>
  <c r="M1889" i="12"/>
  <c r="M1890" i="12"/>
  <c r="M1891" i="12"/>
  <c r="M1892" i="12"/>
  <c r="M1893" i="12"/>
  <c r="M1894" i="12"/>
  <c r="M1895" i="12"/>
  <c r="M1896" i="12"/>
  <c r="M1897" i="12"/>
  <c r="M1898" i="12"/>
  <c r="M1899" i="12"/>
  <c r="M1900" i="12"/>
  <c r="M1901" i="12"/>
  <c r="M1902" i="12"/>
  <c r="M1903" i="12"/>
  <c r="M1904" i="12"/>
  <c r="M1905" i="12"/>
  <c r="M1906" i="12"/>
  <c r="M1907" i="12"/>
  <c r="M1908" i="12"/>
  <c r="M1909" i="12"/>
  <c r="M1910" i="12"/>
  <c r="M1911" i="12"/>
  <c r="M1912" i="12"/>
  <c r="M1913" i="12"/>
  <c r="M1914" i="12"/>
  <c r="M1915" i="12"/>
  <c r="M1916" i="12"/>
  <c r="M1917" i="12"/>
  <c r="M1918" i="12"/>
  <c r="M1919" i="12"/>
  <c r="M1920" i="12"/>
  <c r="M1921" i="12"/>
  <c r="M1922" i="12"/>
  <c r="M1923" i="12"/>
  <c r="M1924" i="12"/>
  <c r="M1925" i="12"/>
  <c r="M1926" i="12"/>
  <c r="M1927" i="12"/>
  <c r="M1928" i="12"/>
  <c r="M1929" i="12"/>
  <c r="M1930" i="12"/>
  <c r="M1931" i="12"/>
  <c r="M1932" i="12"/>
  <c r="M1933" i="12"/>
  <c r="M1934" i="12"/>
  <c r="M1935" i="12"/>
  <c r="M1936" i="12"/>
  <c r="M1937" i="12"/>
  <c r="M1938" i="12"/>
  <c r="M1939" i="12"/>
  <c r="M1940" i="12"/>
  <c r="M1941" i="12"/>
  <c r="M1942" i="12"/>
  <c r="M1943" i="12"/>
  <c r="M1944" i="12"/>
  <c r="M1945" i="12"/>
  <c r="M1946" i="12"/>
  <c r="M1947" i="12"/>
  <c r="M1948" i="12"/>
  <c r="M1949" i="12"/>
  <c r="M1950" i="12"/>
  <c r="M1951" i="12"/>
  <c r="M1952" i="12"/>
  <c r="M1953" i="12"/>
  <c r="M1954" i="12"/>
  <c r="M1955" i="12"/>
  <c r="M1956" i="12"/>
  <c r="M1957" i="12"/>
  <c r="M1958" i="12"/>
  <c r="M1959" i="12"/>
  <c r="M1960" i="12"/>
  <c r="M1961" i="12"/>
  <c r="M1962" i="12"/>
  <c r="M1963" i="12"/>
  <c r="M1964" i="12"/>
  <c r="M1965" i="12"/>
  <c r="M1966" i="12"/>
  <c r="M1967" i="12"/>
  <c r="M1968" i="12"/>
  <c r="M1969" i="12"/>
  <c r="M1970" i="12"/>
  <c r="M1971" i="12"/>
  <c r="M1972" i="12"/>
  <c r="M1973" i="12"/>
  <c r="M1974" i="12"/>
  <c r="M1975" i="12"/>
  <c r="M1976" i="12"/>
  <c r="M1977" i="12"/>
  <c r="M1978" i="12"/>
  <c r="M1979" i="12"/>
  <c r="M1980" i="12"/>
  <c r="M1981" i="12"/>
  <c r="M1982" i="12"/>
  <c r="M1983" i="12"/>
  <c r="M1984" i="12"/>
  <c r="M1985" i="12"/>
  <c r="M1986" i="12"/>
  <c r="M1987" i="12"/>
  <c r="M1988" i="12"/>
  <c r="M1989" i="12"/>
  <c r="M1990" i="12"/>
  <c r="M1991" i="12"/>
  <c r="M1992" i="12"/>
  <c r="M1993" i="12"/>
  <c r="M1994" i="12"/>
  <c r="M1995" i="12"/>
  <c r="M1996" i="12"/>
  <c r="M1997" i="12"/>
  <c r="M1998" i="12"/>
  <c r="M1999" i="12"/>
  <c r="M2000" i="12"/>
  <c r="M2001" i="12"/>
  <c r="M2002" i="12"/>
  <c r="M2003" i="12"/>
  <c r="M2004" i="12"/>
  <c r="M2005" i="12"/>
  <c r="M2006" i="12"/>
  <c r="M2007" i="12"/>
  <c r="M2008" i="12"/>
  <c r="M2009" i="12"/>
  <c r="M2010" i="12"/>
  <c r="M2011" i="12"/>
  <c r="M2012" i="12"/>
  <c r="M2013" i="12"/>
  <c r="M2014" i="12"/>
  <c r="M2015" i="12"/>
  <c r="M2016" i="12"/>
  <c r="M2017" i="12"/>
  <c r="M2018" i="12"/>
  <c r="M2019" i="12"/>
  <c r="M2020" i="12"/>
  <c r="M1736" i="12"/>
  <c r="L2020" i="12"/>
  <c r="I2020" i="12"/>
  <c r="G2020" i="12"/>
  <c r="H2020" i="12" s="1"/>
  <c r="L2019" i="12"/>
  <c r="I2019" i="12"/>
  <c r="G2019" i="12"/>
  <c r="L2018" i="12"/>
  <c r="I2018" i="12"/>
  <c r="G2018" i="12"/>
  <c r="H2018" i="12" s="1"/>
  <c r="L2017" i="12"/>
  <c r="I2017" i="12"/>
  <c r="G2017" i="12"/>
  <c r="H2017" i="12" s="1"/>
  <c r="L2016" i="12"/>
  <c r="I2016" i="12"/>
  <c r="G2016" i="12"/>
  <c r="H2016" i="12" s="1"/>
  <c r="L2015" i="12"/>
  <c r="I2015" i="12"/>
  <c r="G2015" i="12"/>
  <c r="H2015" i="12" s="1"/>
  <c r="L2014" i="12"/>
  <c r="I2014" i="12"/>
  <c r="G2014" i="12"/>
  <c r="H2014" i="12" s="1"/>
  <c r="L2013" i="12"/>
  <c r="I2013" i="12"/>
  <c r="G2013" i="12"/>
  <c r="H2013" i="12" s="1"/>
  <c r="L2012" i="12"/>
  <c r="I2012" i="12"/>
  <c r="G2012" i="12"/>
  <c r="H2012" i="12" s="1"/>
  <c r="L2011" i="12"/>
  <c r="I2011" i="12"/>
  <c r="G2011" i="12"/>
  <c r="H2011" i="12" s="1"/>
  <c r="L2010" i="12"/>
  <c r="I2010" i="12"/>
  <c r="G2010" i="12"/>
  <c r="H2010" i="12" s="1"/>
  <c r="L2009" i="12"/>
  <c r="I2009" i="12"/>
  <c r="G2009" i="12"/>
  <c r="H2009" i="12" s="1"/>
  <c r="L2008" i="12"/>
  <c r="I2008" i="12"/>
  <c r="G2008" i="12"/>
  <c r="H2008" i="12" s="1"/>
  <c r="L2007" i="12"/>
  <c r="I2007" i="12"/>
  <c r="G2007" i="12"/>
  <c r="H2007" i="12" s="1"/>
  <c r="L2006" i="12"/>
  <c r="I2006" i="12"/>
  <c r="G2006" i="12"/>
  <c r="H2006" i="12" s="1"/>
  <c r="L2005" i="12"/>
  <c r="I2005" i="12"/>
  <c r="G2005" i="12"/>
  <c r="H2005" i="12" s="1"/>
  <c r="L2004" i="12"/>
  <c r="I2004" i="12"/>
  <c r="G2004" i="12"/>
  <c r="H2004" i="12" s="1"/>
  <c r="L2003" i="12"/>
  <c r="I2003" i="12"/>
  <c r="G2003" i="12"/>
  <c r="H2003" i="12" s="1"/>
  <c r="L2002" i="12"/>
  <c r="I2002" i="12"/>
  <c r="G2002" i="12"/>
  <c r="H2002" i="12" s="1"/>
  <c r="L2001" i="12"/>
  <c r="I2001" i="12"/>
  <c r="G2001" i="12"/>
  <c r="H2001" i="12" s="1"/>
  <c r="L2000" i="12"/>
  <c r="I2000" i="12"/>
  <c r="G2000" i="12"/>
  <c r="H2000" i="12" s="1"/>
  <c r="L1999" i="12"/>
  <c r="I1999" i="12"/>
  <c r="G1999" i="12"/>
  <c r="H1999" i="12" s="1"/>
  <c r="L1998" i="12"/>
  <c r="I1998" i="12"/>
  <c r="G1998" i="12"/>
  <c r="H1998" i="12" s="1"/>
  <c r="L1997" i="12"/>
  <c r="I1997" i="12"/>
  <c r="G1997" i="12"/>
  <c r="H1997" i="12" s="1"/>
  <c r="L1996" i="12"/>
  <c r="I1996" i="12"/>
  <c r="G1996" i="12"/>
  <c r="H1996" i="12" s="1"/>
  <c r="L1995" i="12"/>
  <c r="I1995" i="12"/>
  <c r="G1995" i="12"/>
  <c r="H1995" i="12" s="1"/>
  <c r="L1994" i="12"/>
  <c r="I1994" i="12"/>
  <c r="G1994" i="12"/>
  <c r="H1994" i="12" s="1"/>
  <c r="L1993" i="12"/>
  <c r="I1993" i="12"/>
  <c r="G1993" i="12"/>
  <c r="H1993" i="12" s="1"/>
  <c r="L1992" i="12"/>
  <c r="I1992" i="12"/>
  <c r="G1992" i="12"/>
  <c r="H1992" i="12" s="1"/>
  <c r="L1991" i="12"/>
  <c r="I1991" i="12"/>
  <c r="G1991" i="12"/>
  <c r="H1991" i="12" s="1"/>
  <c r="L1990" i="12"/>
  <c r="I1990" i="12"/>
  <c r="G1990" i="12"/>
  <c r="H1990" i="12" s="1"/>
  <c r="L1989" i="12"/>
  <c r="I1989" i="12"/>
  <c r="G1989" i="12"/>
  <c r="H1989" i="12" s="1"/>
  <c r="L1988" i="12"/>
  <c r="I1988" i="12"/>
  <c r="G1988" i="12"/>
  <c r="H1988" i="12" s="1"/>
  <c r="L1987" i="12"/>
  <c r="I1987" i="12"/>
  <c r="G1987" i="12"/>
  <c r="H1987" i="12" s="1"/>
  <c r="L1986" i="12"/>
  <c r="I1986" i="12"/>
  <c r="G1986" i="12"/>
  <c r="H1986" i="12" s="1"/>
  <c r="L1985" i="12"/>
  <c r="I1985" i="12"/>
  <c r="G1985" i="12"/>
  <c r="H1985" i="12" s="1"/>
  <c r="L1984" i="12"/>
  <c r="I1984" i="12"/>
  <c r="G1984" i="12"/>
  <c r="H1984" i="12" s="1"/>
  <c r="L1983" i="12"/>
  <c r="I1983" i="12"/>
  <c r="G1983" i="12"/>
  <c r="H1983" i="12" s="1"/>
  <c r="L1982" i="12"/>
  <c r="I1982" i="12"/>
  <c r="G1982" i="12"/>
  <c r="H1982" i="12" s="1"/>
  <c r="L1981" i="12"/>
  <c r="I1981" i="12"/>
  <c r="G1981" i="12"/>
  <c r="H1981" i="12" s="1"/>
  <c r="L1980" i="12"/>
  <c r="I1980" i="12"/>
  <c r="G1980" i="12"/>
  <c r="H1980" i="12" s="1"/>
  <c r="L1979" i="12"/>
  <c r="I1979" i="12"/>
  <c r="G1979" i="12"/>
  <c r="H1979" i="12" s="1"/>
  <c r="L1978" i="12"/>
  <c r="I1978" i="12"/>
  <c r="G1978" i="12"/>
  <c r="H1978" i="12" s="1"/>
  <c r="L1977" i="12"/>
  <c r="I1977" i="12"/>
  <c r="G1977" i="12"/>
  <c r="H1977" i="12" s="1"/>
  <c r="L1976" i="12"/>
  <c r="I1976" i="12"/>
  <c r="G1976" i="12"/>
  <c r="H1976" i="12" s="1"/>
  <c r="L1975" i="12"/>
  <c r="I1975" i="12"/>
  <c r="G1975" i="12"/>
  <c r="H1975" i="12" s="1"/>
  <c r="L1974" i="12"/>
  <c r="I1974" i="12"/>
  <c r="G1974" i="12"/>
  <c r="H1974" i="12" s="1"/>
  <c r="L1973" i="12"/>
  <c r="I1973" i="12"/>
  <c r="G1973" i="12"/>
  <c r="H1973" i="12" s="1"/>
  <c r="L1972" i="12"/>
  <c r="I1972" i="12"/>
  <c r="G1972" i="12"/>
  <c r="H1972" i="12" s="1"/>
  <c r="L1971" i="12"/>
  <c r="I1971" i="12"/>
  <c r="G1971" i="12"/>
  <c r="H1971" i="12" s="1"/>
  <c r="L1970" i="12"/>
  <c r="I1970" i="12"/>
  <c r="G1970" i="12"/>
  <c r="H1970" i="12" s="1"/>
  <c r="L1969" i="12"/>
  <c r="I1969" i="12"/>
  <c r="G1969" i="12"/>
  <c r="H1969" i="12" s="1"/>
  <c r="L1968" i="12"/>
  <c r="I1968" i="12"/>
  <c r="G1968" i="12"/>
  <c r="H1968" i="12" s="1"/>
  <c r="L1967" i="12"/>
  <c r="I1967" i="12"/>
  <c r="G1967" i="12"/>
  <c r="H1967" i="12" s="1"/>
  <c r="L1966" i="12"/>
  <c r="I1966" i="12"/>
  <c r="G1966" i="12"/>
  <c r="H1966" i="12" s="1"/>
  <c r="L1965" i="12"/>
  <c r="I1965" i="12"/>
  <c r="G1965" i="12"/>
  <c r="H1965" i="12" s="1"/>
  <c r="L1964" i="12"/>
  <c r="I1964" i="12"/>
  <c r="G1964" i="12"/>
  <c r="H1964" i="12" s="1"/>
  <c r="L1963" i="12"/>
  <c r="I1963" i="12"/>
  <c r="G1963" i="12"/>
  <c r="H1963" i="12" s="1"/>
  <c r="L1962" i="12"/>
  <c r="I1962" i="12"/>
  <c r="G1962" i="12"/>
  <c r="H1962" i="12" s="1"/>
  <c r="L1961" i="12"/>
  <c r="I1961" i="12"/>
  <c r="G1961" i="12"/>
  <c r="H1961" i="12" s="1"/>
  <c r="L1960" i="12"/>
  <c r="I1960" i="12"/>
  <c r="G1960" i="12"/>
  <c r="H1960" i="12" s="1"/>
  <c r="L1959" i="12"/>
  <c r="I1959" i="12"/>
  <c r="G1959" i="12"/>
  <c r="H1959" i="12" s="1"/>
  <c r="L1958" i="12"/>
  <c r="I1958" i="12"/>
  <c r="G1958" i="12"/>
  <c r="H1958" i="12" s="1"/>
  <c r="L1957" i="12"/>
  <c r="I1957" i="12"/>
  <c r="G1957" i="12"/>
  <c r="H1957" i="12" s="1"/>
  <c r="L1956" i="12"/>
  <c r="I1956" i="12"/>
  <c r="G1956" i="12"/>
  <c r="H1956" i="12" s="1"/>
  <c r="L1955" i="12"/>
  <c r="I1955" i="12"/>
  <c r="G1955" i="12"/>
  <c r="H1955" i="12" s="1"/>
  <c r="L1954" i="12"/>
  <c r="I1954" i="12"/>
  <c r="G1954" i="12"/>
  <c r="H1954" i="12" s="1"/>
  <c r="L1953" i="12"/>
  <c r="I1953" i="12"/>
  <c r="G1953" i="12"/>
  <c r="H1953" i="12" s="1"/>
  <c r="L1952" i="12"/>
  <c r="I1952" i="12"/>
  <c r="G1952" i="12"/>
  <c r="H1952" i="12" s="1"/>
  <c r="L1951" i="12"/>
  <c r="I1951" i="12"/>
  <c r="G1951" i="12"/>
  <c r="H1951" i="12" s="1"/>
  <c r="L1950" i="12"/>
  <c r="I1950" i="12"/>
  <c r="G1950" i="12"/>
  <c r="H1950" i="12" s="1"/>
  <c r="L1949" i="12"/>
  <c r="I1949" i="12"/>
  <c r="G1949" i="12"/>
  <c r="H1949" i="12" s="1"/>
  <c r="L1948" i="12"/>
  <c r="I1948" i="12"/>
  <c r="G1948" i="12"/>
  <c r="H1948" i="12" s="1"/>
  <c r="L1947" i="12"/>
  <c r="I1947" i="12"/>
  <c r="G1947" i="12"/>
  <c r="H1947" i="12" s="1"/>
  <c r="L1946" i="12"/>
  <c r="I1946" i="12"/>
  <c r="G1946" i="12"/>
  <c r="H1946" i="12" s="1"/>
  <c r="L1945" i="12"/>
  <c r="I1945" i="12"/>
  <c r="G1945" i="12"/>
  <c r="H1945" i="12" s="1"/>
  <c r="L1944" i="12"/>
  <c r="I1944" i="12"/>
  <c r="G1944" i="12"/>
  <c r="H1944" i="12" s="1"/>
  <c r="L1943" i="12"/>
  <c r="I1943" i="12"/>
  <c r="G1943" i="12"/>
  <c r="H1943" i="12" s="1"/>
  <c r="L1942" i="12"/>
  <c r="I1942" i="12"/>
  <c r="G1942" i="12"/>
  <c r="H1942" i="12" s="1"/>
  <c r="L1941" i="12"/>
  <c r="I1941" i="12"/>
  <c r="G1941" i="12"/>
  <c r="H1941" i="12" s="1"/>
  <c r="L1940" i="12"/>
  <c r="I1940" i="12"/>
  <c r="G1940" i="12"/>
  <c r="H1940" i="12" s="1"/>
  <c r="L1939" i="12"/>
  <c r="I1939" i="12"/>
  <c r="G1939" i="12"/>
  <c r="H1939" i="12" s="1"/>
  <c r="L1938" i="12"/>
  <c r="I1938" i="12"/>
  <c r="G1938" i="12"/>
  <c r="H1938" i="12" s="1"/>
  <c r="L1937" i="12"/>
  <c r="I1937" i="12"/>
  <c r="G1937" i="12"/>
  <c r="H1937" i="12" s="1"/>
  <c r="L1936" i="12"/>
  <c r="I1936" i="12"/>
  <c r="G1936" i="12"/>
  <c r="H1936" i="12" s="1"/>
  <c r="L1935" i="12"/>
  <c r="I1935" i="12"/>
  <c r="G1935" i="12"/>
  <c r="H1935" i="12" s="1"/>
  <c r="L1934" i="12"/>
  <c r="I1934" i="12"/>
  <c r="G1934" i="12"/>
  <c r="H1934" i="12" s="1"/>
  <c r="L1933" i="12"/>
  <c r="I1933" i="12"/>
  <c r="G1933" i="12"/>
  <c r="H1933" i="12" s="1"/>
  <c r="L1932" i="12"/>
  <c r="I1932" i="12"/>
  <c r="G1932" i="12"/>
  <c r="H1932" i="12" s="1"/>
  <c r="L1931" i="12"/>
  <c r="I1931" i="12"/>
  <c r="G1931" i="12"/>
  <c r="H1931" i="12" s="1"/>
  <c r="L1930" i="12"/>
  <c r="I1930" i="12"/>
  <c r="G1930" i="12"/>
  <c r="H1930" i="12" s="1"/>
  <c r="L1929" i="12"/>
  <c r="I1929" i="12"/>
  <c r="G1929" i="12"/>
  <c r="H1929" i="12" s="1"/>
  <c r="L1928" i="12"/>
  <c r="I1928" i="12"/>
  <c r="G1928" i="12"/>
  <c r="H1928" i="12" s="1"/>
  <c r="L1927" i="12"/>
  <c r="I1927" i="12"/>
  <c r="G1927" i="12"/>
  <c r="H1927" i="12" s="1"/>
  <c r="L1926" i="12"/>
  <c r="I1926" i="12"/>
  <c r="G1926" i="12"/>
  <c r="H1926" i="12" s="1"/>
  <c r="L1925" i="12"/>
  <c r="I1925" i="12"/>
  <c r="G1925" i="12"/>
  <c r="H1925" i="12" s="1"/>
  <c r="L1924" i="12"/>
  <c r="I1924" i="12"/>
  <c r="G1924" i="12"/>
  <c r="H1924" i="12" s="1"/>
  <c r="L1923" i="12"/>
  <c r="I1923" i="12"/>
  <c r="G1923" i="12"/>
  <c r="H1923" i="12" s="1"/>
  <c r="L1922" i="12"/>
  <c r="I1922" i="12"/>
  <c r="G1922" i="12"/>
  <c r="H1922" i="12" s="1"/>
  <c r="L1921" i="12"/>
  <c r="I1921" i="12"/>
  <c r="G1921" i="12"/>
  <c r="H1921" i="12" s="1"/>
  <c r="L1920" i="12"/>
  <c r="I1920" i="12"/>
  <c r="G1920" i="12"/>
  <c r="H1920" i="12" s="1"/>
  <c r="L1919" i="12"/>
  <c r="I1919" i="12"/>
  <c r="G1919" i="12"/>
  <c r="H1919" i="12" s="1"/>
  <c r="L1918" i="12"/>
  <c r="I1918" i="12"/>
  <c r="G1918" i="12"/>
  <c r="H1918" i="12" s="1"/>
  <c r="L1917" i="12"/>
  <c r="I1917" i="12"/>
  <c r="G1917" i="12"/>
  <c r="H1917" i="12" s="1"/>
  <c r="L1916" i="12"/>
  <c r="I1916" i="12"/>
  <c r="G1916" i="12"/>
  <c r="H1916" i="12" s="1"/>
  <c r="L1915" i="12"/>
  <c r="I1915" i="12"/>
  <c r="G1915" i="12"/>
  <c r="H1915" i="12" s="1"/>
  <c r="L1914" i="12"/>
  <c r="I1914" i="12"/>
  <c r="G1914" i="12"/>
  <c r="H1914" i="12" s="1"/>
  <c r="L1913" i="12"/>
  <c r="I1913" i="12"/>
  <c r="G1913" i="12"/>
  <c r="H1913" i="12" s="1"/>
  <c r="L1912" i="12"/>
  <c r="I1912" i="12"/>
  <c r="G1912" i="12"/>
  <c r="H1912" i="12" s="1"/>
  <c r="L1911" i="12"/>
  <c r="I1911" i="12"/>
  <c r="G1911" i="12"/>
  <c r="H1911" i="12" s="1"/>
  <c r="L1910" i="12"/>
  <c r="I1910" i="12"/>
  <c r="G1910" i="12"/>
  <c r="H1910" i="12" s="1"/>
  <c r="L1909" i="12"/>
  <c r="I1909" i="12"/>
  <c r="G1909" i="12"/>
  <c r="H1909" i="12" s="1"/>
  <c r="L1908" i="12"/>
  <c r="I1908" i="12"/>
  <c r="G1908" i="12"/>
  <c r="H1908" i="12" s="1"/>
  <c r="L1907" i="12"/>
  <c r="I1907" i="12"/>
  <c r="G1907" i="12"/>
  <c r="H1907" i="12" s="1"/>
  <c r="L1906" i="12"/>
  <c r="I1906" i="12"/>
  <c r="G1906" i="12"/>
  <c r="H1906" i="12" s="1"/>
  <c r="L1905" i="12"/>
  <c r="I1905" i="12"/>
  <c r="G1905" i="12"/>
  <c r="H1905" i="12" s="1"/>
  <c r="L1904" i="12"/>
  <c r="I1904" i="12"/>
  <c r="G1904" i="12"/>
  <c r="H1904" i="12" s="1"/>
  <c r="L1903" i="12"/>
  <c r="I1903" i="12"/>
  <c r="G1903" i="12"/>
  <c r="H1903" i="12" s="1"/>
  <c r="L1902" i="12"/>
  <c r="I1902" i="12"/>
  <c r="G1902" i="12"/>
  <c r="H1902" i="12" s="1"/>
  <c r="L1901" i="12"/>
  <c r="I1901" i="12"/>
  <c r="G1901" i="12"/>
  <c r="H1901" i="12" s="1"/>
  <c r="L1900" i="12"/>
  <c r="I1900" i="12"/>
  <c r="G1900" i="12"/>
  <c r="H1900" i="12" s="1"/>
  <c r="L1899" i="12"/>
  <c r="I1899" i="12"/>
  <c r="G1899" i="12"/>
  <c r="H1899" i="12" s="1"/>
  <c r="L1898" i="12"/>
  <c r="I1898" i="12"/>
  <c r="G1898" i="12"/>
  <c r="H1898" i="12" s="1"/>
  <c r="L1897" i="12"/>
  <c r="I1897" i="12"/>
  <c r="G1897" i="12"/>
  <c r="H1897" i="12" s="1"/>
  <c r="L1896" i="12"/>
  <c r="I1896" i="12"/>
  <c r="G1896" i="12"/>
  <c r="H1896" i="12" s="1"/>
  <c r="L1895" i="12"/>
  <c r="I1895" i="12"/>
  <c r="G1895" i="12"/>
  <c r="H1895" i="12" s="1"/>
  <c r="L1894" i="12"/>
  <c r="I1894" i="12"/>
  <c r="G1894" i="12"/>
  <c r="H1894" i="12" s="1"/>
  <c r="L1893" i="12"/>
  <c r="I1893" i="12"/>
  <c r="G1893" i="12"/>
  <c r="H1893" i="12" s="1"/>
  <c r="L1892" i="12"/>
  <c r="I1892" i="12"/>
  <c r="G1892" i="12"/>
  <c r="H1892" i="12" s="1"/>
  <c r="L1891" i="12"/>
  <c r="I1891" i="12"/>
  <c r="G1891" i="12"/>
  <c r="H1891" i="12" s="1"/>
  <c r="L1890" i="12"/>
  <c r="I1890" i="12"/>
  <c r="G1890" i="12"/>
  <c r="H1890" i="12" s="1"/>
  <c r="L1889" i="12"/>
  <c r="I1889" i="12"/>
  <c r="G1889" i="12"/>
  <c r="H1889" i="12" s="1"/>
  <c r="L1888" i="12"/>
  <c r="I1888" i="12"/>
  <c r="G1888" i="12"/>
  <c r="H1888" i="12" s="1"/>
  <c r="L1887" i="12"/>
  <c r="I1887" i="12"/>
  <c r="G1887" i="12"/>
  <c r="L1886" i="12"/>
  <c r="I1886" i="12"/>
  <c r="G1886" i="12"/>
  <c r="H1886" i="12" s="1"/>
  <c r="L1885" i="12"/>
  <c r="I1885" i="12"/>
  <c r="G1885" i="12"/>
  <c r="H1885" i="12" s="1"/>
  <c r="L1884" i="12"/>
  <c r="I1884" i="12"/>
  <c r="G1884" i="12"/>
  <c r="H1884" i="12" s="1"/>
  <c r="L1883" i="12"/>
  <c r="I1883" i="12"/>
  <c r="G1883" i="12"/>
  <c r="L1882" i="12"/>
  <c r="I1882" i="12"/>
  <c r="G1882" i="12"/>
  <c r="H1882" i="12" s="1"/>
  <c r="L1881" i="12"/>
  <c r="I1881" i="12"/>
  <c r="G1881" i="12"/>
  <c r="H1881" i="12" s="1"/>
  <c r="L1880" i="12"/>
  <c r="I1880" i="12"/>
  <c r="G1880" i="12"/>
  <c r="H1880" i="12" s="1"/>
  <c r="L1879" i="12"/>
  <c r="I1879" i="12"/>
  <c r="G1879" i="12"/>
  <c r="L1878" i="12"/>
  <c r="I1878" i="12"/>
  <c r="G1878" i="12"/>
  <c r="H1878" i="12" s="1"/>
  <c r="L1877" i="12"/>
  <c r="I1877" i="12"/>
  <c r="G1877" i="12"/>
  <c r="H1877" i="12" s="1"/>
  <c r="L1876" i="12"/>
  <c r="I1876" i="12"/>
  <c r="G1876" i="12"/>
  <c r="H1876" i="12" s="1"/>
  <c r="L1875" i="12"/>
  <c r="I1875" i="12"/>
  <c r="G1875" i="12"/>
  <c r="H1875" i="12" s="1"/>
  <c r="L1874" i="12"/>
  <c r="I1874" i="12"/>
  <c r="G1874" i="12"/>
  <c r="H1874" i="12" s="1"/>
  <c r="L1873" i="12"/>
  <c r="I1873" i="12"/>
  <c r="G1873" i="12"/>
  <c r="H1873" i="12" s="1"/>
  <c r="L1872" i="12"/>
  <c r="I1872" i="12"/>
  <c r="G1872" i="12"/>
  <c r="H1872" i="12" s="1"/>
  <c r="L1871" i="12"/>
  <c r="I1871" i="12"/>
  <c r="G1871" i="12"/>
  <c r="H1871" i="12" s="1"/>
  <c r="L1870" i="12"/>
  <c r="I1870" i="12"/>
  <c r="G1870" i="12"/>
  <c r="H1870" i="12" s="1"/>
  <c r="L1869" i="12"/>
  <c r="I1869" i="12"/>
  <c r="G1869" i="12"/>
  <c r="H1869" i="12" s="1"/>
  <c r="L1868" i="12"/>
  <c r="I1868" i="12"/>
  <c r="G1868" i="12"/>
  <c r="H1868" i="12" s="1"/>
  <c r="L1867" i="12"/>
  <c r="I1867" i="12"/>
  <c r="G1867" i="12"/>
  <c r="H1867" i="12" s="1"/>
  <c r="L1866" i="12"/>
  <c r="I1866" i="12"/>
  <c r="G1866" i="12"/>
  <c r="H1866" i="12" s="1"/>
  <c r="L1865" i="12"/>
  <c r="I1865" i="12"/>
  <c r="G1865" i="12"/>
  <c r="H1865" i="12" s="1"/>
  <c r="L1864" i="12"/>
  <c r="I1864" i="12"/>
  <c r="G1864" i="12"/>
  <c r="H1864" i="12" s="1"/>
  <c r="L1863" i="12"/>
  <c r="I1863" i="12"/>
  <c r="G1863" i="12"/>
  <c r="H1863" i="12" s="1"/>
  <c r="L1862" i="12"/>
  <c r="I1862" i="12"/>
  <c r="G1862" i="12"/>
  <c r="H1862" i="12" s="1"/>
  <c r="L1861" i="12"/>
  <c r="I1861" i="12"/>
  <c r="G1861" i="12"/>
  <c r="H1861" i="12" s="1"/>
  <c r="L1860" i="12"/>
  <c r="I1860" i="12"/>
  <c r="G1860" i="12"/>
  <c r="H1860" i="12" s="1"/>
  <c r="L1859" i="12"/>
  <c r="I1859" i="12"/>
  <c r="G1859" i="12"/>
  <c r="H1859" i="12" s="1"/>
  <c r="L1858" i="12"/>
  <c r="I1858" i="12"/>
  <c r="G1858" i="12"/>
  <c r="H1858" i="12" s="1"/>
  <c r="L1857" i="12"/>
  <c r="I1857" i="12"/>
  <c r="G1857" i="12"/>
  <c r="H1857" i="12" s="1"/>
  <c r="L1856" i="12"/>
  <c r="I1856" i="12"/>
  <c r="G1856" i="12"/>
  <c r="H1856" i="12" s="1"/>
  <c r="L1855" i="12"/>
  <c r="I1855" i="12"/>
  <c r="G1855" i="12"/>
  <c r="H1855" i="12" s="1"/>
  <c r="L1854" i="12"/>
  <c r="I1854" i="12"/>
  <c r="G1854" i="12"/>
  <c r="H1854" i="12" s="1"/>
  <c r="L1853" i="12"/>
  <c r="I1853" i="12"/>
  <c r="G1853" i="12"/>
  <c r="H1853" i="12" s="1"/>
  <c r="L1852" i="12"/>
  <c r="I1852" i="12"/>
  <c r="G1852" i="12"/>
  <c r="H1852" i="12" s="1"/>
  <c r="L1851" i="12"/>
  <c r="I1851" i="12"/>
  <c r="G1851" i="12"/>
  <c r="H1851" i="12" s="1"/>
  <c r="L1850" i="12"/>
  <c r="I1850" i="12"/>
  <c r="G1850" i="12"/>
  <c r="H1850" i="12" s="1"/>
  <c r="L1849" i="12"/>
  <c r="I1849" i="12"/>
  <c r="G1849" i="12"/>
  <c r="H1849" i="12" s="1"/>
  <c r="L1848" i="12"/>
  <c r="I1848" i="12"/>
  <c r="G1848" i="12"/>
  <c r="H1848" i="12" s="1"/>
  <c r="L1847" i="12"/>
  <c r="I1847" i="12"/>
  <c r="G1847" i="12"/>
  <c r="H1847" i="12" s="1"/>
  <c r="L1846" i="12"/>
  <c r="I1846" i="12"/>
  <c r="G1846" i="12"/>
  <c r="H1846" i="12" s="1"/>
  <c r="L1845" i="12"/>
  <c r="I1845" i="12"/>
  <c r="G1845" i="12"/>
  <c r="H1845" i="12" s="1"/>
  <c r="L1844" i="12"/>
  <c r="I1844" i="12"/>
  <c r="G1844" i="12"/>
  <c r="H1844" i="12" s="1"/>
  <c r="L1843" i="12"/>
  <c r="I1843" i="12"/>
  <c r="G1843" i="12"/>
  <c r="L1842" i="12"/>
  <c r="I1842" i="12"/>
  <c r="G1842" i="12"/>
  <c r="L1841" i="12"/>
  <c r="I1841" i="12"/>
  <c r="G1841" i="12"/>
  <c r="H1841" i="12" s="1"/>
  <c r="L1840" i="12"/>
  <c r="I1840" i="12"/>
  <c r="G1840" i="12"/>
  <c r="H1840" i="12" s="1"/>
  <c r="L1839" i="12"/>
  <c r="I1839" i="12"/>
  <c r="G1839" i="12"/>
  <c r="H1839" i="12" s="1"/>
  <c r="L1838" i="12"/>
  <c r="I1838" i="12"/>
  <c r="G1838" i="12"/>
  <c r="H1838" i="12" s="1"/>
  <c r="L1837" i="12"/>
  <c r="I1837" i="12"/>
  <c r="G1837" i="12"/>
  <c r="H1837" i="12" s="1"/>
  <c r="L1836" i="12"/>
  <c r="I1836" i="12"/>
  <c r="G1836" i="12"/>
  <c r="H1836" i="12" s="1"/>
  <c r="L1835" i="12"/>
  <c r="I1835" i="12"/>
  <c r="G1835" i="12"/>
  <c r="H1835" i="12" s="1"/>
  <c r="L1834" i="12"/>
  <c r="I1834" i="12"/>
  <c r="G1834" i="12"/>
  <c r="L1833" i="12"/>
  <c r="I1833" i="12"/>
  <c r="G1833" i="12"/>
  <c r="H1833" i="12" s="1"/>
  <c r="L1832" i="12"/>
  <c r="I1832" i="12"/>
  <c r="G1832" i="12"/>
  <c r="H1832" i="12" s="1"/>
  <c r="L1831" i="12"/>
  <c r="I1831" i="12"/>
  <c r="G1831" i="12"/>
  <c r="H1831" i="12" s="1"/>
  <c r="L1830" i="12"/>
  <c r="I1830" i="12"/>
  <c r="G1830" i="12"/>
  <c r="H1830" i="12" s="1"/>
  <c r="L1829" i="12"/>
  <c r="I1829" i="12"/>
  <c r="G1829" i="12"/>
  <c r="H1829" i="12" s="1"/>
  <c r="L1828" i="12"/>
  <c r="I1828" i="12"/>
  <c r="G1828" i="12"/>
  <c r="H1828" i="12" s="1"/>
  <c r="L1827" i="12"/>
  <c r="I1827" i="12"/>
  <c r="G1827" i="12"/>
  <c r="L1826" i="12"/>
  <c r="I1826" i="12"/>
  <c r="G1826" i="12"/>
  <c r="L1825" i="12"/>
  <c r="I1825" i="12"/>
  <c r="G1825" i="12"/>
  <c r="H1825" i="12" s="1"/>
  <c r="L1824" i="12"/>
  <c r="I1824" i="12"/>
  <c r="G1824" i="12"/>
  <c r="H1824" i="12" s="1"/>
  <c r="L1823" i="12"/>
  <c r="I1823" i="12"/>
  <c r="G1823" i="12"/>
  <c r="H1823" i="12" s="1"/>
  <c r="L1822" i="12"/>
  <c r="I1822" i="12"/>
  <c r="G1822" i="12"/>
  <c r="H1822" i="12" s="1"/>
  <c r="L1821" i="12"/>
  <c r="I1821" i="12"/>
  <c r="G1821" i="12"/>
  <c r="H1821" i="12" s="1"/>
  <c r="L1820" i="12"/>
  <c r="I1820" i="12"/>
  <c r="G1820" i="12"/>
  <c r="H1820" i="12" s="1"/>
  <c r="L1819" i="12"/>
  <c r="I1819" i="12"/>
  <c r="G1819" i="12"/>
  <c r="H1819" i="12" s="1"/>
  <c r="L1818" i="12"/>
  <c r="I1818" i="12"/>
  <c r="G1818" i="12"/>
  <c r="H1818" i="12" s="1"/>
  <c r="L1817" i="12"/>
  <c r="I1817" i="12"/>
  <c r="G1817" i="12"/>
  <c r="H1817" i="12" s="1"/>
  <c r="L1816" i="12"/>
  <c r="I1816" i="12"/>
  <c r="G1816" i="12"/>
  <c r="H1816" i="12" s="1"/>
  <c r="L1815" i="12"/>
  <c r="I1815" i="12"/>
  <c r="G1815" i="12"/>
  <c r="H1815" i="12" s="1"/>
  <c r="L1814" i="12"/>
  <c r="I1814" i="12"/>
  <c r="G1814" i="12"/>
  <c r="H1814" i="12" s="1"/>
  <c r="L1813" i="12"/>
  <c r="I1813" i="12"/>
  <c r="G1813" i="12"/>
  <c r="H1813" i="12" s="1"/>
  <c r="L1812" i="12"/>
  <c r="I1812" i="12"/>
  <c r="G1812" i="12"/>
  <c r="H1812" i="12" s="1"/>
  <c r="L1811" i="12"/>
  <c r="I1811" i="12"/>
  <c r="G1811" i="12"/>
  <c r="L1810" i="12"/>
  <c r="I1810" i="12"/>
  <c r="G1810" i="12"/>
  <c r="L1809" i="12"/>
  <c r="I1809" i="12"/>
  <c r="G1809" i="12"/>
  <c r="H1809" i="12" s="1"/>
  <c r="L1808" i="12"/>
  <c r="I1808" i="12"/>
  <c r="G1808" i="12"/>
  <c r="L1807" i="12"/>
  <c r="I1807" i="12"/>
  <c r="G1807" i="12"/>
  <c r="H1807" i="12" s="1"/>
  <c r="L1806" i="12"/>
  <c r="I1806" i="12"/>
  <c r="G1806" i="12"/>
  <c r="H1806" i="12" s="1"/>
  <c r="L1805" i="12"/>
  <c r="I1805" i="12"/>
  <c r="G1805" i="12"/>
  <c r="H1805" i="12" s="1"/>
  <c r="L1804" i="12"/>
  <c r="I1804" i="12"/>
  <c r="G1804" i="12"/>
  <c r="L1803" i="12"/>
  <c r="I1803" i="12"/>
  <c r="G1803" i="12"/>
  <c r="H1803" i="12" s="1"/>
  <c r="L1802" i="12"/>
  <c r="I1802" i="12"/>
  <c r="G1802" i="12"/>
  <c r="H1802" i="12" s="1"/>
  <c r="L1801" i="12"/>
  <c r="I1801" i="12"/>
  <c r="G1801" i="12"/>
  <c r="H1801" i="12" s="1"/>
  <c r="L1800" i="12"/>
  <c r="I1800" i="12"/>
  <c r="G1800" i="12"/>
  <c r="L1799" i="12"/>
  <c r="I1799" i="12"/>
  <c r="G1799" i="12"/>
  <c r="L1798" i="12"/>
  <c r="I1798" i="12"/>
  <c r="G1798" i="12"/>
  <c r="H1798" i="12" s="1"/>
  <c r="L1797" i="12"/>
  <c r="I1797" i="12"/>
  <c r="G1797" i="12"/>
  <c r="H1797" i="12" s="1"/>
  <c r="L1796" i="12"/>
  <c r="I1796" i="12"/>
  <c r="G1796" i="12"/>
  <c r="L1795" i="12"/>
  <c r="I1795" i="12"/>
  <c r="G1795" i="12"/>
  <c r="H1795" i="12" s="1"/>
  <c r="L1794" i="12"/>
  <c r="I1794" i="12"/>
  <c r="G1794" i="12"/>
  <c r="L1793" i="12"/>
  <c r="I1793" i="12"/>
  <c r="G1793" i="12"/>
  <c r="H1793" i="12" s="1"/>
  <c r="L1792" i="12"/>
  <c r="I1792" i="12"/>
  <c r="G1792" i="12"/>
  <c r="L1791" i="12"/>
  <c r="I1791" i="12"/>
  <c r="G1791" i="12"/>
  <c r="L1790" i="12"/>
  <c r="I1790" i="12"/>
  <c r="G1790" i="12"/>
  <c r="H1790" i="12" s="1"/>
  <c r="L1789" i="12"/>
  <c r="I1789" i="12"/>
  <c r="G1789" i="12"/>
  <c r="H1789" i="12" s="1"/>
  <c r="L1788" i="12"/>
  <c r="I1788" i="12"/>
  <c r="G1788" i="12"/>
  <c r="L1787" i="12"/>
  <c r="I1787" i="12"/>
  <c r="G1787" i="12"/>
  <c r="H1787" i="12" s="1"/>
  <c r="L1786" i="12"/>
  <c r="I1786" i="12"/>
  <c r="G1786" i="12"/>
  <c r="L1785" i="12"/>
  <c r="I1785" i="12"/>
  <c r="G1785" i="12"/>
  <c r="H1785" i="12" s="1"/>
  <c r="L1784" i="12"/>
  <c r="I1784" i="12"/>
  <c r="G1784" i="12"/>
  <c r="L1783" i="12"/>
  <c r="I1783" i="12"/>
  <c r="G1783" i="12"/>
  <c r="L1782" i="12"/>
  <c r="I1782" i="12"/>
  <c r="G1782" i="12"/>
  <c r="H1782" i="12" s="1"/>
  <c r="L1781" i="12"/>
  <c r="I1781" i="12"/>
  <c r="G1781" i="12"/>
  <c r="H1781" i="12" s="1"/>
  <c r="L1780" i="12"/>
  <c r="I1780" i="12"/>
  <c r="G1780" i="12"/>
  <c r="L1779" i="12"/>
  <c r="I1779" i="12"/>
  <c r="G1779" i="12"/>
  <c r="H1779" i="12" s="1"/>
  <c r="L1778" i="12"/>
  <c r="I1778" i="12"/>
  <c r="G1778" i="12"/>
  <c r="L1777" i="12"/>
  <c r="I1777" i="12"/>
  <c r="G1777" i="12"/>
  <c r="H1777" i="12" s="1"/>
  <c r="L1776" i="12"/>
  <c r="I1776" i="12"/>
  <c r="G1776" i="12"/>
  <c r="L1775" i="12"/>
  <c r="I1775" i="12"/>
  <c r="G1775" i="12"/>
  <c r="L1774" i="12"/>
  <c r="I1774" i="12"/>
  <c r="G1774" i="12"/>
  <c r="H1774" i="12" s="1"/>
  <c r="L1773" i="12"/>
  <c r="I1773" i="12"/>
  <c r="G1773" i="12"/>
  <c r="H1773" i="12" s="1"/>
  <c r="L1772" i="12"/>
  <c r="I1772" i="12"/>
  <c r="G1772" i="12"/>
  <c r="L1771" i="12"/>
  <c r="I1771" i="12"/>
  <c r="G1771" i="12"/>
  <c r="L1770" i="12"/>
  <c r="I1770" i="12"/>
  <c r="G1770" i="12"/>
  <c r="H1770" i="12" s="1"/>
  <c r="L1769" i="12"/>
  <c r="I1769" i="12"/>
  <c r="G1769" i="12"/>
  <c r="H1769" i="12" s="1"/>
  <c r="L1768" i="12"/>
  <c r="I1768" i="12"/>
  <c r="G1768" i="12"/>
  <c r="L1767" i="12"/>
  <c r="I1767" i="12"/>
  <c r="G1767" i="12"/>
  <c r="L1766" i="12"/>
  <c r="I1766" i="12"/>
  <c r="G1766" i="12"/>
  <c r="H1766" i="12" s="1"/>
  <c r="L1765" i="12"/>
  <c r="I1765" i="12"/>
  <c r="G1765" i="12"/>
  <c r="H1765" i="12" s="1"/>
  <c r="L1764" i="12"/>
  <c r="I1764" i="12"/>
  <c r="G1764" i="12"/>
  <c r="L1763" i="12"/>
  <c r="I1763" i="12"/>
  <c r="G1763" i="12"/>
  <c r="H1763" i="12" s="1"/>
  <c r="L1762" i="12"/>
  <c r="I1762" i="12"/>
  <c r="G1762" i="12"/>
  <c r="L1761" i="12"/>
  <c r="I1761" i="12"/>
  <c r="G1761" i="12"/>
  <c r="H1761" i="12" s="1"/>
  <c r="L1760" i="12"/>
  <c r="I1760" i="12"/>
  <c r="G1760" i="12"/>
  <c r="L1759" i="12"/>
  <c r="I1759" i="12"/>
  <c r="G1759" i="12"/>
  <c r="L1758" i="12"/>
  <c r="I1758" i="12"/>
  <c r="G1758" i="12"/>
  <c r="H1758" i="12" s="1"/>
  <c r="L1757" i="12"/>
  <c r="I1757" i="12"/>
  <c r="G1757" i="12"/>
  <c r="H1757" i="12" s="1"/>
  <c r="L1756" i="12"/>
  <c r="I1756" i="12"/>
  <c r="G1756" i="12"/>
  <c r="L1755" i="12"/>
  <c r="I1755" i="12"/>
  <c r="G1755" i="12"/>
  <c r="H1755" i="12" s="1"/>
  <c r="L1754" i="12"/>
  <c r="I1754" i="12"/>
  <c r="G1754" i="12"/>
  <c r="L1753" i="12"/>
  <c r="I1753" i="12"/>
  <c r="G1753" i="12"/>
  <c r="H1753" i="12" s="1"/>
  <c r="L1752" i="12"/>
  <c r="I1752" i="12"/>
  <c r="G1752" i="12"/>
  <c r="L1751" i="12"/>
  <c r="I1751" i="12"/>
  <c r="G1751" i="12"/>
  <c r="L1750" i="12"/>
  <c r="I1750" i="12"/>
  <c r="G1750" i="12"/>
  <c r="H1750" i="12" s="1"/>
  <c r="L1749" i="12"/>
  <c r="I1749" i="12"/>
  <c r="G1749" i="12"/>
  <c r="H1749" i="12" s="1"/>
  <c r="L1748" i="12"/>
  <c r="I1748" i="12"/>
  <c r="G1748" i="12"/>
  <c r="L1747" i="12"/>
  <c r="I1747" i="12"/>
  <c r="G1747" i="12"/>
  <c r="H1747" i="12" s="1"/>
  <c r="L1746" i="12"/>
  <c r="I1746" i="12"/>
  <c r="G1746" i="12"/>
  <c r="L1745" i="12"/>
  <c r="I1745" i="12"/>
  <c r="G1745" i="12"/>
  <c r="H1745" i="12" s="1"/>
  <c r="L1744" i="12"/>
  <c r="I1744" i="12"/>
  <c r="G1744" i="12"/>
  <c r="L1743" i="12"/>
  <c r="I1743" i="12"/>
  <c r="G1743" i="12"/>
  <c r="L1742" i="12"/>
  <c r="I1742" i="12"/>
  <c r="G1742" i="12"/>
  <c r="H1742" i="12" s="1"/>
  <c r="L1741" i="12"/>
  <c r="I1741" i="12"/>
  <c r="G1741" i="12"/>
  <c r="H1741" i="12" s="1"/>
  <c r="L1740" i="12"/>
  <c r="I1740" i="12"/>
  <c r="G1740" i="12"/>
  <c r="L1739" i="12"/>
  <c r="I1739" i="12"/>
  <c r="G1739" i="12"/>
  <c r="H1739" i="12" s="1"/>
  <c r="L1738" i="12"/>
  <c r="I1738" i="12"/>
  <c r="G1738" i="12"/>
  <c r="H1738" i="12" s="1"/>
  <c r="L1737" i="12"/>
  <c r="I1737" i="12"/>
  <c r="G1737" i="12"/>
  <c r="H1737" i="12" s="1"/>
  <c r="L1736" i="12"/>
  <c r="I1736" i="12"/>
  <c r="G1736" i="12"/>
  <c r="G1436" i="12"/>
  <c r="H1436" i="12" s="1"/>
  <c r="I1436" i="12"/>
  <c r="L1436" i="12"/>
  <c r="G1401" i="12"/>
  <c r="H1401" i="12" s="1"/>
  <c r="I1401" i="12"/>
  <c r="L1401" i="12"/>
  <c r="G1400" i="12"/>
  <c r="H1400" i="12" s="1"/>
  <c r="I1400" i="12"/>
  <c r="L1400" i="12"/>
  <c r="G1399" i="12"/>
  <c r="H1399" i="12" s="1"/>
  <c r="I1399" i="12"/>
  <c r="L1399" i="12"/>
  <c r="G1397" i="12"/>
  <c r="H1397" i="12" s="1"/>
  <c r="I1397" i="12"/>
  <c r="L1397" i="12"/>
  <c r="G1394" i="12"/>
  <c r="H1394" i="12" s="1"/>
  <c r="I1394" i="12"/>
  <c r="L1394" i="12"/>
  <c r="L1735" i="12"/>
  <c r="I1735" i="12"/>
  <c r="G1735" i="12"/>
  <c r="H1735" i="12" s="1"/>
  <c r="L1734" i="12"/>
  <c r="I1734" i="12"/>
  <c r="G1734" i="12"/>
  <c r="H1734" i="12" s="1"/>
  <c r="L1733" i="12"/>
  <c r="I1733" i="12"/>
  <c r="G1733" i="12"/>
  <c r="H1733" i="12" s="1"/>
  <c r="L1732" i="12"/>
  <c r="I1732" i="12"/>
  <c r="G1732" i="12"/>
  <c r="H1732" i="12" s="1"/>
  <c r="L1731" i="12"/>
  <c r="I1731" i="12"/>
  <c r="G1731" i="12"/>
  <c r="H1731" i="12" s="1"/>
  <c r="L1730" i="12"/>
  <c r="I1730" i="12"/>
  <c r="G1730" i="12"/>
  <c r="H1730" i="12" s="1"/>
  <c r="L1729" i="12"/>
  <c r="I1729" i="12"/>
  <c r="G1729" i="12"/>
  <c r="H1729" i="12" s="1"/>
  <c r="L1728" i="12"/>
  <c r="I1728" i="12"/>
  <c r="G1728" i="12"/>
  <c r="H1728" i="12" s="1"/>
  <c r="L1727" i="12"/>
  <c r="I1727" i="12"/>
  <c r="G1727" i="12"/>
  <c r="H1727" i="12" s="1"/>
  <c r="L1726" i="12"/>
  <c r="I1726" i="12"/>
  <c r="G1726" i="12"/>
  <c r="H1726" i="12" s="1"/>
  <c r="L1725" i="12"/>
  <c r="I1725" i="12"/>
  <c r="G1725" i="12"/>
  <c r="H1725" i="12" s="1"/>
  <c r="L1724" i="12"/>
  <c r="I1724" i="12"/>
  <c r="G1724" i="12"/>
  <c r="H1724" i="12" s="1"/>
  <c r="L1723" i="12"/>
  <c r="I1723" i="12"/>
  <c r="G1723" i="12"/>
  <c r="H1723" i="12" s="1"/>
  <c r="L1722" i="12"/>
  <c r="I1722" i="12"/>
  <c r="G1722" i="12"/>
  <c r="L1721" i="12"/>
  <c r="I1721" i="12"/>
  <c r="G1721" i="12"/>
  <c r="H1721" i="12" s="1"/>
  <c r="L1720" i="12"/>
  <c r="I1720" i="12"/>
  <c r="G1720" i="12"/>
  <c r="H1720" i="12" s="1"/>
  <c r="L1719" i="12"/>
  <c r="I1719" i="12"/>
  <c r="G1719" i="12"/>
  <c r="H1719" i="12" s="1"/>
  <c r="L1718" i="12"/>
  <c r="I1718" i="12"/>
  <c r="G1718" i="12"/>
  <c r="H1718" i="12" s="1"/>
  <c r="L1717" i="12"/>
  <c r="I1717" i="12"/>
  <c r="G1717" i="12"/>
  <c r="H1717" i="12" s="1"/>
  <c r="L1716" i="12"/>
  <c r="I1716" i="12"/>
  <c r="G1716" i="12"/>
  <c r="H1716" i="12" s="1"/>
  <c r="L1715" i="12"/>
  <c r="I1715" i="12"/>
  <c r="G1715" i="12"/>
  <c r="H1715" i="12" s="1"/>
  <c r="L1714" i="12"/>
  <c r="I1714" i="12"/>
  <c r="G1714" i="12"/>
  <c r="H1714" i="12" s="1"/>
  <c r="L1713" i="12"/>
  <c r="I1713" i="12"/>
  <c r="G1713" i="12"/>
  <c r="H1713" i="12" s="1"/>
  <c r="L1712" i="12"/>
  <c r="I1712" i="12"/>
  <c r="G1712" i="12"/>
  <c r="H1712" i="12" s="1"/>
  <c r="L1711" i="12"/>
  <c r="I1711" i="12"/>
  <c r="G1711" i="12"/>
  <c r="H1711" i="12" s="1"/>
  <c r="L1710" i="12"/>
  <c r="I1710" i="12"/>
  <c r="G1710" i="12"/>
  <c r="H1710" i="12" s="1"/>
  <c r="J11" i="18"/>
  <c r="B10" i="18"/>
  <c r="B7" i="18"/>
  <c r="L1709" i="12"/>
  <c r="I1709" i="12"/>
  <c r="G1709" i="12"/>
  <c r="H1709" i="12" s="1"/>
  <c r="L1708" i="12"/>
  <c r="I1708" i="12"/>
  <c r="G1708" i="12"/>
  <c r="H1708" i="12" s="1"/>
  <c r="L1707" i="12"/>
  <c r="I1707" i="12"/>
  <c r="G1707" i="12"/>
  <c r="H1707" i="12" s="1"/>
  <c r="L1706" i="12"/>
  <c r="I1706" i="12"/>
  <c r="G1706" i="12"/>
  <c r="H1706" i="12" s="1"/>
  <c r="L1705" i="12"/>
  <c r="I1705" i="12"/>
  <c r="G1705" i="12"/>
  <c r="H1705" i="12" s="1"/>
  <c r="L1704" i="12"/>
  <c r="I1704" i="12"/>
  <c r="G1704" i="12"/>
  <c r="H1704" i="12" s="1"/>
  <c r="L1703" i="12"/>
  <c r="I1703" i="12"/>
  <c r="G1703" i="12"/>
  <c r="H1703" i="12" s="1"/>
  <c r="L1702" i="12"/>
  <c r="I1702" i="12"/>
  <c r="G1702" i="12"/>
  <c r="H1702" i="12" s="1"/>
  <c r="L1701" i="12"/>
  <c r="I1701" i="12"/>
  <c r="G1701" i="12"/>
  <c r="H1701" i="12" s="1"/>
  <c r="L1700" i="12"/>
  <c r="I1700" i="12"/>
  <c r="G1700" i="12"/>
  <c r="H1700" i="12" s="1"/>
  <c r="L1699" i="12"/>
  <c r="I1699" i="12"/>
  <c r="G1699" i="12"/>
  <c r="H1699" i="12" s="1"/>
  <c r="L1698" i="12"/>
  <c r="I1698" i="12"/>
  <c r="G1698" i="12"/>
  <c r="H1698" i="12" s="1"/>
  <c r="L1697" i="12"/>
  <c r="I1697" i="12"/>
  <c r="G1697" i="12"/>
  <c r="H1697" i="12" s="1"/>
  <c r="L1696" i="12"/>
  <c r="I1696" i="12"/>
  <c r="G1696" i="12"/>
  <c r="H1696" i="12" s="1"/>
  <c r="L1695" i="12"/>
  <c r="I1695" i="12"/>
  <c r="G1695" i="12"/>
  <c r="H1695" i="12" s="1"/>
  <c r="L1694" i="12"/>
  <c r="I1694" i="12"/>
  <c r="G1694" i="12"/>
  <c r="H1694" i="12" s="1"/>
  <c r="L1693" i="12"/>
  <c r="I1693" i="12"/>
  <c r="G1693" i="12"/>
  <c r="H1693" i="12" s="1"/>
  <c r="L1692" i="12"/>
  <c r="I1692" i="12"/>
  <c r="G1692" i="12"/>
  <c r="H1692" i="12" s="1"/>
  <c r="L1691" i="12"/>
  <c r="I1691" i="12"/>
  <c r="G1691" i="12"/>
  <c r="H1691" i="12" s="1"/>
  <c r="L1690" i="12"/>
  <c r="I1690" i="12"/>
  <c r="G1690" i="12"/>
  <c r="H1690" i="12" s="1"/>
  <c r="L1689" i="12"/>
  <c r="I1689" i="12"/>
  <c r="G1689" i="12"/>
  <c r="H1689" i="12" s="1"/>
  <c r="L1688" i="12"/>
  <c r="I1688" i="12"/>
  <c r="G1688" i="12"/>
  <c r="H1688" i="12" s="1"/>
  <c r="L1687" i="12"/>
  <c r="I1687" i="12"/>
  <c r="G1687" i="12"/>
  <c r="H1687" i="12" s="1"/>
  <c r="L1686" i="12"/>
  <c r="I1686" i="12"/>
  <c r="G1686" i="12"/>
  <c r="H1686" i="12" s="1"/>
  <c r="L1685" i="12"/>
  <c r="I1685" i="12"/>
  <c r="G1685" i="12"/>
  <c r="H1685" i="12" s="1"/>
  <c r="L1684" i="12"/>
  <c r="I1684" i="12"/>
  <c r="G1684" i="12"/>
  <c r="H1684" i="12" s="1"/>
  <c r="L1683" i="12"/>
  <c r="I1683" i="12"/>
  <c r="G1683" i="12"/>
  <c r="H1683" i="12" s="1"/>
  <c r="L1682" i="12"/>
  <c r="I1682" i="12"/>
  <c r="G1682" i="12"/>
  <c r="H1682" i="12" s="1"/>
  <c r="L1681" i="12"/>
  <c r="I1681" i="12"/>
  <c r="G1681" i="12"/>
  <c r="H1681" i="12" s="1"/>
  <c r="L1680" i="12"/>
  <c r="I1680" i="12"/>
  <c r="G1680" i="12"/>
  <c r="H1680" i="12" s="1"/>
  <c r="L1679" i="12"/>
  <c r="I1679" i="12"/>
  <c r="G1679" i="12"/>
  <c r="H1679" i="12" s="1"/>
  <c r="L1678" i="12"/>
  <c r="I1678" i="12"/>
  <c r="G1678" i="12"/>
  <c r="H1678" i="12" s="1"/>
  <c r="L1677" i="12"/>
  <c r="I1677" i="12"/>
  <c r="G1677" i="12"/>
  <c r="H1677" i="12" s="1"/>
  <c r="L1676" i="12"/>
  <c r="I1676" i="12"/>
  <c r="G1676" i="12"/>
  <c r="H1676" i="12" s="1"/>
  <c r="L1675" i="12"/>
  <c r="I1675" i="12"/>
  <c r="G1675" i="12"/>
  <c r="H1675" i="12" s="1"/>
  <c r="L1674" i="12"/>
  <c r="I1674" i="12"/>
  <c r="G1674" i="12"/>
  <c r="H1674" i="12" s="1"/>
  <c r="L1673" i="12"/>
  <c r="I1673" i="12"/>
  <c r="G1673" i="12"/>
  <c r="H1673" i="12" s="1"/>
  <c r="L1672" i="12"/>
  <c r="I1672" i="12"/>
  <c r="G1672" i="12"/>
  <c r="H1672" i="12" s="1"/>
  <c r="L1671" i="12"/>
  <c r="I1671" i="12"/>
  <c r="G1671" i="12"/>
  <c r="H1671" i="12" s="1"/>
  <c r="L1670" i="12"/>
  <c r="I1670" i="12"/>
  <c r="G1670" i="12"/>
  <c r="H1670" i="12" s="1"/>
  <c r="L1669" i="12"/>
  <c r="I1669" i="12"/>
  <c r="G1669" i="12"/>
  <c r="H1669" i="12" s="1"/>
  <c r="L1668" i="12"/>
  <c r="I1668" i="12"/>
  <c r="G1668" i="12"/>
  <c r="H1668" i="12" s="1"/>
  <c r="L1667" i="12"/>
  <c r="I1667" i="12"/>
  <c r="G1667" i="12"/>
  <c r="H1667" i="12" s="1"/>
  <c r="L1666" i="12"/>
  <c r="I1666" i="12"/>
  <c r="G1666" i="12"/>
  <c r="H1666" i="12" s="1"/>
  <c r="L1665" i="12"/>
  <c r="I1665" i="12"/>
  <c r="G1665" i="12"/>
  <c r="H1665" i="12" s="1"/>
  <c r="L1664" i="12"/>
  <c r="I1664" i="12"/>
  <c r="G1664" i="12"/>
  <c r="H1664" i="12" s="1"/>
  <c r="L1663" i="12"/>
  <c r="I1663" i="12"/>
  <c r="G1663" i="12"/>
  <c r="H1663" i="12" s="1"/>
  <c r="L1662" i="12"/>
  <c r="I1662" i="12"/>
  <c r="G1662" i="12"/>
  <c r="H1662" i="12" s="1"/>
  <c r="L1661" i="12"/>
  <c r="I1661" i="12"/>
  <c r="G1661" i="12"/>
  <c r="H1661" i="12" s="1"/>
  <c r="L1660" i="12"/>
  <c r="I1660" i="12"/>
  <c r="G1660" i="12"/>
  <c r="H1660" i="12" s="1"/>
  <c r="L1659" i="12"/>
  <c r="I1659" i="12"/>
  <c r="G1659" i="12"/>
  <c r="H1659" i="12" s="1"/>
  <c r="L1658" i="12"/>
  <c r="I1658" i="12"/>
  <c r="G1658" i="12"/>
  <c r="H1658" i="12" s="1"/>
  <c r="L1657" i="12"/>
  <c r="I1657" i="12"/>
  <c r="G1657" i="12"/>
  <c r="H1657" i="12" s="1"/>
  <c r="L1656" i="12"/>
  <c r="I1656" i="12"/>
  <c r="G1656" i="12"/>
  <c r="H1656" i="12" s="1"/>
  <c r="L1655" i="12"/>
  <c r="I1655" i="12"/>
  <c r="G1655" i="12"/>
  <c r="H1655" i="12" s="1"/>
  <c r="L1654" i="12"/>
  <c r="I1654" i="12"/>
  <c r="G1654" i="12"/>
  <c r="H1654" i="12" s="1"/>
  <c r="L1653" i="12"/>
  <c r="I1653" i="12"/>
  <c r="G1653" i="12"/>
  <c r="H1653" i="12" s="1"/>
  <c r="L1652" i="12"/>
  <c r="I1652" i="12"/>
  <c r="G1652" i="12"/>
  <c r="H1652" i="12" s="1"/>
  <c r="L1651" i="12"/>
  <c r="I1651" i="12"/>
  <c r="G1651" i="12"/>
  <c r="H1651" i="12" s="1"/>
  <c r="L1650" i="12"/>
  <c r="I1650" i="12"/>
  <c r="G1650" i="12"/>
  <c r="H1650" i="12" s="1"/>
  <c r="L1649" i="12"/>
  <c r="I1649" i="12"/>
  <c r="G1649" i="12"/>
  <c r="H1649" i="12" s="1"/>
  <c r="L1648" i="12"/>
  <c r="I1648" i="12"/>
  <c r="G1648" i="12"/>
  <c r="H1648" i="12" s="1"/>
  <c r="L1647" i="12"/>
  <c r="I1647" i="12"/>
  <c r="G1647" i="12"/>
  <c r="H1647" i="12" s="1"/>
  <c r="L1646" i="12"/>
  <c r="I1646" i="12"/>
  <c r="G1646" i="12"/>
  <c r="H1646" i="12" s="1"/>
  <c r="L1645" i="12"/>
  <c r="I1645" i="12"/>
  <c r="G1645" i="12"/>
  <c r="H1645" i="12" s="1"/>
  <c r="L1644" i="12"/>
  <c r="I1644" i="12"/>
  <c r="G1644" i="12"/>
  <c r="H1644" i="12" s="1"/>
  <c r="L1643" i="12"/>
  <c r="I1643" i="12"/>
  <c r="G1643" i="12"/>
  <c r="H1643" i="12" s="1"/>
  <c r="L1642" i="12"/>
  <c r="I1642" i="12"/>
  <c r="G1642" i="12"/>
  <c r="H1642" i="12" s="1"/>
  <c r="L1641" i="12"/>
  <c r="I1641" i="12"/>
  <c r="G1641" i="12"/>
  <c r="H1641" i="12" s="1"/>
  <c r="L1640" i="12"/>
  <c r="I1640" i="12"/>
  <c r="G1640" i="12"/>
  <c r="H1640" i="12" s="1"/>
  <c r="L1639" i="12"/>
  <c r="I1639" i="12"/>
  <c r="G1639" i="12"/>
  <c r="H1639" i="12" s="1"/>
  <c r="L1638" i="12"/>
  <c r="I1638" i="12"/>
  <c r="G1638" i="12"/>
  <c r="H1638" i="12" s="1"/>
  <c r="L1637" i="12"/>
  <c r="I1637" i="12"/>
  <c r="G1637" i="12"/>
  <c r="H1637" i="12" s="1"/>
  <c r="L1636" i="12"/>
  <c r="I1636" i="12"/>
  <c r="G1636" i="12"/>
  <c r="H1636" i="12" s="1"/>
  <c r="L1635" i="12"/>
  <c r="I1635" i="12"/>
  <c r="G1635" i="12"/>
  <c r="H1635" i="12" s="1"/>
  <c r="L1634" i="12"/>
  <c r="I1634" i="12"/>
  <c r="G1634" i="12"/>
  <c r="H1634" i="12" s="1"/>
  <c r="L1633" i="12"/>
  <c r="I1633" i="12"/>
  <c r="G1633" i="12"/>
  <c r="H1633" i="12" s="1"/>
  <c r="L1632" i="12"/>
  <c r="I1632" i="12"/>
  <c r="G1632" i="12"/>
  <c r="H1632" i="12" s="1"/>
  <c r="L1631" i="12"/>
  <c r="I1631" i="12"/>
  <c r="G1631" i="12"/>
  <c r="H1631" i="12" s="1"/>
  <c r="L1630" i="12"/>
  <c r="I1630" i="12"/>
  <c r="G1630" i="12"/>
  <c r="H1630" i="12" s="1"/>
  <c r="L1629" i="12"/>
  <c r="I1629" i="12"/>
  <c r="G1629" i="12"/>
  <c r="H1629" i="12" s="1"/>
  <c r="L1628" i="12"/>
  <c r="I1628" i="12"/>
  <c r="G1628" i="12"/>
  <c r="H1628" i="12" s="1"/>
  <c r="L1627" i="12"/>
  <c r="I1627" i="12"/>
  <c r="G1627" i="12"/>
  <c r="H1627" i="12" s="1"/>
  <c r="L1626" i="12"/>
  <c r="I1626" i="12"/>
  <c r="G1626" i="12"/>
  <c r="H1626" i="12" s="1"/>
  <c r="L1625" i="12"/>
  <c r="I1625" i="12"/>
  <c r="G1625" i="12"/>
  <c r="H1625" i="12" s="1"/>
  <c r="L1624" i="12"/>
  <c r="I1624" i="12"/>
  <c r="G1624" i="12"/>
  <c r="H1624" i="12" s="1"/>
  <c r="L1623" i="12"/>
  <c r="I1623" i="12"/>
  <c r="G1623" i="12"/>
  <c r="H1623" i="12" s="1"/>
  <c r="L1622" i="12"/>
  <c r="I1622" i="12"/>
  <c r="G1622" i="12"/>
  <c r="H1622" i="12" s="1"/>
  <c r="L1621" i="12"/>
  <c r="I1621" i="12"/>
  <c r="G1621" i="12"/>
  <c r="H1621" i="12" s="1"/>
  <c r="L1620" i="12"/>
  <c r="I1620" i="12"/>
  <c r="G1620" i="12"/>
  <c r="H1620" i="12" s="1"/>
  <c r="L1619" i="12"/>
  <c r="I1619" i="12"/>
  <c r="G1619" i="12"/>
  <c r="H1619" i="12" s="1"/>
  <c r="L1618" i="12"/>
  <c r="I1618" i="12"/>
  <c r="G1618" i="12"/>
  <c r="H1618" i="12" s="1"/>
  <c r="L1617" i="12"/>
  <c r="I1617" i="12"/>
  <c r="G1617" i="12"/>
  <c r="H1617" i="12" s="1"/>
  <c r="L1616" i="12"/>
  <c r="I1616" i="12"/>
  <c r="G1616" i="12"/>
  <c r="H1616" i="12" s="1"/>
  <c r="L1615" i="12"/>
  <c r="I1615" i="12"/>
  <c r="G1615" i="12"/>
  <c r="H1615" i="12" s="1"/>
  <c r="L1614" i="12"/>
  <c r="I1614" i="12"/>
  <c r="G1614" i="12"/>
  <c r="H1614" i="12" s="1"/>
  <c r="L1613" i="12"/>
  <c r="I1613" i="12"/>
  <c r="G1613" i="12"/>
  <c r="H1613" i="12" s="1"/>
  <c r="L1612" i="12"/>
  <c r="I1612" i="12"/>
  <c r="G1612" i="12"/>
  <c r="H1612" i="12" s="1"/>
  <c r="L1611" i="12"/>
  <c r="I1611" i="12"/>
  <c r="G1611" i="12"/>
  <c r="H1611" i="12" s="1"/>
  <c r="L1610" i="12"/>
  <c r="I1610" i="12"/>
  <c r="G1610" i="12"/>
  <c r="H1610" i="12" s="1"/>
  <c r="L1609" i="12"/>
  <c r="I1609" i="12"/>
  <c r="G1609" i="12"/>
  <c r="H1609" i="12" s="1"/>
  <c r="L1608" i="12"/>
  <c r="I1608" i="12"/>
  <c r="G1608" i="12"/>
  <c r="H1608" i="12" s="1"/>
  <c r="L1607" i="12"/>
  <c r="I1607" i="12"/>
  <c r="G1607" i="12"/>
  <c r="H1607" i="12" s="1"/>
  <c r="L1606" i="12"/>
  <c r="I1606" i="12"/>
  <c r="G1606" i="12"/>
  <c r="H1606" i="12" s="1"/>
  <c r="L1605" i="12"/>
  <c r="I1605" i="12"/>
  <c r="G1605" i="12"/>
  <c r="H1605" i="12" s="1"/>
  <c r="L1604" i="12"/>
  <c r="I1604" i="12"/>
  <c r="G1604" i="12"/>
  <c r="H1604" i="12" s="1"/>
  <c r="L1603" i="12"/>
  <c r="I1603" i="12"/>
  <c r="G1603" i="12"/>
  <c r="H1603" i="12" s="1"/>
  <c r="L1602" i="12"/>
  <c r="I1602" i="12"/>
  <c r="G1602" i="12"/>
  <c r="H1602" i="12" s="1"/>
  <c r="L1601" i="12"/>
  <c r="I1601" i="12"/>
  <c r="G1601" i="12"/>
  <c r="H1601" i="12" s="1"/>
  <c r="L1600" i="12"/>
  <c r="I1600" i="12"/>
  <c r="G1600" i="12"/>
  <c r="H1600" i="12" s="1"/>
  <c r="L1599" i="12"/>
  <c r="I1599" i="12"/>
  <c r="G1599" i="12"/>
  <c r="H1599" i="12" s="1"/>
  <c r="L1598" i="12"/>
  <c r="I1598" i="12"/>
  <c r="G1598" i="12"/>
  <c r="H1598" i="12" s="1"/>
  <c r="L1597" i="12"/>
  <c r="I1597" i="12"/>
  <c r="G1597" i="12"/>
  <c r="H1597" i="12" s="1"/>
  <c r="L1596" i="12"/>
  <c r="I1596" i="12"/>
  <c r="G1596" i="12"/>
  <c r="H1596" i="12" s="1"/>
  <c r="L1595" i="12"/>
  <c r="I1595" i="12"/>
  <c r="G1595" i="12"/>
  <c r="H1595" i="12" s="1"/>
  <c r="L1594" i="12"/>
  <c r="I1594" i="12"/>
  <c r="G1594" i="12"/>
  <c r="H1594" i="12" s="1"/>
  <c r="L1593" i="12"/>
  <c r="I1593" i="12"/>
  <c r="G1593" i="12"/>
  <c r="H1593" i="12" s="1"/>
  <c r="L1592" i="12"/>
  <c r="I1592" i="12"/>
  <c r="G1592" i="12"/>
  <c r="H1592" i="12" s="1"/>
  <c r="L1591" i="12"/>
  <c r="I1591" i="12"/>
  <c r="G1591" i="12"/>
  <c r="H1591" i="12" s="1"/>
  <c r="L1590" i="12"/>
  <c r="I1590" i="12"/>
  <c r="G1590" i="12"/>
  <c r="H1590" i="12" s="1"/>
  <c r="L1589" i="12"/>
  <c r="I1589" i="12"/>
  <c r="G1589" i="12"/>
  <c r="H1589" i="12" s="1"/>
  <c r="L1588" i="12"/>
  <c r="I1588" i="12"/>
  <c r="G1588" i="12"/>
  <c r="H1588" i="12" s="1"/>
  <c r="L1587" i="12"/>
  <c r="I1587" i="12"/>
  <c r="G1587" i="12"/>
  <c r="H1587" i="12" s="1"/>
  <c r="L1586" i="12"/>
  <c r="I1586" i="12"/>
  <c r="G1586" i="12"/>
  <c r="H1586" i="12" s="1"/>
  <c r="L1585" i="12"/>
  <c r="I1585" i="12"/>
  <c r="G1585" i="12"/>
  <c r="H1585" i="12" s="1"/>
  <c r="J1812" i="12" l="1"/>
  <c r="K1812" i="12" s="1"/>
  <c r="J1873" i="12"/>
  <c r="K1873" i="12" s="1"/>
  <c r="J1913" i="12"/>
  <c r="K1913" i="12" s="1"/>
  <c r="J1921" i="12"/>
  <c r="K1921" i="12" s="1"/>
  <c r="J2019" i="12"/>
  <c r="K2019" i="12" s="1"/>
  <c r="J1969" i="12"/>
  <c r="K1969" i="12" s="1"/>
  <c r="J1977" i="12"/>
  <c r="K1977" i="12" s="1"/>
  <c r="J1868" i="12"/>
  <c r="K1868" i="12" s="1"/>
  <c r="J1803" i="12"/>
  <c r="K1803" i="12" s="1"/>
  <c r="J1827" i="12"/>
  <c r="K1827" i="12" s="1"/>
  <c r="J1830" i="12"/>
  <c r="K1830" i="12" s="1"/>
  <c r="J1875" i="12"/>
  <c r="K1875" i="12" s="1"/>
  <c r="J1923" i="12"/>
  <c r="K1923" i="12" s="1"/>
  <c r="J1931" i="12"/>
  <c r="K1931" i="12" s="1"/>
  <c r="J1829" i="12"/>
  <c r="K1829" i="12" s="1"/>
  <c r="J1837" i="12"/>
  <c r="K1837" i="12" s="1"/>
  <c r="J1758" i="12"/>
  <c r="K1758" i="12" s="1"/>
  <c r="J1763" i="12"/>
  <c r="K1763" i="12" s="1"/>
  <c r="J1787" i="12"/>
  <c r="K1787" i="12" s="1"/>
  <c r="J1821" i="12"/>
  <c r="K1821" i="12" s="1"/>
  <c r="J1847" i="12"/>
  <c r="K1847" i="12" s="1"/>
  <c r="J1750" i="12"/>
  <c r="K1750" i="12" s="1"/>
  <c r="J1767" i="12"/>
  <c r="K1767" i="12" s="1"/>
  <c r="J1957" i="12"/>
  <c r="K1957" i="12" s="1"/>
  <c r="J1784" i="12"/>
  <c r="K1784" i="12" s="1"/>
  <c r="J1792" i="12"/>
  <c r="K1792" i="12" s="1"/>
  <c r="J1836" i="12"/>
  <c r="K1836" i="12" s="1"/>
  <c r="J1766" i="12"/>
  <c r="K1766" i="12" s="1"/>
  <c r="J1884" i="12"/>
  <c r="K1884" i="12" s="1"/>
  <c r="J2020" i="12"/>
  <c r="K2020" i="12" s="1"/>
  <c r="J1798" i="12"/>
  <c r="K1798" i="12" s="1"/>
  <c r="J1805" i="12"/>
  <c r="K1805" i="12" s="1"/>
  <c r="J1815" i="12"/>
  <c r="K1815" i="12" s="1"/>
  <c r="J1746" i="12"/>
  <c r="K1746" i="12" s="1"/>
  <c r="J1813" i="12"/>
  <c r="K1813" i="12" s="1"/>
  <c r="J1823" i="12"/>
  <c r="K1823" i="12" s="1"/>
  <c r="J1882" i="12"/>
  <c r="K1882" i="12" s="1"/>
  <c r="J1890" i="12"/>
  <c r="K1890" i="12" s="1"/>
  <c r="J1906" i="12"/>
  <c r="K1906" i="12" s="1"/>
  <c r="J1914" i="12"/>
  <c r="K1914" i="12" s="1"/>
  <c r="J1946" i="12"/>
  <c r="K1946" i="12" s="1"/>
  <c r="J1786" i="12"/>
  <c r="K1786" i="12" s="1"/>
  <c r="J1799" i="12"/>
  <c r="K1799" i="12" s="1"/>
  <c r="J1846" i="12"/>
  <c r="K1846" i="12" s="1"/>
  <c r="J1752" i="12"/>
  <c r="K1752" i="12" s="1"/>
  <c r="J1760" i="12"/>
  <c r="K1760" i="12" s="1"/>
  <c r="J1789" i="12"/>
  <c r="K1789" i="12" s="1"/>
  <c r="J1739" i="12"/>
  <c r="K1739" i="12" s="1"/>
  <c r="J1934" i="12"/>
  <c r="K1934" i="12" s="1"/>
  <c r="J1942" i="12"/>
  <c r="K1942" i="12" s="1"/>
  <c r="J1762" i="12"/>
  <c r="K1762" i="12" s="1"/>
  <c r="J1848" i="12"/>
  <c r="K1848" i="12" s="1"/>
  <c r="J1858" i="12"/>
  <c r="K1858" i="12" s="1"/>
  <c r="J1951" i="12"/>
  <c r="K1951" i="12" s="1"/>
  <c r="J1985" i="12"/>
  <c r="K1985" i="12" s="1"/>
  <c r="J2009" i="12"/>
  <c r="K2009" i="12" s="1"/>
  <c r="J2017" i="12"/>
  <c r="K2017" i="12" s="1"/>
  <c r="J1782" i="12"/>
  <c r="K1782" i="12" s="1"/>
  <c r="J1814" i="12"/>
  <c r="K1814" i="12" s="1"/>
  <c r="J1941" i="12"/>
  <c r="K1941" i="12" s="1"/>
  <c r="J1949" i="12"/>
  <c r="K1949" i="12" s="1"/>
  <c r="J1970" i="12"/>
  <c r="K1970" i="12" s="1"/>
  <c r="J2015" i="12"/>
  <c r="K2015" i="12" s="1"/>
  <c r="J1736" i="12"/>
  <c r="K1736" i="12" s="1"/>
  <c r="J1742" i="12"/>
  <c r="K1742" i="12" s="1"/>
  <c r="J1755" i="12"/>
  <c r="K1755" i="12" s="1"/>
  <c r="J1775" i="12"/>
  <c r="K1775" i="12" s="1"/>
  <c r="J1880" i="12"/>
  <c r="K1880" i="12" s="1"/>
  <c r="J1888" i="12"/>
  <c r="K1888" i="12" s="1"/>
  <c r="J2002" i="12"/>
  <c r="K2002" i="12" s="1"/>
  <c r="J1779" i="12"/>
  <c r="K1779" i="12" s="1"/>
  <c r="J1778" i="12"/>
  <c r="K1778" i="12" s="1"/>
  <c r="J1842" i="12"/>
  <c r="K1842" i="12" s="1"/>
  <c r="J1774" i="12"/>
  <c r="K1774" i="12" s="1"/>
  <c r="J1806" i="12"/>
  <c r="K1806" i="12" s="1"/>
  <c r="J1743" i="12"/>
  <c r="K1743" i="12" s="1"/>
  <c r="J1810" i="12"/>
  <c r="K1810" i="12" s="1"/>
  <c r="J1865" i="12"/>
  <c r="K1865" i="12" s="1"/>
  <c r="J1902" i="12"/>
  <c r="K1902" i="12" s="1"/>
  <c r="J1979" i="12"/>
  <c r="K1979" i="12" s="1"/>
  <c r="H1743" i="12"/>
  <c r="J1751" i="12"/>
  <c r="K1751" i="12" s="1"/>
  <c r="J1759" i="12"/>
  <c r="K1759" i="12" s="1"/>
  <c r="J1771" i="12"/>
  <c r="K1771" i="12" s="1"/>
  <c r="J1828" i="12"/>
  <c r="K1828" i="12" s="1"/>
  <c r="J1845" i="12"/>
  <c r="K1845" i="12" s="1"/>
  <c r="J1738" i="12"/>
  <c r="K1738" i="12" s="1"/>
  <c r="J1744" i="12"/>
  <c r="K1744" i="12" s="1"/>
  <c r="H1759" i="12"/>
  <c r="J1768" i="12"/>
  <c r="K1768" i="12" s="1"/>
  <c r="J1783" i="12"/>
  <c r="K1783" i="12" s="1"/>
  <c r="J1794" i="12"/>
  <c r="K1794" i="12" s="1"/>
  <c r="J1807" i="12"/>
  <c r="K1807" i="12" s="1"/>
  <c r="J1818" i="12"/>
  <c r="K1818" i="12" s="1"/>
  <c r="J1824" i="12"/>
  <c r="K1824" i="12" s="1"/>
  <c r="J1839" i="12"/>
  <c r="K1839" i="12" s="1"/>
  <c r="J1855" i="12"/>
  <c r="K1855" i="12" s="1"/>
  <c r="J1860" i="12"/>
  <c r="K1860" i="12" s="1"/>
  <c r="J1898" i="12"/>
  <c r="K1898" i="12" s="1"/>
  <c r="J1903" i="12"/>
  <c r="K1903" i="12" s="1"/>
  <c r="J1929" i="12"/>
  <c r="K1929" i="12" s="1"/>
  <c r="J1954" i="12"/>
  <c r="K1954" i="12" s="1"/>
  <c r="J1962" i="12"/>
  <c r="K1962" i="12" s="1"/>
  <c r="J1982" i="12"/>
  <c r="K1982" i="12" s="1"/>
  <c r="J1987" i="12"/>
  <c r="K1987" i="12" s="1"/>
  <c r="J1997" i="12"/>
  <c r="K1997" i="12" s="1"/>
  <c r="J2005" i="12"/>
  <c r="K2005" i="12" s="1"/>
  <c r="J1820" i="12"/>
  <c r="K1820" i="12" s="1"/>
  <c r="H1786" i="12"/>
  <c r="J1881" i="12"/>
  <c r="K1881" i="12" s="1"/>
  <c r="J1909" i="12"/>
  <c r="K1909" i="12" s="1"/>
  <c r="J1922" i="12"/>
  <c r="K1922" i="12" s="1"/>
  <c r="J1927" i="12"/>
  <c r="K1927" i="12" s="1"/>
  <c r="J1937" i="12"/>
  <c r="K1937" i="12" s="1"/>
  <c r="J1950" i="12"/>
  <c r="K1950" i="12" s="1"/>
  <c r="J1965" i="12"/>
  <c r="K1965" i="12" s="1"/>
  <c r="J1978" i="12"/>
  <c r="K1978" i="12" s="1"/>
  <c r="J1990" i="12"/>
  <c r="K1990" i="12" s="1"/>
  <c r="J2003" i="12"/>
  <c r="K2003" i="12" s="1"/>
  <c r="J1757" i="12"/>
  <c r="K1757" i="12" s="1"/>
  <c r="J1781" i="12"/>
  <c r="K1781" i="12" s="1"/>
  <c r="J1822" i="12"/>
  <c r="K1822" i="12" s="1"/>
  <c r="J1844" i="12"/>
  <c r="K1844" i="12" s="1"/>
  <c r="J1749" i="12"/>
  <c r="K1749" i="12" s="1"/>
  <c r="J1754" i="12"/>
  <c r="K1754" i="12" s="1"/>
  <c r="H1771" i="12"/>
  <c r="H1775" i="12"/>
  <c r="J1790" i="12"/>
  <c r="K1790" i="12" s="1"/>
  <c r="J1816" i="12"/>
  <c r="K1816" i="12" s="1"/>
  <c r="J1831" i="12"/>
  <c r="K1831" i="12" s="1"/>
  <c r="J1834" i="12"/>
  <c r="K1834" i="12" s="1"/>
  <c r="J1840" i="12"/>
  <c r="K1840" i="12" s="1"/>
  <c r="J1866" i="12"/>
  <c r="K1866" i="12" s="1"/>
  <c r="J1876" i="12"/>
  <c r="K1876" i="12" s="1"/>
  <c r="J1904" i="12"/>
  <c r="K1904" i="12" s="1"/>
  <c r="J1917" i="12"/>
  <c r="K1917" i="12" s="1"/>
  <c r="J1930" i="12"/>
  <c r="K1930" i="12" s="1"/>
  <c r="J1955" i="12"/>
  <c r="K1955" i="12" s="1"/>
  <c r="J1973" i="12"/>
  <c r="K1973" i="12" s="1"/>
  <c r="J1983" i="12"/>
  <c r="K1983" i="12" s="1"/>
  <c r="J1998" i="12"/>
  <c r="K1998" i="12" s="1"/>
  <c r="J2006" i="12"/>
  <c r="K2006" i="12" s="1"/>
  <c r="J2014" i="12"/>
  <c r="K2014" i="12" s="1"/>
  <c r="J1747" i="12"/>
  <c r="K1747" i="12" s="1"/>
  <c r="H1754" i="12"/>
  <c r="J1773" i="12"/>
  <c r="K1773" i="12" s="1"/>
  <c r="J1797" i="12"/>
  <c r="K1797" i="12" s="1"/>
  <c r="J1802" i="12"/>
  <c r="K1802" i="12" s="1"/>
  <c r="J1808" i="12"/>
  <c r="K1808" i="12" s="1"/>
  <c r="H1834" i="12"/>
  <c r="J1838" i="12"/>
  <c r="K1838" i="12" s="1"/>
  <c r="J1843" i="12"/>
  <c r="K1843" i="12" s="1"/>
  <c r="J1894" i="12"/>
  <c r="K1894" i="12" s="1"/>
  <c r="J1915" i="12"/>
  <c r="K1915" i="12" s="1"/>
  <c r="J1925" i="12"/>
  <c r="K1925" i="12" s="1"/>
  <c r="J1935" i="12"/>
  <c r="K1935" i="12" s="1"/>
  <c r="J1943" i="12"/>
  <c r="K1943" i="12" s="1"/>
  <c r="J1958" i="12"/>
  <c r="K1958" i="12" s="1"/>
  <c r="J1963" i="12"/>
  <c r="K1963" i="12" s="1"/>
  <c r="J1971" i="12"/>
  <c r="K1971" i="12" s="1"/>
  <c r="J1986" i="12"/>
  <c r="K1986" i="12" s="1"/>
  <c r="J1988" i="12"/>
  <c r="K1988" i="12" s="1"/>
  <c r="J1993" i="12"/>
  <c r="K1993" i="12" s="1"/>
  <c r="J1791" i="12"/>
  <c r="K1791" i="12" s="1"/>
  <c r="J1795" i="12"/>
  <c r="K1795" i="12" s="1"/>
  <c r="J1854" i="12"/>
  <c r="K1854" i="12" s="1"/>
  <c r="J1910" i="12"/>
  <c r="K1910" i="12" s="1"/>
  <c r="J1991" i="12"/>
  <c r="K1991" i="12" s="1"/>
  <c r="J2004" i="12"/>
  <c r="K2004" i="12" s="1"/>
  <c r="J1741" i="12"/>
  <c r="K1741" i="12" s="1"/>
  <c r="J1765" i="12"/>
  <c r="K1765" i="12" s="1"/>
  <c r="J1770" i="12"/>
  <c r="K1770" i="12" s="1"/>
  <c r="J1776" i="12"/>
  <c r="K1776" i="12" s="1"/>
  <c r="H1791" i="12"/>
  <c r="J1800" i="12"/>
  <c r="K1800" i="12" s="1"/>
  <c r="J1811" i="12"/>
  <c r="K1811" i="12" s="1"/>
  <c r="J1826" i="12"/>
  <c r="K1826" i="12" s="1"/>
  <c r="J1832" i="12"/>
  <c r="K1832" i="12" s="1"/>
  <c r="J1819" i="12"/>
  <c r="K1819" i="12" s="1"/>
  <c r="J1835" i="12"/>
  <c r="K1835" i="12" s="1"/>
  <c r="J1999" i="12"/>
  <c r="K1999" i="12" s="1"/>
  <c r="J2011" i="12"/>
  <c r="K2011" i="12" s="1"/>
  <c r="J2018" i="12"/>
  <c r="K2018" i="12" s="1"/>
  <c r="J1745" i="12"/>
  <c r="K1745" i="12" s="1"/>
  <c r="J1761" i="12"/>
  <c r="K1761" i="12" s="1"/>
  <c r="J1777" i="12"/>
  <c r="K1777" i="12" s="1"/>
  <c r="J1793" i="12"/>
  <c r="K1793" i="12" s="1"/>
  <c r="J1809" i="12"/>
  <c r="K1809" i="12" s="1"/>
  <c r="H1811" i="12"/>
  <c r="J1825" i="12"/>
  <c r="K1825" i="12" s="1"/>
  <c r="H1827" i="12"/>
  <c r="J1841" i="12"/>
  <c r="K1841" i="12" s="1"/>
  <c r="H1843" i="12"/>
  <c r="J1850" i="12"/>
  <c r="K1850" i="12" s="1"/>
  <c r="J1856" i="12"/>
  <c r="K1856" i="12" s="1"/>
  <c r="J1870" i="12"/>
  <c r="K1870" i="12" s="1"/>
  <c r="J1877" i="12"/>
  <c r="K1877" i="12" s="1"/>
  <c r="J1896" i="12"/>
  <c r="K1896" i="12" s="1"/>
  <c r="J1901" i="12"/>
  <c r="K1901" i="12" s="1"/>
  <c r="J1911" i="12"/>
  <c r="K1911" i="12" s="1"/>
  <c r="J1918" i="12"/>
  <c r="K1918" i="12" s="1"/>
  <c r="J1939" i="12"/>
  <c r="K1939" i="12" s="1"/>
  <c r="J1953" i="12"/>
  <c r="K1953" i="12" s="1"/>
  <c r="J1967" i="12"/>
  <c r="K1967" i="12" s="1"/>
  <c r="J1974" i="12"/>
  <c r="K1974" i="12" s="1"/>
  <c r="J1981" i="12"/>
  <c r="K1981" i="12" s="1"/>
  <c r="J1995" i="12"/>
  <c r="K1995" i="12" s="1"/>
  <c r="J2007" i="12"/>
  <c r="K2007" i="12" s="1"/>
  <c r="J1740" i="12"/>
  <c r="K1740" i="12" s="1"/>
  <c r="J1756" i="12"/>
  <c r="K1756" i="12" s="1"/>
  <c r="J1772" i="12"/>
  <c r="K1772" i="12" s="1"/>
  <c r="J1788" i="12"/>
  <c r="K1788" i="12" s="1"/>
  <c r="J1804" i="12"/>
  <c r="K1804" i="12" s="1"/>
  <c r="J1886" i="12"/>
  <c r="K1886" i="12" s="1"/>
  <c r="J2010" i="12"/>
  <c r="K2010" i="12" s="1"/>
  <c r="H1746" i="12"/>
  <c r="H1751" i="12"/>
  <c r="H1762" i="12"/>
  <c r="H1767" i="12"/>
  <c r="H1778" i="12"/>
  <c r="H1783" i="12"/>
  <c r="H1794" i="12"/>
  <c r="H1799" i="12"/>
  <c r="H1810" i="12"/>
  <c r="H1826" i="12"/>
  <c r="H1842" i="12"/>
  <c r="J1857" i="12"/>
  <c r="K1857" i="12" s="1"/>
  <c r="J1907" i="12"/>
  <c r="K1907" i="12" s="1"/>
  <c r="J1947" i="12"/>
  <c r="K1947" i="12" s="1"/>
  <c r="J1961" i="12"/>
  <c r="K1961" i="12" s="1"/>
  <c r="J1975" i="12"/>
  <c r="K1975" i="12" s="1"/>
  <c r="J1737" i="12"/>
  <c r="K1737" i="12" s="1"/>
  <c r="J1753" i="12"/>
  <c r="K1753" i="12" s="1"/>
  <c r="J1769" i="12"/>
  <c r="K1769" i="12" s="1"/>
  <c r="J1785" i="12"/>
  <c r="K1785" i="12" s="1"/>
  <c r="J1801" i="12"/>
  <c r="K1801" i="12" s="1"/>
  <c r="J1817" i="12"/>
  <c r="K1817" i="12" s="1"/>
  <c r="J1833" i="12"/>
  <c r="K1833" i="12" s="1"/>
  <c r="J1849" i="12"/>
  <c r="K1849" i="12" s="1"/>
  <c r="J1885" i="12"/>
  <c r="K1885" i="12" s="1"/>
  <c r="J1919" i="12"/>
  <c r="K1919" i="12" s="1"/>
  <c r="J1926" i="12"/>
  <c r="K1926" i="12" s="1"/>
  <c r="J1938" i="12"/>
  <c r="K1938" i="12" s="1"/>
  <c r="J1945" i="12"/>
  <c r="K1945" i="12" s="1"/>
  <c r="J1959" i="12"/>
  <c r="K1959" i="12" s="1"/>
  <c r="J1966" i="12"/>
  <c r="K1966" i="12" s="1"/>
  <c r="J1989" i="12"/>
  <c r="K1989" i="12" s="1"/>
  <c r="J1994" i="12"/>
  <c r="K1994" i="12" s="1"/>
  <c r="J2001" i="12"/>
  <c r="K2001" i="12" s="1"/>
  <c r="J1400" i="12"/>
  <c r="K1400" i="12" s="1"/>
  <c r="J1748" i="12"/>
  <c r="K1748" i="12" s="1"/>
  <c r="J1764" i="12"/>
  <c r="K1764" i="12" s="1"/>
  <c r="J1780" i="12"/>
  <c r="K1780" i="12" s="1"/>
  <c r="J1796" i="12"/>
  <c r="K1796" i="12" s="1"/>
  <c r="J1851" i="12"/>
  <c r="K1851" i="12" s="1"/>
  <c r="J1862" i="12"/>
  <c r="K1862" i="12" s="1"/>
  <c r="J1874" i="12"/>
  <c r="K1874" i="12" s="1"/>
  <c r="J1878" i="12"/>
  <c r="K1878" i="12" s="1"/>
  <c r="J1861" i="12"/>
  <c r="K1861" i="12" s="1"/>
  <c r="J1872" i="12"/>
  <c r="K1872" i="12" s="1"/>
  <c r="J1892" i="12"/>
  <c r="K1892" i="12" s="1"/>
  <c r="J1905" i="12"/>
  <c r="K1905" i="12" s="1"/>
  <c r="J1916" i="12"/>
  <c r="K1916" i="12" s="1"/>
  <c r="J1932" i="12"/>
  <c r="K1932" i="12" s="1"/>
  <c r="J1948" i="12"/>
  <c r="K1948" i="12" s="1"/>
  <c r="J1964" i="12"/>
  <c r="K1964" i="12" s="1"/>
  <c r="J1980" i="12"/>
  <c r="K1980" i="12" s="1"/>
  <c r="J1996" i="12"/>
  <c r="K1996" i="12" s="1"/>
  <c r="J2012" i="12"/>
  <c r="K2012" i="12" s="1"/>
  <c r="J1859" i="12"/>
  <c r="K1859" i="12" s="1"/>
  <c r="J1852" i="12"/>
  <c r="K1852" i="12" s="1"/>
  <c r="J1863" i="12"/>
  <c r="K1863" i="12" s="1"/>
  <c r="J1869" i="12"/>
  <c r="K1869" i="12" s="1"/>
  <c r="J1897" i="12"/>
  <c r="K1897" i="12" s="1"/>
  <c r="J1899" i="12"/>
  <c r="K1899" i="12" s="1"/>
  <c r="J1912" i="12"/>
  <c r="K1912" i="12" s="1"/>
  <c r="J1928" i="12"/>
  <c r="K1928" i="12" s="1"/>
  <c r="J1944" i="12"/>
  <c r="K1944" i="12" s="1"/>
  <c r="J1960" i="12"/>
  <c r="K1960" i="12" s="1"/>
  <c r="J1976" i="12"/>
  <c r="K1976" i="12" s="1"/>
  <c r="J1992" i="12"/>
  <c r="K1992" i="12" s="1"/>
  <c r="J2008" i="12"/>
  <c r="K2008" i="12" s="1"/>
  <c r="H1736" i="12"/>
  <c r="H1740" i="12"/>
  <c r="H1744" i="12"/>
  <c r="H1748" i="12"/>
  <c r="H1752" i="12"/>
  <c r="H1756" i="12"/>
  <c r="H1760" i="12"/>
  <c r="H1764" i="12"/>
  <c r="H1768" i="12"/>
  <c r="H1772" i="12"/>
  <c r="H1776" i="12"/>
  <c r="H1780" i="12"/>
  <c r="H1784" i="12"/>
  <c r="H1788" i="12"/>
  <c r="H1792" i="12"/>
  <c r="H1796" i="12"/>
  <c r="H1800" i="12"/>
  <c r="H1804" i="12"/>
  <c r="H1808" i="12"/>
  <c r="J1867" i="12"/>
  <c r="K1867" i="12" s="1"/>
  <c r="J1893" i="12"/>
  <c r="K1893" i="12" s="1"/>
  <c r="J1895" i="12"/>
  <c r="K1895" i="12" s="1"/>
  <c r="J1933" i="12"/>
  <c r="K1933" i="12" s="1"/>
  <c r="J2013" i="12"/>
  <c r="K2013" i="12" s="1"/>
  <c r="J1871" i="12"/>
  <c r="K1871" i="12" s="1"/>
  <c r="J1879" i="12"/>
  <c r="K1879" i="12" s="1"/>
  <c r="H1879" i="12"/>
  <c r="J1883" i="12"/>
  <c r="K1883" i="12" s="1"/>
  <c r="H1883" i="12"/>
  <c r="J1887" i="12"/>
  <c r="K1887" i="12" s="1"/>
  <c r="H1887" i="12"/>
  <c r="J1889" i="12"/>
  <c r="K1889" i="12" s="1"/>
  <c r="J1891" i="12"/>
  <c r="K1891" i="12" s="1"/>
  <c r="J1908" i="12"/>
  <c r="K1908" i="12" s="1"/>
  <c r="J1924" i="12"/>
  <c r="K1924" i="12" s="1"/>
  <c r="J1940" i="12"/>
  <c r="K1940" i="12" s="1"/>
  <c r="J1956" i="12"/>
  <c r="K1956" i="12" s="1"/>
  <c r="J1972" i="12"/>
  <c r="K1972" i="12" s="1"/>
  <c r="J1853" i="12"/>
  <c r="K1853" i="12" s="1"/>
  <c r="J1864" i="12"/>
  <c r="K1864" i="12" s="1"/>
  <c r="J1900" i="12"/>
  <c r="K1900" i="12" s="1"/>
  <c r="J1920" i="12"/>
  <c r="K1920" i="12" s="1"/>
  <c r="J1936" i="12"/>
  <c r="K1936" i="12" s="1"/>
  <c r="J1952" i="12"/>
  <c r="K1952" i="12" s="1"/>
  <c r="J1968" i="12"/>
  <c r="K1968" i="12" s="1"/>
  <c r="J1984" i="12"/>
  <c r="K1984" i="12" s="1"/>
  <c r="J2000" i="12"/>
  <c r="K2000" i="12" s="1"/>
  <c r="J2016" i="12"/>
  <c r="K2016" i="12" s="1"/>
  <c r="H2019" i="12"/>
  <c r="J1401" i="12"/>
  <c r="K1401" i="12" s="1"/>
  <c r="J1436" i="12"/>
  <c r="K1436" i="12" s="1"/>
  <c r="J1399" i="12"/>
  <c r="K1399" i="12" s="1"/>
  <c r="J1397" i="12"/>
  <c r="K1397" i="12" s="1"/>
  <c r="J1394" i="12"/>
  <c r="K1394" i="12" s="1"/>
  <c r="J1654" i="12"/>
  <c r="K1654" i="12" s="1"/>
  <c r="J1678" i="12"/>
  <c r="K1678" i="12" s="1"/>
  <c r="J1686" i="12"/>
  <c r="K1686" i="12" s="1"/>
  <c r="J1694" i="12"/>
  <c r="K1694" i="12" s="1"/>
  <c r="J1670" i="12"/>
  <c r="K1670" i="12" s="1"/>
  <c r="J1662" i="12"/>
  <c r="K1662" i="12" s="1"/>
  <c r="J1646" i="12"/>
  <c r="K1646" i="12" s="1"/>
  <c r="J1702" i="12"/>
  <c r="K1702" i="12" s="1"/>
  <c r="J1734" i="12"/>
  <c r="K1734" i="12" s="1"/>
  <c r="J1724" i="12"/>
  <c r="K1724" i="12" s="1"/>
  <c r="J1732" i="12"/>
  <c r="K1732" i="12" s="1"/>
  <c r="J1710" i="12"/>
  <c r="K1710" i="12" s="1"/>
  <c r="J1715" i="12"/>
  <c r="K1715" i="12" s="1"/>
  <c r="J1723" i="12"/>
  <c r="K1723" i="12" s="1"/>
  <c r="J1714" i="12"/>
  <c r="K1714" i="12" s="1"/>
  <c r="J1592" i="12"/>
  <c r="K1592" i="12" s="1"/>
  <c r="J1600" i="12"/>
  <c r="K1600" i="12" s="1"/>
  <c r="J1608" i="12"/>
  <c r="K1608" i="12" s="1"/>
  <c r="J1616" i="12"/>
  <c r="K1616" i="12" s="1"/>
  <c r="J1624" i="12"/>
  <c r="K1624" i="12" s="1"/>
  <c r="J1632" i="12"/>
  <c r="K1632" i="12" s="1"/>
  <c r="J1640" i="12"/>
  <c r="K1640" i="12" s="1"/>
  <c r="J1648" i="12"/>
  <c r="K1648" i="12" s="1"/>
  <c r="J1656" i="12"/>
  <c r="K1656" i="12" s="1"/>
  <c r="J1664" i="12"/>
  <c r="K1664" i="12" s="1"/>
  <c r="J1672" i="12"/>
  <c r="K1672" i="12" s="1"/>
  <c r="J1680" i="12"/>
  <c r="K1680" i="12" s="1"/>
  <c r="J1688" i="12"/>
  <c r="K1688" i="12" s="1"/>
  <c r="J1696" i="12"/>
  <c r="K1696" i="12" s="1"/>
  <c r="J1704" i="12"/>
  <c r="K1704" i="12" s="1"/>
  <c r="J1731" i="12"/>
  <c r="K1731" i="12" s="1"/>
  <c r="J1722" i="12"/>
  <c r="K1722" i="12" s="1"/>
  <c r="H1722" i="12"/>
  <c r="J1612" i="12"/>
  <c r="K1612" i="12" s="1"/>
  <c r="J1620" i="12"/>
  <c r="K1620" i="12" s="1"/>
  <c r="J1644" i="12"/>
  <c r="K1644" i="12" s="1"/>
  <c r="J1652" i="12"/>
  <c r="K1652" i="12" s="1"/>
  <c r="J1660" i="12"/>
  <c r="K1660" i="12" s="1"/>
  <c r="J1668" i="12"/>
  <c r="K1668" i="12" s="1"/>
  <c r="J1676" i="12"/>
  <c r="K1676" i="12" s="1"/>
  <c r="J1684" i="12"/>
  <c r="K1684" i="12" s="1"/>
  <c r="J1692" i="12"/>
  <c r="K1692" i="12" s="1"/>
  <c r="J1700" i="12"/>
  <c r="K1700" i="12" s="1"/>
  <c r="J1708" i="12"/>
  <c r="K1708" i="12" s="1"/>
  <c r="J1735" i="12"/>
  <c r="K1735" i="12" s="1"/>
  <c r="J1610" i="12"/>
  <c r="K1610" i="12" s="1"/>
  <c r="J1626" i="12"/>
  <c r="K1626" i="12" s="1"/>
  <c r="J1587" i="12"/>
  <c r="K1587" i="12" s="1"/>
  <c r="J1595" i="12"/>
  <c r="K1595" i="12" s="1"/>
  <c r="J1603" i="12"/>
  <c r="K1603" i="12" s="1"/>
  <c r="J1611" i="12"/>
  <c r="K1611" i="12" s="1"/>
  <c r="J1619" i="12"/>
  <c r="K1619" i="12" s="1"/>
  <c r="J1627" i="12"/>
  <c r="K1627" i="12" s="1"/>
  <c r="J1635" i="12"/>
  <c r="K1635" i="12" s="1"/>
  <c r="J1643" i="12"/>
  <c r="K1643" i="12" s="1"/>
  <c r="J1651" i="12"/>
  <c r="K1651" i="12" s="1"/>
  <c r="J1659" i="12"/>
  <c r="K1659" i="12" s="1"/>
  <c r="J1667" i="12"/>
  <c r="K1667" i="12" s="1"/>
  <c r="J1675" i="12"/>
  <c r="K1675" i="12" s="1"/>
  <c r="J1683" i="12"/>
  <c r="K1683" i="12" s="1"/>
  <c r="J1691" i="12"/>
  <c r="K1691" i="12" s="1"/>
  <c r="J1699" i="12"/>
  <c r="K1699" i="12" s="1"/>
  <c r="J1707" i="12"/>
  <c r="K1707" i="12" s="1"/>
  <c r="J1720" i="12"/>
  <c r="K1720" i="12" s="1"/>
  <c r="J1718" i="12"/>
  <c r="K1718" i="12" s="1"/>
  <c r="J1642" i="12"/>
  <c r="K1642" i="12" s="1"/>
  <c r="J1716" i="12"/>
  <c r="K1716" i="12" s="1"/>
  <c r="J1730" i="12"/>
  <c r="K1730" i="12" s="1"/>
  <c r="J1650" i="12"/>
  <c r="K1650" i="12" s="1"/>
  <c r="J1588" i="12"/>
  <c r="K1588" i="12" s="1"/>
  <c r="J1596" i="12"/>
  <c r="K1596" i="12" s="1"/>
  <c r="J1604" i="12"/>
  <c r="K1604" i="12" s="1"/>
  <c r="J1628" i="12"/>
  <c r="K1628" i="12" s="1"/>
  <c r="J1636" i="12"/>
  <c r="K1636" i="12" s="1"/>
  <c r="J1594" i="12"/>
  <c r="K1594" i="12" s="1"/>
  <c r="J1618" i="12"/>
  <c r="K1618" i="12" s="1"/>
  <c r="J1658" i="12"/>
  <c r="K1658" i="12" s="1"/>
  <c r="J1666" i="12"/>
  <c r="K1666" i="12" s="1"/>
  <c r="J1674" i="12"/>
  <c r="K1674" i="12" s="1"/>
  <c r="J1698" i="12"/>
  <c r="K1698" i="12" s="1"/>
  <c r="J1706" i="12"/>
  <c r="K1706" i="12" s="1"/>
  <c r="J1586" i="12"/>
  <c r="K1586" i="12" s="1"/>
  <c r="J1602" i="12"/>
  <c r="K1602" i="12" s="1"/>
  <c r="J1634" i="12"/>
  <c r="K1634" i="12" s="1"/>
  <c r="J1682" i="12"/>
  <c r="K1682" i="12" s="1"/>
  <c r="J1690" i="12"/>
  <c r="K1690" i="12" s="1"/>
  <c r="J1726" i="12"/>
  <c r="K1726" i="12" s="1"/>
  <c r="J1711" i="12"/>
  <c r="K1711" i="12" s="1"/>
  <c r="J1717" i="12"/>
  <c r="K1717" i="12" s="1"/>
  <c r="J1591" i="12"/>
  <c r="K1591" i="12" s="1"/>
  <c r="J1599" i="12"/>
  <c r="K1599" i="12" s="1"/>
  <c r="J1607" i="12"/>
  <c r="K1607" i="12" s="1"/>
  <c r="J1615" i="12"/>
  <c r="K1615" i="12" s="1"/>
  <c r="J1623" i="12"/>
  <c r="K1623" i="12" s="1"/>
  <c r="J1631" i="12"/>
  <c r="K1631" i="12" s="1"/>
  <c r="J1639" i="12"/>
  <c r="K1639" i="12" s="1"/>
  <c r="J1647" i="12"/>
  <c r="K1647" i="12" s="1"/>
  <c r="J1655" i="12"/>
  <c r="K1655" i="12" s="1"/>
  <c r="J1663" i="12"/>
  <c r="K1663" i="12" s="1"/>
  <c r="J1671" i="12"/>
  <c r="K1671" i="12" s="1"/>
  <c r="J1679" i="12"/>
  <c r="K1679" i="12" s="1"/>
  <c r="J1687" i="12"/>
  <c r="K1687" i="12" s="1"/>
  <c r="J1695" i="12"/>
  <c r="K1695" i="12" s="1"/>
  <c r="J1703" i="12"/>
  <c r="K1703" i="12" s="1"/>
  <c r="J1721" i="12"/>
  <c r="K1721" i="12" s="1"/>
  <c r="J1590" i="12"/>
  <c r="K1590" i="12" s="1"/>
  <c r="J1614" i="12"/>
  <c r="K1614" i="12" s="1"/>
  <c r="J1630" i="12"/>
  <c r="K1630" i="12" s="1"/>
  <c r="J1719" i="12"/>
  <c r="K1719" i="12" s="1"/>
  <c r="J1725" i="12"/>
  <c r="K1725" i="12" s="1"/>
  <c r="J1589" i="12"/>
  <c r="K1589" i="12" s="1"/>
  <c r="J1597" i="12"/>
  <c r="K1597" i="12" s="1"/>
  <c r="J1605" i="12"/>
  <c r="K1605" i="12" s="1"/>
  <c r="J1613" i="12"/>
  <c r="K1613" i="12" s="1"/>
  <c r="J1621" i="12"/>
  <c r="K1621" i="12" s="1"/>
  <c r="J1629" i="12"/>
  <c r="K1629" i="12" s="1"/>
  <c r="J1637" i="12"/>
  <c r="K1637" i="12" s="1"/>
  <c r="J1645" i="12"/>
  <c r="K1645" i="12" s="1"/>
  <c r="J1653" i="12"/>
  <c r="K1653" i="12" s="1"/>
  <c r="J1661" i="12"/>
  <c r="K1661" i="12" s="1"/>
  <c r="J1669" i="12"/>
  <c r="K1669" i="12" s="1"/>
  <c r="J1677" i="12"/>
  <c r="K1677" i="12" s="1"/>
  <c r="J1685" i="12"/>
  <c r="K1685" i="12" s="1"/>
  <c r="J1693" i="12"/>
  <c r="K1693" i="12" s="1"/>
  <c r="J1701" i="12"/>
  <c r="K1701" i="12" s="1"/>
  <c r="J1709" i="12"/>
  <c r="K1709" i="12" s="1"/>
  <c r="J1712" i="12"/>
  <c r="K1712" i="12" s="1"/>
  <c r="J1729" i="12"/>
  <c r="K1729" i="12" s="1"/>
  <c r="J1598" i="12"/>
  <c r="K1598" i="12" s="1"/>
  <c r="J1727" i="12"/>
  <c r="K1727" i="12" s="1"/>
  <c r="J1733" i="12"/>
  <c r="K1733" i="12" s="1"/>
  <c r="J1606" i="12"/>
  <c r="K1606" i="12" s="1"/>
  <c r="J1638" i="12"/>
  <c r="K1638" i="12" s="1"/>
  <c r="J1622" i="12"/>
  <c r="K1622" i="12" s="1"/>
  <c r="J1585" i="12"/>
  <c r="K1585" i="12" s="1"/>
  <c r="J1593" i="12"/>
  <c r="K1593" i="12" s="1"/>
  <c r="J1601" i="12"/>
  <c r="K1601" i="12" s="1"/>
  <c r="J1609" i="12"/>
  <c r="K1609" i="12" s="1"/>
  <c r="J1617" i="12"/>
  <c r="K1617" i="12" s="1"/>
  <c r="J1625" i="12"/>
  <c r="K1625" i="12" s="1"/>
  <c r="J1633" i="12"/>
  <c r="K1633" i="12" s="1"/>
  <c r="J1641" i="12"/>
  <c r="K1641" i="12" s="1"/>
  <c r="J1649" i="12"/>
  <c r="K1649" i="12" s="1"/>
  <c r="J1657" i="12"/>
  <c r="K1657" i="12" s="1"/>
  <c r="J1665" i="12"/>
  <c r="K1665" i="12" s="1"/>
  <c r="J1673" i="12"/>
  <c r="K1673" i="12" s="1"/>
  <c r="J1681" i="12"/>
  <c r="K1681" i="12" s="1"/>
  <c r="J1689" i="12"/>
  <c r="K1689" i="12" s="1"/>
  <c r="J1697" i="12"/>
  <c r="K1697" i="12" s="1"/>
  <c r="J1705" i="12"/>
  <c r="K1705" i="12" s="1"/>
  <c r="J1713" i="12"/>
  <c r="K1713" i="12" s="1"/>
  <c r="J1728" i="12"/>
  <c r="K1728" i="12" s="1"/>
  <c r="N5" i="18" l="1"/>
  <c r="N6" i="18"/>
  <c r="N7" i="18"/>
  <c r="N10" i="18"/>
  <c r="N14" i="18"/>
  <c r="F8" i="18"/>
  <c r="J5" i="18"/>
  <c r="J6" i="18"/>
  <c r="J7" i="18"/>
  <c r="J8" i="18"/>
  <c r="J9" i="18"/>
  <c r="J10" i="18"/>
  <c r="J12" i="18"/>
  <c r="J13" i="18"/>
  <c r="J14" i="18"/>
  <c r="J15" i="18"/>
  <c r="J16" i="18"/>
  <c r="J17" i="18"/>
  <c r="J18" i="18"/>
  <c r="J19" i="18"/>
  <c r="J4" i="18"/>
  <c r="D4" i="18"/>
  <c r="B19" i="18"/>
  <c r="B18" i="18"/>
  <c r="B17" i="18"/>
  <c r="B16" i="18"/>
  <c r="B15" i="18"/>
  <c r="B6" i="18"/>
  <c r="B8" i="18"/>
  <c r="B9" i="18"/>
  <c r="B11" i="18"/>
  <c r="B12" i="18"/>
  <c r="B13" i="18"/>
  <c r="B14" i="18"/>
  <c r="B4" i="18"/>
  <c r="F4" i="18" l="1"/>
  <c r="C10" i="18"/>
  <c r="D10" i="18" s="1"/>
  <c r="F10" i="18" s="1"/>
  <c r="C9" i="18"/>
  <c r="D9" i="18" s="1"/>
  <c r="E9" i="18" s="1"/>
  <c r="C7" i="18"/>
  <c r="D7" i="18" s="1"/>
  <c r="F7" i="18" s="1"/>
  <c r="C6" i="18"/>
  <c r="C14" i="18"/>
  <c r="D14" i="18" s="1"/>
  <c r="F14" i="18" s="1"/>
  <c r="D5" i="18"/>
  <c r="F5" i="18" s="1"/>
  <c r="C19" i="18"/>
  <c r="D19" i="18" s="1"/>
  <c r="F19" i="18" s="1"/>
  <c r="C11" i="18"/>
  <c r="D11" i="18" s="1"/>
  <c r="F11" i="18" s="1"/>
  <c r="C18" i="18"/>
  <c r="D18" i="18" s="1"/>
  <c r="F18" i="18" s="1"/>
  <c r="C17" i="18"/>
  <c r="D17" i="18" s="1"/>
  <c r="F17" i="18" s="1"/>
  <c r="C16" i="18"/>
  <c r="D16" i="18" s="1"/>
  <c r="F16" i="18" s="1"/>
  <c r="C15" i="18"/>
  <c r="D15" i="18" s="1"/>
  <c r="F15" i="18" s="1"/>
  <c r="C13" i="18"/>
  <c r="D13" i="18" s="1"/>
  <c r="F13" i="18" s="1"/>
  <c r="C12" i="18"/>
  <c r="D12" i="18" s="1"/>
  <c r="F12" i="18" s="1"/>
  <c r="L1584" i="12"/>
  <c r="I1584" i="12"/>
  <c r="G1584" i="12"/>
  <c r="H1584" i="12" s="1"/>
  <c r="L1583" i="12"/>
  <c r="I1583" i="12"/>
  <c r="G1583" i="12"/>
  <c r="H1583" i="12" s="1"/>
  <c r="L1582" i="12"/>
  <c r="I1582" i="12"/>
  <c r="G1582" i="12"/>
  <c r="H1582" i="12" s="1"/>
  <c r="L1581" i="12"/>
  <c r="I1581" i="12"/>
  <c r="G1581" i="12"/>
  <c r="H1581" i="12" s="1"/>
  <c r="L1580" i="12"/>
  <c r="I1580" i="12"/>
  <c r="G1580" i="12"/>
  <c r="H1580" i="12" s="1"/>
  <c r="L1579" i="12"/>
  <c r="I1579" i="12"/>
  <c r="G1579" i="12"/>
  <c r="H1579" i="12" s="1"/>
  <c r="L1578" i="12"/>
  <c r="I1578" i="12"/>
  <c r="G1578" i="12"/>
  <c r="L1577" i="12"/>
  <c r="I1577" i="12"/>
  <c r="G1577" i="12"/>
  <c r="H1577" i="12" s="1"/>
  <c r="L1576" i="12"/>
  <c r="I1576" i="12"/>
  <c r="G1576" i="12"/>
  <c r="H1576" i="12" s="1"/>
  <c r="L1575" i="12"/>
  <c r="I1575" i="12"/>
  <c r="G1575" i="12"/>
  <c r="H1575" i="12" s="1"/>
  <c r="L1574" i="12"/>
  <c r="I1574" i="12"/>
  <c r="G1574" i="12"/>
  <c r="L1573" i="12"/>
  <c r="I1573" i="12"/>
  <c r="G1573" i="12"/>
  <c r="H1573" i="12" s="1"/>
  <c r="L1572" i="12"/>
  <c r="I1572" i="12"/>
  <c r="G1572" i="12"/>
  <c r="H1572" i="12" s="1"/>
  <c r="L1571" i="12"/>
  <c r="I1571" i="12"/>
  <c r="G1571" i="12"/>
  <c r="H1571" i="12" s="1"/>
  <c r="L1570" i="12"/>
  <c r="I1570" i="12"/>
  <c r="G1570" i="12"/>
  <c r="L1569" i="12"/>
  <c r="I1569" i="12"/>
  <c r="G1569" i="12"/>
  <c r="H1569" i="12" s="1"/>
  <c r="L1568" i="12"/>
  <c r="I1568" i="12"/>
  <c r="G1568" i="12"/>
  <c r="H1568" i="12" s="1"/>
  <c r="L1567" i="12"/>
  <c r="I1567" i="12"/>
  <c r="G1567" i="12"/>
  <c r="H1567" i="12" s="1"/>
  <c r="L1566" i="12"/>
  <c r="I1566" i="12"/>
  <c r="G1566" i="12"/>
  <c r="L1565" i="12"/>
  <c r="I1565" i="12"/>
  <c r="G1565" i="12"/>
  <c r="H1565" i="12" s="1"/>
  <c r="L1564" i="12"/>
  <c r="I1564" i="12"/>
  <c r="G1564" i="12"/>
  <c r="H1564" i="12" s="1"/>
  <c r="L1563" i="12"/>
  <c r="I1563" i="12"/>
  <c r="G1563" i="12"/>
  <c r="H1563" i="12" s="1"/>
  <c r="L1562" i="12"/>
  <c r="I1562" i="12"/>
  <c r="G1562" i="12"/>
  <c r="L1561" i="12"/>
  <c r="I1561" i="12"/>
  <c r="G1561" i="12"/>
  <c r="H1561" i="12" s="1"/>
  <c r="L1560" i="12"/>
  <c r="I1560" i="12"/>
  <c r="G1560" i="12"/>
  <c r="H1560" i="12" s="1"/>
  <c r="L1559" i="12"/>
  <c r="I1559" i="12"/>
  <c r="G1559" i="12"/>
  <c r="H1559" i="12" s="1"/>
  <c r="L1558" i="12"/>
  <c r="I1558" i="12"/>
  <c r="G1558" i="12"/>
  <c r="L1557" i="12"/>
  <c r="I1557" i="12"/>
  <c r="G1557" i="12"/>
  <c r="H1557" i="12" s="1"/>
  <c r="L1556" i="12"/>
  <c r="I1556" i="12"/>
  <c r="G1556" i="12"/>
  <c r="H1556" i="12" s="1"/>
  <c r="L1555" i="12"/>
  <c r="I1555" i="12"/>
  <c r="G1555" i="12"/>
  <c r="H1555" i="12" s="1"/>
  <c r="L1554" i="12"/>
  <c r="I1554" i="12"/>
  <c r="G1554" i="12"/>
  <c r="L1553" i="12"/>
  <c r="I1553" i="12"/>
  <c r="G1553" i="12"/>
  <c r="H1553" i="12" s="1"/>
  <c r="L1552" i="12"/>
  <c r="I1552" i="12"/>
  <c r="G1552" i="12"/>
  <c r="H1552" i="12" s="1"/>
  <c r="L1551" i="12"/>
  <c r="I1551" i="12"/>
  <c r="G1551" i="12"/>
  <c r="H1551" i="12" s="1"/>
  <c r="L1550" i="12"/>
  <c r="I1550" i="12"/>
  <c r="G1550" i="12"/>
  <c r="L1549" i="12"/>
  <c r="I1549" i="12"/>
  <c r="G1549" i="12"/>
  <c r="H1549" i="12" s="1"/>
  <c r="L1548" i="12"/>
  <c r="I1548" i="12"/>
  <c r="G1548" i="12"/>
  <c r="H1548" i="12" s="1"/>
  <c r="L1547" i="12"/>
  <c r="I1547" i="12"/>
  <c r="G1547" i="12"/>
  <c r="H1547" i="12" s="1"/>
  <c r="L1546" i="12"/>
  <c r="I1546" i="12"/>
  <c r="G1546" i="12"/>
  <c r="L1545" i="12"/>
  <c r="I1545" i="12"/>
  <c r="G1545" i="12"/>
  <c r="H1545" i="12" s="1"/>
  <c r="L1544" i="12"/>
  <c r="I1544" i="12"/>
  <c r="G1544" i="12"/>
  <c r="H1544" i="12" s="1"/>
  <c r="L1543" i="12"/>
  <c r="I1543" i="12"/>
  <c r="G1543" i="12"/>
  <c r="H1543" i="12" s="1"/>
  <c r="L1542" i="12"/>
  <c r="I1542" i="12"/>
  <c r="G1542" i="12"/>
  <c r="H1542" i="12" s="1"/>
  <c r="L1541" i="12"/>
  <c r="I1541" i="12"/>
  <c r="G1541" i="12"/>
  <c r="L1540" i="12"/>
  <c r="I1540" i="12"/>
  <c r="G1540" i="12"/>
  <c r="H1540" i="12" s="1"/>
  <c r="L1539" i="12"/>
  <c r="I1539" i="12"/>
  <c r="G1539" i="12"/>
  <c r="H1539" i="12" s="1"/>
  <c r="L1538" i="12"/>
  <c r="I1538" i="12"/>
  <c r="G1538" i="12"/>
  <c r="H1538" i="12" s="1"/>
  <c r="L1537" i="12"/>
  <c r="I1537" i="12"/>
  <c r="G1537" i="12"/>
  <c r="L1536" i="12"/>
  <c r="I1536" i="12"/>
  <c r="G1536" i="12"/>
  <c r="H1536" i="12" s="1"/>
  <c r="L1535" i="12"/>
  <c r="I1535" i="12"/>
  <c r="G1535" i="12"/>
  <c r="H1535" i="12" s="1"/>
  <c r="L1534" i="12"/>
  <c r="I1534" i="12"/>
  <c r="G1534" i="12"/>
  <c r="L1533" i="12"/>
  <c r="I1533" i="12"/>
  <c r="G1533" i="12"/>
  <c r="H1533" i="12" s="1"/>
  <c r="L1532" i="12"/>
  <c r="I1532" i="12"/>
  <c r="G1532" i="12"/>
  <c r="H1532" i="12" s="1"/>
  <c r="L1531" i="12"/>
  <c r="I1531" i="12"/>
  <c r="G1531" i="12"/>
  <c r="H1531" i="12" s="1"/>
  <c r="L1530" i="12"/>
  <c r="I1530" i="12"/>
  <c r="G1530" i="12"/>
  <c r="L1529" i="12"/>
  <c r="I1529" i="12"/>
  <c r="G1529" i="12"/>
  <c r="H1529" i="12" s="1"/>
  <c r="L1528" i="12"/>
  <c r="I1528" i="12"/>
  <c r="G1528" i="12"/>
  <c r="H1528" i="12" s="1"/>
  <c r="L1527" i="12"/>
  <c r="I1527" i="12"/>
  <c r="G1527" i="12"/>
  <c r="L1526" i="12"/>
  <c r="I1526" i="12"/>
  <c r="G1526" i="12"/>
  <c r="H1526" i="12" s="1"/>
  <c r="L1525" i="12"/>
  <c r="I1525" i="12"/>
  <c r="G1525" i="12"/>
  <c r="H1525" i="12" s="1"/>
  <c r="L1524" i="12"/>
  <c r="I1524" i="12"/>
  <c r="G1524" i="12"/>
  <c r="L1523" i="12"/>
  <c r="I1523" i="12"/>
  <c r="G1523" i="12"/>
  <c r="H1523" i="12" s="1"/>
  <c r="L1522" i="12"/>
  <c r="I1522" i="12"/>
  <c r="G1522" i="12"/>
  <c r="H1522" i="12" s="1"/>
  <c r="L1521" i="12"/>
  <c r="I1521" i="12"/>
  <c r="G1521" i="12"/>
  <c r="H1521" i="12" s="1"/>
  <c r="L1520" i="12"/>
  <c r="I1520" i="12"/>
  <c r="G1520" i="12"/>
  <c r="L1519" i="12"/>
  <c r="I1519" i="12"/>
  <c r="G1519" i="12"/>
  <c r="H1519" i="12" s="1"/>
  <c r="L1518" i="12"/>
  <c r="I1518" i="12"/>
  <c r="G1518" i="12"/>
  <c r="H1518" i="12" s="1"/>
  <c r="L1517" i="12"/>
  <c r="I1517" i="12"/>
  <c r="G1517" i="12"/>
  <c r="L1516" i="12"/>
  <c r="I1516" i="12"/>
  <c r="G1516" i="12"/>
  <c r="H1516" i="12" s="1"/>
  <c r="L1515" i="12"/>
  <c r="I1515" i="12"/>
  <c r="G1515" i="12"/>
  <c r="H1515" i="12" s="1"/>
  <c r="L1514" i="12"/>
  <c r="I1514" i="12"/>
  <c r="G1514" i="12"/>
  <c r="H1514" i="12" s="1"/>
  <c r="L1513" i="12"/>
  <c r="I1513" i="12"/>
  <c r="G1513" i="12"/>
  <c r="L1512" i="12"/>
  <c r="I1512" i="12"/>
  <c r="G1512" i="12"/>
  <c r="H1512" i="12" s="1"/>
  <c r="L1511" i="12"/>
  <c r="I1511" i="12"/>
  <c r="G1511" i="12"/>
  <c r="H1511" i="12" s="1"/>
  <c r="L1510" i="12"/>
  <c r="I1510" i="12"/>
  <c r="G1510" i="12"/>
  <c r="H1510" i="12" s="1"/>
  <c r="L1509" i="12"/>
  <c r="I1509" i="12"/>
  <c r="G1509" i="12"/>
  <c r="L1508" i="12"/>
  <c r="I1508" i="12"/>
  <c r="G1508" i="12"/>
  <c r="H1508" i="12" s="1"/>
  <c r="L1507" i="12"/>
  <c r="I1507" i="12"/>
  <c r="G1507" i="12"/>
  <c r="H1507" i="12" s="1"/>
  <c r="L1506" i="12"/>
  <c r="I1506" i="12"/>
  <c r="G1506" i="12"/>
  <c r="L1505" i="12"/>
  <c r="I1505" i="12"/>
  <c r="G1505" i="12"/>
  <c r="H1505" i="12" s="1"/>
  <c r="L1504" i="12"/>
  <c r="I1504" i="12"/>
  <c r="G1504" i="12"/>
  <c r="H1504" i="12" s="1"/>
  <c r="L1503" i="12"/>
  <c r="I1503" i="12"/>
  <c r="G1503" i="12"/>
  <c r="H1503" i="12" s="1"/>
  <c r="L1502" i="12"/>
  <c r="I1502" i="12"/>
  <c r="G1502" i="12"/>
  <c r="L1501" i="12"/>
  <c r="I1501" i="12"/>
  <c r="G1501" i="12"/>
  <c r="H1501" i="12" s="1"/>
  <c r="L1500" i="12"/>
  <c r="I1500" i="12"/>
  <c r="G1500" i="12"/>
  <c r="H1500" i="12" s="1"/>
  <c r="L1499" i="12"/>
  <c r="I1499" i="12"/>
  <c r="G1499" i="12"/>
  <c r="H1499" i="12" s="1"/>
  <c r="L1498" i="12"/>
  <c r="I1498" i="12"/>
  <c r="G1498" i="12"/>
  <c r="L1497" i="12"/>
  <c r="I1497" i="12"/>
  <c r="G1497" i="12"/>
  <c r="H1497" i="12" s="1"/>
  <c r="L1496" i="12"/>
  <c r="I1496" i="12"/>
  <c r="G1496" i="12"/>
  <c r="H1496" i="12" s="1"/>
  <c r="L1495" i="12"/>
  <c r="I1495" i="12"/>
  <c r="G1495" i="12"/>
  <c r="H1495" i="12" s="1"/>
  <c r="L1494" i="12"/>
  <c r="I1494" i="12"/>
  <c r="G1494" i="12"/>
  <c r="L1493" i="12"/>
  <c r="I1493" i="12"/>
  <c r="G1493" i="12"/>
  <c r="H1493" i="12" s="1"/>
  <c r="L1492" i="12"/>
  <c r="I1492" i="12"/>
  <c r="G1492" i="12"/>
  <c r="H1492" i="12" s="1"/>
  <c r="L1491" i="12"/>
  <c r="I1491" i="12"/>
  <c r="G1491" i="12"/>
  <c r="H1491" i="12" s="1"/>
  <c r="L1490" i="12"/>
  <c r="I1490" i="12"/>
  <c r="G1490" i="12"/>
  <c r="L1489" i="12"/>
  <c r="I1489" i="12"/>
  <c r="G1489" i="12"/>
  <c r="H1489" i="12" s="1"/>
  <c r="L1488" i="12"/>
  <c r="I1488" i="12"/>
  <c r="G1488" i="12"/>
  <c r="H1488" i="12" s="1"/>
  <c r="L1487" i="12"/>
  <c r="I1487" i="12"/>
  <c r="G1487" i="12"/>
  <c r="H1487" i="12" s="1"/>
  <c r="L1486" i="12"/>
  <c r="I1486" i="12"/>
  <c r="G1486" i="12"/>
  <c r="L1485" i="12"/>
  <c r="I1485" i="12"/>
  <c r="G1485" i="12"/>
  <c r="H1485" i="12" s="1"/>
  <c r="L1484" i="12"/>
  <c r="I1484" i="12"/>
  <c r="G1484" i="12"/>
  <c r="H1484" i="12" s="1"/>
  <c r="L1483" i="12"/>
  <c r="I1483" i="12"/>
  <c r="G1483" i="12"/>
  <c r="H1483" i="12" s="1"/>
  <c r="L1482" i="12"/>
  <c r="I1482" i="12"/>
  <c r="G1482" i="12"/>
  <c r="L1481" i="12"/>
  <c r="I1481" i="12"/>
  <c r="G1481" i="12"/>
  <c r="H1481" i="12" s="1"/>
  <c r="L1480" i="12"/>
  <c r="I1480" i="12"/>
  <c r="G1480" i="12"/>
  <c r="H1480" i="12" s="1"/>
  <c r="L1479" i="12"/>
  <c r="I1479" i="12"/>
  <c r="G1479" i="12"/>
  <c r="H1479" i="12" s="1"/>
  <c r="L1478" i="12"/>
  <c r="I1478" i="12"/>
  <c r="G1478" i="12"/>
  <c r="L1477" i="12"/>
  <c r="I1477" i="12"/>
  <c r="G1477" i="12"/>
  <c r="H1477" i="12" s="1"/>
  <c r="L1476" i="12"/>
  <c r="I1476" i="12"/>
  <c r="G1476" i="12"/>
  <c r="H1476" i="12" s="1"/>
  <c r="L1475" i="12"/>
  <c r="I1475" i="12"/>
  <c r="G1475" i="12"/>
  <c r="L1474" i="12"/>
  <c r="I1474" i="12"/>
  <c r="G1474" i="12"/>
  <c r="H1474" i="12" s="1"/>
  <c r="L1473" i="12"/>
  <c r="I1473" i="12"/>
  <c r="G1473" i="12"/>
  <c r="H1473" i="12" s="1"/>
  <c r="L1472" i="12"/>
  <c r="I1472" i="12"/>
  <c r="G1472" i="12"/>
  <c r="H1472" i="12" s="1"/>
  <c r="L1471" i="12"/>
  <c r="I1471" i="12"/>
  <c r="G1471" i="12"/>
  <c r="L1470" i="12"/>
  <c r="I1470" i="12"/>
  <c r="G1470" i="12"/>
  <c r="H1470" i="12" s="1"/>
  <c r="L1469" i="12"/>
  <c r="I1469" i="12"/>
  <c r="G1469" i="12"/>
  <c r="H1469" i="12" s="1"/>
  <c r="L1468" i="12"/>
  <c r="I1468" i="12"/>
  <c r="G1468" i="12"/>
  <c r="H1468" i="12" s="1"/>
  <c r="L1467" i="12"/>
  <c r="I1467" i="12"/>
  <c r="G1467" i="12"/>
  <c r="L1466" i="12"/>
  <c r="I1466" i="12"/>
  <c r="G1466" i="12"/>
  <c r="H1466" i="12" s="1"/>
  <c r="L1465" i="12"/>
  <c r="I1465" i="12"/>
  <c r="G1465" i="12"/>
  <c r="H1465" i="12" s="1"/>
  <c r="L1464" i="12"/>
  <c r="I1464" i="12"/>
  <c r="G1464" i="12"/>
  <c r="H1464" i="12" s="1"/>
  <c r="L1463" i="12"/>
  <c r="I1463" i="12"/>
  <c r="G1463" i="12"/>
  <c r="L1462" i="12"/>
  <c r="I1462" i="12"/>
  <c r="G1462" i="12"/>
  <c r="H1462" i="12" s="1"/>
  <c r="L1461" i="12"/>
  <c r="I1461" i="12"/>
  <c r="G1461" i="12"/>
  <c r="H1461" i="12" s="1"/>
  <c r="L1460" i="12"/>
  <c r="I1460" i="12"/>
  <c r="G1460" i="12"/>
  <c r="H1460" i="12" s="1"/>
  <c r="L1459" i="12"/>
  <c r="I1459" i="12"/>
  <c r="G1459" i="12"/>
  <c r="L1458" i="12"/>
  <c r="I1458" i="12"/>
  <c r="G1458" i="12"/>
  <c r="H1458" i="12" s="1"/>
  <c r="L1457" i="12"/>
  <c r="I1457" i="12"/>
  <c r="G1457" i="12"/>
  <c r="H1457" i="12" s="1"/>
  <c r="L1456" i="12"/>
  <c r="I1456" i="12"/>
  <c r="G1456" i="12"/>
  <c r="H1456" i="12" s="1"/>
  <c r="L1455" i="12"/>
  <c r="I1455" i="12"/>
  <c r="G1455" i="12"/>
  <c r="L1454" i="12"/>
  <c r="I1454" i="12"/>
  <c r="G1454" i="12"/>
  <c r="H1454" i="12" s="1"/>
  <c r="L1453" i="12"/>
  <c r="I1453" i="12"/>
  <c r="G1453" i="12"/>
  <c r="H1453" i="12" s="1"/>
  <c r="L1452" i="12"/>
  <c r="I1452" i="12"/>
  <c r="G1452" i="12"/>
  <c r="H1452" i="12" s="1"/>
  <c r="L1451" i="12"/>
  <c r="I1451" i="12"/>
  <c r="G1451" i="12"/>
  <c r="L1450" i="12"/>
  <c r="I1450" i="12"/>
  <c r="G1450" i="12"/>
  <c r="H1450" i="12" s="1"/>
  <c r="L1449" i="12"/>
  <c r="I1449" i="12"/>
  <c r="G1449" i="12"/>
  <c r="H1449" i="12" s="1"/>
  <c r="D6" i="18" l="1"/>
  <c r="F6" i="18" s="1"/>
  <c r="E29" i="18" s="1"/>
  <c r="J1526" i="12"/>
  <c r="K1526" i="12" s="1"/>
  <c r="J1485" i="12"/>
  <c r="K1485" i="12" s="1"/>
  <c r="J1486" i="12"/>
  <c r="K1486" i="12" s="1"/>
  <c r="J1494" i="12"/>
  <c r="K1494" i="12" s="1"/>
  <c r="J1545" i="12"/>
  <c r="K1545" i="12" s="1"/>
  <c r="J1553" i="12"/>
  <c r="K1553" i="12" s="1"/>
  <c r="J1573" i="12"/>
  <c r="K1573" i="12" s="1"/>
  <c r="J1550" i="12"/>
  <c r="K1550" i="12" s="1"/>
  <c r="J1525" i="12"/>
  <c r="K1525" i="12" s="1"/>
  <c r="J1561" i="12"/>
  <c r="K1561" i="12" s="1"/>
  <c r="J1569" i="12"/>
  <c r="K1569" i="12" s="1"/>
  <c r="J1458" i="12"/>
  <c r="K1458" i="12" s="1"/>
  <c r="J1466" i="12"/>
  <c r="K1466" i="12" s="1"/>
  <c r="J1474" i="12"/>
  <c r="K1474" i="12" s="1"/>
  <c r="J1523" i="12"/>
  <c r="K1523" i="12" s="1"/>
  <c r="J1457" i="12"/>
  <c r="K1457" i="12" s="1"/>
  <c r="J1496" i="12"/>
  <c r="K1496" i="12" s="1"/>
  <c r="J1522" i="12"/>
  <c r="K1522" i="12" s="1"/>
  <c r="J1533" i="12"/>
  <c r="K1533" i="12" s="1"/>
  <c r="J1489" i="12"/>
  <c r="K1489" i="12" s="1"/>
  <c r="J1497" i="12"/>
  <c r="K1497" i="12" s="1"/>
  <c r="J1516" i="12"/>
  <c r="K1516" i="12" s="1"/>
  <c r="J1580" i="12"/>
  <c r="K1580" i="12" s="1"/>
  <c r="J1549" i="12"/>
  <c r="K1549" i="12" s="1"/>
  <c r="J1509" i="12"/>
  <c r="K1509" i="12" s="1"/>
  <c r="J1517" i="12"/>
  <c r="K1517" i="12" s="1"/>
  <c r="J1537" i="12"/>
  <c r="K1537" i="12" s="1"/>
  <c r="J1552" i="12"/>
  <c r="K1552" i="12" s="1"/>
  <c r="J1565" i="12"/>
  <c r="K1565" i="12" s="1"/>
  <c r="J1493" i="12"/>
  <c r="K1493" i="12" s="1"/>
  <c r="J1512" i="12"/>
  <c r="K1512" i="12" s="1"/>
  <c r="J1524" i="12"/>
  <c r="K1524" i="12" s="1"/>
  <c r="J1540" i="12"/>
  <c r="K1540" i="12" s="1"/>
  <c r="J1558" i="12"/>
  <c r="K1558" i="12" s="1"/>
  <c r="J1566" i="12"/>
  <c r="K1566" i="12" s="1"/>
  <c r="J1530" i="12"/>
  <c r="K1530" i="12" s="1"/>
  <c r="J1548" i="12"/>
  <c r="K1548" i="12" s="1"/>
  <c r="J1464" i="12"/>
  <c r="K1464" i="12" s="1"/>
  <c r="J1472" i="12"/>
  <c r="K1472" i="12" s="1"/>
  <c r="J1481" i="12"/>
  <c r="K1481" i="12" s="1"/>
  <c r="J1505" i="12"/>
  <c r="K1505" i="12" s="1"/>
  <c r="J1570" i="12"/>
  <c r="K1570" i="12" s="1"/>
  <c r="J1577" i="12"/>
  <c r="K1577" i="12" s="1"/>
  <c r="J1462" i="12"/>
  <c r="K1462" i="12" s="1"/>
  <c r="J1470" i="12"/>
  <c r="K1470" i="12" s="1"/>
  <c r="J1501" i="12"/>
  <c r="K1501" i="12" s="1"/>
  <c r="J1508" i="12"/>
  <c r="K1508" i="12" s="1"/>
  <c r="J1460" i="12"/>
  <c r="K1460" i="12" s="1"/>
  <c r="J1468" i="12"/>
  <c r="K1468" i="12" s="1"/>
  <c r="J1476" i="12"/>
  <c r="K1476" i="12" s="1"/>
  <c r="J1581" i="12"/>
  <c r="K1581" i="12" s="1"/>
  <c r="J1492" i="12"/>
  <c r="K1492" i="12" s="1"/>
  <c r="J1504" i="12"/>
  <c r="K1504" i="12" s="1"/>
  <c r="J1529" i="12"/>
  <c r="K1529" i="12" s="1"/>
  <c r="J1536" i="12"/>
  <c r="K1536" i="12" s="1"/>
  <c r="J1557" i="12"/>
  <c r="K1557" i="12" s="1"/>
  <c r="J1562" i="12"/>
  <c r="K1562" i="12" s="1"/>
  <c r="J1564" i="12"/>
  <c r="K1564" i="12" s="1"/>
  <c r="J1502" i="12"/>
  <c r="K1502" i="12" s="1"/>
  <c r="J1574" i="12"/>
  <c r="K1574" i="12" s="1"/>
  <c r="J1465" i="12"/>
  <c r="K1465" i="12" s="1"/>
  <c r="J1473" i="12"/>
  <c r="K1473" i="12" s="1"/>
  <c r="J1490" i="12"/>
  <c r="K1490" i="12" s="1"/>
  <c r="J1520" i="12"/>
  <c r="K1520" i="12" s="1"/>
  <c r="J1546" i="12"/>
  <c r="K1546" i="12" s="1"/>
  <c r="J1578" i="12"/>
  <c r="K1578" i="12" s="1"/>
  <c r="J1519" i="12"/>
  <c r="K1519" i="12" s="1"/>
  <c r="J1544" i="12"/>
  <c r="K1544" i="12" s="1"/>
  <c r="J1576" i="12"/>
  <c r="K1576" i="12" s="1"/>
  <c r="J1453" i="12"/>
  <c r="K1453" i="12" s="1"/>
  <c r="J1484" i="12"/>
  <c r="K1484" i="12" s="1"/>
  <c r="J1513" i="12"/>
  <c r="K1513" i="12" s="1"/>
  <c r="J1515" i="12"/>
  <c r="K1515" i="12" s="1"/>
  <c r="J1541" i="12"/>
  <c r="K1541" i="12" s="1"/>
  <c r="J1542" i="12"/>
  <c r="K1542" i="12" s="1"/>
  <c r="J1572" i="12"/>
  <c r="K1572" i="12" s="1"/>
  <c r="J1480" i="12"/>
  <c r="K1480" i="12" s="1"/>
  <c r="J1511" i="12"/>
  <c r="K1511" i="12" s="1"/>
  <c r="J1539" i="12"/>
  <c r="K1539" i="12" s="1"/>
  <c r="J1568" i="12"/>
  <c r="K1568" i="12" s="1"/>
  <c r="J1461" i="12"/>
  <c r="K1461" i="12" s="1"/>
  <c r="J1469" i="12"/>
  <c r="K1469" i="12" s="1"/>
  <c r="J1477" i="12"/>
  <c r="K1477" i="12" s="1"/>
  <c r="J1506" i="12"/>
  <c r="K1506" i="12" s="1"/>
  <c r="J1534" i="12"/>
  <c r="K1534" i="12" s="1"/>
  <c r="J1449" i="12"/>
  <c r="K1449" i="12" s="1"/>
  <c r="J1532" i="12"/>
  <c r="K1532" i="12" s="1"/>
  <c r="J1560" i="12"/>
  <c r="K1560" i="12" s="1"/>
  <c r="J1584" i="12"/>
  <c r="K1584" i="12" s="1"/>
  <c r="J1488" i="12"/>
  <c r="K1488" i="12" s="1"/>
  <c r="J1498" i="12"/>
  <c r="K1498" i="12" s="1"/>
  <c r="J1500" i="12"/>
  <c r="K1500" i="12" s="1"/>
  <c r="J1527" i="12"/>
  <c r="K1527" i="12" s="1"/>
  <c r="J1554" i="12"/>
  <c r="K1554" i="12" s="1"/>
  <c r="J1556" i="12"/>
  <c r="K1556" i="12" s="1"/>
  <c r="J1454" i="12"/>
  <c r="K1454" i="12" s="1"/>
  <c r="J1450" i="12"/>
  <c r="K1450" i="12" s="1"/>
  <c r="J1479" i="12"/>
  <c r="K1479" i="12" s="1"/>
  <c r="J1483" i="12"/>
  <c r="K1483" i="12" s="1"/>
  <c r="J1487" i="12"/>
  <c r="K1487" i="12" s="1"/>
  <c r="J1491" i="12"/>
  <c r="K1491" i="12" s="1"/>
  <c r="J1495" i="12"/>
  <c r="K1495" i="12" s="1"/>
  <c r="J1499" i="12"/>
  <c r="K1499" i="12" s="1"/>
  <c r="J1503" i="12"/>
  <c r="K1503" i="12" s="1"/>
  <c r="J1507" i="12"/>
  <c r="K1507" i="12" s="1"/>
  <c r="J1510" i="12"/>
  <c r="K1510" i="12" s="1"/>
  <c r="J1514" i="12"/>
  <c r="K1514" i="12" s="1"/>
  <c r="J1518" i="12"/>
  <c r="K1518" i="12" s="1"/>
  <c r="J1521" i="12"/>
  <c r="K1521" i="12" s="1"/>
  <c r="J1528" i="12"/>
  <c r="K1528" i="12" s="1"/>
  <c r="J1531" i="12"/>
  <c r="K1531" i="12" s="1"/>
  <c r="J1535" i="12"/>
  <c r="K1535" i="12" s="1"/>
  <c r="J1538" i="12"/>
  <c r="K1538" i="12" s="1"/>
  <c r="J1543" i="12"/>
  <c r="K1543" i="12" s="1"/>
  <c r="J1547" i="12"/>
  <c r="K1547" i="12" s="1"/>
  <c r="J1551" i="12"/>
  <c r="K1551" i="12" s="1"/>
  <c r="J1555" i="12"/>
  <c r="K1555" i="12" s="1"/>
  <c r="J1559" i="12"/>
  <c r="K1559" i="12" s="1"/>
  <c r="J1563" i="12"/>
  <c r="K1563" i="12" s="1"/>
  <c r="J1567" i="12"/>
  <c r="K1567" i="12" s="1"/>
  <c r="J1571" i="12"/>
  <c r="K1571" i="12" s="1"/>
  <c r="J1575" i="12"/>
  <c r="K1575" i="12" s="1"/>
  <c r="J1579" i="12"/>
  <c r="K1579" i="12" s="1"/>
  <c r="J1583" i="12"/>
  <c r="K1583" i="12" s="1"/>
  <c r="J1582" i="12"/>
  <c r="K1582" i="12" s="1"/>
  <c r="J1463" i="12"/>
  <c r="K1463" i="12" s="1"/>
  <c r="H1463" i="12"/>
  <c r="J1467" i="12"/>
  <c r="K1467" i="12" s="1"/>
  <c r="H1467" i="12"/>
  <c r="J1456" i="12"/>
  <c r="K1456" i="12" s="1"/>
  <c r="J1471" i="12"/>
  <c r="K1471" i="12" s="1"/>
  <c r="H1471" i="12"/>
  <c r="J1475" i="12"/>
  <c r="K1475" i="12" s="1"/>
  <c r="H1475" i="12"/>
  <c r="J1482" i="12"/>
  <c r="K1482" i="12" s="1"/>
  <c r="H1482" i="12"/>
  <c r="J1451" i="12"/>
  <c r="K1451" i="12" s="1"/>
  <c r="H1451" i="12"/>
  <c r="J1478" i="12"/>
  <c r="K1478" i="12" s="1"/>
  <c r="H1478" i="12"/>
  <c r="J1455" i="12"/>
  <c r="K1455" i="12" s="1"/>
  <c r="H1455" i="12"/>
  <c r="J1459" i="12"/>
  <c r="K1459" i="12" s="1"/>
  <c r="H1459" i="12"/>
  <c r="J1452" i="12"/>
  <c r="K1452" i="12" s="1"/>
  <c r="H1486" i="12"/>
  <c r="H1490" i="12"/>
  <c r="H1494" i="12"/>
  <c r="H1498" i="12"/>
  <c r="H1502" i="12"/>
  <c r="H1506" i="12"/>
  <c r="H1509" i="12"/>
  <c r="H1513" i="12"/>
  <c r="H1517" i="12"/>
  <c r="H1520" i="12"/>
  <c r="H1524" i="12"/>
  <c r="H1527" i="12"/>
  <c r="H1530" i="12"/>
  <c r="H1534" i="12"/>
  <c r="H1537" i="12"/>
  <c r="H1541" i="12"/>
  <c r="H1546" i="12"/>
  <c r="H1550" i="12"/>
  <c r="H1554" i="12"/>
  <c r="H1558" i="12"/>
  <c r="H1562" i="12"/>
  <c r="H1566" i="12"/>
  <c r="H1570" i="12"/>
  <c r="H1574" i="12"/>
  <c r="H1578" i="12"/>
  <c r="E28" i="18" l="1"/>
  <c r="K78" i="11"/>
  <c r="G1437" i="12"/>
  <c r="H1437" i="12" s="1"/>
  <c r="I1437" i="12"/>
  <c r="L1437" i="12"/>
  <c r="G1438" i="12"/>
  <c r="H1438" i="12" s="1"/>
  <c r="I1438" i="12"/>
  <c r="L1438" i="12"/>
  <c r="G1439" i="12"/>
  <c r="H1439" i="12" s="1"/>
  <c r="I1439" i="12"/>
  <c r="L1439" i="12"/>
  <c r="G1440" i="12"/>
  <c r="H1440" i="12" s="1"/>
  <c r="I1440" i="12"/>
  <c r="L1440" i="12"/>
  <c r="G1441" i="12"/>
  <c r="H1441" i="12" s="1"/>
  <c r="I1441" i="12"/>
  <c r="L1441" i="12"/>
  <c r="G1442" i="12"/>
  <c r="H1442" i="12" s="1"/>
  <c r="I1442" i="12"/>
  <c r="L1442" i="12"/>
  <c r="G1443" i="12"/>
  <c r="H1443" i="12" s="1"/>
  <c r="I1443" i="12"/>
  <c r="L1443" i="12"/>
  <c r="G1444" i="12"/>
  <c r="H1444" i="12" s="1"/>
  <c r="I1444" i="12"/>
  <c r="L1444" i="12"/>
  <c r="G1445" i="12"/>
  <c r="H1445" i="12" s="1"/>
  <c r="I1445" i="12"/>
  <c r="L1445" i="12"/>
  <c r="G1446" i="12"/>
  <c r="H1446" i="12" s="1"/>
  <c r="I1446" i="12"/>
  <c r="L1446" i="12"/>
  <c r="G1447" i="12"/>
  <c r="H1447" i="12" s="1"/>
  <c r="I1447" i="12"/>
  <c r="L1447" i="12"/>
  <c r="G1448" i="12"/>
  <c r="H1448" i="12" s="1"/>
  <c r="I1448" i="12"/>
  <c r="L1448" i="12"/>
  <c r="G3" i="15" a="1"/>
  <c r="G3" i="15" s="1"/>
  <c r="G10" i="15" s="1"/>
  <c r="F3" i="15" a="1"/>
  <c r="C7" i="15"/>
  <c r="C4" i="15"/>
  <c r="C5" i="15"/>
  <c r="C6" i="15"/>
  <c r="E3" i="15" a="1"/>
  <c r="E3" i="15" s="1"/>
  <c r="D3" i="15" a="1"/>
  <c r="D3" i="15" s="1"/>
  <c r="F3" i="15" l="1"/>
  <c r="F10" i="15" s="1"/>
  <c r="H8" i="15"/>
  <c r="J1443" i="12"/>
  <c r="K1443" i="12" s="1"/>
  <c r="J1438" i="12"/>
  <c r="K1438" i="12" s="1"/>
  <c r="J1447" i="12"/>
  <c r="K1447" i="12" s="1"/>
  <c r="J1439" i="12"/>
  <c r="K1439" i="12" s="1"/>
  <c r="J1448" i="12"/>
  <c r="K1448" i="12" s="1"/>
  <c r="J1437" i="12"/>
  <c r="K1437" i="12" s="1"/>
  <c r="J1442" i="12"/>
  <c r="K1442" i="12" s="1"/>
  <c r="J1446" i="12"/>
  <c r="K1446" i="12" s="1"/>
  <c r="J1445" i="12"/>
  <c r="K1445" i="12" s="1"/>
  <c r="J1441" i="12"/>
  <c r="K1441" i="12" s="1"/>
  <c r="J1444" i="12"/>
  <c r="K1444" i="12" s="1"/>
  <c r="J1440" i="12"/>
  <c r="K1440" i="12" s="1"/>
  <c r="H9" i="15"/>
  <c r="H7" i="15"/>
  <c r="H6" i="15"/>
  <c r="H5" i="15"/>
  <c r="H4" i="15"/>
  <c r="AV79" i="4"/>
  <c r="AV80" i="4"/>
  <c r="AV81" i="4"/>
  <c r="AV82" i="4"/>
  <c r="AV83" i="4"/>
  <c r="AV68" i="4"/>
  <c r="AV69" i="4"/>
  <c r="AV70" i="4"/>
  <c r="AV71" i="4"/>
  <c r="AV72" i="4"/>
  <c r="AV73" i="4"/>
  <c r="AV74" i="4"/>
  <c r="AV60" i="4"/>
  <c r="AV65" i="4" s="1"/>
  <c r="AV61" i="4"/>
  <c r="AV62" i="4"/>
  <c r="AV63" i="4"/>
  <c r="AV39" i="4"/>
  <c r="AV40" i="4"/>
  <c r="AV41" i="4"/>
  <c r="AV42" i="4"/>
  <c r="AV43" i="4"/>
  <c r="AV44" i="4"/>
  <c r="AV45" i="4"/>
  <c r="AV46" i="4"/>
  <c r="AV47" i="4"/>
  <c r="AV48" i="4"/>
  <c r="AV49" i="4"/>
  <c r="AV50" i="4"/>
  <c r="AV51" i="4"/>
  <c r="AV52" i="4"/>
  <c r="AV27" i="4"/>
  <c r="AV28" i="4"/>
  <c r="AV29" i="4"/>
  <c r="AV30" i="4"/>
  <c r="AV31" i="4"/>
  <c r="AV32" i="4"/>
  <c r="AV33" i="4"/>
  <c r="AV34" i="4"/>
  <c r="AV19" i="4"/>
  <c r="AV20" i="4"/>
  <c r="AV21" i="4"/>
  <c r="AV22" i="4"/>
  <c r="AV13" i="4"/>
  <c r="AV14" i="4"/>
  <c r="H3" i="15" l="1"/>
  <c r="H10" i="15" s="1"/>
  <c r="C3" i="15"/>
  <c r="AD88" i="4"/>
  <c r="AE88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X65" i="4"/>
  <c r="Y65" i="4"/>
  <c r="Z65" i="4"/>
  <c r="AA65" i="4"/>
  <c r="AB65" i="4"/>
  <c r="AD76" i="4"/>
  <c r="AE76" i="4"/>
  <c r="M3" i="6" a="1"/>
  <c r="M3" i="6" s="1"/>
  <c r="M20" i="6" s="1"/>
  <c r="N3" i="6" a="1"/>
  <c r="N3" i="6" s="1"/>
  <c r="N20" i="6" s="1"/>
  <c r="T3" i="6" a="1"/>
  <c r="T3" i="6" s="1"/>
  <c r="T20" i="6" s="1"/>
  <c r="J3" i="6" a="1"/>
  <c r="J3" i="6" s="1"/>
  <c r="J20" i="6" s="1"/>
  <c r="U3" i="6" a="1"/>
  <c r="U3" i="6" s="1"/>
  <c r="U20" i="6" s="1"/>
  <c r="V3" i="6" a="1"/>
  <c r="V3" i="6" s="1"/>
  <c r="V20" i="6" s="1"/>
  <c r="W3" i="6" a="1"/>
  <c r="W3" i="6" s="1"/>
  <c r="W20" i="6" s="1"/>
  <c r="X3" i="6" a="1"/>
  <c r="X3" i="6" s="1"/>
  <c r="X20" i="6" s="1"/>
  <c r="Y3" i="6" a="1"/>
  <c r="Y3" i="6" s="1"/>
  <c r="Y20" i="6" s="1"/>
  <c r="Z3" i="6" a="1"/>
  <c r="Z3" i="6" s="1"/>
  <c r="Z20" i="6" s="1"/>
  <c r="AA3" i="6" a="1"/>
  <c r="AA3" i="6" s="1"/>
  <c r="AA20" i="6" s="1"/>
  <c r="AB3" i="6" a="1"/>
  <c r="AB3" i="6" s="1"/>
  <c r="AB20" i="6" s="1"/>
  <c r="AC3" i="6" a="1"/>
  <c r="AC3" i="6" s="1"/>
  <c r="AC20" i="6" s="1"/>
  <c r="H3" i="6" a="1"/>
  <c r="H3" i="6" s="1"/>
  <c r="H20" i="6" s="1"/>
  <c r="O3" i="6" a="1"/>
  <c r="O3" i="6" s="1"/>
  <c r="O20" i="6" s="1"/>
  <c r="Q3" i="6" a="1"/>
  <c r="Q3" i="6" s="1"/>
  <c r="Q20" i="6" s="1"/>
  <c r="R3" i="6" a="1"/>
  <c r="R3" i="6" s="1"/>
  <c r="R20" i="6" s="1"/>
  <c r="S3" i="6" a="1"/>
  <c r="S3" i="6" s="1"/>
  <c r="S20" i="6" s="1"/>
  <c r="I3" i="6" a="1"/>
  <c r="I3" i="6" s="1"/>
  <c r="I20" i="6" s="1"/>
  <c r="K3" i="6" a="1"/>
  <c r="K3" i="6" s="1"/>
  <c r="K20" i="6" s="1"/>
  <c r="L3" i="6" a="1"/>
  <c r="L3" i="6" s="1"/>
  <c r="L20" i="6" s="1"/>
  <c r="G20" i="6"/>
  <c r="P3" i="6" a="1"/>
  <c r="P3" i="6" s="1"/>
  <c r="P20" i="6" s="1"/>
  <c r="C3" i="13" a="1"/>
  <c r="H85" i="4"/>
  <c r="G857" i="8" a="1"/>
  <c r="G857" i="8" s="1"/>
  <c r="G1296" i="12"/>
  <c r="H1296" i="12" s="1"/>
  <c r="I1296" i="12"/>
  <c r="L1296" i="12"/>
  <c r="C6" i="6"/>
  <c r="C18" i="6"/>
  <c r="K85" i="11"/>
  <c r="H85" i="11"/>
  <c r="F85" i="11"/>
  <c r="G85" i="11" s="1"/>
  <c r="K84" i="11"/>
  <c r="H84" i="11"/>
  <c r="F84" i="11"/>
  <c r="K83" i="11"/>
  <c r="H83" i="11"/>
  <c r="F83" i="11"/>
  <c r="G83" i="11" s="1"/>
  <c r="K82" i="11"/>
  <c r="H82" i="11"/>
  <c r="F82" i="11"/>
  <c r="G82" i="11" s="1"/>
  <c r="K81" i="11"/>
  <c r="H81" i="11"/>
  <c r="F81" i="11"/>
  <c r="G81" i="11" s="1"/>
  <c r="K80" i="11"/>
  <c r="H80" i="11"/>
  <c r="F80" i="11"/>
  <c r="K79" i="11"/>
  <c r="H79" i="11"/>
  <c r="F79" i="11"/>
  <c r="G79" i="11" s="1"/>
  <c r="H78" i="11"/>
  <c r="F78" i="11"/>
  <c r="G78" i="11" s="1"/>
  <c r="K77" i="11"/>
  <c r="H77" i="11"/>
  <c r="F77" i="11"/>
  <c r="G77" i="11" s="1"/>
  <c r="K76" i="11"/>
  <c r="H76" i="11"/>
  <c r="F76" i="11"/>
  <c r="K75" i="11"/>
  <c r="H75" i="11"/>
  <c r="F75" i="11"/>
  <c r="K74" i="11"/>
  <c r="H74" i="11"/>
  <c r="F74" i="11"/>
  <c r="G74" i="11" s="1"/>
  <c r="K73" i="11"/>
  <c r="H73" i="11"/>
  <c r="F73" i="11"/>
  <c r="G73" i="11" s="1"/>
  <c r="K72" i="11"/>
  <c r="H72" i="11"/>
  <c r="F72" i="11"/>
  <c r="G72" i="11" s="1"/>
  <c r="C16" i="6"/>
  <c r="C17" i="6"/>
  <c r="G1276" i="8" a="1"/>
  <c r="G1276" i="8" s="1"/>
  <c r="L1435" i="12"/>
  <c r="I1435" i="12"/>
  <c r="G1435" i="12"/>
  <c r="H1435" i="12" s="1"/>
  <c r="L1434" i="12"/>
  <c r="I1434" i="12"/>
  <c r="G1434" i="12"/>
  <c r="H1434" i="12" s="1"/>
  <c r="L1433" i="12"/>
  <c r="I1433" i="12"/>
  <c r="G1433" i="12"/>
  <c r="H1433" i="12" s="1"/>
  <c r="L1432" i="12"/>
  <c r="I1432" i="12"/>
  <c r="G1432" i="12"/>
  <c r="H1432" i="12" s="1"/>
  <c r="L1431" i="12"/>
  <c r="I1431" i="12"/>
  <c r="G1431" i="12"/>
  <c r="H1431" i="12" s="1"/>
  <c r="L1430" i="12"/>
  <c r="I1430" i="12"/>
  <c r="G1430" i="12"/>
  <c r="H1430" i="12" s="1"/>
  <c r="L1429" i="12"/>
  <c r="I1429" i="12"/>
  <c r="G1429" i="12"/>
  <c r="H1429" i="12" s="1"/>
  <c r="L1428" i="12"/>
  <c r="I1428" i="12"/>
  <c r="G1428" i="12"/>
  <c r="H1428" i="12" s="1"/>
  <c r="L1427" i="12"/>
  <c r="I1427" i="12"/>
  <c r="G1427" i="12"/>
  <c r="H1427" i="12" s="1"/>
  <c r="L1426" i="12"/>
  <c r="I1426" i="12"/>
  <c r="G1426" i="12"/>
  <c r="H1426" i="12" s="1"/>
  <c r="L1425" i="12"/>
  <c r="I1425" i="12"/>
  <c r="G1425" i="12"/>
  <c r="H1425" i="12" s="1"/>
  <c r="L1424" i="12"/>
  <c r="I1424" i="12"/>
  <c r="G1424" i="12"/>
  <c r="H1424" i="12" s="1"/>
  <c r="L1423" i="12"/>
  <c r="I1423" i="12"/>
  <c r="G1423" i="12"/>
  <c r="H1423" i="12" s="1"/>
  <c r="L1422" i="12"/>
  <c r="I1422" i="12"/>
  <c r="G1422" i="12"/>
  <c r="H1422" i="12" s="1"/>
  <c r="L1421" i="12"/>
  <c r="I1421" i="12"/>
  <c r="G1421" i="12"/>
  <c r="H1421" i="12" s="1"/>
  <c r="L1420" i="12"/>
  <c r="I1420" i="12"/>
  <c r="G1420" i="12"/>
  <c r="H1420" i="12" s="1"/>
  <c r="L1419" i="12"/>
  <c r="I1419" i="12"/>
  <c r="G1419" i="12"/>
  <c r="H1419" i="12" s="1"/>
  <c r="L1418" i="12"/>
  <c r="I1418" i="12"/>
  <c r="G1418" i="12"/>
  <c r="H1418" i="12" s="1"/>
  <c r="L1417" i="12"/>
  <c r="I1417" i="12"/>
  <c r="G1417" i="12"/>
  <c r="H1417" i="12" s="1"/>
  <c r="L1416" i="12"/>
  <c r="I1416" i="12"/>
  <c r="G1416" i="12"/>
  <c r="H1416" i="12" s="1"/>
  <c r="L1415" i="12"/>
  <c r="I1415" i="12"/>
  <c r="G1415" i="12"/>
  <c r="H1415" i="12" s="1"/>
  <c r="L1414" i="12"/>
  <c r="I1414" i="12"/>
  <c r="G1414" i="12"/>
  <c r="H1414" i="12" s="1"/>
  <c r="L1413" i="12"/>
  <c r="I1413" i="12"/>
  <c r="G1413" i="12"/>
  <c r="H1413" i="12" s="1"/>
  <c r="L1412" i="12"/>
  <c r="I1412" i="12"/>
  <c r="G1412" i="12"/>
  <c r="H1412" i="12" s="1"/>
  <c r="L1411" i="12"/>
  <c r="I1411" i="12"/>
  <c r="G1411" i="12"/>
  <c r="H1411" i="12" s="1"/>
  <c r="L1410" i="12"/>
  <c r="I1410" i="12"/>
  <c r="G1410" i="12"/>
  <c r="H1410" i="12" s="1"/>
  <c r="L1409" i="12"/>
  <c r="I1409" i="12"/>
  <c r="G1409" i="12"/>
  <c r="H1409" i="12" s="1"/>
  <c r="L1408" i="12"/>
  <c r="I1408" i="12"/>
  <c r="G1408" i="12"/>
  <c r="H1408" i="12" s="1"/>
  <c r="L1407" i="12"/>
  <c r="I1407" i="12"/>
  <c r="G1407" i="12"/>
  <c r="H1407" i="12" s="1"/>
  <c r="L1406" i="12"/>
  <c r="I1406" i="12"/>
  <c r="G1406" i="12"/>
  <c r="H1406" i="12" s="1"/>
  <c r="L1405" i="12"/>
  <c r="I1405" i="12"/>
  <c r="G1405" i="12"/>
  <c r="H1405" i="12" s="1"/>
  <c r="L1404" i="12"/>
  <c r="I1404" i="12"/>
  <c r="G1404" i="12"/>
  <c r="H1404" i="12" s="1"/>
  <c r="L1403" i="12"/>
  <c r="I1403" i="12"/>
  <c r="G1403" i="12"/>
  <c r="H1403" i="12" s="1"/>
  <c r="L1402" i="12"/>
  <c r="I1402" i="12"/>
  <c r="G1402" i="12"/>
  <c r="H1402" i="12" s="1"/>
  <c r="L1398" i="12"/>
  <c r="I1398" i="12"/>
  <c r="G1398" i="12"/>
  <c r="H1398" i="12" s="1"/>
  <c r="L1396" i="12"/>
  <c r="I1396" i="12"/>
  <c r="G1396" i="12"/>
  <c r="H1396" i="12" s="1"/>
  <c r="L1395" i="12"/>
  <c r="I1395" i="12"/>
  <c r="G1395" i="12"/>
  <c r="H1395" i="12" s="1"/>
  <c r="L1393" i="12"/>
  <c r="I1393" i="12"/>
  <c r="G1393" i="12"/>
  <c r="H1393" i="12" s="1"/>
  <c r="L1392" i="12"/>
  <c r="I1392" i="12"/>
  <c r="G1392" i="12"/>
  <c r="H1392" i="12" s="1"/>
  <c r="L1391" i="12"/>
  <c r="I1391" i="12"/>
  <c r="G1391" i="12"/>
  <c r="H1391" i="12" s="1"/>
  <c r="L1390" i="12"/>
  <c r="I1390" i="12"/>
  <c r="G1390" i="12"/>
  <c r="H1390" i="12" s="1"/>
  <c r="L1389" i="12"/>
  <c r="I1389" i="12"/>
  <c r="G1389" i="12"/>
  <c r="H1389" i="12" s="1"/>
  <c r="L1388" i="12"/>
  <c r="I1388" i="12"/>
  <c r="G1388" i="12"/>
  <c r="H1388" i="12" s="1"/>
  <c r="L1387" i="12"/>
  <c r="I1387" i="12"/>
  <c r="G1387" i="12"/>
  <c r="H1387" i="12" s="1"/>
  <c r="L1386" i="12"/>
  <c r="I1386" i="12"/>
  <c r="G1386" i="12"/>
  <c r="H1386" i="12" s="1"/>
  <c r="L1385" i="12"/>
  <c r="I1385" i="12"/>
  <c r="G1385" i="12"/>
  <c r="H1385" i="12" s="1"/>
  <c r="L1384" i="12"/>
  <c r="I1384" i="12"/>
  <c r="G1384" i="12"/>
  <c r="H1384" i="12" s="1"/>
  <c r="L1383" i="12"/>
  <c r="I1383" i="12"/>
  <c r="G1383" i="12"/>
  <c r="H1383" i="12" s="1"/>
  <c r="L1382" i="12"/>
  <c r="I1382" i="12"/>
  <c r="G1382" i="12"/>
  <c r="H1382" i="12" s="1"/>
  <c r="L1381" i="12"/>
  <c r="I1381" i="12"/>
  <c r="G1381" i="12"/>
  <c r="H1381" i="12" s="1"/>
  <c r="L1380" i="12"/>
  <c r="I1380" i="12"/>
  <c r="G1380" i="12"/>
  <c r="H1380" i="12" s="1"/>
  <c r="L1379" i="12"/>
  <c r="I1379" i="12"/>
  <c r="G1379" i="12"/>
  <c r="H1379" i="12" s="1"/>
  <c r="L1378" i="12"/>
  <c r="I1378" i="12"/>
  <c r="G1378" i="12"/>
  <c r="H1378" i="12" s="1"/>
  <c r="L1377" i="12"/>
  <c r="I1377" i="12"/>
  <c r="G1377" i="12"/>
  <c r="H1377" i="12" s="1"/>
  <c r="L1376" i="12"/>
  <c r="I1376" i="12"/>
  <c r="G1376" i="12"/>
  <c r="H1376" i="12" s="1"/>
  <c r="L1375" i="12"/>
  <c r="I1375" i="12"/>
  <c r="G1375" i="12"/>
  <c r="H1375" i="12" s="1"/>
  <c r="L1374" i="12"/>
  <c r="I1374" i="12"/>
  <c r="G1374" i="12"/>
  <c r="H1374" i="12" s="1"/>
  <c r="L1373" i="12"/>
  <c r="I1373" i="12"/>
  <c r="G1373" i="12"/>
  <c r="H1373" i="12" s="1"/>
  <c r="L1372" i="12"/>
  <c r="I1372" i="12"/>
  <c r="G1372" i="12"/>
  <c r="H1372" i="12" s="1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BE58" i="4"/>
  <c r="BF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BY58" i="4"/>
  <c r="BZ58" i="4"/>
  <c r="CA58" i="4"/>
  <c r="CB58" i="4"/>
  <c r="H58" i="4"/>
  <c r="F20" i="6"/>
  <c r="D20" i="6"/>
  <c r="C9" i="6"/>
  <c r="C10" i="6"/>
  <c r="C11" i="6"/>
  <c r="C12" i="6"/>
  <c r="C13" i="6"/>
  <c r="C14" i="6"/>
  <c r="C15" i="6"/>
  <c r="C5" i="6"/>
  <c r="C7" i="6"/>
  <c r="C8" i="6"/>
  <c r="C4" i="6"/>
  <c r="D16" i="14" l="1"/>
  <c r="K9" i="18"/>
  <c r="L9" i="18" s="1"/>
  <c r="K8" i="18"/>
  <c r="L8" i="18" s="1"/>
  <c r="K12" i="18"/>
  <c r="L12" i="18" s="1"/>
  <c r="K16" i="18"/>
  <c r="L16" i="18" s="1"/>
  <c r="N16" i="18" s="1"/>
  <c r="K5" i="18"/>
  <c r="K13" i="18"/>
  <c r="L13" i="18" s="1"/>
  <c r="K17" i="18"/>
  <c r="L17" i="18" s="1"/>
  <c r="K6" i="18"/>
  <c r="K10" i="18"/>
  <c r="K14" i="18"/>
  <c r="K18" i="18"/>
  <c r="L18" i="18" s="1"/>
  <c r="N18" i="18" s="1"/>
  <c r="K11" i="18"/>
  <c r="L11" i="18" s="1"/>
  <c r="K15" i="18"/>
  <c r="L15" i="18" s="1"/>
  <c r="K19" i="18"/>
  <c r="L19" i="18" s="1"/>
  <c r="K7" i="18"/>
  <c r="C23" i="6"/>
  <c r="D17" i="14" s="1"/>
  <c r="U22" i="6"/>
  <c r="T22" i="6"/>
  <c r="U23" i="6"/>
  <c r="S22" i="6"/>
  <c r="T23" i="6"/>
  <c r="P22" i="6"/>
  <c r="S23" i="6"/>
  <c r="G22" i="6"/>
  <c r="P23" i="6"/>
  <c r="AC22" i="6"/>
  <c r="G23" i="6"/>
  <c r="AB22" i="6"/>
  <c r="AC23" i="6"/>
  <c r="AA22" i="6"/>
  <c r="AB23" i="6"/>
  <c r="AA23" i="6"/>
  <c r="C3" i="13"/>
  <c r="K4" i="18" s="1"/>
  <c r="C24" i="13"/>
  <c r="J24" i="13"/>
  <c r="L22" i="6"/>
  <c r="L23" i="6"/>
  <c r="Z22" i="6"/>
  <c r="R22" i="6"/>
  <c r="J22" i="6"/>
  <c r="Z23" i="6"/>
  <c r="R23" i="6"/>
  <c r="J23" i="6"/>
  <c r="Y22" i="6"/>
  <c r="Q22" i="6"/>
  <c r="I22" i="6"/>
  <c r="Y23" i="6"/>
  <c r="Q23" i="6"/>
  <c r="I23" i="6"/>
  <c r="M23" i="6"/>
  <c r="X22" i="6"/>
  <c r="H22" i="6"/>
  <c r="X23" i="6"/>
  <c r="H23" i="6"/>
  <c r="M22" i="6"/>
  <c r="W22" i="6"/>
  <c r="O22" i="6"/>
  <c r="W23" i="6"/>
  <c r="O23" i="6"/>
  <c r="K22" i="6"/>
  <c r="K23" i="6"/>
  <c r="V22" i="6"/>
  <c r="N22" i="6"/>
  <c r="V23" i="6"/>
  <c r="N23" i="6"/>
  <c r="C10" i="15"/>
  <c r="D5" i="14"/>
  <c r="F22" i="6"/>
  <c r="D23" i="6"/>
  <c r="D22" i="6"/>
  <c r="F23" i="6"/>
  <c r="I79" i="11"/>
  <c r="J79" i="11" s="1"/>
  <c r="D4" i="14"/>
  <c r="J1296" i="12"/>
  <c r="K1296" i="12" s="1"/>
  <c r="I84" i="11"/>
  <c r="J84" i="11" s="1"/>
  <c r="I72" i="11"/>
  <c r="J72" i="11" s="1"/>
  <c r="I77" i="11"/>
  <c r="J77" i="11" s="1"/>
  <c r="I82" i="11"/>
  <c r="J82" i="11" s="1"/>
  <c r="I76" i="11"/>
  <c r="J76" i="11" s="1"/>
  <c r="I75" i="11"/>
  <c r="J75" i="11" s="1"/>
  <c r="I73" i="11"/>
  <c r="J73" i="11" s="1"/>
  <c r="I80" i="11"/>
  <c r="J80" i="11" s="1"/>
  <c r="I85" i="11"/>
  <c r="J85" i="11" s="1"/>
  <c r="I78" i="11"/>
  <c r="J78" i="11" s="1"/>
  <c r="I83" i="11"/>
  <c r="J83" i="11" s="1"/>
  <c r="I74" i="11"/>
  <c r="J74" i="11" s="1"/>
  <c r="I81" i="11"/>
  <c r="J81" i="11" s="1"/>
  <c r="G75" i="11"/>
  <c r="G76" i="11"/>
  <c r="G80" i="11"/>
  <c r="G84" i="11"/>
  <c r="J1372" i="12"/>
  <c r="K1372" i="12" s="1"/>
  <c r="J1373" i="12"/>
  <c r="K1373" i="12" s="1"/>
  <c r="J1374" i="12"/>
  <c r="K1374" i="12" s="1"/>
  <c r="J1375" i="12"/>
  <c r="K1375" i="12" s="1"/>
  <c r="J1376" i="12"/>
  <c r="K1376" i="12" s="1"/>
  <c r="J1377" i="12"/>
  <c r="K1377" i="12" s="1"/>
  <c r="J1378" i="12"/>
  <c r="K1378" i="12" s="1"/>
  <c r="J1379" i="12"/>
  <c r="K1379" i="12" s="1"/>
  <c r="J1380" i="12"/>
  <c r="K1380" i="12" s="1"/>
  <c r="J1381" i="12"/>
  <c r="K1381" i="12" s="1"/>
  <c r="J1382" i="12"/>
  <c r="K1382" i="12" s="1"/>
  <c r="J1383" i="12"/>
  <c r="K1383" i="12" s="1"/>
  <c r="J1384" i="12"/>
  <c r="K1384" i="12" s="1"/>
  <c r="J1385" i="12"/>
  <c r="K1385" i="12" s="1"/>
  <c r="J1386" i="12"/>
  <c r="K1386" i="12" s="1"/>
  <c r="J1387" i="12"/>
  <c r="K1387" i="12" s="1"/>
  <c r="J1388" i="12"/>
  <c r="K1388" i="12" s="1"/>
  <c r="J1389" i="12"/>
  <c r="K1389" i="12" s="1"/>
  <c r="J1390" i="12"/>
  <c r="K1390" i="12" s="1"/>
  <c r="J1391" i="12"/>
  <c r="K1391" i="12" s="1"/>
  <c r="J1392" i="12"/>
  <c r="K1392" i="12" s="1"/>
  <c r="J1393" i="12"/>
  <c r="K1393" i="12" s="1"/>
  <c r="J1395" i="12"/>
  <c r="K1395" i="12" s="1"/>
  <c r="J1396" i="12"/>
  <c r="K1396" i="12" s="1"/>
  <c r="J1398" i="12"/>
  <c r="K1398" i="12" s="1"/>
  <c r="J1402" i="12"/>
  <c r="K1402" i="12" s="1"/>
  <c r="J1403" i="12"/>
  <c r="K1403" i="12" s="1"/>
  <c r="J1404" i="12"/>
  <c r="K1404" i="12" s="1"/>
  <c r="J1405" i="12"/>
  <c r="K1405" i="12" s="1"/>
  <c r="J1406" i="12"/>
  <c r="K1406" i="12" s="1"/>
  <c r="J1407" i="12"/>
  <c r="K1407" i="12" s="1"/>
  <c r="J1408" i="12"/>
  <c r="K1408" i="12" s="1"/>
  <c r="J1409" i="12"/>
  <c r="K1409" i="12" s="1"/>
  <c r="J1410" i="12"/>
  <c r="K1410" i="12" s="1"/>
  <c r="J1411" i="12"/>
  <c r="K1411" i="12" s="1"/>
  <c r="J1412" i="12"/>
  <c r="K1412" i="12" s="1"/>
  <c r="J1413" i="12"/>
  <c r="K1413" i="12" s="1"/>
  <c r="J1414" i="12"/>
  <c r="K1414" i="12" s="1"/>
  <c r="J1415" i="12"/>
  <c r="K1415" i="12" s="1"/>
  <c r="J1416" i="12"/>
  <c r="K1416" i="12" s="1"/>
  <c r="J1417" i="12"/>
  <c r="K1417" i="12" s="1"/>
  <c r="J1418" i="12"/>
  <c r="K1418" i="12" s="1"/>
  <c r="J1419" i="12"/>
  <c r="K1419" i="12" s="1"/>
  <c r="J1420" i="12"/>
  <c r="K1420" i="12" s="1"/>
  <c r="J1421" i="12"/>
  <c r="K1421" i="12" s="1"/>
  <c r="J1422" i="12"/>
  <c r="K1422" i="12" s="1"/>
  <c r="J1423" i="12"/>
  <c r="K1423" i="12" s="1"/>
  <c r="J1424" i="12"/>
  <c r="K1424" i="12" s="1"/>
  <c r="J1425" i="12"/>
  <c r="K1425" i="12" s="1"/>
  <c r="J1426" i="12"/>
  <c r="K1426" i="12" s="1"/>
  <c r="J1427" i="12"/>
  <c r="K1427" i="12" s="1"/>
  <c r="J1428" i="12"/>
  <c r="K1428" i="12" s="1"/>
  <c r="J1429" i="12"/>
  <c r="K1429" i="12" s="1"/>
  <c r="J1430" i="12"/>
  <c r="K1430" i="12" s="1"/>
  <c r="J1431" i="12"/>
  <c r="K1431" i="12" s="1"/>
  <c r="J1432" i="12"/>
  <c r="K1432" i="12" s="1"/>
  <c r="J1433" i="12"/>
  <c r="K1433" i="12" s="1"/>
  <c r="J1434" i="12"/>
  <c r="K1434" i="12" s="1"/>
  <c r="J1435" i="12"/>
  <c r="K1435" i="12" s="1"/>
  <c r="L1371" i="12"/>
  <c r="I1371" i="12"/>
  <c r="G1371" i="12"/>
  <c r="H1371" i="12" s="1"/>
  <c r="L1370" i="12"/>
  <c r="I1370" i="12"/>
  <c r="G1370" i="12"/>
  <c r="H1370" i="12" s="1"/>
  <c r="L1369" i="12"/>
  <c r="I1369" i="12"/>
  <c r="G1369" i="12"/>
  <c r="H1369" i="12" s="1"/>
  <c r="L1368" i="12"/>
  <c r="I1368" i="12"/>
  <c r="G1368" i="12"/>
  <c r="H1368" i="12" s="1"/>
  <c r="L1367" i="12"/>
  <c r="I1367" i="12"/>
  <c r="G1367" i="12"/>
  <c r="H1367" i="12" s="1"/>
  <c r="L1366" i="12"/>
  <c r="I1366" i="12"/>
  <c r="G1366" i="12"/>
  <c r="H1366" i="12" s="1"/>
  <c r="L1365" i="12"/>
  <c r="I1365" i="12"/>
  <c r="G1365" i="12"/>
  <c r="L1364" i="12"/>
  <c r="I1364" i="12"/>
  <c r="G1364" i="12"/>
  <c r="H1364" i="12" s="1"/>
  <c r="L1363" i="12"/>
  <c r="I1363" i="12"/>
  <c r="G1363" i="12"/>
  <c r="H1363" i="12" s="1"/>
  <c r="L1362" i="12"/>
  <c r="I1362" i="12"/>
  <c r="G1362" i="12"/>
  <c r="H1362" i="12" s="1"/>
  <c r="L1361" i="12"/>
  <c r="I1361" i="12"/>
  <c r="G1361" i="12"/>
  <c r="H1361" i="12" s="1"/>
  <c r="L1360" i="12"/>
  <c r="I1360" i="12"/>
  <c r="G1360" i="12"/>
  <c r="H1360" i="12" s="1"/>
  <c r="L1359" i="12"/>
  <c r="I1359" i="12"/>
  <c r="G1359" i="12"/>
  <c r="H1359" i="12" s="1"/>
  <c r="L1358" i="12"/>
  <c r="I1358" i="12"/>
  <c r="G1358" i="12"/>
  <c r="H1358" i="12" s="1"/>
  <c r="L1357" i="12"/>
  <c r="I1357" i="12"/>
  <c r="G1357" i="12"/>
  <c r="H1357" i="12" s="1"/>
  <c r="L1356" i="12"/>
  <c r="I1356" i="12"/>
  <c r="G1356" i="12"/>
  <c r="H1356" i="12" s="1"/>
  <c r="L1355" i="12"/>
  <c r="I1355" i="12"/>
  <c r="G1355" i="12"/>
  <c r="H1355" i="12" s="1"/>
  <c r="L1354" i="12"/>
  <c r="I1354" i="12"/>
  <c r="G1354" i="12"/>
  <c r="H1354" i="12" s="1"/>
  <c r="L1353" i="12"/>
  <c r="I1353" i="12"/>
  <c r="G1353" i="12"/>
  <c r="H1353" i="12" s="1"/>
  <c r="L1352" i="12"/>
  <c r="I1352" i="12"/>
  <c r="G1352" i="12"/>
  <c r="H1352" i="12" s="1"/>
  <c r="L1351" i="12"/>
  <c r="I1351" i="12"/>
  <c r="G1351" i="12"/>
  <c r="H1351" i="12" s="1"/>
  <c r="L1350" i="12"/>
  <c r="I1350" i="12"/>
  <c r="G1350" i="12"/>
  <c r="H1350" i="12" s="1"/>
  <c r="L1349" i="12"/>
  <c r="I1349" i="12"/>
  <c r="G1349" i="12"/>
  <c r="L1348" i="12"/>
  <c r="I1348" i="12"/>
  <c r="G1348" i="12"/>
  <c r="H1348" i="12" s="1"/>
  <c r="L1347" i="12"/>
  <c r="I1347" i="12"/>
  <c r="G1347" i="12"/>
  <c r="L1346" i="12"/>
  <c r="I1346" i="12"/>
  <c r="G1346" i="12"/>
  <c r="H1346" i="12" s="1"/>
  <c r="L1345" i="12"/>
  <c r="I1345" i="12"/>
  <c r="G1345" i="12"/>
  <c r="H1345" i="12" s="1"/>
  <c r="L1344" i="12"/>
  <c r="I1344" i="12"/>
  <c r="G1344" i="12"/>
  <c r="H1344" i="12" s="1"/>
  <c r="L1343" i="12"/>
  <c r="I1343" i="12"/>
  <c r="G1343" i="12"/>
  <c r="H1343" i="12" s="1"/>
  <c r="L1342" i="12"/>
  <c r="I1342" i="12"/>
  <c r="G1342" i="12"/>
  <c r="H1342" i="12" s="1"/>
  <c r="L1341" i="12"/>
  <c r="I1341" i="12"/>
  <c r="G1341" i="12"/>
  <c r="L1340" i="12"/>
  <c r="I1340" i="12"/>
  <c r="G1340" i="12"/>
  <c r="L1339" i="12"/>
  <c r="I1339" i="12"/>
  <c r="G1339" i="12"/>
  <c r="H1339" i="12" s="1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BY36" i="4"/>
  <c r="BZ36" i="4"/>
  <c r="CA36" i="4"/>
  <c r="CB36" i="4"/>
  <c r="CC36" i="4"/>
  <c r="CD36" i="4"/>
  <c r="CE36" i="4"/>
  <c r="CF36" i="4"/>
  <c r="CG36" i="4"/>
  <c r="CH36" i="4"/>
  <c r="CI36" i="4"/>
  <c r="CJ36" i="4"/>
  <c r="CK36" i="4"/>
  <c r="CL36" i="4"/>
  <c r="CM36" i="4"/>
  <c r="CN36" i="4"/>
  <c r="CO36" i="4"/>
  <c r="CP36" i="4"/>
  <c r="CQ36" i="4"/>
  <c r="CR36" i="4"/>
  <c r="CS36" i="4"/>
  <c r="CT36" i="4"/>
  <c r="CU36" i="4"/>
  <c r="CV36" i="4"/>
  <c r="CW36" i="4"/>
  <c r="CX36" i="4"/>
  <c r="CY36" i="4"/>
  <c r="CZ36" i="4"/>
  <c r="DA36" i="4"/>
  <c r="DB36" i="4"/>
  <c r="DC36" i="4"/>
  <c r="DD36" i="4"/>
  <c r="DE36" i="4"/>
  <c r="DF36" i="4"/>
  <c r="DG36" i="4"/>
  <c r="DH36" i="4"/>
  <c r="DI36" i="4"/>
  <c r="DJ36" i="4"/>
  <c r="H36" i="4"/>
  <c r="AG85" i="4"/>
  <c r="AG54" i="4"/>
  <c r="AD85" i="4"/>
  <c r="G1323" i="12"/>
  <c r="H1323" i="12" s="1"/>
  <c r="I1323" i="12"/>
  <c r="L1323" i="12"/>
  <c r="G1324" i="12"/>
  <c r="H1324" i="12" s="1"/>
  <c r="I1324" i="12"/>
  <c r="L1324" i="12"/>
  <c r="G1325" i="12"/>
  <c r="H1325" i="12" s="1"/>
  <c r="I1325" i="12"/>
  <c r="L1325" i="12"/>
  <c r="G1326" i="12"/>
  <c r="H1326" i="12" s="1"/>
  <c r="I1326" i="12"/>
  <c r="L1326" i="12"/>
  <c r="G1327" i="12"/>
  <c r="H1327" i="12" s="1"/>
  <c r="I1327" i="12"/>
  <c r="L1327" i="12"/>
  <c r="G1328" i="12"/>
  <c r="H1328" i="12" s="1"/>
  <c r="I1328" i="12"/>
  <c r="L1328" i="12"/>
  <c r="G1329" i="12"/>
  <c r="H1329" i="12" s="1"/>
  <c r="I1329" i="12"/>
  <c r="L1329" i="12"/>
  <c r="G1330" i="12"/>
  <c r="H1330" i="12" s="1"/>
  <c r="I1330" i="12"/>
  <c r="L1330" i="12"/>
  <c r="G1331" i="12"/>
  <c r="H1331" i="12" s="1"/>
  <c r="I1331" i="12"/>
  <c r="L1331" i="12"/>
  <c r="G1332" i="12"/>
  <c r="H1332" i="12" s="1"/>
  <c r="I1332" i="12"/>
  <c r="L1332" i="12"/>
  <c r="G1333" i="12"/>
  <c r="H1333" i="12" s="1"/>
  <c r="I1333" i="12"/>
  <c r="L1333" i="12"/>
  <c r="G1334" i="12"/>
  <c r="H1334" i="12" s="1"/>
  <c r="I1334" i="12"/>
  <c r="L1334" i="12"/>
  <c r="G1335" i="12"/>
  <c r="H1335" i="12" s="1"/>
  <c r="I1335" i="12"/>
  <c r="L1335" i="12"/>
  <c r="G1336" i="12"/>
  <c r="H1336" i="12" s="1"/>
  <c r="I1336" i="12"/>
  <c r="L1336" i="12"/>
  <c r="G1337" i="12"/>
  <c r="H1337" i="12" s="1"/>
  <c r="I1337" i="12"/>
  <c r="L1337" i="12"/>
  <c r="G1338" i="12"/>
  <c r="H1338" i="12" s="1"/>
  <c r="I1338" i="12"/>
  <c r="L1338" i="12"/>
  <c r="L1322" i="12"/>
  <c r="I1322" i="12"/>
  <c r="G1322" i="12"/>
  <c r="H1322" i="12" s="1"/>
  <c r="L1321" i="12"/>
  <c r="I1321" i="12"/>
  <c r="G1321" i="12"/>
  <c r="H1321" i="12" s="1"/>
  <c r="L1320" i="12"/>
  <c r="I1320" i="12"/>
  <c r="G1320" i="12"/>
  <c r="H1320" i="12" s="1"/>
  <c r="L1319" i="12"/>
  <c r="I1319" i="12"/>
  <c r="G1319" i="12"/>
  <c r="H1319" i="12" s="1"/>
  <c r="L1318" i="12"/>
  <c r="I1318" i="12"/>
  <c r="G1318" i="12"/>
  <c r="H1318" i="12" s="1"/>
  <c r="L1317" i="12"/>
  <c r="I1317" i="12"/>
  <c r="G1317" i="12"/>
  <c r="H1317" i="12" s="1"/>
  <c r="L1316" i="12"/>
  <c r="I1316" i="12"/>
  <c r="G1316" i="12"/>
  <c r="H1316" i="12" s="1"/>
  <c r="L1315" i="12"/>
  <c r="I1315" i="12"/>
  <c r="G1315" i="12"/>
  <c r="H1315" i="12" s="1"/>
  <c r="L1314" i="12"/>
  <c r="I1314" i="12"/>
  <c r="G1314" i="12"/>
  <c r="H1314" i="12" s="1"/>
  <c r="L1313" i="12"/>
  <c r="I1313" i="12"/>
  <c r="G1313" i="12"/>
  <c r="H1313" i="12" s="1"/>
  <c r="L1312" i="12"/>
  <c r="I1312" i="12"/>
  <c r="G1312" i="12"/>
  <c r="H1312" i="12" s="1"/>
  <c r="L1311" i="12"/>
  <c r="I1311" i="12"/>
  <c r="G1311" i="12"/>
  <c r="H1311" i="12" s="1"/>
  <c r="L1310" i="12"/>
  <c r="I1310" i="12"/>
  <c r="G1310" i="12"/>
  <c r="H1310" i="12" s="1"/>
  <c r="L1309" i="12"/>
  <c r="I1309" i="12"/>
  <c r="G1309" i="12"/>
  <c r="H1309" i="12" s="1"/>
  <c r="L1308" i="12"/>
  <c r="I1308" i="12"/>
  <c r="G1308" i="12"/>
  <c r="H1308" i="12" s="1"/>
  <c r="L1307" i="12"/>
  <c r="I1307" i="12"/>
  <c r="G1307" i="12"/>
  <c r="H1307" i="12" s="1"/>
  <c r="L1306" i="12"/>
  <c r="I1306" i="12"/>
  <c r="G1306" i="12"/>
  <c r="H1306" i="12" s="1"/>
  <c r="L1305" i="12"/>
  <c r="I1305" i="12"/>
  <c r="G1305" i="12"/>
  <c r="H1305" i="12" s="1"/>
  <c r="L1304" i="12"/>
  <c r="I1304" i="12"/>
  <c r="G1304" i="12"/>
  <c r="H1304" i="12" s="1"/>
  <c r="L1303" i="12"/>
  <c r="I1303" i="12"/>
  <c r="G1303" i="12"/>
  <c r="H1303" i="12" s="1"/>
  <c r="L1302" i="12"/>
  <c r="I1302" i="12"/>
  <c r="G1302" i="12"/>
  <c r="H1302" i="12" s="1"/>
  <c r="L1301" i="12"/>
  <c r="I1301" i="12"/>
  <c r="G1301" i="12"/>
  <c r="H1301" i="12" s="1"/>
  <c r="L1300" i="12"/>
  <c r="I1300" i="12"/>
  <c r="G1300" i="12"/>
  <c r="H1300" i="12" s="1"/>
  <c r="L1299" i="12"/>
  <c r="I1299" i="12"/>
  <c r="G1299" i="12"/>
  <c r="H1299" i="12" s="1"/>
  <c r="L1298" i="12"/>
  <c r="I1298" i="12"/>
  <c r="G1298" i="12"/>
  <c r="H1298" i="12" s="1"/>
  <c r="L1297" i="12"/>
  <c r="I1297" i="12"/>
  <c r="G1297" i="12"/>
  <c r="H1297" i="12" s="1"/>
  <c r="L1295" i="12"/>
  <c r="I1295" i="12"/>
  <c r="G1295" i="12"/>
  <c r="H1295" i="12" s="1"/>
  <c r="L1294" i="12"/>
  <c r="I1294" i="12"/>
  <c r="G1294" i="12"/>
  <c r="H1294" i="12" s="1"/>
  <c r="L1293" i="12"/>
  <c r="I1293" i="12"/>
  <c r="G1293" i="12"/>
  <c r="H1293" i="12" s="1"/>
  <c r="L1292" i="12"/>
  <c r="I1292" i="12"/>
  <c r="G1292" i="12"/>
  <c r="H1292" i="12" s="1"/>
  <c r="L1291" i="12"/>
  <c r="I1291" i="12"/>
  <c r="G1291" i="12"/>
  <c r="H1291" i="12" s="1"/>
  <c r="L1290" i="12"/>
  <c r="I1290" i="12"/>
  <c r="G1290" i="12"/>
  <c r="H1290" i="12" s="1"/>
  <c r="L1289" i="12"/>
  <c r="I1289" i="12"/>
  <c r="G1289" i="12"/>
  <c r="H1289" i="12" s="1"/>
  <c r="L1288" i="12"/>
  <c r="I1288" i="12"/>
  <c r="G1288" i="12"/>
  <c r="H1288" i="12" s="1"/>
  <c r="L1287" i="12"/>
  <c r="I1287" i="12"/>
  <c r="G1287" i="12"/>
  <c r="H1287" i="12" s="1"/>
  <c r="L1286" i="12"/>
  <c r="I1286" i="12"/>
  <c r="G1286" i="12"/>
  <c r="H1286" i="12" s="1"/>
  <c r="L1285" i="12"/>
  <c r="I1285" i="12"/>
  <c r="G1285" i="12"/>
  <c r="H1285" i="12" s="1"/>
  <c r="L1284" i="12"/>
  <c r="I1284" i="12"/>
  <c r="G1284" i="12"/>
  <c r="H1284" i="12" s="1"/>
  <c r="L1283" i="12"/>
  <c r="I1283" i="12"/>
  <c r="G1283" i="12"/>
  <c r="H1283" i="12" s="1"/>
  <c r="L1282" i="12"/>
  <c r="I1282" i="12"/>
  <c r="G1282" i="12"/>
  <c r="H1282" i="12" s="1"/>
  <c r="L1281" i="12"/>
  <c r="I1281" i="12"/>
  <c r="G1281" i="12"/>
  <c r="H1281" i="12" s="1"/>
  <c r="L1280" i="12"/>
  <c r="I1280" i="12"/>
  <c r="G1280" i="12"/>
  <c r="H1280" i="12" s="1"/>
  <c r="L1279" i="12"/>
  <c r="I1279" i="12"/>
  <c r="G1279" i="12"/>
  <c r="H1279" i="12" s="1"/>
  <c r="L1278" i="12"/>
  <c r="I1278" i="12"/>
  <c r="G1278" i="12"/>
  <c r="H1278" i="12" s="1"/>
  <c r="L1277" i="12"/>
  <c r="I1277" i="12"/>
  <c r="G1277" i="12"/>
  <c r="H1277" i="12" s="1"/>
  <c r="L1276" i="12"/>
  <c r="I1276" i="12"/>
  <c r="G1276" i="12"/>
  <c r="H1276" i="12" s="1"/>
  <c r="L1275" i="12"/>
  <c r="I1275" i="12"/>
  <c r="G1275" i="12"/>
  <c r="H1275" i="12" s="1"/>
  <c r="L1274" i="12"/>
  <c r="I1274" i="12"/>
  <c r="G1274" i="12"/>
  <c r="H1274" i="12" s="1"/>
  <c r="L1273" i="12"/>
  <c r="I1273" i="12"/>
  <c r="G1273" i="12"/>
  <c r="H1273" i="12" s="1"/>
  <c r="L1272" i="12"/>
  <c r="I1272" i="12"/>
  <c r="G1272" i="12"/>
  <c r="H1272" i="12" s="1"/>
  <c r="L1271" i="12"/>
  <c r="I1271" i="12"/>
  <c r="G1271" i="12"/>
  <c r="H1271" i="12" s="1"/>
  <c r="L1270" i="12"/>
  <c r="I1270" i="12"/>
  <c r="G1270" i="12"/>
  <c r="H1270" i="12" s="1"/>
  <c r="L1269" i="12"/>
  <c r="I1269" i="12"/>
  <c r="G1269" i="12"/>
  <c r="H1269" i="12" s="1"/>
  <c r="L1268" i="12"/>
  <c r="I1268" i="12"/>
  <c r="G1268" i="12"/>
  <c r="H1268" i="12" s="1"/>
  <c r="L1267" i="12"/>
  <c r="I1267" i="12"/>
  <c r="G1267" i="12"/>
  <c r="H1267" i="12" s="1"/>
  <c r="L1266" i="12"/>
  <c r="I1266" i="12"/>
  <c r="G1266" i="12"/>
  <c r="H1266" i="12" s="1"/>
  <c r="L1265" i="12"/>
  <c r="I1265" i="12"/>
  <c r="G1265" i="12"/>
  <c r="H1265" i="12" s="1"/>
  <c r="L1264" i="12"/>
  <c r="I1264" i="12"/>
  <c r="G1264" i="12"/>
  <c r="H1264" i="12" s="1"/>
  <c r="L1263" i="12"/>
  <c r="I1263" i="12"/>
  <c r="G1263" i="12"/>
  <c r="H1263" i="12" s="1"/>
  <c r="L1262" i="12"/>
  <c r="I1262" i="12"/>
  <c r="G1262" i="12"/>
  <c r="H1262" i="12" s="1"/>
  <c r="L1261" i="12"/>
  <c r="I1261" i="12"/>
  <c r="G1261" i="12"/>
  <c r="H1261" i="12" s="1"/>
  <c r="L1260" i="12"/>
  <c r="I1260" i="12"/>
  <c r="G1260" i="12"/>
  <c r="H1260" i="12" s="1"/>
  <c r="L1259" i="12"/>
  <c r="I1259" i="12"/>
  <c r="G1259" i="12"/>
  <c r="H1259" i="12" s="1"/>
  <c r="L1258" i="12"/>
  <c r="I1258" i="12"/>
  <c r="G1258" i="12"/>
  <c r="H1258" i="12" s="1"/>
  <c r="L1257" i="12"/>
  <c r="I1257" i="12"/>
  <c r="G1257" i="12"/>
  <c r="H1257" i="12" s="1"/>
  <c r="L1256" i="12"/>
  <c r="I1256" i="12"/>
  <c r="G1256" i="12"/>
  <c r="H1256" i="12" s="1"/>
  <c r="L1255" i="12"/>
  <c r="I1255" i="12"/>
  <c r="G1255" i="12"/>
  <c r="H1255" i="12" s="1"/>
  <c r="L1254" i="12"/>
  <c r="I1254" i="12"/>
  <c r="G1254" i="12"/>
  <c r="H1254" i="12" s="1"/>
  <c r="L1253" i="12"/>
  <c r="I1253" i="12"/>
  <c r="G1253" i="12"/>
  <c r="H1253" i="12" s="1"/>
  <c r="L1252" i="12"/>
  <c r="I1252" i="12"/>
  <c r="G1252" i="12"/>
  <c r="H1252" i="12" s="1"/>
  <c r="L1251" i="12"/>
  <c r="I1251" i="12"/>
  <c r="G1251" i="12"/>
  <c r="H1251" i="12" s="1"/>
  <c r="L1250" i="12"/>
  <c r="I1250" i="12"/>
  <c r="G1250" i="12"/>
  <c r="H1250" i="12" s="1"/>
  <c r="L1249" i="12"/>
  <c r="I1249" i="12"/>
  <c r="G1249" i="12"/>
  <c r="H1249" i="12" s="1"/>
  <c r="L1248" i="12"/>
  <c r="I1248" i="12"/>
  <c r="G1248" i="12"/>
  <c r="H1248" i="12" s="1"/>
  <c r="L1247" i="12"/>
  <c r="I1247" i="12"/>
  <c r="G1247" i="12"/>
  <c r="H1247" i="12" s="1"/>
  <c r="L1246" i="12"/>
  <c r="I1246" i="12"/>
  <c r="G1246" i="12"/>
  <c r="H1246" i="12" s="1"/>
  <c r="L1245" i="12"/>
  <c r="I1245" i="12"/>
  <c r="G1245" i="12"/>
  <c r="H1245" i="12" s="1"/>
  <c r="L1244" i="12"/>
  <c r="I1244" i="12"/>
  <c r="G1244" i="12"/>
  <c r="H1244" i="12" s="1"/>
  <c r="L1243" i="12"/>
  <c r="I1243" i="12"/>
  <c r="G1243" i="12"/>
  <c r="H1243" i="12" s="1"/>
  <c r="L1242" i="12"/>
  <c r="I1242" i="12"/>
  <c r="G1242" i="12"/>
  <c r="H1242" i="12" s="1"/>
  <c r="L1241" i="12"/>
  <c r="I1241" i="12"/>
  <c r="G1241" i="12"/>
  <c r="H1241" i="12" s="1"/>
  <c r="L1240" i="12"/>
  <c r="I1240" i="12"/>
  <c r="G1240" i="12"/>
  <c r="H1240" i="12" s="1"/>
  <c r="L1239" i="12"/>
  <c r="I1239" i="12"/>
  <c r="G1239" i="12"/>
  <c r="H1239" i="12" s="1"/>
  <c r="L1238" i="12"/>
  <c r="I1238" i="12"/>
  <c r="G1238" i="12"/>
  <c r="H1238" i="12" s="1"/>
  <c r="L1237" i="12"/>
  <c r="I1237" i="12"/>
  <c r="G1237" i="12"/>
  <c r="H1237" i="12" s="1"/>
  <c r="L1236" i="12"/>
  <c r="I1236" i="12"/>
  <c r="G1236" i="12"/>
  <c r="H1236" i="12" s="1"/>
  <c r="L1235" i="12"/>
  <c r="I1235" i="12"/>
  <c r="G1235" i="12"/>
  <c r="H1235" i="12" s="1"/>
  <c r="L1234" i="12"/>
  <c r="I1234" i="12"/>
  <c r="G1234" i="12"/>
  <c r="H1234" i="12" s="1"/>
  <c r="L1233" i="12"/>
  <c r="I1233" i="12"/>
  <c r="G1233" i="12"/>
  <c r="H1233" i="12" s="1"/>
  <c r="L1232" i="12"/>
  <c r="I1232" i="12"/>
  <c r="G1232" i="12"/>
  <c r="H1232" i="12" s="1"/>
  <c r="L1231" i="12"/>
  <c r="I1231" i="12"/>
  <c r="G1231" i="12"/>
  <c r="H1231" i="12" s="1"/>
  <c r="L1230" i="12"/>
  <c r="I1230" i="12"/>
  <c r="G1230" i="12"/>
  <c r="H1230" i="12" s="1"/>
  <c r="L1229" i="12"/>
  <c r="I1229" i="12"/>
  <c r="G1229" i="12"/>
  <c r="H1229" i="12" s="1"/>
  <c r="L1228" i="12"/>
  <c r="I1228" i="12"/>
  <c r="G1228" i="12"/>
  <c r="H1228" i="12" s="1"/>
  <c r="L1227" i="12"/>
  <c r="I1227" i="12"/>
  <c r="G1227" i="12"/>
  <c r="H1227" i="12" s="1"/>
  <c r="L1226" i="12"/>
  <c r="I1226" i="12"/>
  <c r="G1226" i="12"/>
  <c r="H1226" i="12" s="1"/>
  <c r="L1225" i="12"/>
  <c r="I1225" i="12"/>
  <c r="G1225" i="12"/>
  <c r="H1225" i="12" s="1"/>
  <c r="L1224" i="12"/>
  <c r="I1224" i="12"/>
  <c r="G1224" i="12"/>
  <c r="H1224" i="12" s="1"/>
  <c r="L1223" i="12"/>
  <c r="I1223" i="12"/>
  <c r="G1223" i="12"/>
  <c r="H1223" i="12" s="1"/>
  <c r="L1222" i="12"/>
  <c r="I1222" i="12"/>
  <c r="G1222" i="12"/>
  <c r="H1222" i="12" s="1"/>
  <c r="L1221" i="12"/>
  <c r="I1221" i="12"/>
  <c r="G1221" i="12"/>
  <c r="H1221" i="12" s="1"/>
  <c r="L1220" i="12"/>
  <c r="I1220" i="12"/>
  <c r="G1220" i="12"/>
  <c r="H1220" i="12" s="1"/>
  <c r="L1219" i="12"/>
  <c r="I1219" i="12"/>
  <c r="G1219" i="12"/>
  <c r="H1219" i="12" s="1"/>
  <c r="L1218" i="12"/>
  <c r="I1218" i="12"/>
  <c r="G1218" i="12"/>
  <c r="H1218" i="12" s="1"/>
  <c r="L1217" i="12"/>
  <c r="I1217" i="12"/>
  <c r="G1217" i="12"/>
  <c r="H1217" i="12" s="1"/>
  <c r="L1216" i="12"/>
  <c r="I1216" i="12"/>
  <c r="G1216" i="12"/>
  <c r="H1216" i="12" s="1"/>
  <c r="L1215" i="12"/>
  <c r="I1215" i="12"/>
  <c r="G1215" i="12"/>
  <c r="H1215" i="12" s="1"/>
  <c r="L1214" i="12"/>
  <c r="I1214" i="12"/>
  <c r="G1214" i="12"/>
  <c r="H1214" i="12" s="1"/>
  <c r="L1213" i="12"/>
  <c r="I1213" i="12"/>
  <c r="G1213" i="12"/>
  <c r="H1213" i="12" s="1"/>
  <c r="L1212" i="12"/>
  <c r="I1212" i="12"/>
  <c r="G1212" i="12"/>
  <c r="H1212" i="12" s="1"/>
  <c r="L1211" i="12"/>
  <c r="I1211" i="12"/>
  <c r="G1211" i="12"/>
  <c r="H1211" i="12" s="1"/>
  <c r="L1210" i="12"/>
  <c r="I1210" i="12"/>
  <c r="G1210" i="12"/>
  <c r="H1210" i="12" s="1"/>
  <c r="L1209" i="12"/>
  <c r="I1209" i="12"/>
  <c r="G1209" i="12"/>
  <c r="H1209" i="12" s="1"/>
  <c r="L1208" i="12"/>
  <c r="I1208" i="12"/>
  <c r="G1208" i="12"/>
  <c r="H1208" i="12" s="1"/>
  <c r="L1207" i="12"/>
  <c r="I1207" i="12"/>
  <c r="G1207" i="12"/>
  <c r="H1207" i="12" s="1"/>
  <c r="L1206" i="12"/>
  <c r="I1206" i="12"/>
  <c r="G1206" i="12"/>
  <c r="H1206" i="12" s="1"/>
  <c r="L1205" i="12"/>
  <c r="I1205" i="12"/>
  <c r="G1205" i="12"/>
  <c r="H1205" i="12" s="1"/>
  <c r="L1204" i="12"/>
  <c r="I1204" i="12"/>
  <c r="G1204" i="12"/>
  <c r="H1204" i="12" s="1"/>
  <c r="L1203" i="12"/>
  <c r="I1203" i="12"/>
  <c r="G1203" i="12"/>
  <c r="H1203" i="12" s="1"/>
  <c r="L1202" i="12"/>
  <c r="I1202" i="12"/>
  <c r="G1202" i="12"/>
  <c r="H1202" i="12" s="1"/>
  <c r="L1201" i="12"/>
  <c r="I1201" i="12"/>
  <c r="G1201" i="12"/>
  <c r="H1201" i="12" s="1"/>
  <c r="L1200" i="12"/>
  <c r="I1200" i="12"/>
  <c r="G1200" i="12"/>
  <c r="H1200" i="12" s="1"/>
  <c r="L1199" i="12"/>
  <c r="I1199" i="12"/>
  <c r="G1199" i="12"/>
  <c r="H1199" i="12" s="1"/>
  <c r="L1198" i="12"/>
  <c r="I1198" i="12"/>
  <c r="G1198" i="12"/>
  <c r="H1198" i="12" s="1"/>
  <c r="L1197" i="12"/>
  <c r="I1197" i="12"/>
  <c r="G1197" i="12"/>
  <c r="H1197" i="12" s="1"/>
  <c r="L1196" i="12"/>
  <c r="I1196" i="12"/>
  <c r="G1196" i="12"/>
  <c r="H1196" i="12" s="1"/>
  <c r="L1195" i="12"/>
  <c r="I1195" i="12"/>
  <c r="G1195" i="12"/>
  <c r="H1195" i="12" s="1"/>
  <c r="L1194" i="12"/>
  <c r="I1194" i="12"/>
  <c r="G1194" i="12"/>
  <c r="H1194" i="12" s="1"/>
  <c r="L1193" i="12"/>
  <c r="I1193" i="12"/>
  <c r="G1193" i="12"/>
  <c r="H1193" i="12" s="1"/>
  <c r="L1192" i="12"/>
  <c r="I1192" i="12"/>
  <c r="G1192" i="12"/>
  <c r="H1192" i="12" s="1"/>
  <c r="L1191" i="12"/>
  <c r="I1191" i="12"/>
  <c r="G1191" i="12"/>
  <c r="H1191" i="12" s="1"/>
  <c r="L1190" i="12"/>
  <c r="I1190" i="12"/>
  <c r="G1190" i="12"/>
  <c r="H1190" i="12" s="1"/>
  <c r="L1189" i="12"/>
  <c r="I1189" i="12"/>
  <c r="G1189" i="12"/>
  <c r="H1189" i="12" s="1"/>
  <c r="L1188" i="12"/>
  <c r="I1188" i="12"/>
  <c r="G1188" i="12"/>
  <c r="H1188" i="12" s="1"/>
  <c r="L1187" i="12"/>
  <c r="I1187" i="12"/>
  <c r="G1187" i="12"/>
  <c r="H1187" i="12" s="1"/>
  <c r="L1186" i="12"/>
  <c r="I1186" i="12"/>
  <c r="G1186" i="12"/>
  <c r="H1186" i="12" s="1"/>
  <c r="L1185" i="12"/>
  <c r="I1185" i="12"/>
  <c r="G1185" i="12"/>
  <c r="H1185" i="12" s="1"/>
  <c r="L1184" i="12"/>
  <c r="I1184" i="12"/>
  <c r="G1184" i="12"/>
  <c r="H1184" i="12" s="1"/>
  <c r="L1183" i="12"/>
  <c r="I1183" i="12"/>
  <c r="G1183" i="12"/>
  <c r="H1183" i="12" s="1"/>
  <c r="L1182" i="12"/>
  <c r="I1182" i="12"/>
  <c r="G1182" i="12"/>
  <c r="H1182" i="12" s="1"/>
  <c r="L1181" i="12"/>
  <c r="I1181" i="12"/>
  <c r="G1181" i="12"/>
  <c r="H1181" i="12" s="1"/>
  <c r="L1180" i="12"/>
  <c r="I1180" i="12"/>
  <c r="G1180" i="12"/>
  <c r="H1180" i="12" s="1"/>
  <c r="L1179" i="12"/>
  <c r="I1179" i="12"/>
  <c r="G1179" i="12"/>
  <c r="H1179" i="12" s="1"/>
  <c r="L1178" i="12"/>
  <c r="I1178" i="12"/>
  <c r="G1178" i="12"/>
  <c r="H1178" i="12" s="1"/>
  <c r="L1177" i="12"/>
  <c r="I1177" i="12"/>
  <c r="G1177" i="12"/>
  <c r="H1177" i="12" s="1"/>
  <c r="L1176" i="12"/>
  <c r="I1176" i="12"/>
  <c r="G1176" i="12"/>
  <c r="H1176" i="12" s="1"/>
  <c r="L1175" i="12"/>
  <c r="I1175" i="12"/>
  <c r="G1175" i="12"/>
  <c r="H1175" i="12" s="1"/>
  <c r="L1174" i="12"/>
  <c r="I1174" i="12"/>
  <c r="G1174" i="12"/>
  <c r="H1174" i="12" s="1"/>
  <c r="L1173" i="12"/>
  <c r="I1173" i="12"/>
  <c r="G1173" i="12"/>
  <c r="H1173" i="12" s="1"/>
  <c r="L1172" i="12"/>
  <c r="I1172" i="12"/>
  <c r="G1172" i="12"/>
  <c r="H1172" i="12" s="1"/>
  <c r="L1171" i="12"/>
  <c r="I1171" i="12"/>
  <c r="G1171" i="12"/>
  <c r="H1171" i="12" s="1"/>
  <c r="L1170" i="12"/>
  <c r="I1170" i="12"/>
  <c r="G1170" i="12"/>
  <c r="H1170" i="12" s="1"/>
  <c r="L1169" i="12"/>
  <c r="I1169" i="12"/>
  <c r="G1169" i="12"/>
  <c r="H1169" i="12" s="1"/>
  <c r="L1168" i="12"/>
  <c r="I1168" i="12"/>
  <c r="G1168" i="12"/>
  <c r="H1168" i="12" s="1"/>
  <c r="L1167" i="12"/>
  <c r="I1167" i="12"/>
  <c r="G1167" i="12"/>
  <c r="H1167" i="12" s="1"/>
  <c r="L1166" i="12"/>
  <c r="I1166" i="12"/>
  <c r="G1166" i="12"/>
  <c r="H1166" i="12" s="1"/>
  <c r="G1300" i="8" a="1"/>
  <c r="G1300" i="8" s="1"/>
  <c r="G1294" i="8" a="1"/>
  <c r="G1294" i="8" s="1"/>
  <c r="G1159" i="12"/>
  <c r="H1159" i="12" s="1"/>
  <c r="I1159" i="12"/>
  <c r="L1159" i="12"/>
  <c r="G1160" i="12"/>
  <c r="H1160" i="12" s="1"/>
  <c r="I1160" i="12"/>
  <c r="L1160" i="12"/>
  <c r="G1161" i="12"/>
  <c r="H1161" i="12" s="1"/>
  <c r="I1161" i="12"/>
  <c r="L1161" i="12"/>
  <c r="G1162" i="12"/>
  <c r="H1162" i="12" s="1"/>
  <c r="I1162" i="12"/>
  <c r="L1162" i="12"/>
  <c r="G1163" i="12"/>
  <c r="H1163" i="12" s="1"/>
  <c r="I1163" i="12"/>
  <c r="L1163" i="12"/>
  <c r="G1164" i="12"/>
  <c r="H1164" i="12" s="1"/>
  <c r="I1164" i="12"/>
  <c r="L1164" i="12"/>
  <c r="G1165" i="12"/>
  <c r="H1165" i="12" s="1"/>
  <c r="I1165" i="12"/>
  <c r="L1165" i="12"/>
  <c r="G1158" i="12"/>
  <c r="H1158" i="12" s="1"/>
  <c r="I1158" i="12"/>
  <c r="L1158" i="12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F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H24" i="4"/>
  <c r="F69" i="11"/>
  <c r="G69" i="11" s="1"/>
  <c r="H69" i="11"/>
  <c r="K69" i="11"/>
  <c r="F70" i="11"/>
  <c r="G70" i="11" s="1"/>
  <c r="H70" i="11"/>
  <c r="K70" i="11"/>
  <c r="F71" i="11"/>
  <c r="G71" i="11" s="1"/>
  <c r="H71" i="11"/>
  <c r="K71" i="11"/>
  <c r="F34" i="11"/>
  <c r="G34" i="11" s="1"/>
  <c r="H34" i="11"/>
  <c r="K34" i="11"/>
  <c r="F8" i="11"/>
  <c r="G8" i="11" s="1"/>
  <c r="H8" i="11"/>
  <c r="K8" i="11"/>
  <c r="H65" i="4"/>
  <c r="I65" i="4"/>
  <c r="J65" i="4"/>
  <c r="K65" i="4"/>
  <c r="L65" i="4"/>
  <c r="M65" i="4"/>
  <c r="N65" i="4"/>
  <c r="O65" i="4"/>
  <c r="P65" i="4"/>
  <c r="Q65" i="4"/>
  <c r="R65" i="4"/>
  <c r="AS65" i="4"/>
  <c r="AT65" i="4"/>
  <c r="AU65" i="4"/>
  <c r="AW65" i="4"/>
  <c r="AX65" i="4"/>
  <c r="AY65" i="4"/>
  <c r="AZ65" i="4"/>
  <c r="BA65" i="4"/>
  <c r="BB65" i="4"/>
  <c r="BC65" i="4"/>
  <c r="BD65" i="4"/>
  <c r="S65" i="4"/>
  <c r="T65" i="4"/>
  <c r="U65" i="4"/>
  <c r="V65" i="4"/>
  <c r="W65" i="4"/>
  <c r="BX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F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Y16" i="4"/>
  <c r="BZ16" i="4"/>
  <c r="CA16" i="4"/>
  <c r="CB16" i="4"/>
  <c r="H16" i="4"/>
  <c r="F49" i="11"/>
  <c r="G49" i="11" s="1"/>
  <c r="H49" i="11"/>
  <c r="K49" i="11"/>
  <c r="F50" i="11"/>
  <c r="G50" i="11" s="1"/>
  <c r="H50" i="11"/>
  <c r="K50" i="11"/>
  <c r="F51" i="11"/>
  <c r="G51" i="11" s="1"/>
  <c r="H51" i="11"/>
  <c r="K51" i="11"/>
  <c r="F52" i="11"/>
  <c r="G52" i="11" s="1"/>
  <c r="H52" i="11"/>
  <c r="K52" i="11"/>
  <c r="F53" i="11"/>
  <c r="G53" i="11" s="1"/>
  <c r="H53" i="11"/>
  <c r="K53" i="11"/>
  <c r="F54" i="11"/>
  <c r="G54" i="11" s="1"/>
  <c r="H54" i="11"/>
  <c r="K54" i="11"/>
  <c r="F55" i="11"/>
  <c r="G55" i="11" s="1"/>
  <c r="H55" i="11"/>
  <c r="K55" i="11"/>
  <c r="F56" i="11"/>
  <c r="G56" i="11" s="1"/>
  <c r="H56" i="11"/>
  <c r="K56" i="11"/>
  <c r="F57" i="11"/>
  <c r="G57" i="11" s="1"/>
  <c r="H57" i="11"/>
  <c r="K57" i="11"/>
  <c r="F58" i="11"/>
  <c r="G58" i="11" s="1"/>
  <c r="H58" i="11"/>
  <c r="K58" i="11"/>
  <c r="F59" i="11"/>
  <c r="G59" i="11" s="1"/>
  <c r="H59" i="11"/>
  <c r="K59" i="11"/>
  <c r="F60" i="11"/>
  <c r="G60" i="11" s="1"/>
  <c r="H60" i="11"/>
  <c r="K60" i="11"/>
  <c r="F61" i="11"/>
  <c r="G61" i="11" s="1"/>
  <c r="H61" i="11"/>
  <c r="K61" i="11"/>
  <c r="F62" i="11"/>
  <c r="G62" i="11" s="1"/>
  <c r="H62" i="11"/>
  <c r="K62" i="11"/>
  <c r="F63" i="11"/>
  <c r="G63" i="11" s="1"/>
  <c r="H63" i="11"/>
  <c r="K63" i="11"/>
  <c r="F64" i="11"/>
  <c r="G64" i="11" s="1"/>
  <c r="H64" i="11"/>
  <c r="K64" i="11"/>
  <c r="F65" i="11"/>
  <c r="G65" i="11" s="1"/>
  <c r="H65" i="11"/>
  <c r="K65" i="11"/>
  <c r="F66" i="11"/>
  <c r="G66" i="11" s="1"/>
  <c r="H66" i="11"/>
  <c r="K66" i="11"/>
  <c r="F67" i="11"/>
  <c r="G67" i="11" s="1"/>
  <c r="H67" i="11"/>
  <c r="K67" i="11"/>
  <c r="F68" i="11"/>
  <c r="G68" i="11" s="1"/>
  <c r="H68" i="11"/>
  <c r="K68" i="11"/>
  <c r="L1157" i="12"/>
  <c r="I1157" i="12"/>
  <c r="G1157" i="12"/>
  <c r="L1156" i="12"/>
  <c r="I1156" i="12"/>
  <c r="G1156" i="12"/>
  <c r="H1156" i="12" s="1"/>
  <c r="L1155" i="12"/>
  <c r="I1155" i="12"/>
  <c r="G1155" i="12"/>
  <c r="H1155" i="12" s="1"/>
  <c r="L1154" i="12"/>
  <c r="I1154" i="12"/>
  <c r="G1154" i="12"/>
  <c r="H1154" i="12" s="1"/>
  <c r="L1153" i="12"/>
  <c r="I1153" i="12"/>
  <c r="G1153" i="12"/>
  <c r="L1152" i="12"/>
  <c r="I1152" i="12"/>
  <c r="G1152" i="12"/>
  <c r="H1152" i="12" s="1"/>
  <c r="L1151" i="12"/>
  <c r="I1151" i="12"/>
  <c r="G1151" i="12"/>
  <c r="H1151" i="12" s="1"/>
  <c r="L1150" i="12"/>
  <c r="I1150" i="12"/>
  <c r="G1150" i="12"/>
  <c r="H1150" i="12" s="1"/>
  <c r="L1149" i="12"/>
  <c r="I1149" i="12"/>
  <c r="G1149" i="12"/>
  <c r="L1148" i="12"/>
  <c r="I1148" i="12"/>
  <c r="G1148" i="12"/>
  <c r="H1148" i="12" s="1"/>
  <c r="L1147" i="12"/>
  <c r="I1147" i="12"/>
  <c r="G1147" i="12"/>
  <c r="H1147" i="12" s="1"/>
  <c r="L1146" i="12"/>
  <c r="I1146" i="12"/>
  <c r="G1146" i="12"/>
  <c r="H1146" i="12" s="1"/>
  <c r="L1145" i="12"/>
  <c r="I1145" i="12"/>
  <c r="G1145" i="12"/>
  <c r="L1144" i="12"/>
  <c r="I1144" i="12"/>
  <c r="G1144" i="12"/>
  <c r="H1144" i="12" s="1"/>
  <c r="L1143" i="12"/>
  <c r="I1143" i="12"/>
  <c r="G1143" i="12"/>
  <c r="H1143" i="12" s="1"/>
  <c r="L1142" i="12"/>
  <c r="I1142" i="12"/>
  <c r="G1142" i="12"/>
  <c r="H1142" i="12" s="1"/>
  <c r="L1141" i="12"/>
  <c r="I1141" i="12"/>
  <c r="G1141" i="12"/>
  <c r="L1140" i="12"/>
  <c r="I1140" i="12"/>
  <c r="G1140" i="12"/>
  <c r="L1139" i="12"/>
  <c r="I1139" i="12"/>
  <c r="G1139" i="12"/>
  <c r="H1139" i="12" s="1"/>
  <c r="L1138" i="12"/>
  <c r="I1138" i="12"/>
  <c r="G1138" i="12"/>
  <c r="H1138" i="12" s="1"/>
  <c r="L1137" i="12"/>
  <c r="I1137" i="12"/>
  <c r="G1137" i="12"/>
  <c r="L1136" i="12"/>
  <c r="I1136" i="12"/>
  <c r="G1136" i="12"/>
  <c r="H1136" i="12" s="1"/>
  <c r="L1135" i="12"/>
  <c r="I1135" i="12"/>
  <c r="G1135" i="12"/>
  <c r="H1135" i="12" s="1"/>
  <c r="L1134" i="12"/>
  <c r="I1134" i="12"/>
  <c r="G1134" i="12"/>
  <c r="H1134" i="12" s="1"/>
  <c r="L1133" i="12"/>
  <c r="I1133" i="12"/>
  <c r="G1133" i="12"/>
  <c r="L1132" i="12"/>
  <c r="I1132" i="12"/>
  <c r="G1132" i="12"/>
  <c r="H1132" i="12" s="1"/>
  <c r="L1131" i="12"/>
  <c r="I1131" i="12"/>
  <c r="G1131" i="12"/>
  <c r="H1131" i="12" s="1"/>
  <c r="L1130" i="12"/>
  <c r="I1130" i="12"/>
  <c r="G1130" i="12"/>
  <c r="H1130" i="12" s="1"/>
  <c r="L1129" i="12"/>
  <c r="I1129" i="12"/>
  <c r="G1129" i="12"/>
  <c r="L1128" i="12"/>
  <c r="I1128" i="12"/>
  <c r="G1128" i="12"/>
  <c r="H1128" i="12" s="1"/>
  <c r="L1127" i="12"/>
  <c r="I1127" i="12"/>
  <c r="G1127" i="12"/>
  <c r="H1127" i="12" s="1"/>
  <c r="L1126" i="12"/>
  <c r="I1126" i="12"/>
  <c r="G1126" i="12"/>
  <c r="H1126" i="12" s="1"/>
  <c r="L1125" i="12"/>
  <c r="I1125" i="12"/>
  <c r="G1125" i="12"/>
  <c r="L1124" i="12"/>
  <c r="I1124" i="12"/>
  <c r="G1124" i="12"/>
  <c r="H1124" i="12" s="1"/>
  <c r="L1123" i="12"/>
  <c r="I1123" i="12"/>
  <c r="G1123" i="12"/>
  <c r="H1123" i="12" s="1"/>
  <c r="L1122" i="12"/>
  <c r="I1122" i="12"/>
  <c r="G1122" i="12"/>
  <c r="H1122" i="12" s="1"/>
  <c r="L1121" i="12"/>
  <c r="I1121" i="12"/>
  <c r="G1121" i="12"/>
  <c r="L1120" i="12"/>
  <c r="I1120" i="12"/>
  <c r="G1120" i="12"/>
  <c r="H1120" i="12" s="1"/>
  <c r="L1119" i="12"/>
  <c r="I1119" i="12"/>
  <c r="G1119" i="12"/>
  <c r="H1119" i="12" s="1"/>
  <c r="L1118" i="12"/>
  <c r="I1118" i="12"/>
  <c r="G1118" i="12"/>
  <c r="H1118" i="12" s="1"/>
  <c r="L1117" i="12"/>
  <c r="I1117" i="12"/>
  <c r="G1117" i="12"/>
  <c r="L1116" i="12"/>
  <c r="I1116" i="12"/>
  <c r="G1116" i="12"/>
  <c r="H1116" i="12" s="1"/>
  <c r="L1115" i="12"/>
  <c r="I1115" i="12"/>
  <c r="G1115" i="12"/>
  <c r="H1115" i="12" s="1"/>
  <c r="L1114" i="12"/>
  <c r="I1114" i="12"/>
  <c r="G1114" i="12"/>
  <c r="H1114" i="12" s="1"/>
  <c r="L1113" i="12"/>
  <c r="I1113" i="12"/>
  <c r="G1113" i="12"/>
  <c r="L1112" i="12"/>
  <c r="I1112" i="12"/>
  <c r="G1112" i="12"/>
  <c r="H1112" i="12" s="1"/>
  <c r="L1111" i="12"/>
  <c r="I1111" i="12"/>
  <c r="G1111" i="12"/>
  <c r="H1111" i="12" s="1"/>
  <c r="L1110" i="12"/>
  <c r="I1110" i="12"/>
  <c r="G1110" i="12"/>
  <c r="H1110" i="12" s="1"/>
  <c r="L1109" i="12"/>
  <c r="I1109" i="12"/>
  <c r="G1109" i="12"/>
  <c r="L1108" i="12"/>
  <c r="I1108" i="12"/>
  <c r="G1108" i="12"/>
  <c r="L1107" i="12"/>
  <c r="I1107" i="12"/>
  <c r="G1107" i="12"/>
  <c r="H1107" i="12" s="1"/>
  <c r="L1106" i="12"/>
  <c r="I1106" i="12"/>
  <c r="G1106" i="12"/>
  <c r="H1106" i="12" s="1"/>
  <c r="L1105" i="12"/>
  <c r="I1105" i="12"/>
  <c r="G1105" i="12"/>
  <c r="H1105" i="12" s="1"/>
  <c r="L1104" i="12"/>
  <c r="I1104" i="12"/>
  <c r="G1104" i="12"/>
  <c r="H1104" i="12" s="1"/>
  <c r="L1103" i="12"/>
  <c r="I1103" i="12"/>
  <c r="G1103" i="12"/>
  <c r="L1102" i="12"/>
  <c r="I1102" i="12"/>
  <c r="G1102" i="12"/>
  <c r="H1102" i="12" s="1"/>
  <c r="L1101" i="12"/>
  <c r="I1101" i="12"/>
  <c r="G1101" i="12"/>
  <c r="H1101" i="12" s="1"/>
  <c r="L1100" i="12"/>
  <c r="I1100" i="12"/>
  <c r="G1100" i="12"/>
  <c r="L1099" i="12"/>
  <c r="I1099" i="12"/>
  <c r="G1099" i="12"/>
  <c r="L1098" i="12"/>
  <c r="I1098" i="12"/>
  <c r="G1098" i="12"/>
  <c r="H1098" i="12" s="1"/>
  <c r="L1097" i="12"/>
  <c r="I1097" i="12"/>
  <c r="G1097" i="12"/>
  <c r="H1097" i="12" s="1"/>
  <c r="L1096" i="12"/>
  <c r="I1096" i="12"/>
  <c r="G1096" i="12"/>
  <c r="L1095" i="12"/>
  <c r="I1095" i="12"/>
  <c r="G1095" i="12"/>
  <c r="H1095" i="12" s="1"/>
  <c r="L1094" i="12"/>
  <c r="I1094" i="12"/>
  <c r="G1094" i="12"/>
  <c r="H1094" i="12" s="1"/>
  <c r="L1093" i="12"/>
  <c r="I1093" i="12"/>
  <c r="G1093" i="12"/>
  <c r="H1093" i="12" s="1"/>
  <c r="L1092" i="12"/>
  <c r="I1092" i="12"/>
  <c r="G1092" i="12"/>
  <c r="L1091" i="12"/>
  <c r="I1091" i="12"/>
  <c r="G1091" i="12"/>
  <c r="H1091" i="12" s="1"/>
  <c r="L1090" i="12"/>
  <c r="I1090" i="12"/>
  <c r="G1090" i="12"/>
  <c r="H1090" i="12" s="1"/>
  <c r="L1089" i="12"/>
  <c r="I1089" i="12"/>
  <c r="G1089" i="12"/>
  <c r="H1089" i="12" s="1"/>
  <c r="L1088" i="12"/>
  <c r="I1088" i="12"/>
  <c r="G1088" i="12"/>
  <c r="L1087" i="12"/>
  <c r="I1087" i="12"/>
  <c r="G1087" i="12"/>
  <c r="H1087" i="12" s="1"/>
  <c r="L1086" i="12"/>
  <c r="I1086" i="12"/>
  <c r="G1086" i="12"/>
  <c r="H1086" i="12" s="1"/>
  <c r="L1085" i="12"/>
  <c r="I1085" i="12"/>
  <c r="G1085" i="12"/>
  <c r="H1085" i="12" s="1"/>
  <c r="L1084" i="12"/>
  <c r="I1084" i="12"/>
  <c r="G1084" i="12"/>
  <c r="L1083" i="12"/>
  <c r="I1083" i="12"/>
  <c r="G1083" i="12"/>
  <c r="H1083" i="12" s="1"/>
  <c r="L1082" i="12"/>
  <c r="I1082" i="12"/>
  <c r="G1082" i="12"/>
  <c r="H1082" i="12" s="1"/>
  <c r="L1081" i="12"/>
  <c r="I1081" i="12"/>
  <c r="G1081" i="12"/>
  <c r="H1081" i="12" s="1"/>
  <c r="L1080" i="12"/>
  <c r="I1080" i="12"/>
  <c r="G1080" i="12"/>
  <c r="L1079" i="12"/>
  <c r="I1079" i="12"/>
  <c r="G1079" i="12"/>
  <c r="L1078" i="12"/>
  <c r="I1078" i="12"/>
  <c r="G1078" i="12"/>
  <c r="H1078" i="12" s="1"/>
  <c r="L1077" i="12"/>
  <c r="I1077" i="12"/>
  <c r="G1077" i="12"/>
  <c r="H1077" i="12" s="1"/>
  <c r="L1076" i="12"/>
  <c r="I1076" i="12"/>
  <c r="G1076" i="12"/>
  <c r="L1075" i="12"/>
  <c r="I1075" i="12"/>
  <c r="G1075" i="12"/>
  <c r="H1075" i="12" s="1"/>
  <c r="L1074" i="12"/>
  <c r="I1074" i="12"/>
  <c r="G1074" i="12"/>
  <c r="H1074" i="12" s="1"/>
  <c r="L1073" i="12"/>
  <c r="I1073" i="12"/>
  <c r="G1073" i="12"/>
  <c r="H1073" i="12" s="1"/>
  <c r="L1072" i="12"/>
  <c r="I1072" i="12"/>
  <c r="G1072" i="12"/>
  <c r="H1072" i="12" s="1"/>
  <c r="L1071" i="12"/>
  <c r="I1071" i="12"/>
  <c r="G1071" i="12"/>
  <c r="H1071" i="12" s="1"/>
  <c r="L1070" i="12"/>
  <c r="I1070" i="12"/>
  <c r="G1070" i="12"/>
  <c r="H1070" i="12" s="1"/>
  <c r="L1069" i="12"/>
  <c r="I1069" i="12"/>
  <c r="G1069" i="12"/>
  <c r="H1069" i="12" s="1"/>
  <c r="L1068" i="12"/>
  <c r="I1068" i="12"/>
  <c r="G1068" i="12"/>
  <c r="H1068" i="12" s="1"/>
  <c r="L1067" i="12"/>
  <c r="I1067" i="12"/>
  <c r="G1067" i="12"/>
  <c r="H1067" i="12" s="1"/>
  <c r="L1066" i="12"/>
  <c r="I1066" i="12"/>
  <c r="G1066" i="12"/>
  <c r="H1066" i="12" s="1"/>
  <c r="L1065" i="12"/>
  <c r="I1065" i="12"/>
  <c r="G1065" i="12"/>
  <c r="H1065" i="12" s="1"/>
  <c r="L1064" i="12"/>
  <c r="I1064" i="12"/>
  <c r="G1064" i="12"/>
  <c r="H1064" i="12" s="1"/>
  <c r="L1063" i="12"/>
  <c r="I1063" i="12"/>
  <c r="G1063" i="12"/>
  <c r="H1063" i="12" s="1"/>
  <c r="L1062" i="12"/>
  <c r="I1062" i="12"/>
  <c r="G1062" i="12"/>
  <c r="H1062" i="12" s="1"/>
  <c r="L1061" i="12"/>
  <c r="I1061" i="12"/>
  <c r="G1061" i="12"/>
  <c r="L1060" i="12"/>
  <c r="I1060" i="12"/>
  <c r="G1060" i="12"/>
  <c r="H1060" i="12" s="1"/>
  <c r="L1059" i="12"/>
  <c r="I1059" i="12"/>
  <c r="G1059" i="12"/>
  <c r="H1059" i="12" s="1"/>
  <c r="L1058" i="12"/>
  <c r="I1058" i="12"/>
  <c r="G1058" i="12"/>
  <c r="H1058" i="12" s="1"/>
  <c r="L1057" i="12"/>
  <c r="I1057" i="12"/>
  <c r="G1057" i="12"/>
  <c r="H1057" i="12" s="1"/>
  <c r="L1056" i="12"/>
  <c r="I1056" i="12"/>
  <c r="G1056" i="12"/>
  <c r="H1056" i="12" s="1"/>
  <c r="L1055" i="12"/>
  <c r="I1055" i="12"/>
  <c r="G1055" i="12"/>
  <c r="H1055" i="12" s="1"/>
  <c r="L1054" i="12"/>
  <c r="I1054" i="12"/>
  <c r="G1054" i="12"/>
  <c r="L1053" i="12"/>
  <c r="I1053" i="12"/>
  <c r="G1053" i="12"/>
  <c r="H1053" i="12" s="1"/>
  <c r="L1052" i="12"/>
  <c r="I1052" i="12"/>
  <c r="G1052" i="12"/>
  <c r="H1052" i="12" s="1"/>
  <c r="L1051" i="12"/>
  <c r="I1051" i="12"/>
  <c r="G1051" i="12"/>
  <c r="H1051" i="12" s="1"/>
  <c r="L1050" i="12"/>
  <c r="I1050" i="12"/>
  <c r="G1050" i="12"/>
  <c r="L1049" i="12"/>
  <c r="I1049" i="12"/>
  <c r="G1049" i="12"/>
  <c r="L1048" i="12"/>
  <c r="I1048" i="12"/>
  <c r="G1048" i="12"/>
  <c r="H1048" i="12" s="1"/>
  <c r="L1047" i="12"/>
  <c r="I1047" i="12"/>
  <c r="G1047" i="12"/>
  <c r="H1047" i="12" s="1"/>
  <c r="L1046" i="12"/>
  <c r="I1046" i="12"/>
  <c r="G1046" i="12"/>
  <c r="L1045" i="12"/>
  <c r="I1045" i="12"/>
  <c r="G1045" i="12"/>
  <c r="L1044" i="12"/>
  <c r="I1044" i="12"/>
  <c r="G1044" i="12"/>
  <c r="H1044" i="12" s="1"/>
  <c r="L1043" i="12"/>
  <c r="I1043" i="12"/>
  <c r="G1043" i="12"/>
  <c r="H1043" i="12" s="1"/>
  <c r="L1042" i="12"/>
  <c r="I1042" i="12"/>
  <c r="G1042" i="12"/>
  <c r="L1041" i="12"/>
  <c r="I1041" i="12"/>
  <c r="G1041" i="12"/>
  <c r="L1040" i="12"/>
  <c r="I1040" i="12"/>
  <c r="G1040" i="12"/>
  <c r="H1040" i="12" s="1"/>
  <c r="L1039" i="12"/>
  <c r="I1039" i="12"/>
  <c r="G1039" i="12"/>
  <c r="H1039" i="12" s="1"/>
  <c r="L1038" i="12"/>
  <c r="I1038" i="12"/>
  <c r="G1038" i="12"/>
  <c r="L1037" i="12"/>
  <c r="I1037" i="12"/>
  <c r="G1037" i="12"/>
  <c r="L1036" i="12"/>
  <c r="I1036" i="12"/>
  <c r="G1036" i="12"/>
  <c r="H1036" i="12" s="1"/>
  <c r="L1035" i="12"/>
  <c r="I1035" i="12"/>
  <c r="G1035" i="12"/>
  <c r="H1035" i="12" s="1"/>
  <c r="L1034" i="12"/>
  <c r="I1034" i="12"/>
  <c r="G1034" i="12"/>
  <c r="L1033" i="12"/>
  <c r="I1033" i="12"/>
  <c r="G1033" i="12"/>
  <c r="L1032" i="12"/>
  <c r="I1032" i="12"/>
  <c r="G1032" i="12"/>
  <c r="H1032" i="12" s="1"/>
  <c r="L1031" i="12"/>
  <c r="I1031" i="12"/>
  <c r="G1031" i="12"/>
  <c r="H1031" i="12" s="1"/>
  <c r="L1030" i="12"/>
  <c r="I1030" i="12"/>
  <c r="G1030" i="12"/>
  <c r="L1029" i="12"/>
  <c r="I1029" i="12"/>
  <c r="G1029" i="12"/>
  <c r="L1028" i="12"/>
  <c r="I1028" i="12"/>
  <c r="G1028" i="12"/>
  <c r="H1028" i="12" s="1"/>
  <c r="L1027" i="12"/>
  <c r="I1027" i="12"/>
  <c r="G1027" i="12"/>
  <c r="H1027" i="12" s="1"/>
  <c r="L1026" i="12"/>
  <c r="I1026" i="12"/>
  <c r="G1026" i="12"/>
  <c r="L1025" i="12"/>
  <c r="I1025" i="12"/>
  <c r="G1025" i="12"/>
  <c r="L1024" i="12"/>
  <c r="I1024" i="12"/>
  <c r="G1024" i="12"/>
  <c r="H1024" i="12" s="1"/>
  <c r="L1023" i="12"/>
  <c r="I1023" i="12"/>
  <c r="G1023" i="12"/>
  <c r="H1023" i="12" s="1"/>
  <c r="L1022" i="12"/>
  <c r="I1022" i="12"/>
  <c r="G1022" i="12"/>
  <c r="L1021" i="12"/>
  <c r="I1021" i="12"/>
  <c r="G1021" i="12"/>
  <c r="L1020" i="12"/>
  <c r="I1020" i="12"/>
  <c r="G1020" i="12"/>
  <c r="H1020" i="12" s="1"/>
  <c r="L1019" i="12"/>
  <c r="I1019" i="12"/>
  <c r="G1019" i="12"/>
  <c r="L1018" i="12"/>
  <c r="I1018" i="12"/>
  <c r="G1018" i="12"/>
  <c r="H1018" i="12" s="1"/>
  <c r="L1017" i="12"/>
  <c r="I1017" i="12"/>
  <c r="G1017" i="12"/>
  <c r="L1016" i="12"/>
  <c r="I1016" i="12"/>
  <c r="G1016" i="12"/>
  <c r="L1015" i="12"/>
  <c r="I1015" i="12"/>
  <c r="G1015" i="12"/>
  <c r="H1015" i="12" s="1"/>
  <c r="L1014" i="12"/>
  <c r="I1014" i="12"/>
  <c r="G1014" i="12"/>
  <c r="H1014" i="12" s="1"/>
  <c r="L1013" i="12"/>
  <c r="I1013" i="12"/>
  <c r="G1013" i="12"/>
  <c r="L1012" i="12"/>
  <c r="I1012" i="12"/>
  <c r="G1012" i="12"/>
  <c r="L1011" i="12"/>
  <c r="I1011" i="12"/>
  <c r="G1011" i="12"/>
  <c r="H1011" i="12" s="1"/>
  <c r="L1010" i="12"/>
  <c r="I1010" i="12"/>
  <c r="G1010" i="12"/>
  <c r="H1010" i="12" s="1"/>
  <c r="L1009" i="12"/>
  <c r="I1009" i="12"/>
  <c r="G1009" i="12"/>
  <c r="L1008" i="12"/>
  <c r="I1008" i="12"/>
  <c r="G1008" i="12"/>
  <c r="L1007" i="12"/>
  <c r="I1007" i="12"/>
  <c r="G1007" i="12"/>
  <c r="H1007" i="12" s="1"/>
  <c r="L1006" i="12"/>
  <c r="I1006" i="12"/>
  <c r="G1006" i="12"/>
  <c r="H1006" i="12" s="1"/>
  <c r="L1005" i="12"/>
  <c r="I1005" i="12"/>
  <c r="G1005" i="12"/>
  <c r="L1004" i="12"/>
  <c r="I1004" i="12"/>
  <c r="G1004" i="12"/>
  <c r="L1003" i="12"/>
  <c r="I1003" i="12"/>
  <c r="G1003" i="12"/>
  <c r="H1003" i="12" s="1"/>
  <c r="L1002" i="12"/>
  <c r="I1002" i="12"/>
  <c r="G1002" i="12"/>
  <c r="H1002" i="12" s="1"/>
  <c r="L1001" i="12"/>
  <c r="I1001" i="12"/>
  <c r="G1001" i="12"/>
  <c r="L1000" i="12"/>
  <c r="I1000" i="12"/>
  <c r="G1000" i="12"/>
  <c r="L999" i="12"/>
  <c r="I999" i="12"/>
  <c r="G999" i="12"/>
  <c r="H999" i="12" s="1"/>
  <c r="L998" i="12"/>
  <c r="I998" i="12"/>
  <c r="G998" i="12"/>
  <c r="H998" i="12" s="1"/>
  <c r="L997" i="12"/>
  <c r="I997" i="12"/>
  <c r="G997" i="12"/>
  <c r="L996" i="12"/>
  <c r="I996" i="12"/>
  <c r="G996" i="12"/>
  <c r="L995" i="12"/>
  <c r="I995" i="12"/>
  <c r="G995" i="12"/>
  <c r="H995" i="12" s="1"/>
  <c r="L994" i="12"/>
  <c r="I994" i="12"/>
  <c r="G994" i="12"/>
  <c r="H994" i="12" s="1"/>
  <c r="L993" i="12"/>
  <c r="I993" i="12"/>
  <c r="G993" i="12"/>
  <c r="L992" i="12"/>
  <c r="I992" i="12"/>
  <c r="G992" i="12"/>
  <c r="L991" i="12"/>
  <c r="I991" i="12"/>
  <c r="G991" i="12"/>
  <c r="H991" i="12" s="1"/>
  <c r="L990" i="12"/>
  <c r="I990" i="12"/>
  <c r="G990" i="12"/>
  <c r="H990" i="12" s="1"/>
  <c r="L989" i="12"/>
  <c r="I989" i="12"/>
  <c r="G989" i="12"/>
  <c r="L988" i="12"/>
  <c r="I988" i="12"/>
  <c r="G988" i="12"/>
  <c r="L987" i="12"/>
  <c r="I987" i="12"/>
  <c r="G987" i="12"/>
  <c r="H987" i="12" s="1"/>
  <c r="L986" i="12"/>
  <c r="I986" i="12"/>
  <c r="G986" i="12"/>
  <c r="H986" i="12" s="1"/>
  <c r="L985" i="12"/>
  <c r="I985" i="12"/>
  <c r="G985" i="12"/>
  <c r="L984" i="12"/>
  <c r="I984" i="12"/>
  <c r="G984" i="12"/>
  <c r="L983" i="12"/>
  <c r="I983" i="12"/>
  <c r="G983" i="12"/>
  <c r="H983" i="12" s="1"/>
  <c r="L982" i="12"/>
  <c r="I982" i="12"/>
  <c r="G982" i="12"/>
  <c r="H982" i="12" s="1"/>
  <c r="L981" i="12"/>
  <c r="I981" i="12"/>
  <c r="G981" i="12"/>
  <c r="H981" i="12" s="1"/>
  <c r="L980" i="12"/>
  <c r="I980" i="12"/>
  <c r="G980" i="12"/>
  <c r="L979" i="12"/>
  <c r="I979" i="12"/>
  <c r="G979" i="12"/>
  <c r="H979" i="12" s="1"/>
  <c r="G3" i="12"/>
  <c r="AV67" i="4"/>
  <c r="AV6" i="4"/>
  <c r="AV7" i="4"/>
  <c r="AV9" i="4"/>
  <c r="AV18" i="4"/>
  <c r="AV8" i="4"/>
  <c r="AV26" i="4"/>
  <c r="AV38" i="4"/>
  <c r="BA78" i="4"/>
  <c r="AV78" i="4" s="1"/>
  <c r="F28" i="18" l="1"/>
  <c r="G28" i="18" s="1"/>
  <c r="N8" i="18"/>
  <c r="M19" i="18"/>
  <c r="N19" i="18" s="1"/>
  <c r="M13" i="18"/>
  <c r="N13" i="18" s="1"/>
  <c r="M15" i="18"/>
  <c r="N15" i="18" s="1"/>
  <c r="M9" i="18"/>
  <c r="N9" i="18" s="1"/>
  <c r="M11" i="18"/>
  <c r="N11" i="18" s="1"/>
  <c r="M17" i="18"/>
  <c r="N17" i="18" s="1"/>
  <c r="M12" i="18"/>
  <c r="N12" i="18" s="1"/>
  <c r="D12" i="14"/>
  <c r="D9" i="14"/>
  <c r="C20" i="13"/>
  <c r="C23" i="13"/>
  <c r="J20" i="13"/>
  <c r="J23" i="13"/>
  <c r="D18" i="14"/>
  <c r="D11" i="14"/>
  <c r="D10" i="15"/>
  <c r="E10" i="15"/>
  <c r="D19" i="14"/>
  <c r="J1325" i="12"/>
  <c r="K1325" i="12" s="1"/>
  <c r="J1335" i="12"/>
  <c r="K1335" i="12" s="1"/>
  <c r="J1162" i="12"/>
  <c r="K1162" i="12" s="1"/>
  <c r="J1323" i="12"/>
  <c r="K1323" i="12" s="1"/>
  <c r="J1334" i="12"/>
  <c r="K1334" i="12" s="1"/>
  <c r="J1326" i="12"/>
  <c r="K1326" i="12" s="1"/>
  <c r="J1328" i="12"/>
  <c r="K1328" i="12" s="1"/>
  <c r="J1160" i="12"/>
  <c r="K1160" i="12" s="1"/>
  <c r="J1338" i="12"/>
  <c r="K1338" i="12" s="1"/>
  <c r="J1330" i="12"/>
  <c r="K1330" i="12" s="1"/>
  <c r="J1158" i="12"/>
  <c r="K1158" i="12" s="1"/>
  <c r="J1159" i="12"/>
  <c r="K1159" i="12" s="1"/>
  <c r="J1337" i="12"/>
  <c r="K1337" i="12" s="1"/>
  <c r="J1327" i="12"/>
  <c r="K1327" i="12" s="1"/>
  <c r="J1331" i="12"/>
  <c r="K1331" i="12" s="1"/>
  <c r="J1165" i="12"/>
  <c r="K1165" i="12" s="1"/>
  <c r="J1333" i="12"/>
  <c r="K1333" i="12" s="1"/>
  <c r="J1332" i="12"/>
  <c r="K1332" i="12" s="1"/>
  <c r="J1161" i="12"/>
  <c r="K1161" i="12" s="1"/>
  <c r="J1336" i="12"/>
  <c r="K1336" i="12" s="1"/>
  <c r="J1329" i="12"/>
  <c r="K1329" i="12" s="1"/>
  <c r="J1324" i="12"/>
  <c r="K1324" i="12" s="1"/>
  <c r="I52" i="11"/>
  <c r="J52" i="11" s="1"/>
  <c r="I69" i="11"/>
  <c r="J69" i="11" s="1"/>
  <c r="I8" i="11"/>
  <c r="J8" i="11" s="1"/>
  <c r="I63" i="11"/>
  <c r="J63" i="11" s="1"/>
  <c r="I71" i="11"/>
  <c r="J71" i="11" s="1"/>
  <c r="I59" i="11"/>
  <c r="J59" i="11" s="1"/>
  <c r="I34" i="11"/>
  <c r="J34" i="11" s="1"/>
  <c r="I70" i="11"/>
  <c r="J70" i="11" s="1"/>
  <c r="H1340" i="12"/>
  <c r="H1341" i="12"/>
  <c r="H1347" i="12"/>
  <c r="H1349" i="12"/>
  <c r="H1365" i="12"/>
  <c r="AV36" i="4"/>
  <c r="J1339" i="12"/>
  <c r="J1340" i="12"/>
  <c r="J1341" i="12"/>
  <c r="J1342" i="12"/>
  <c r="K1342" i="12" s="1"/>
  <c r="J1343" i="12"/>
  <c r="K1343" i="12" s="1"/>
  <c r="J1344" i="12"/>
  <c r="K1344" i="12" s="1"/>
  <c r="J1345" i="12"/>
  <c r="K1345" i="12" s="1"/>
  <c r="J1346" i="12"/>
  <c r="K1346" i="12" s="1"/>
  <c r="J1347" i="12"/>
  <c r="J1348" i="12"/>
  <c r="K1348" i="12" s="1"/>
  <c r="J1349" i="12"/>
  <c r="J1350" i="12"/>
  <c r="K1350" i="12" s="1"/>
  <c r="J1351" i="12"/>
  <c r="K1351" i="12" s="1"/>
  <c r="J1352" i="12"/>
  <c r="K1352" i="12" s="1"/>
  <c r="J1353" i="12"/>
  <c r="K1353" i="12" s="1"/>
  <c r="J1354" i="12"/>
  <c r="K1354" i="12" s="1"/>
  <c r="J1355" i="12"/>
  <c r="K1355" i="12" s="1"/>
  <c r="J1356" i="12"/>
  <c r="K1356" i="12" s="1"/>
  <c r="J1357" i="12"/>
  <c r="K1357" i="12" s="1"/>
  <c r="J1358" i="12"/>
  <c r="K1358" i="12" s="1"/>
  <c r="J1359" i="12"/>
  <c r="K1359" i="12" s="1"/>
  <c r="J1360" i="12"/>
  <c r="K1360" i="12" s="1"/>
  <c r="J1361" i="12"/>
  <c r="K1361" i="12" s="1"/>
  <c r="J1362" i="12"/>
  <c r="K1362" i="12" s="1"/>
  <c r="J1363" i="12"/>
  <c r="K1363" i="12" s="1"/>
  <c r="J1364" i="12"/>
  <c r="K1364" i="12" s="1"/>
  <c r="J1365" i="12"/>
  <c r="J1366" i="12"/>
  <c r="K1366" i="12" s="1"/>
  <c r="J1367" i="12"/>
  <c r="K1367" i="12" s="1"/>
  <c r="J1368" i="12"/>
  <c r="K1368" i="12" s="1"/>
  <c r="J1369" i="12"/>
  <c r="K1369" i="12" s="1"/>
  <c r="J1370" i="12"/>
  <c r="K1370" i="12" s="1"/>
  <c r="J1371" i="12"/>
  <c r="K1371" i="12" s="1"/>
  <c r="AG88" i="4"/>
  <c r="J1164" i="12"/>
  <c r="K1164" i="12" s="1"/>
  <c r="J1163" i="12"/>
  <c r="K1163" i="12" s="1"/>
  <c r="AV24" i="4"/>
  <c r="A2" i="12" a="1"/>
  <c r="A2" i="12" s="1"/>
  <c r="J1166" i="12"/>
  <c r="K1166" i="12" s="1"/>
  <c r="J1167" i="12"/>
  <c r="K1167" i="12" s="1"/>
  <c r="J1168" i="12"/>
  <c r="K1168" i="12" s="1"/>
  <c r="J1169" i="12"/>
  <c r="K1169" i="12" s="1"/>
  <c r="J1170" i="12"/>
  <c r="K1170" i="12" s="1"/>
  <c r="J1171" i="12"/>
  <c r="K1171" i="12" s="1"/>
  <c r="J1172" i="12"/>
  <c r="K1172" i="12" s="1"/>
  <c r="J1173" i="12"/>
  <c r="K1173" i="12" s="1"/>
  <c r="J1174" i="12"/>
  <c r="K1174" i="12" s="1"/>
  <c r="J1175" i="12"/>
  <c r="K1175" i="12" s="1"/>
  <c r="J1176" i="12"/>
  <c r="K1176" i="12" s="1"/>
  <c r="J1177" i="12"/>
  <c r="K1177" i="12" s="1"/>
  <c r="J1178" i="12"/>
  <c r="K1178" i="12" s="1"/>
  <c r="J1179" i="12"/>
  <c r="K1179" i="12" s="1"/>
  <c r="J1180" i="12"/>
  <c r="K1180" i="12" s="1"/>
  <c r="J1181" i="12"/>
  <c r="K1181" i="12" s="1"/>
  <c r="J1182" i="12"/>
  <c r="K1182" i="12" s="1"/>
  <c r="J1183" i="12"/>
  <c r="K1183" i="12" s="1"/>
  <c r="J1184" i="12"/>
  <c r="K1184" i="12" s="1"/>
  <c r="J1185" i="12"/>
  <c r="K1185" i="12" s="1"/>
  <c r="J1186" i="12"/>
  <c r="K1186" i="12" s="1"/>
  <c r="J1187" i="12"/>
  <c r="K1187" i="12" s="1"/>
  <c r="J1188" i="12"/>
  <c r="K1188" i="12" s="1"/>
  <c r="J1189" i="12"/>
  <c r="K1189" i="12" s="1"/>
  <c r="J1190" i="12"/>
  <c r="K1190" i="12" s="1"/>
  <c r="J1191" i="12"/>
  <c r="K1191" i="12" s="1"/>
  <c r="J1192" i="12"/>
  <c r="K1192" i="12" s="1"/>
  <c r="J1193" i="12"/>
  <c r="K1193" i="12" s="1"/>
  <c r="J1194" i="12"/>
  <c r="K1194" i="12" s="1"/>
  <c r="J1195" i="12"/>
  <c r="K1195" i="12" s="1"/>
  <c r="J1196" i="12"/>
  <c r="K1196" i="12" s="1"/>
  <c r="J1197" i="12"/>
  <c r="K1197" i="12" s="1"/>
  <c r="J1198" i="12"/>
  <c r="K1198" i="12" s="1"/>
  <c r="J1199" i="12"/>
  <c r="K1199" i="12" s="1"/>
  <c r="J1200" i="12"/>
  <c r="K1200" i="12" s="1"/>
  <c r="J1201" i="12"/>
  <c r="K1201" i="12" s="1"/>
  <c r="J1202" i="12"/>
  <c r="K1202" i="12" s="1"/>
  <c r="J1203" i="12"/>
  <c r="K1203" i="12" s="1"/>
  <c r="J1204" i="12"/>
  <c r="K1204" i="12" s="1"/>
  <c r="J1205" i="12"/>
  <c r="K1205" i="12" s="1"/>
  <c r="J1206" i="12"/>
  <c r="K1206" i="12" s="1"/>
  <c r="J1207" i="12"/>
  <c r="K1207" i="12" s="1"/>
  <c r="J1208" i="12"/>
  <c r="K1208" i="12" s="1"/>
  <c r="J1209" i="12"/>
  <c r="K1209" i="12" s="1"/>
  <c r="J1210" i="12"/>
  <c r="K1210" i="12" s="1"/>
  <c r="J1211" i="12"/>
  <c r="K1211" i="12" s="1"/>
  <c r="J1212" i="12"/>
  <c r="K1212" i="12" s="1"/>
  <c r="J1213" i="12"/>
  <c r="K1213" i="12" s="1"/>
  <c r="J1214" i="12"/>
  <c r="K1214" i="12" s="1"/>
  <c r="J1215" i="12"/>
  <c r="K1215" i="12" s="1"/>
  <c r="J1216" i="12"/>
  <c r="K1216" i="12" s="1"/>
  <c r="J1217" i="12"/>
  <c r="K1217" i="12" s="1"/>
  <c r="J1218" i="12"/>
  <c r="K1218" i="12" s="1"/>
  <c r="J1219" i="12"/>
  <c r="K1219" i="12" s="1"/>
  <c r="J1220" i="12"/>
  <c r="K1220" i="12" s="1"/>
  <c r="J1221" i="12"/>
  <c r="K1221" i="12" s="1"/>
  <c r="J1222" i="12"/>
  <c r="K1222" i="12" s="1"/>
  <c r="J1223" i="12"/>
  <c r="K1223" i="12" s="1"/>
  <c r="J1224" i="12"/>
  <c r="K1224" i="12" s="1"/>
  <c r="J1225" i="12"/>
  <c r="K1225" i="12" s="1"/>
  <c r="J1226" i="12"/>
  <c r="K1226" i="12" s="1"/>
  <c r="J1227" i="12"/>
  <c r="K1227" i="12" s="1"/>
  <c r="J1228" i="12"/>
  <c r="K1228" i="12" s="1"/>
  <c r="J1229" i="12"/>
  <c r="K1229" i="12" s="1"/>
  <c r="J1230" i="12"/>
  <c r="K1230" i="12" s="1"/>
  <c r="J1231" i="12"/>
  <c r="K1231" i="12" s="1"/>
  <c r="J1232" i="12"/>
  <c r="K1232" i="12" s="1"/>
  <c r="J1233" i="12"/>
  <c r="K1233" i="12" s="1"/>
  <c r="J1234" i="12"/>
  <c r="K1234" i="12" s="1"/>
  <c r="J1235" i="12"/>
  <c r="K1235" i="12" s="1"/>
  <c r="J1236" i="12"/>
  <c r="K1236" i="12" s="1"/>
  <c r="J1237" i="12"/>
  <c r="K1237" i="12" s="1"/>
  <c r="J1238" i="12"/>
  <c r="K1238" i="12" s="1"/>
  <c r="J1239" i="12"/>
  <c r="K1239" i="12" s="1"/>
  <c r="J1240" i="12"/>
  <c r="K1240" i="12" s="1"/>
  <c r="J1241" i="12"/>
  <c r="K1241" i="12" s="1"/>
  <c r="J1242" i="12"/>
  <c r="K1242" i="12" s="1"/>
  <c r="J1243" i="12"/>
  <c r="K1243" i="12" s="1"/>
  <c r="J1244" i="12"/>
  <c r="K1244" i="12" s="1"/>
  <c r="J1245" i="12"/>
  <c r="K1245" i="12" s="1"/>
  <c r="J1246" i="12"/>
  <c r="K1246" i="12" s="1"/>
  <c r="J1247" i="12"/>
  <c r="K1247" i="12" s="1"/>
  <c r="J1248" i="12"/>
  <c r="K1248" i="12" s="1"/>
  <c r="J1249" i="12"/>
  <c r="K1249" i="12" s="1"/>
  <c r="J1250" i="12"/>
  <c r="K1250" i="12" s="1"/>
  <c r="J1251" i="12"/>
  <c r="K1251" i="12" s="1"/>
  <c r="J1252" i="12"/>
  <c r="K1252" i="12" s="1"/>
  <c r="J1253" i="12"/>
  <c r="K1253" i="12" s="1"/>
  <c r="J1254" i="12"/>
  <c r="K1254" i="12" s="1"/>
  <c r="J1255" i="12"/>
  <c r="K1255" i="12" s="1"/>
  <c r="J1256" i="12"/>
  <c r="K1256" i="12" s="1"/>
  <c r="J1257" i="12"/>
  <c r="K1257" i="12" s="1"/>
  <c r="J1258" i="12"/>
  <c r="K1258" i="12" s="1"/>
  <c r="J1259" i="12"/>
  <c r="K1259" i="12" s="1"/>
  <c r="J1260" i="12"/>
  <c r="K1260" i="12" s="1"/>
  <c r="J1261" i="12"/>
  <c r="K1261" i="12" s="1"/>
  <c r="J1262" i="12"/>
  <c r="K1262" i="12" s="1"/>
  <c r="J1263" i="12"/>
  <c r="K1263" i="12" s="1"/>
  <c r="J1264" i="12"/>
  <c r="K1264" i="12" s="1"/>
  <c r="J1265" i="12"/>
  <c r="K1265" i="12" s="1"/>
  <c r="J1266" i="12"/>
  <c r="K1266" i="12" s="1"/>
  <c r="J1267" i="12"/>
  <c r="K1267" i="12" s="1"/>
  <c r="J1268" i="12"/>
  <c r="K1268" i="12" s="1"/>
  <c r="J1269" i="12"/>
  <c r="K1269" i="12" s="1"/>
  <c r="J1270" i="12"/>
  <c r="K1270" i="12" s="1"/>
  <c r="J1271" i="12"/>
  <c r="K1271" i="12" s="1"/>
  <c r="J1272" i="12"/>
  <c r="K1272" i="12" s="1"/>
  <c r="J1273" i="12"/>
  <c r="K1273" i="12" s="1"/>
  <c r="J1274" i="12"/>
  <c r="K1274" i="12" s="1"/>
  <c r="J1275" i="12"/>
  <c r="K1275" i="12" s="1"/>
  <c r="J1276" i="12"/>
  <c r="K1276" i="12" s="1"/>
  <c r="J1277" i="12"/>
  <c r="K1277" i="12" s="1"/>
  <c r="J1278" i="12"/>
  <c r="K1278" i="12" s="1"/>
  <c r="J1279" i="12"/>
  <c r="K1279" i="12" s="1"/>
  <c r="J1280" i="12"/>
  <c r="K1280" i="12" s="1"/>
  <c r="J1281" i="12"/>
  <c r="K1281" i="12" s="1"/>
  <c r="J1282" i="12"/>
  <c r="K1282" i="12" s="1"/>
  <c r="J1283" i="12"/>
  <c r="K1283" i="12" s="1"/>
  <c r="J1284" i="12"/>
  <c r="K1284" i="12" s="1"/>
  <c r="J1285" i="12"/>
  <c r="K1285" i="12" s="1"/>
  <c r="J1286" i="12"/>
  <c r="K1286" i="12" s="1"/>
  <c r="J1287" i="12"/>
  <c r="K1287" i="12" s="1"/>
  <c r="J1288" i="12"/>
  <c r="K1288" i="12" s="1"/>
  <c r="J1289" i="12"/>
  <c r="K1289" i="12" s="1"/>
  <c r="J1290" i="12"/>
  <c r="K1290" i="12" s="1"/>
  <c r="J1291" i="12"/>
  <c r="K1291" i="12" s="1"/>
  <c r="J1292" i="12"/>
  <c r="K1292" i="12" s="1"/>
  <c r="J1293" i="12"/>
  <c r="K1293" i="12" s="1"/>
  <c r="J1294" i="12"/>
  <c r="K1294" i="12" s="1"/>
  <c r="J1295" i="12"/>
  <c r="K1295" i="12" s="1"/>
  <c r="J1297" i="12"/>
  <c r="K1297" i="12" s="1"/>
  <c r="J1298" i="12"/>
  <c r="K1298" i="12" s="1"/>
  <c r="J1299" i="12"/>
  <c r="K1299" i="12" s="1"/>
  <c r="J1300" i="12"/>
  <c r="K1300" i="12" s="1"/>
  <c r="J1301" i="12"/>
  <c r="K1301" i="12" s="1"/>
  <c r="J1302" i="12"/>
  <c r="K1302" i="12" s="1"/>
  <c r="J1303" i="12"/>
  <c r="K1303" i="12" s="1"/>
  <c r="J1304" i="12"/>
  <c r="K1304" i="12" s="1"/>
  <c r="J1305" i="12"/>
  <c r="K1305" i="12" s="1"/>
  <c r="J1306" i="12"/>
  <c r="K1306" i="12" s="1"/>
  <c r="J1307" i="12"/>
  <c r="K1307" i="12" s="1"/>
  <c r="J1308" i="12"/>
  <c r="K1308" i="12" s="1"/>
  <c r="J1309" i="12"/>
  <c r="K1309" i="12" s="1"/>
  <c r="J1310" i="12"/>
  <c r="K1310" i="12" s="1"/>
  <c r="J1311" i="12"/>
  <c r="K1311" i="12" s="1"/>
  <c r="J1312" i="12"/>
  <c r="K1312" i="12" s="1"/>
  <c r="J1313" i="12"/>
  <c r="K1313" i="12" s="1"/>
  <c r="J1314" i="12"/>
  <c r="K1314" i="12" s="1"/>
  <c r="J1315" i="12"/>
  <c r="K1315" i="12" s="1"/>
  <c r="J1316" i="12"/>
  <c r="K1316" i="12" s="1"/>
  <c r="J1317" i="12"/>
  <c r="K1317" i="12" s="1"/>
  <c r="J1318" i="12"/>
  <c r="K1318" i="12" s="1"/>
  <c r="J1319" i="12"/>
  <c r="K1319" i="12" s="1"/>
  <c r="J1320" i="12"/>
  <c r="K1320" i="12" s="1"/>
  <c r="J1321" i="12"/>
  <c r="K1321" i="12" s="1"/>
  <c r="J1322" i="12"/>
  <c r="K1322" i="12" s="1"/>
  <c r="AV54" i="4"/>
  <c r="I56" i="11"/>
  <c r="J56" i="11" s="1"/>
  <c r="I54" i="11"/>
  <c r="J54" i="11" s="1"/>
  <c r="I67" i="11"/>
  <c r="J67" i="11" s="1"/>
  <c r="I58" i="11"/>
  <c r="J58" i="11" s="1"/>
  <c r="I51" i="11"/>
  <c r="J51" i="11" s="1"/>
  <c r="I50" i="11"/>
  <c r="J50" i="11" s="1"/>
  <c r="I64" i="11"/>
  <c r="J64" i="11" s="1"/>
  <c r="I60" i="11"/>
  <c r="J60" i="11" s="1"/>
  <c r="I62" i="11"/>
  <c r="J62" i="11" s="1"/>
  <c r="I68" i="11"/>
  <c r="J68" i="11" s="1"/>
  <c r="I55" i="11"/>
  <c r="J55" i="11" s="1"/>
  <c r="I66" i="11"/>
  <c r="J66" i="11" s="1"/>
  <c r="I65" i="11"/>
  <c r="J65" i="11" s="1"/>
  <c r="I61" i="11"/>
  <c r="J61" i="11" s="1"/>
  <c r="I57" i="11"/>
  <c r="J57" i="11" s="1"/>
  <c r="I53" i="11"/>
  <c r="J53" i="11" s="1"/>
  <c r="I49" i="11"/>
  <c r="J49" i="11" s="1"/>
  <c r="J1075" i="12"/>
  <c r="K1075" i="12" s="1"/>
  <c r="J1106" i="12"/>
  <c r="K1106" i="12" s="1"/>
  <c r="J1076" i="12"/>
  <c r="K1076" i="12" s="1"/>
  <c r="J1087" i="12"/>
  <c r="K1087" i="12" s="1"/>
  <c r="J1095" i="12"/>
  <c r="K1095" i="12" s="1"/>
  <c r="J985" i="12"/>
  <c r="K985" i="12" s="1"/>
  <c r="J993" i="12"/>
  <c r="K993" i="12" s="1"/>
  <c r="J1001" i="12"/>
  <c r="K1001" i="12" s="1"/>
  <c r="J1096" i="12"/>
  <c r="K1096" i="12" s="1"/>
  <c r="J1099" i="12"/>
  <c r="K1099" i="12" s="1"/>
  <c r="J1126" i="12"/>
  <c r="K1126" i="12" s="1"/>
  <c r="J1097" i="12"/>
  <c r="K1097" i="12" s="1"/>
  <c r="J1122" i="12"/>
  <c r="K1122" i="12" s="1"/>
  <c r="J1125" i="12"/>
  <c r="K1125" i="12" s="1"/>
  <c r="J1093" i="12"/>
  <c r="K1093" i="12" s="1"/>
  <c r="J1112" i="12"/>
  <c r="K1112" i="12" s="1"/>
  <c r="J1128" i="12"/>
  <c r="K1128" i="12" s="1"/>
  <c r="J1083" i="12"/>
  <c r="K1083" i="12" s="1"/>
  <c r="J1116" i="12"/>
  <c r="K1116" i="12" s="1"/>
  <c r="J1132" i="12"/>
  <c r="K1132" i="12" s="1"/>
  <c r="J1078" i="12"/>
  <c r="K1078" i="12" s="1"/>
  <c r="H1099" i="12"/>
  <c r="J1101" i="12"/>
  <c r="K1101" i="12" s="1"/>
  <c r="J1111" i="12"/>
  <c r="K1111" i="12" s="1"/>
  <c r="J1148" i="12"/>
  <c r="K1148" i="12" s="1"/>
  <c r="J1138" i="12"/>
  <c r="K1138" i="12" s="1"/>
  <c r="J1157" i="12"/>
  <c r="K1157" i="12" s="1"/>
  <c r="J989" i="12"/>
  <c r="K989" i="12" s="1"/>
  <c r="J997" i="12"/>
  <c r="K997" i="12" s="1"/>
  <c r="J1005" i="12"/>
  <c r="K1005" i="12" s="1"/>
  <c r="J1013" i="12"/>
  <c r="K1013" i="12" s="1"/>
  <c r="J1090" i="12"/>
  <c r="K1090" i="12" s="1"/>
  <c r="J1103" i="12"/>
  <c r="K1103" i="12" s="1"/>
  <c r="J1129" i="12"/>
  <c r="K1129" i="12" s="1"/>
  <c r="J1137" i="12"/>
  <c r="K1137" i="12" s="1"/>
  <c r="J1139" i="12"/>
  <c r="K1139" i="12" s="1"/>
  <c r="H1103" i="12"/>
  <c r="J1104" i="12"/>
  <c r="K1104" i="12" s="1"/>
  <c r="J1119" i="12"/>
  <c r="K1119" i="12" s="1"/>
  <c r="J1124" i="12"/>
  <c r="K1124" i="12" s="1"/>
  <c r="J1022" i="12"/>
  <c r="K1022" i="12" s="1"/>
  <c r="J1030" i="12"/>
  <c r="K1030" i="12" s="1"/>
  <c r="J1038" i="12"/>
  <c r="K1038" i="12" s="1"/>
  <c r="J1046" i="12"/>
  <c r="K1046" i="12" s="1"/>
  <c r="J1054" i="12"/>
  <c r="K1054" i="12" s="1"/>
  <c r="J1079" i="12"/>
  <c r="K1079" i="12" s="1"/>
  <c r="J1086" i="12"/>
  <c r="K1086" i="12" s="1"/>
  <c r="J1091" i="12"/>
  <c r="K1091" i="12" s="1"/>
  <c r="J1134" i="12"/>
  <c r="K1134" i="12" s="1"/>
  <c r="J1136" i="12"/>
  <c r="K1136" i="12" s="1"/>
  <c r="J1149" i="12"/>
  <c r="K1149" i="12" s="1"/>
  <c r="J1151" i="12"/>
  <c r="K1151" i="12" s="1"/>
  <c r="J1156" i="12"/>
  <c r="K1156" i="12" s="1"/>
  <c r="J1077" i="12"/>
  <c r="K1077" i="12" s="1"/>
  <c r="J1154" i="12"/>
  <c r="K1154" i="12" s="1"/>
  <c r="J1009" i="12"/>
  <c r="K1009" i="12" s="1"/>
  <c r="J1082" i="12"/>
  <c r="K1082" i="12" s="1"/>
  <c r="J1105" i="12"/>
  <c r="K1105" i="12" s="1"/>
  <c r="J1108" i="12"/>
  <c r="K1108" i="12" s="1"/>
  <c r="J1115" i="12"/>
  <c r="K1115" i="12" s="1"/>
  <c r="J1120" i="12"/>
  <c r="K1120" i="12" s="1"/>
  <c r="J1133" i="12"/>
  <c r="K1133" i="12" s="1"/>
  <c r="J1135" i="12"/>
  <c r="K1135" i="12" s="1"/>
  <c r="J1140" i="12"/>
  <c r="K1140" i="12" s="1"/>
  <c r="J1152" i="12"/>
  <c r="K1152" i="12" s="1"/>
  <c r="J1107" i="12"/>
  <c r="K1107" i="12" s="1"/>
  <c r="J1100" i="12"/>
  <c r="K1100" i="12" s="1"/>
  <c r="J1146" i="12"/>
  <c r="K1146" i="12" s="1"/>
  <c r="H1079" i="12"/>
  <c r="J1081" i="12"/>
  <c r="K1081" i="12" s="1"/>
  <c r="J1098" i="12"/>
  <c r="K1098" i="12" s="1"/>
  <c r="H1108" i="12"/>
  <c r="J1110" i="12"/>
  <c r="K1110" i="12" s="1"/>
  <c r="J1127" i="12"/>
  <c r="K1127" i="12" s="1"/>
  <c r="H1140" i="12"/>
  <c r="J1142" i="12"/>
  <c r="K1142" i="12" s="1"/>
  <c r="H1157" i="12"/>
  <c r="J1089" i="12"/>
  <c r="K1089" i="12" s="1"/>
  <c r="J1114" i="12"/>
  <c r="K1114" i="12" s="1"/>
  <c r="J1131" i="12"/>
  <c r="K1131" i="12" s="1"/>
  <c r="J1017" i="12"/>
  <c r="K1017" i="12" s="1"/>
  <c r="J1092" i="12"/>
  <c r="K1092" i="12" s="1"/>
  <c r="J1094" i="12"/>
  <c r="K1094" i="12" s="1"/>
  <c r="J1121" i="12"/>
  <c r="K1121" i="12" s="1"/>
  <c r="J1123" i="12"/>
  <c r="K1123" i="12" s="1"/>
  <c r="J1144" i="12"/>
  <c r="K1144" i="12" s="1"/>
  <c r="J1153" i="12"/>
  <c r="K1153" i="12" s="1"/>
  <c r="J1155" i="12"/>
  <c r="K1155" i="12" s="1"/>
  <c r="J1085" i="12"/>
  <c r="K1085" i="12" s="1"/>
  <c r="J1102" i="12"/>
  <c r="K1102" i="12" s="1"/>
  <c r="J1026" i="12"/>
  <c r="K1026" i="12" s="1"/>
  <c r="J1034" i="12"/>
  <c r="K1034" i="12" s="1"/>
  <c r="J1042" i="12"/>
  <c r="K1042" i="12" s="1"/>
  <c r="J1050" i="12"/>
  <c r="K1050" i="12" s="1"/>
  <c r="J1088" i="12"/>
  <c r="K1088" i="12" s="1"/>
  <c r="J1117" i="12"/>
  <c r="K1117" i="12" s="1"/>
  <c r="J1118" i="12"/>
  <c r="K1118" i="12" s="1"/>
  <c r="J1150" i="12"/>
  <c r="K1150" i="12" s="1"/>
  <c r="J1061" i="12"/>
  <c r="K1061" i="12" s="1"/>
  <c r="J1084" i="12"/>
  <c r="K1084" i="12" s="1"/>
  <c r="J1113" i="12"/>
  <c r="K1113" i="12" s="1"/>
  <c r="J1130" i="12"/>
  <c r="K1130" i="12" s="1"/>
  <c r="J1145" i="12"/>
  <c r="K1145" i="12" s="1"/>
  <c r="J1147" i="12"/>
  <c r="K1147" i="12" s="1"/>
  <c r="J1080" i="12"/>
  <c r="K1080" i="12" s="1"/>
  <c r="J1109" i="12"/>
  <c r="K1109" i="12" s="1"/>
  <c r="J1141" i="12"/>
  <c r="K1141" i="12" s="1"/>
  <c r="J1143" i="12"/>
  <c r="K1143" i="12" s="1"/>
  <c r="H1076" i="12"/>
  <c r="H1080" i="12"/>
  <c r="H1084" i="12"/>
  <c r="H1088" i="12"/>
  <c r="H1092" i="12"/>
  <c r="H1096" i="12"/>
  <c r="H1100" i="12"/>
  <c r="H1109" i="12"/>
  <c r="H1113" i="12"/>
  <c r="H1117" i="12"/>
  <c r="H1121" i="12"/>
  <c r="H1125" i="12"/>
  <c r="H1129" i="12"/>
  <c r="H1133" i="12"/>
  <c r="H1137" i="12"/>
  <c r="H1141" i="12"/>
  <c r="H1145" i="12"/>
  <c r="H1149" i="12"/>
  <c r="H1153" i="12"/>
  <c r="J1065" i="12"/>
  <c r="K1065" i="12" s="1"/>
  <c r="J1066" i="12"/>
  <c r="K1066" i="12" s="1"/>
  <c r="J1067" i="12"/>
  <c r="K1067" i="12" s="1"/>
  <c r="J1068" i="12"/>
  <c r="K1068" i="12" s="1"/>
  <c r="J1069" i="12"/>
  <c r="K1069" i="12" s="1"/>
  <c r="J1070" i="12"/>
  <c r="K1070" i="12" s="1"/>
  <c r="J1071" i="12"/>
  <c r="K1071" i="12" s="1"/>
  <c r="J1072" i="12"/>
  <c r="K1072" i="12" s="1"/>
  <c r="J1073" i="12"/>
  <c r="K1073" i="12" s="1"/>
  <c r="J1074" i="12"/>
  <c r="K1074" i="12" s="1"/>
  <c r="J979" i="12"/>
  <c r="K979" i="12" s="1"/>
  <c r="J980" i="12"/>
  <c r="K980" i="12" s="1"/>
  <c r="H980" i="12"/>
  <c r="J982" i="12"/>
  <c r="K982" i="12" s="1"/>
  <c r="J983" i="12"/>
  <c r="K983" i="12" s="1"/>
  <c r="J984" i="12"/>
  <c r="K984" i="12" s="1"/>
  <c r="H984" i="12"/>
  <c r="J986" i="12"/>
  <c r="K986" i="12" s="1"/>
  <c r="J987" i="12"/>
  <c r="K987" i="12" s="1"/>
  <c r="J988" i="12"/>
  <c r="K988" i="12" s="1"/>
  <c r="H988" i="12"/>
  <c r="J990" i="12"/>
  <c r="K990" i="12" s="1"/>
  <c r="J991" i="12"/>
  <c r="K991" i="12" s="1"/>
  <c r="J992" i="12"/>
  <c r="K992" i="12" s="1"/>
  <c r="H992" i="12"/>
  <c r="J994" i="12"/>
  <c r="K994" i="12" s="1"/>
  <c r="J995" i="12"/>
  <c r="K995" i="12" s="1"/>
  <c r="J996" i="12"/>
  <c r="K996" i="12" s="1"/>
  <c r="H996" i="12"/>
  <c r="J998" i="12"/>
  <c r="K998" i="12" s="1"/>
  <c r="J999" i="12"/>
  <c r="K999" i="12" s="1"/>
  <c r="J1000" i="12"/>
  <c r="K1000" i="12" s="1"/>
  <c r="H1000" i="12"/>
  <c r="J1002" i="12"/>
  <c r="K1002" i="12" s="1"/>
  <c r="J1003" i="12"/>
  <c r="K1003" i="12" s="1"/>
  <c r="J1004" i="12"/>
  <c r="K1004" i="12" s="1"/>
  <c r="H1004" i="12"/>
  <c r="J1006" i="12"/>
  <c r="K1006" i="12" s="1"/>
  <c r="J1007" i="12"/>
  <c r="K1007" i="12" s="1"/>
  <c r="J1008" i="12"/>
  <c r="K1008" i="12" s="1"/>
  <c r="H1008" i="12"/>
  <c r="J1010" i="12"/>
  <c r="K1010" i="12" s="1"/>
  <c r="J1011" i="12"/>
  <c r="K1011" i="12" s="1"/>
  <c r="J1012" i="12"/>
  <c r="K1012" i="12" s="1"/>
  <c r="H1012" i="12"/>
  <c r="J1014" i="12"/>
  <c r="K1014" i="12" s="1"/>
  <c r="J1015" i="12"/>
  <c r="K1015" i="12" s="1"/>
  <c r="J1016" i="12"/>
  <c r="K1016" i="12" s="1"/>
  <c r="H1016" i="12"/>
  <c r="J1018" i="12"/>
  <c r="K1018" i="12" s="1"/>
  <c r="J1019" i="12"/>
  <c r="K1019" i="12" s="1"/>
  <c r="H1019" i="12"/>
  <c r="J1020" i="12"/>
  <c r="K1020" i="12" s="1"/>
  <c r="J1021" i="12"/>
  <c r="K1021" i="12" s="1"/>
  <c r="H1021" i="12"/>
  <c r="J1023" i="12"/>
  <c r="K1023" i="12" s="1"/>
  <c r="J1024" i="12"/>
  <c r="K1024" i="12" s="1"/>
  <c r="J1025" i="12"/>
  <c r="K1025" i="12" s="1"/>
  <c r="H1025" i="12"/>
  <c r="J1027" i="12"/>
  <c r="K1027" i="12" s="1"/>
  <c r="J1028" i="12"/>
  <c r="K1028" i="12" s="1"/>
  <c r="J1029" i="12"/>
  <c r="K1029" i="12" s="1"/>
  <c r="H1029" i="12"/>
  <c r="J1031" i="12"/>
  <c r="K1031" i="12" s="1"/>
  <c r="J1032" i="12"/>
  <c r="K1032" i="12" s="1"/>
  <c r="J1033" i="12"/>
  <c r="K1033" i="12" s="1"/>
  <c r="H1033" i="12"/>
  <c r="J1035" i="12"/>
  <c r="K1035" i="12" s="1"/>
  <c r="J1036" i="12"/>
  <c r="K1036" i="12" s="1"/>
  <c r="J1037" i="12"/>
  <c r="K1037" i="12" s="1"/>
  <c r="H1037" i="12"/>
  <c r="J1039" i="12"/>
  <c r="K1039" i="12" s="1"/>
  <c r="J1040" i="12"/>
  <c r="K1040" i="12" s="1"/>
  <c r="J1041" i="12"/>
  <c r="K1041" i="12" s="1"/>
  <c r="H1041" i="12"/>
  <c r="J1043" i="12"/>
  <c r="K1043" i="12" s="1"/>
  <c r="J1044" i="12"/>
  <c r="K1044" i="12" s="1"/>
  <c r="J1045" i="12"/>
  <c r="K1045" i="12" s="1"/>
  <c r="H1045" i="12"/>
  <c r="J1047" i="12"/>
  <c r="K1047" i="12" s="1"/>
  <c r="J1048" i="12"/>
  <c r="K1048" i="12" s="1"/>
  <c r="J1049" i="12"/>
  <c r="K1049" i="12" s="1"/>
  <c r="H1049" i="12"/>
  <c r="J1051" i="12"/>
  <c r="K1051" i="12" s="1"/>
  <c r="J1052" i="12"/>
  <c r="K1052" i="12" s="1"/>
  <c r="J1053" i="12"/>
  <c r="K1053" i="12" s="1"/>
  <c r="J1055" i="12"/>
  <c r="K1055" i="12" s="1"/>
  <c r="J1056" i="12"/>
  <c r="K1056" i="12" s="1"/>
  <c r="J1057" i="12"/>
  <c r="K1057" i="12" s="1"/>
  <c r="J1059" i="12"/>
  <c r="K1059" i="12" s="1"/>
  <c r="J1064" i="12"/>
  <c r="K1064" i="12" s="1"/>
  <c r="J1062" i="12"/>
  <c r="K1062" i="12" s="1"/>
  <c r="J1063" i="12"/>
  <c r="K1063" i="12" s="1"/>
  <c r="J1060" i="12"/>
  <c r="K1060" i="12" s="1"/>
  <c r="H989" i="12"/>
  <c r="H993" i="12"/>
  <c r="H997" i="12"/>
  <c r="H1001" i="12"/>
  <c r="H1005" i="12"/>
  <c r="H1009" i="12"/>
  <c r="H1013" i="12"/>
  <c r="H1017" i="12"/>
  <c r="H1022" i="12"/>
  <c r="H1026" i="12"/>
  <c r="H1030" i="12"/>
  <c r="H1034" i="12"/>
  <c r="H1038" i="12"/>
  <c r="H1042" i="12"/>
  <c r="H1046" i="12"/>
  <c r="H1050" i="12"/>
  <c r="H1054" i="12"/>
  <c r="H1061" i="12"/>
  <c r="H985" i="12"/>
  <c r="J981" i="12"/>
  <c r="K981" i="12" s="1"/>
  <c r="J1058" i="12"/>
  <c r="K1058" i="12" s="1"/>
  <c r="Q1124" i="12"/>
  <c r="AV76" i="4"/>
  <c r="AV85" i="4"/>
  <c r="G711" i="8" a="1"/>
  <c r="G711" i="8" s="1"/>
  <c r="G387" i="8" a="1"/>
  <c r="G387" i="8" s="1"/>
  <c r="G854" i="8" a="1"/>
  <c r="G854" i="8" s="1"/>
  <c r="G168" i="8" a="1"/>
  <c r="G168" i="8" s="1"/>
  <c r="G853" i="8" a="1"/>
  <c r="G853" i="8" s="1"/>
  <c r="G852" i="8" a="1"/>
  <c r="G852" i="8" s="1"/>
  <c r="G851" i="8" a="1"/>
  <c r="G851" i="8" s="1"/>
  <c r="G850" i="8" a="1"/>
  <c r="G850" i="8" s="1"/>
  <c r="G849" i="8" a="1"/>
  <c r="G849" i="8" s="1"/>
  <c r="G848" i="8" a="1"/>
  <c r="G848" i="8" s="1"/>
  <c r="G847" i="8" a="1"/>
  <c r="G847" i="8" s="1"/>
  <c r="G846" i="8" a="1"/>
  <c r="G846" i="8" s="1"/>
  <c r="G845" i="8" a="1"/>
  <c r="G845" i="8" s="1"/>
  <c r="G844" i="8" a="1"/>
  <c r="G844" i="8" s="1"/>
  <c r="G843" i="8" a="1"/>
  <c r="G843" i="8" s="1"/>
  <c r="G842" i="8" a="1"/>
  <c r="G842" i="8" s="1"/>
  <c r="G841" i="8" a="1"/>
  <c r="G841" i="8" s="1"/>
  <c r="G840" i="8" a="1"/>
  <c r="G840" i="8" s="1"/>
  <c r="G89" i="8" a="1"/>
  <c r="G89" i="8" s="1"/>
  <c r="G88" i="8" a="1"/>
  <c r="G88" i="8" s="1"/>
  <c r="G893" i="8" a="1"/>
  <c r="G893" i="8" s="1"/>
  <c r="G839" i="8" a="1"/>
  <c r="G839" i="8" s="1"/>
  <c r="G838" i="8" a="1"/>
  <c r="G838" i="8" s="1"/>
  <c r="G837" i="8" a="1"/>
  <c r="G837" i="8" s="1"/>
  <c r="G836" i="8" a="1"/>
  <c r="G836" i="8" s="1"/>
  <c r="G835" i="8" a="1"/>
  <c r="G835" i="8" s="1"/>
  <c r="G260" i="8" a="1"/>
  <c r="G260" i="8" s="1"/>
  <c r="G892" i="8" a="1"/>
  <c r="G892" i="8" s="1"/>
  <c r="G87" i="8" a="1"/>
  <c r="G87" i="8" s="1"/>
  <c r="G133" i="8" a="1"/>
  <c r="G133" i="8" s="1"/>
  <c r="G765" i="8" a="1"/>
  <c r="G765" i="8" s="1"/>
  <c r="G766" i="8" a="1"/>
  <c r="G766" i="8" s="1"/>
  <c r="G767" i="8" a="1"/>
  <c r="G767" i="8" s="1"/>
  <c r="G768" i="8" a="1"/>
  <c r="G768" i="8" s="1"/>
  <c r="G769" i="8" a="1"/>
  <c r="G769" i="8" s="1"/>
  <c r="G134" i="8" a="1"/>
  <c r="G134" i="8" s="1"/>
  <c r="G770" i="8" a="1"/>
  <c r="G770" i="8" s="1"/>
  <c r="G771" i="8" a="1"/>
  <c r="G771" i="8" s="1"/>
  <c r="G772" i="8" a="1"/>
  <c r="G772" i="8" s="1"/>
  <c r="G880" i="8" a="1"/>
  <c r="G880" i="8" s="1"/>
  <c r="G773" i="8" a="1"/>
  <c r="G773" i="8" s="1"/>
  <c r="G774" i="8" a="1"/>
  <c r="G774" i="8" s="1"/>
  <c r="G775" i="8" a="1"/>
  <c r="G775" i="8" s="1"/>
  <c r="G776" i="8" a="1"/>
  <c r="G776" i="8" s="1"/>
  <c r="G777" i="8" a="1"/>
  <c r="G777" i="8" s="1"/>
  <c r="G778" i="8" a="1"/>
  <c r="G778" i="8" s="1"/>
  <c r="G779" i="8" a="1"/>
  <c r="G779" i="8" s="1"/>
  <c r="G780" i="8" a="1"/>
  <c r="G780" i="8" s="1"/>
  <c r="G781" i="8" a="1"/>
  <c r="G781" i="8" s="1"/>
  <c r="G782" i="8" a="1"/>
  <c r="G782" i="8" s="1"/>
  <c r="G783" i="8" a="1"/>
  <c r="G783" i="8" s="1"/>
  <c r="G784" i="8" a="1"/>
  <c r="G784" i="8" s="1"/>
  <c r="G785" i="8" a="1"/>
  <c r="G785" i="8" s="1"/>
  <c r="G786" i="8" a="1"/>
  <c r="G786" i="8" s="1"/>
  <c r="G787" i="8" a="1"/>
  <c r="G787" i="8" s="1"/>
  <c r="G788" i="8" a="1"/>
  <c r="G788" i="8" s="1"/>
  <c r="G881" i="8" a="1"/>
  <c r="G881" i="8" s="1"/>
  <c r="G789" i="8" a="1"/>
  <c r="G789" i="8" s="1"/>
  <c r="G790" i="8" a="1"/>
  <c r="G790" i="8" s="1"/>
  <c r="G791" i="8" a="1"/>
  <c r="G791" i="8" s="1"/>
  <c r="G792" i="8" a="1"/>
  <c r="G792" i="8" s="1"/>
  <c r="G163" i="8" a="1"/>
  <c r="G163" i="8" s="1"/>
  <c r="G793" i="8" a="1"/>
  <c r="G793" i="8" s="1"/>
  <c r="G794" i="8" a="1"/>
  <c r="G794" i="8" s="1"/>
  <c r="G795" i="8" a="1"/>
  <c r="G795" i="8" s="1"/>
  <c r="G796" i="8" a="1"/>
  <c r="G796" i="8" s="1"/>
  <c r="G797" i="8" a="1"/>
  <c r="G797" i="8" s="1"/>
  <c r="G798" i="8" a="1"/>
  <c r="G798" i="8" s="1"/>
  <c r="G799" i="8" a="1"/>
  <c r="G799" i="8" s="1"/>
  <c r="G800" i="8" a="1"/>
  <c r="G800" i="8" s="1"/>
  <c r="G801" i="8" a="1"/>
  <c r="G801" i="8" s="1"/>
  <c r="G802" i="8" a="1"/>
  <c r="G802" i="8" s="1"/>
  <c r="G803" i="8" a="1"/>
  <c r="G803" i="8" s="1"/>
  <c r="G804" i="8" a="1"/>
  <c r="G804" i="8" s="1"/>
  <c r="G805" i="8" a="1"/>
  <c r="G805" i="8" s="1"/>
  <c r="G164" i="8" a="1"/>
  <c r="G164" i="8" s="1"/>
  <c r="G806" i="8" a="1"/>
  <c r="G806" i="8" s="1"/>
  <c r="G807" i="8" a="1"/>
  <c r="G807" i="8" s="1"/>
  <c r="G808" i="8" a="1"/>
  <c r="G808" i="8" s="1"/>
  <c r="G81" i="8" a="1"/>
  <c r="G81" i="8" s="1"/>
  <c r="G809" i="8" a="1"/>
  <c r="G809" i="8" s="1"/>
  <c r="G810" i="8" a="1"/>
  <c r="G810" i="8" s="1"/>
  <c r="G165" i="8" a="1"/>
  <c r="G165" i="8" s="1"/>
  <c r="G166" i="8" a="1"/>
  <c r="G166" i="8" s="1"/>
  <c r="G811" i="8" a="1"/>
  <c r="G811" i="8" s="1"/>
  <c r="G812" i="8" a="1"/>
  <c r="G812" i="8" s="1"/>
  <c r="G813" i="8" a="1"/>
  <c r="G813" i="8" s="1"/>
  <c r="G814" i="8" a="1"/>
  <c r="G814" i="8" s="1"/>
  <c r="G815" i="8" a="1"/>
  <c r="G815" i="8" s="1"/>
  <c r="G882" i="8" a="1"/>
  <c r="G882" i="8" s="1"/>
  <c r="G816" i="8" a="1"/>
  <c r="G816" i="8" s="1"/>
  <c r="G817" i="8" a="1"/>
  <c r="G817" i="8" s="1"/>
  <c r="G818" i="8" a="1"/>
  <c r="G818" i="8" s="1"/>
  <c r="G819" i="8" a="1"/>
  <c r="G819" i="8" s="1"/>
  <c r="G169" i="8" a="1"/>
  <c r="G169" i="8" s="1"/>
  <c r="G820" i="8" a="1"/>
  <c r="G820" i="8" s="1"/>
  <c r="G821" i="8" a="1"/>
  <c r="G821" i="8" s="1"/>
  <c r="G822" i="8" a="1"/>
  <c r="G822" i="8" s="1"/>
  <c r="G167" i="8" a="1"/>
  <c r="G167" i="8" s="1"/>
  <c r="G823" i="8" a="1"/>
  <c r="G823" i="8" s="1"/>
  <c r="G824" i="8" a="1"/>
  <c r="G824" i="8" s="1"/>
  <c r="G825" i="8" a="1"/>
  <c r="G825" i="8" s="1"/>
  <c r="G826" i="8" a="1"/>
  <c r="G826" i="8" s="1"/>
  <c r="G827" i="8" a="1"/>
  <c r="G827" i="8" s="1"/>
  <c r="G828" i="8" a="1"/>
  <c r="G828" i="8" s="1"/>
  <c r="G829" i="8" a="1"/>
  <c r="G829" i="8" s="1"/>
  <c r="G830" i="8" a="1"/>
  <c r="G830" i="8" s="1"/>
  <c r="G883" i="8" a="1"/>
  <c r="G883" i="8" s="1"/>
  <c r="G884" i="8" a="1"/>
  <c r="G884" i="8" s="1"/>
  <c r="G885" i="8" a="1"/>
  <c r="G885" i="8" s="1"/>
  <c r="G886" i="8" a="1"/>
  <c r="G886" i="8" s="1"/>
  <c r="G135" i="8" a="1"/>
  <c r="G135" i="8" s="1"/>
  <c r="G82" i="8" a="1"/>
  <c r="G82" i="8" s="1"/>
  <c r="G83" i="8" a="1"/>
  <c r="G83" i="8" s="1"/>
  <c r="G831" i="8" a="1"/>
  <c r="G831" i="8" s="1"/>
  <c r="G84" i="8" a="1"/>
  <c r="G84" i="8" s="1"/>
  <c r="G85" i="8" a="1"/>
  <c r="G85" i="8" s="1"/>
  <c r="G832" i="8" a="1"/>
  <c r="G832" i="8" s="1"/>
  <c r="G86" i="8" a="1"/>
  <c r="G86" i="8" s="1"/>
  <c r="G887" i="8" a="1"/>
  <c r="G887" i="8" s="1"/>
  <c r="G833" i="8" a="1"/>
  <c r="G833" i="8" s="1"/>
  <c r="G888" i="8" a="1"/>
  <c r="G888" i="8" s="1"/>
  <c r="G889" i="8" a="1"/>
  <c r="G889" i="8" s="1"/>
  <c r="G890" i="8" a="1"/>
  <c r="G890" i="8" s="1"/>
  <c r="G834" i="8" a="1"/>
  <c r="G834" i="8" s="1"/>
  <c r="G891" i="8" a="1"/>
  <c r="G891" i="8" s="1"/>
  <c r="G582" i="8" a="1"/>
  <c r="G582" i="8" s="1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332" i="12"/>
  <c r="L333" i="12"/>
  <c r="L334" i="12"/>
  <c r="L335" i="12"/>
  <c r="L336" i="12"/>
  <c r="L337" i="12"/>
  <c r="L338" i="12"/>
  <c r="L339" i="12"/>
  <c r="L340" i="12"/>
  <c r="L341" i="12"/>
  <c r="L342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L355" i="12"/>
  <c r="L356" i="12"/>
  <c r="L357" i="12"/>
  <c r="L358" i="12"/>
  <c r="L359" i="12"/>
  <c r="L360" i="12"/>
  <c r="L361" i="12"/>
  <c r="L362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379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98" i="12"/>
  <c r="L399" i="12"/>
  <c r="L400" i="12"/>
  <c r="L401" i="12"/>
  <c r="L402" i="12"/>
  <c r="L403" i="12"/>
  <c r="L404" i="12"/>
  <c r="L405" i="12"/>
  <c r="L406" i="12"/>
  <c r="L407" i="12"/>
  <c r="L408" i="12"/>
  <c r="L409" i="12"/>
  <c r="L410" i="12"/>
  <c r="L411" i="12"/>
  <c r="L412" i="12"/>
  <c r="L413" i="12"/>
  <c r="L414" i="12"/>
  <c r="L415" i="12"/>
  <c r="L416" i="12"/>
  <c r="L417" i="12"/>
  <c r="L418" i="12"/>
  <c r="L419" i="12"/>
  <c r="L420" i="12"/>
  <c r="L421" i="12"/>
  <c r="L422" i="12"/>
  <c r="L423" i="12"/>
  <c r="L424" i="12"/>
  <c r="L425" i="12"/>
  <c r="L426" i="12"/>
  <c r="L427" i="12"/>
  <c r="L428" i="12"/>
  <c r="L429" i="12"/>
  <c r="L430" i="12"/>
  <c r="L431" i="12"/>
  <c r="L432" i="12"/>
  <c r="L433" i="12"/>
  <c r="L434" i="12"/>
  <c r="L435" i="12"/>
  <c r="L436" i="12"/>
  <c r="L437" i="12"/>
  <c r="L438" i="12"/>
  <c r="L439" i="12"/>
  <c r="L440" i="12"/>
  <c r="L441" i="12"/>
  <c r="L442" i="12"/>
  <c r="L443" i="12"/>
  <c r="L444" i="12"/>
  <c r="L445" i="12"/>
  <c r="L446" i="12"/>
  <c r="L447" i="12"/>
  <c r="L448" i="12"/>
  <c r="L449" i="12"/>
  <c r="L450" i="12"/>
  <c r="L451" i="12"/>
  <c r="L452" i="12"/>
  <c r="L453" i="12"/>
  <c r="L454" i="12"/>
  <c r="L455" i="12"/>
  <c r="L456" i="12"/>
  <c r="L457" i="12"/>
  <c r="L458" i="12"/>
  <c r="L459" i="12"/>
  <c r="L460" i="12"/>
  <c r="L461" i="12"/>
  <c r="L462" i="12"/>
  <c r="L463" i="12"/>
  <c r="L464" i="12"/>
  <c r="L465" i="12"/>
  <c r="L466" i="12"/>
  <c r="L467" i="12"/>
  <c r="L468" i="12"/>
  <c r="L469" i="12"/>
  <c r="L470" i="12"/>
  <c r="L471" i="12"/>
  <c r="L472" i="12"/>
  <c r="L473" i="12"/>
  <c r="L474" i="12"/>
  <c r="L475" i="12"/>
  <c r="L476" i="12"/>
  <c r="L477" i="12"/>
  <c r="L478" i="12"/>
  <c r="L479" i="12"/>
  <c r="L480" i="12"/>
  <c r="L481" i="12"/>
  <c r="L482" i="12"/>
  <c r="L483" i="12"/>
  <c r="L484" i="12"/>
  <c r="L485" i="12"/>
  <c r="L486" i="12"/>
  <c r="L487" i="12"/>
  <c r="L488" i="12"/>
  <c r="L489" i="12"/>
  <c r="L490" i="12"/>
  <c r="L491" i="12"/>
  <c r="L492" i="12"/>
  <c r="L493" i="12"/>
  <c r="L494" i="12"/>
  <c r="L495" i="12"/>
  <c r="L496" i="12"/>
  <c r="L497" i="12"/>
  <c r="L498" i="12"/>
  <c r="L499" i="12"/>
  <c r="L500" i="12"/>
  <c r="L501" i="12"/>
  <c r="L502" i="12"/>
  <c r="L503" i="12"/>
  <c r="L504" i="12"/>
  <c r="L505" i="12"/>
  <c r="L506" i="12"/>
  <c r="L507" i="12"/>
  <c r="L508" i="12"/>
  <c r="L509" i="12"/>
  <c r="L510" i="12"/>
  <c r="L511" i="12"/>
  <c r="L512" i="12"/>
  <c r="L513" i="12"/>
  <c r="L514" i="12"/>
  <c r="L515" i="12"/>
  <c r="L516" i="12"/>
  <c r="L517" i="12"/>
  <c r="L518" i="12"/>
  <c r="L519" i="12"/>
  <c r="L520" i="12"/>
  <c r="L521" i="12"/>
  <c r="L522" i="12"/>
  <c r="L523" i="12"/>
  <c r="L524" i="12"/>
  <c r="L525" i="12"/>
  <c r="L526" i="12"/>
  <c r="L527" i="12"/>
  <c r="L528" i="12"/>
  <c r="L529" i="12"/>
  <c r="L530" i="12"/>
  <c r="L531" i="12"/>
  <c r="L532" i="12"/>
  <c r="L533" i="12"/>
  <c r="L534" i="12"/>
  <c r="L535" i="12"/>
  <c r="L536" i="12"/>
  <c r="L537" i="12"/>
  <c r="L538" i="12"/>
  <c r="L539" i="12"/>
  <c r="L540" i="12"/>
  <c r="L541" i="12"/>
  <c r="L542" i="12"/>
  <c r="L543" i="12"/>
  <c r="L544" i="12"/>
  <c r="L545" i="12"/>
  <c r="L546" i="12"/>
  <c r="L547" i="12"/>
  <c r="L548" i="12"/>
  <c r="L549" i="12"/>
  <c r="L550" i="12"/>
  <c r="L551" i="12"/>
  <c r="L552" i="12"/>
  <c r="L553" i="12"/>
  <c r="L554" i="12"/>
  <c r="L555" i="12"/>
  <c r="L556" i="12"/>
  <c r="L557" i="12"/>
  <c r="L558" i="12"/>
  <c r="L559" i="12"/>
  <c r="L560" i="12"/>
  <c r="L561" i="12"/>
  <c r="L562" i="12"/>
  <c r="L563" i="12"/>
  <c r="L564" i="12"/>
  <c r="L565" i="12"/>
  <c r="L566" i="12"/>
  <c r="L567" i="12"/>
  <c r="L568" i="12"/>
  <c r="L569" i="12"/>
  <c r="L570" i="12"/>
  <c r="L571" i="12"/>
  <c r="L572" i="12"/>
  <c r="L573" i="12"/>
  <c r="L574" i="12"/>
  <c r="L575" i="12"/>
  <c r="L576" i="12"/>
  <c r="L577" i="12"/>
  <c r="L578" i="12"/>
  <c r="L579" i="12"/>
  <c r="L580" i="12"/>
  <c r="L581" i="12"/>
  <c r="L582" i="12"/>
  <c r="L583" i="12"/>
  <c r="L584" i="12"/>
  <c r="L585" i="12"/>
  <c r="L586" i="12"/>
  <c r="L587" i="12"/>
  <c r="L588" i="12"/>
  <c r="L589" i="12"/>
  <c r="L590" i="12"/>
  <c r="L591" i="12"/>
  <c r="L592" i="12"/>
  <c r="L593" i="12"/>
  <c r="L594" i="12"/>
  <c r="L595" i="12"/>
  <c r="L596" i="12"/>
  <c r="L597" i="12"/>
  <c r="L598" i="12"/>
  <c r="L599" i="12"/>
  <c r="L600" i="12"/>
  <c r="L601" i="12"/>
  <c r="L602" i="12"/>
  <c r="L603" i="12"/>
  <c r="L604" i="12"/>
  <c r="L605" i="12"/>
  <c r="L606" i="12"/>
  <c r="L607" i="12"/>
  <c r="L608" i="12"/>
  <c r="L609" i="12"/>
  <c r="L610" i="12"/>
  <c r="L611" i="12"/>
  <c r="L612" i="12"/>
  <c r="L613" i="12"/>
  <c r="L614" i="12"/>
  <c r="L615" i="12"/>
  <c r="L616" i="12"/>
  <c r="L617" i="12"/>
  <c r="L618" i="12"/>
  <c r="L619" i="12"/>
  <c r="L620" i="12"/>
  <c r="L621" i="12"/>
  <c r="L622" i="12"/>
  <c r="L623" i="12"/>
  <c r="L624" i="12"/>
  <c r="L625" i="12"/>
  <c r="L626" i="12"/>
  <c r="L627" i="12"/>
  <c r="L628" i="12"/>
  <c r="L629" i="12"/>
  <c r="L630" i="12"/>
  <c r="L631" i="12"/>
  <c r="L632" i="12"/>
  <c r="L633" i="12"/>
  <c r="L634" i="12"/>
  <c r="L635" i="12"/>
  <c r="L636" i="12"/>
  <c r="L637" i="12"/>
  <c r="L638" i="12"/>
  <c r="L639" i="12"/>
  <c r="L640" i="12"/>
  <c r="L641" i="12"/>
  <c r="L642" i="12"/>
  <c r="L643" i="12"/>
  <c r="L644" i="12"/>
  <c r="L645" i="12"/>
  <c r="L646" i="12"/>
  <c r="L647" i="12"/>
  <c r="L648" i="12"/>
  <c r="L649" i="12"/>
  <c r="L650" i="12"/>
  <c r="L651" i="12"/>
  <c r="L652" i="12"/>
  <c r="L653" i="12"/>
  <c r="L654" i="12"/>
  <c r="L655" i="12"/>
  <c r="L656" i="12"/>
  <c r="L657" i="12"/>
  <c r="L658" i="12"/>
  <c r="L659" i="12"/>
  <c r="L660" i="12"/>
  <c r="L661" i="12"/>
  <c r="L662" i="12"/>
  <c r="L663" i="12"/>
  <c r="L664" i="12"/>
  <c r="L665" i="12"/>
  <c r="L666" i="12"/>
  <c r="L667" i="12"/>
  <c r="L668" i="12"/>
  <c r="L669" i="12"/>
  <c r="L670" i="12"/>
  <c r="L671" i="12"/>
  <c r="L672" i="12"/>
  <c r="L673" i="12"/>
  <c r="L674" i="12"/>
  <c r="L675" i="12"/>
  <c r="L676" i="12"/>
  <c r="L677" i="12"/>
  <c r="L678" i="12"/>
  <c r="L679" i="12"/>
  <c r="L680" i="12"/>
  <c r="L681" i="12"/>
  <c r="L682" i="12"/>
  <c r="L683" i="12"/>
  <c r="L684" i="12"/>
  <c r="L685" i="12"/>
  <c r="L686" i="12"/>
  <c r="L687" i="12"/>
  <c r="L688" i="12"/>
  <c r="L689" i="12"/>
  <c r="L690" i="12"/>
  <c r="L691" i="12"/>
  <c r="L692" i="12"/>
  <c r="L693" i="12"/>
  <c r="L694" i="12"/>
  <c r="L695" i="12"/>
  <c r="L696" i="12"/>
  <c r="L697" i="12"/>
  <c r="L698" i="12"/>
  <c r="L699" i="12"/>
  <c r="L700" i="12"/>
  <c r="L701" i="12"/>
  <c r="L702" i="12"/>
  <c r="L703" i="12"/>
  <c r="L704" i="12"/>
  <c r="L705" i="12"/>
  <c r="L706" i="12"/>
  <c r="L707" i="12"/>
  <c r="L708" i="12"/>
  <c r="L709" i="12"/>
  <c r="L710" i="12"/>
  <c r="L711" i="12"/>
  <c r="L712" i="12"/>
  <c r="L713" i="12"/>
  <c r="L714" i="12"/>
  <c r="L715" i="12"/>
  <c r="L716" i="12"/>
  <c r="L717" i="12"/>
  <c r="L718" i="12"/>
  <c r="L719" i="12"/>
  <c r="L720" i="12"/>
  <c r="L721" i="12"/>
  <c r="L722" i="12"/>
  <c r="L723" i="12"/>
  <c r="L724" i="12"/>
  <c r="L725" i="12"/>
  <c r="L726" i="12"/>
  <c r="L727" i="12"/>
  <c r="L728" i="12"/>
  <c r="L729" i="12"/>
  <c r="L730" i="12"/>
  <c r="L731" i="12"/>
  <c r="L732" i="12"/>
  <c r="L733" i="12"/>
  <c r="L734" i="12"/>
  <c r="L735" i="12"/>
  <c r="L736" i="12"/>
  <c r="L737" i="12"/>
  <c r="L738" i="12"/>
  <c r="L739" i="12"/>
  <c r="L740" i="12"/>
  <c r="L741" i="12"/>
  <c r="L742" i="12"/>
  <c r="L743" i="12"/>
  <c r="L744" i="12"/>
  <c r="L745" i="12"/>
  <c r="L746" i="12"/>
  <c r="L747" i="12"/>
  <c r="L748" i="12"/>
  <c r="L749" i="12"/>
  <c r="L750" i="12"/>
  <c r="L751" i="12"/>
  <c r="L752" i="12"/>
  <c r="L753" i="12"/>
  <c r="L754" i="12"/>
  <c r="L755" i="12"/>
  <c r="L756" i="12"/>
  <c r="L757" i="12"/>
  <c r="L758" i="12"/>
  <c r="L759" i="12"/>
  <c r="L760" i="12"/>
  <c r="L761" i="12"/>
  <c r="L762" i="12"/>
  <c r="L763" i="12"/>
  <c r="L764" i="12"/>
  <c r="L765" i="12"/>
  <c r="L766" i="12"/>
  <c r="L767" i="12"/>
  <c r="L768" i="12"/>
  <c r="L769" i="12"/>
  <c r="L770" i="12"/>
  <c r="L771" i="12"/>
  <c r="L772" i="12"/>
  <c r="L773" i="12"/>
  <c r="L774" i="12"/>
  <c r="L775" i="12"/>
  <c r="L776" i="12"/>
  <c r="L777" i="12"/>
  <c r="L778" i="12"/>
  <c r="L779" i="12"/>
  <c r="L780" i="12"/>
  <c r="L781" i="12"/>
  <c r="L782" i="12"/>
  <c r="L783" i="12"/>
  <c r="L784" i="12"/>
  <c r="L785" i="12"/>
  <c r="L786" i="12"/>
  <c r="L787" i="12"/>
  <c r="L788" i="12"/>
  <c r="L789" i="12"/>
  <c r="L790" i="12"/>
  <c r="L791" i="12"/>
  <c r="L792" i="12"/>
  <c r="L793" i="12"/>
  <c r="L794" i="12"/>
  <c r="L795" i="12"/>
  <c r="L796" i="12"/>
  <c r="L797" i="12"/>
  <c r="L798" i="12"/>
  <c r="L799" i="12"/>
  <c r="L800" i="12"/>
  <c r="L801" i="12"/>
  <c r="L802" i="12"/>
  <c r="L803" i="12"/>
  <c r="L804" i="12"/>
  <c r="L805" i="12"/>
  <c r="L806" i="12"/>
  <c r="L807" i="12"/>
  <c r="L808" i="12"/>
  <c r="L809" i="12"/>
  <c r="L810" i="12"/>
  <c r="L811" i="12"/>
  <c r="L812" i="12"/>
  <c r="L813" i="12"/>
  <c r="L814" i="12"/>
  <c r="L815" i="12"/>
  <c r="L816" i="12"/>
  <c r="L817" i="12"/>
  <c r="L818" i="12"/>
  <c r="L819" i="12"/>
  <c r="L820" i="12"/>
  <c r="L821" i="12"/>
  <c r="L822" i="12"/>
  <c r="L823" i="12"/>
  <c r="L824" i="12"/>
  <c r="L825" i="12"/>
  <c r="L826" i="12"/>
  <c r="L827" i="12"/>
  <c r="L828" i="12"/>
  <c r="L829" i="12"/>
  <c r="L830" i="12"/>
  <c r="L831" i="12"/>
  <c r="L832" i="12"/>
  <c r="L833" i="12"/>
  <c r="L834" i="12"/>
  <c r="L835" i="12"/>
  <c r="L836" i="12"/>
  <c r="L837" i="12"/>
  <c r="L838" i="12"/>
  <c r="L839" i="12"/>
  <c r="L840" i="12"/>
  <c r="L841" i="12"/>
  <c r="L842" i="12"/>
  <c r="L843" i="12"/>
  <c r="L844" i="12"/>
  <c r="L845" i="12"/>
  <c r="L846" i="12"/>
  <c r="L847" i="12"/>
  <c r="L848" i="12"/>
  <c r="L849" i="12"/>
  <c r="L850" i="12"/>
  <c r="L851" i="12"/>
  <c r="L852" i="12"/>
  <c r="L853" i="12"/>
  <c r="L854" i="12"/>
  <c r="L855" i="12"/>
  <c r="L856" i="12"/>
  <c r="L857" i="12"/>
  <c r="L858" i="12"/>
  <c r="L859" i="12"/>
  <c r="L860" i="12"/>
  <c r="L861" i="12"/>
  <c r="L862" i="12"/>
  <c r="L863" i="12"/>
  <c r="L864" i="12"/>
  <c r="L865" i="12"/>
  <c r="L866" i="12"/>
  <c r="L867" i="12"/>
  <c r="L868" i="12"/>
  <c r="L869" i="12"/>
  <c r="L870" i="12"/>
  <c r="L871" i="12"/>
  <c r="L872" i="12"/>
  <c r="L873" i="12"/>
  <c r="L874" i="12"/>
  <c r="L875" i="12"/>
  <c r="L876" i="12"/>
  <c r="L877" i="12"/>
  <c r="L878" i="12"/>
  <c r="L879" i="12"/>
  <c r="L880" i="12"/>
  <c r="L881" i="12"/>
  <c r="L882" i="12"/>
  <c r="L883" i="12"/>
  <c r="L884" i="12"/>
  <c r="L885" i="12"/>
  <c r="L886" i="12"/>
  <c r="L887" i="12"/>
  <c r="L888" i="12"/>
  <c r="L889" i="12"/>
  <c r="L890" i="12"/>
  <c r="L891" i="12"/>
  <c r="L892" i="12"/>
  <c r="L893" i="12"/>
  <c r="L894" i="12"/>
  <c r="L895" i="12"/>
  <c r="L896" i="12"/>
  <c r="L897" i="12"/>
  <c r="L898" i="12"/>
  <c r="L899" i="12"/>
  <c r="L900" i="12"/>
  <c r="L901" i="12"/>
  <c r="L902" i="12"/>
  <c r="L903" i="12"/>
  <c r="L904" i="12"/>
  <c r="L905" i="12"/>
  <c r="L906" i="12"/>
  <c r="L907" i="12"/>
  <c r="L908" i="12"/>
  <c r="L909" i="12"/>
  <c r="L910" i="12"/>
  <c r="L911" i="12"/>
  <c r="L912" i="12"/>
  <c r="L913" i="12"/>
  <c r="L914" i="12"/>
  <c r="L915" i="12"/>
  <c r="L916" i="12"/>
  <c r="L917" i="12"/>
  <c r="L918" i="12"/>
  <c r="L919" i="12"/>
  <c r="L920" i="12"/>
  <c r="L921" i="12"/>
  <c r="L922" i="12"/>
  <c r="L923" i="12"/>
  <c r="L924" i="12"/>
  <c r="L925" i="12"/>
  <c r="L926" i="12"/>
  <c r="L927" i="12"/>
  <c r="L928" i="12"/>
  <c r="L929" i="12"/>
  <c r="L930" i="12"/>
  <c r="L931" i="12"/>
  <c r="L932" i="12"/>
  <c r="L933" i="12"/>
  <c r="L934" i="12"/>
  <c r="L935" i="12"/>
  <c r="L936" i="12"/>
  <c r="L937" i="12"/>
  <c r="L938" i="12"/>
  <c r="L939" i="12"/>
  <c r="L940" i="12"/>
  <c r="L941" i="12"/>
  <c r="L942" i="12"/>
  <c r="L943" i="12"/>
  <c r="L944" i="12"/>
  <c r="L945" i="12"/>
  <c r="L946" i="12"/>
  <c r="L947" i="12"/>
  <c r="L948" i="12"/>
  <c r="L949" i="12"/>
  <c r="L950" i="12"/>
  <c r="L951" i="12"/>
  <c r="L952" i="12"/>
  <c r="L953" i="12"/>
  <c r="L954" i="12"/>
  <c r="L955" i="12"/>
  <c r="L956" i="12"/>
  <c r="L957" i="12"/>
  <c r="L958" i="12"/>
  <c r="L959" i="12"/>
  <c r="L960" i="12"/>
  <c r="L961" i="12"/>
  <c r="L962" i="12"/>
  <c r="L963" i="12"/>
  <c r="L964" i="12"/>
  <c r="L965" i="12"/>
  <c r="L966" i="12"/>
  <c r="L967" i="12"/>
  <c r="L968" i="12"/>
  <c r="L969" i="12"/>
  <c r="L970" i="12"/>
  <c r="L971" i="12"/>
  <c r="L972" i="12"/>
  <c r="L973" i="12"/>
  <c r="L974" i="12"/>
  <c r="L975" i="12"/>
  <c r="L976" i="12"/>
  <c r="L977" i="12"/>
  <c r="L978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311" i="12"/>
  <c r="I312" i="12"/>
  <c r="I313" i="12"/>
  <c r="I314" i="12"/>
  <c r="I315" i="12"/>
  <c r="I316" i="12"/>
  <c r="I317" i="12"/>
  <c r="I318" i="12"/>
  <c r="I319" i="12"/>
  <c r="I320" i="12"/>
  <c r="I321" i="12"/>
  <c r="I322" i="12"/>
  <c r="I323" i="12"/>
  <c r="I324" i="12"/>
  <c r="I325" i="12"/>
  <c r="I326" i="12"/>
  <c r="I327" i="12"/>
  <c r="I328" i="12"/>
  <c r="I329" i="12"/>
  <c r="I330" i="12"/>
  <c r="I331" i="12"/>
  <c r="I332" i="12"/>
  <c r="I333" i="12"/>
  <c r="I334" i="12"/>
  <c r="I335" i="12"/>
  <c r="I336" i="12"/>
  <c r="I337" i="12"/>
  <c r="I338" i="12"/>
  <c r="I339" i="12"/>
  <c r="I340" i="12"/>
  <c r="I341" i="12"/>
  <c r="I342" i="12"/>
  <c r="I343" i="12"/>
  <c r="I344" i="12"/>
  <c r="I345" i="12"/>
  <c r="I346" i="12"/>
  <c r="I347" i="12"/>
  <c r="I348" i="12"/>
  <c r="I349" i="12"/>
  <c r="I350" i="12"/>
  <c r="I351" i="12"/>
  <c r="I352" i="12"/>
  <c r="I353" i="12"/>
  <c r="I354" i="12"/>
  <c r="I355" i="12"/>
  <c r="I356" i="12"/>
  <c r="I357" i="12"/>
  <c r="I358" i="12"/>
  <c r="I359" i="12"/>
  <c r="I360" i="12"/>
  <c r="I361" i="12"/>
  <c r="I362" i="12"/>
  <c r="I363" i="12"/>
  <c r="I364" i="12"/>
  <c r="I365" i="12"/>
  <c r="I366" i="12"/>
  <c r="I367" i="12"/>
  <c r="I368" i="12"/>
  <c r="I369" i="12"/>
  <c r="I370" i="12"/>
  <c r="I371" i="12"/>
  <c r="I372" i="12"/>
  <c r="I373" i="12"/>
  <c r="I374" i="12"/>
  <c r="I375" i="12"/>
  <c r="I376" i="12"/>
  <c r="I377" i="12"/>
  <c r="I378" i="12"/>
  <c r="I379" i="12"/>
  <c r="I380" i="12"/>
  <c r="I381" i="12"/>
  <c r="I382" i="12"/>
  <c r="I383" i="12"/>
  <c r="I384" i="12"/>
  <c r="I385" i="12"/>
  <c r="I386" i="12"/>
  <c r="I387" i="12"/>
  <c r="I388" i="12"/>
  <c r="I389" i="12"/>
  <c r="I390" i="12"/>
  <c r="I391" i="12"/>
  <c r="I392" i="12"/>
  <c r="I393" i="12"/>
  <c r="I394" i="12"/>
  <c r="I395" i="12"/>
  <c r="I396" i="12"/>
  <c r="I397" i="12"/>
  <c r="I398" i="12"/>
  <c r="I399" i="12"/>
  <c r="I400" i="12"/>
  <c r="I401" i="12"/>
  <c r="I402" i="12"/>
  <c r="I403" i="12"/>
  <c r="I404" i="12"/>
  <c r="I405" i="12"/>
  <c r="I406" i="12"/>
  <c r="I407" i="12"/>
  <c r="I408" i="12"/>
  <c r="I409" i="12"/>
  <c r="I410" i="12"/>
  <c r="I411" i="12"/>
  <c r="I412" i="12"/>
  <c r="I413" i="12"/>
  <c r="I414" i="12"/>
  <c r="I415" i="12"/>
  <c r="I416" i="12"/>
  <c r="I417" i="12"/>
  <c r="I418" i="12"/>
  <c r="I419" i="12"/>
  <c r="I420" i="12"/>
  <c r="I421" i="12"/>
  <c r="I422" i="12"/>
  <c r="I423" i="12"/>
  <c r="I424" i="12"/>
  <c r="I425" i="12"/>
  <c r="I426" i="12"/>
  <c r="I427" i="12"/>
  <c r="I428" i="12"/>
  <c r="I429" i="12"/>
  <c r="I430" i="12"/>
  <c r="I431" i="12"/>
  <c r="I432" i="12"/>
  <c r="I433" i="12"/>
  <c r="I434" i="12"/>
  <c r="I435" i="12"/>
  <c r="I436" i="12"/>
  <c r="I437" i="12"/>
  <c r="I438" i="12"/>
  <c r="I439" i="12"/>
  <c r="I440" i="12"/>
  <c r="I441" i="12"/>
  <c r="I442" i="12"/>
  <c r="I443" i="12"/>
  <c r="I444" i="12"/>
  <c r="I445" i="12"/>
  <c r="I446" i="12"/>
  <c r="I447" i="12"/>
  <c r="I448" i="12"/>
  <c r="I449" i="12"/>
  <c r="I450" i="12"/>
  <c r="I451" i="12"/>
  <c r="I452" i="12"/>
  <c r="I453" i="12"/>
  <c r="I454" i="12"/>
  <c r="I455" i="12"/>
  <c r="I456" i="12"/>
  <c r="I457" i="12"/>
  <c r="I458" i="12"/>
  <c r="I459" i="12"/>
  <c r="I460" i="12"/>
  <c r="I461" i="12"/>
  <c r="I462" i="12"/>
  <c r="I463" i="12"/>
  <c r="I464" i="12"/>
  <c r="I465" i="12"/>
  <c r="I466" i="12"/>
  <c r="I467" i="12"/>
  <c r="I468" i="12"/>
  <c r="I469" i="12"/>
  <c r="I470" i="12"/>
  <c r="I471" i="12"/>
  <c r="I472" i="12"/>
  <c r="I473" i="12"/>
  <c r="I474" i="12"/>
  <c r="I475" i="12"/>
  <c r="I476" i="12"/>
  <c r="I477" i="12"/>
  <c r="I478" i="12"/>
  <c r="I479" i="12"/>
  <c r="I480" i="12"/>
  <c r="I481" i="12"/>
  <c r="I482" i="12"/>
  <c r="I483" i="12"/>
  <c r="I484" i="12"/>
  <c r="I485" i="12"/>
  <c r="I486" i="12"/>
  <c r="I487" i="12"/>
  <c r="I488" i="12"/>
  <c r="I489" i="12"/>
  <c r="I490" i="12"/>
  <c r="I491" i="12"/>
  <c r="I492" i="12"/>
  <c r="I493" i="12"/>
  <c r="I494" i="12"/>
  <c r="I495" i="12"/>
  <c r="I496" i="12"/>
  <c r="I497" i="12"/>
  <c r="I498" i="12"/>
  <c r="I499" i="12"/>
  <c r="I500" i="12"/>
  <c r="I501" i="12"/>
  <c r="I502" i="12"/>
  <c r="I503" i="12"/>
  <c r="I504" i="12"/>
  <c r="I505" i="12"/>
  <c r="I506" i="12"/>
  <c r="I507" i="12"/>
  <c r="I508" i="12"/>
  <c r="I509" i="12"/>
  <c r="I510" i="12"/>
  <c r="I511" i="12"/>
  <c r="I512" i="12"/>
  <c r="I513" i="12"/>
  <c r="I514" i="12"/>
  <c r="I515" i="12"/>
  <c r="I516" i="12"/>
  <c r="I517" i="12"/>
  <c r="I518" i="12"/>
  <c r="I519" i="12"/>
  <c r="I520" i="12"/>
  <c r="I521" i="12"/>
  <c r="I522" i="12"/>
  <c r="I523" i="12"/>
  <c r="I524" i="12"/>
  <c r="I525" i="12"/>
  <c r="I526" i="12"/>
  <c r="I527" i="12"/>
  <c r="I528" i="12"/>
  <c r="I529" i="12"/>
  <c r="I530" i="12"/>
  <c r="I531" i="12"/>
  <c r="I532" i="12"/>
  <c r="I533" i="12"/>
  <c r="I534" i="12"/>
  <c r="I535" i="12"/>
  <c r="I536" i="12"/>
  <c r="I537" i="12"/>
  <c r="I538" i="12"/>
  <c r="I539" i="12"/>
  <c r="I540" i="12"/>
  <c r="I541" i="12"/>
  <c r="I542" i="12"/>
  <c r="I543" i="12"/>
  <c r="I544" i="12"/>
  <c r="I545" i="12"/>
  <c r="I546" i="12"/>
  <c r="I547" i="12"/>
  <c r="I548" i="12"/>
  <c r="I549" i="12"/>
  <c r="I550" i="12"/>
  <c r="I551" i="12"/>
  <c r="I552" i="12"/>
  <c r="I553" i="12"/>
  <c r="I554" i="12"/>
  <c r="I555" i="12"/>
  <c r="I556" i="12"/>
  <c r="I557" i="12"/>
  <c r="I558" i="12"/>
  <c r="I559" i="12"/>
  <c r="I560" i="12"/>
  <c r="I561" i="12"/>
  <c r="I562" i="12"/>
  <c r="I563" i="12"/>
  <c r="I564" i="12"/>
  <c r="I565" i="12"/>
  <c r="I566" i="12"/>
  <c r="I567" i="12"/>
  <c r="I568" i="12"/>
  <c r="I569" i="12"/>
  <c r="I570" i="12"/>
  <c r="I571" i="12"/>
  <c r="I572" i="12"/>
  <c r="I573" i="12"/>
  <c r="I574" i="12"/>
  <c r="I575" i="12"/>
  <c r="I576" i="12"/>
  <c r="I577" i="12"/>
  <c r="I578" i="12"/>
  <c r="I579" i="12"/>
  <c r="I580" i="12"/>
  <c r="I581" i="12"/>
  <c r="I582" i="12"/>
  <c r="I583" i="12"/>
  <c r="I584" i="12"/>
  <c r="I585" i="12"/>
  <c r="I586" i="12"/>
  <c r="I587" i="12"/>
  <c r="I588" i="12"/>
  <c r="I589" i="12"/>
  <c r="I590" i="12"/>
  <c r="I591" i="12"/>
  <c r="I592" i="12"/>
  <c r="I593" i="12"/>
  <c r="I594" i="12"/>
  <c r="I595" i="12"/>
  <c r="I596" i="12"/>
  <c r="I597" i="12"/>
  <c r="I598" i="12"/>
  <c r="I599" i="12"/>
  <c r="I600" i="12"/>
  <c r="I601" i="12"/>
  <c r="I602" i="12"/>
  <c r="I603" i="12"/>
  <c r="I604" i="12"/>
  <c r="I605" i="12"/>
  <c r="I606" i="12"/>
  <c r="I607" i="12"/>
  <c r="I608" i="12"/>
  <c r="I609" i="12"/>
  <c r="I610" i="12"/>
  <c r="I611" i="12"/>
  <c r="I612" i="12"/>
  <c r="I613" i="12"/>
  <c r="I614" i="12"/>
  <c r="I615" i="12"/>
  <c r="I616" i="12"/>
  <c r="I617" i="12"/>
  <c r="I618" i="12"/>
  <c r="I619" i="12"/>
  <c r="I620" i="12"/>
  <c r="I621" i="12"/>
  <c r="I622" i="12"/>
  <c r="I623" i="12"/>
  <c r="I624" i="12"/>
  <c r="I625" i="12"/>
  <c r="I626" i="12"/>
  <c r="I627" i="12"/>
  <c r="I628" i="12"/>
  <c r="I629" i="12"/>
  <c r="I630" i="12"/>
  <c r="I631" i="12"/>
  <c r="I632" i="12"/>
  <c r="I633" i="12"/>
  <c r="I634" i="12"/>
  <c r="I635" i="12"/>
  <c r="I636" i="12"/>
  <c r="I637" i="12"/>
  <c r="I638" i="12"/>
  <c r="I639" i="12"/>
  <c r="I640" i="12"/>
  <c r="I641" i="12"/>
  <c r="I642" i="12"/>
  <c r="I643" i="12"/>
  <c r="I644" i="12"/>
  <c r="I645" i="12"/>
  <c r="I646" i="12"/>
  <c r="I647" i="12"/>
  <c r="I648" i="12"/>
  <c r="I649" i="12"/>
  <c r="I650" i="12"/>
  <c r="I651" i="12"/>
  <c r="I652" i="12"/>
  <c r="I653" i="12"/>
  <c r="I654" i="12"/>
  <c r="I655" i="12"/>
  <c r="I656" i="12"/>
  <c r="I657" i="12"/>
  <c r="I658" i="12"/>
  <c r="I659" i="12"/>
  <c r="I660" i="12"/>
  <c r="I661" i="12"/>
  <c r="I662" i="12"/>
  <c r="I663" i="12"/>
  <c r="I664" i="12"/>
  <c r="I665" i="12"/>
  <c r="I666" i="12"/>
  <c r="I667" i="12"/>
  <c r="I668" i="12"/>
  <c r="I669" i="12"/>
  <c r="I670" i="12"/>
  <c r="I671" i="12"/>
  <c r="I672" i="12"/>
  <c r="I673" i="12"/>
  <c r="I674" i="12"/>
  <c r="I675" i="12"/>
  <c r="I676" i="12"/>
  <c r="I677" i="12"/>
  <c r="I678" i="12"/>
  <c r="I679" i="12"/>
  <c r="I680" i="12"/>
  <c r="I681" i="12"/>
  <c r="I682" i="12"/>
  <c r="I683" i="12"/>
  <c r="I684" i="12"/>
  <c r="I685" i="12"/>
  <c r="I686" i="12"/>
  <c r="I687" i="12"/>
  <c r="I688" i="12"/>
  <c r="I689" i="12"/>
  <c r="I690" i="12"/>
  <c r="I691" i="12"/>
  <c r="I692" i="12"/>
  <c r="I693" i="12"/>
  <c r="I694" i="12"/>
  <c r="I695" i="12"/>
  <c r="I696" i="12"/>
  <c r="I697" i="12"/>
  <c r="I698" i="12"/>
  <c r="I699" i="12"/>
  <c r="I700" i="12"/>
  <c r="I701" i="12"/>
  <c r="I702" i="12"/>
  <c r="I703" i="12"/>
  <c r="I704" i="12"/>
  <c r="I705" i="12"/>
  <c r="I706" i="12"/>
  <c r="I707" i="12"/>
  <c r="I708" i="12"/>
  <c r="I709" i="12"/>
  <c r="I710" i="12"/>
  <c r="I711" i="12"/>
  <c r="I712" i="12"/>
  <c r="I713" i="12"/>
  <c r="I714" i="12"/>
  <c r="I715" i="12"/>
  <c r="I716" i="12"/>
  <c r="I717" i="12"/>
  <c r="I718" i="12"/>
  <c r="I719" i="12"/>
  <c r="I720" i="12"/>
  <c r="I721" i="12"/>
  <c r="I722" i="12"/>
  <c r="I723" i="12"/>
  <c r="I724" i="12"/>
  <c r="I725" i="12"/>
  <c r="I726" i="12"/>
  <c r="I727" i="12"/>
  <c r="I728" i="12"/>
  <c r="I729" i="12"/>
  <c r="I730" i="12"/>
  <c r="I731" i="12"/>
  <c r="I732" i="12"/>
  <c r="I733" i="12"/>
  <c r="I734" i="12"/>
  <c r="I735" i="12"/>
  <c r="I736" i="12"/>
  <c r="I737" i="12"/>
  <c r="I738" i="12"/>
  <c r="I739" i="12"/>
  <c r="I740" i="12"/>
  <c r="I741" i="12"/>
  <c r="I742" i="12"/>
  <c r="I743" i="12"/>
  <c r="I744" i="12"/>
  <c r="I745" i="12"/>
  <c r="I746" i="12"/>
  <c r="I747" i="12"/>
  <c r="I748" i="12"/>
  <c r="I749" i="12"/>
  <c r="I750" i="12"/>
  <c r="I751" i="12"/>
  <c r="I752" i="12"/>
  <c r="I753" i="12"/>
  <c r="I754" i="12"/>
  <c r="I755" i="12"/>
  <c r="I756" i="12"/>
  <c r="I757" i="12"/>
  <c r="I758" i="12"/>
  <c r="I759" i="12"/>
  <c r="I760" i="12"/>
  <c r="I761" i="12"/>
  <c r="I762" i="12"/>
  <c r="I763" i="12"/>
  <c r="I764" i="12"/>
  <c r="I765" i="12"/>
  <c r="I766" i="12"/>
  <c r="I767" i="12"/>
  <c r="I768" i="12"/>
  <c r="I769" i="12"/>
  <c r="I770" i="12"/>
  <c r="I771" i="12"/>
  <c r="I772" i="12"/>
  <c r="I773" i="12"/>
  <c r="I774" i="12"/>
  <c r="I775" i="12"/>
  <c r="I776" i="12"/>
  <c r="I777" i="12"/>
  <c r="I778" i="12"/>
  <c r="I779" i="12"/>
  <c r="I780" i="12"/>
  <c r="I781" i="12"/>
  <c r="I782" i="12"/>
  <c r="I783" i="12"/>
  <c r="I784" i="12"/>
  <c r="I785" i="12"/>
  <c r="I786" i="12"/>
  <c r="I787" i="12"/>
  <c r="I788" i="12"/>
  <c r="I789" i="12"/>
  <c r="I790" i="12"/>
  <c r="I791" i="12"/>
  <c r="I792" i="12"/>
  <c r="I793" i="12"/>
  <c r="I794" i="12"/>
  <c r="I795" i="12"/>
  <c r="I796" i="12"/>
  <c r="I797" i="12"/>
  <c r="I798" i="12"/>
  <c r="I799" i="12"/>
  <c r="I800" i="12"/>
  <c r="I801" i="12"/>
  <c r="I802" i="12"/>
  <c r="I803" i="12"/>
  <c r="I804" i="12"/>
  <c r="I805" i="12"/>
  <c r="I806" i="12"/>
  <c r="I807" i="12"/>
  <c r="I808" i="12"/>
  <c r="I809" i="12"/>
  <c r="I810" i="12"/>
  <c r="I811" i="12"/>
  <c r="I812" i="12"/>
  <c r="I813" i="12"/>
  <c r="I814" i="12"/>
  <c r="I815" i="12"/>
  <c r="I816" i="12"/>
  <c r="I817" i="12"/>
  <c r="I818" i="12"/>
  <c r="I819" i="12"/>
  <c r="I820" i="12"/>
  <c r="I821" i="12"/>
  <c r="I822" i="12"/>
  <c r="I823" i="12"/>
  <c r="I824" i="12"/>
  <c r="I825" i="12"/>
  <c r="I826" i="12"/>
  <c r="I827" i="12"/>
  <c r="I828" i="12"/>
  <c r="I829" i="12"/>
  <c r="I830" i="12"/>
  <c r="I831" i="12"/>
  <c r="I832" i="12"/>
  <c r="I833" i="12"/>
  <c r="I834" i="12"/>
  <c r="I835" i="12"/>
  <c r="I836" i="12"/>
  <c r="I837" i="12"/>
  <c r="I838" i="12"/>
  <c r="I839" i="12"/>
  <c r="I840" i="12"/>
  <c r="I841" i="12"/>
  <c r="I842" i="12"/>
  <c r="I843" i="12"/>
  <c r="I844" i="12"/>
  <c r="I845" i="12"/>
  <c r="I846" i="12"/>
  <c r="I847" i="12"/>
  <c r="I848" i="12"/>
  <c r="I849" i="12"/>
  <c r="I850" i="12"/>
  <c r="I851" i="12"/>
  <c r="I852" i="12"/>
  <c r="I853" i="12"/>
  <c r="I854" i="12"/>
  <c r="I855" i="12"/>
  <c r="I856" i="12"/>
  <c r="I857" i="12"/>
  <c r="I858" i="12"/>
  <c r="I859" i="12"/>
  <c r="I860" i="12"/>
  <c r="I861" i="12"/>
  <c r="I862" i="12"/>
  <c r="I863" i="12"/>
  <c r="I864" i="12"/>
  <c r="I865" i="12"/>
  <c r="I866" i="12"/>
  <c r="I867" i="12"/>
  <c r="I868" i="12"/>
  <c r="I869" i="12"/>
  <c r="I870" i="12"/>
  <c r="I871" i="12"/>
  <c r="I872" i="12"/>
  <c r="I873" i="12"/>
  <c r="I874" i="12"/>
  <c r="I875" i="12"/>
  <c r="I876" i="12"/>
  <c r="I877" i="12"/>
  <c r="I878" i="12"/>
  <c r="I879" i="12"/>
  <c r="I880" i="12"/>
  <c r="I881" i="12"/>
  <c r="I882" i="12"/>
  <c r="I883" i="12"/>
  <c r="I884" i="12"/>
  <c r="I885" i="12"/>
  <c r="I886" i="12"/>
  <c r="I887" i="12"/>
  <c r="I888" i="12"/>
  <c r="I889" i="12"/>
  <c r="I890" i="12"/>
  <c r="I891" i="12"/>
  <c r="I892" i="12"/>
  <c r="I893" i="12"/>
  <c r="I894" i="12"/>
  <c r="I895" i="12"/>
  <c r="I896" i="12"/>
  <c r="I897" i="12"/>
  <c r="I898" i="12"/>
  <c r="I899" i="12"/>
  <c r="I900" i="12"/>
  <c r="I901" i="12"/>
  <c r="I902" i="12"/>
  <c r="I903" i="12"/>
  <c r="I904" i="12"/>
  <c r="I905" i="12"/>
  <c r="I906" i="12"/>
  <c r="I907" i="12"/>
  <c r="I908" i="12"/>
  <c r="I909" i="12"/>
  <c r="I910" i="12"/>
  <c r="I911" i="12"/>
  <c r="I912" i="12"/>
  <c r="I913" i="12"/>
  <c r="I914" i="12"/>
  <c r="I915" i="12"/>
  <c r="I916" i="12"/>
  <c r="I917" i="12"/>
  <c r="I918" i="12"/>
  <c r="I919" i="12"/>
  <c r="I920" i="12"/>
  <c r="I921" i="12"/>
  <c r="I922" i="12"/>
  <c r="I923" i="12"/>
  <c r="I924" i="12"/>
  <c r="I925" i="12"/>
  <c r="I926" i="12"/>
  <c r="I927" i="12"/>
  <c r="I928" i="12"/>
  <c r="I929" i="12"/>
  <c r="I930" i="12"/>
  <c r="I931" i="12"/>
  <c r="I932" i="12"/>
  <c r="I933" i="12"/>
  <c r="I934" i="12"/>
  <c r="I935" i="12"/>
  <c r="I936" i="12"/>
  <c r="I937" i="12"/>
  <c r="I938" i="12"/>
  <c r="I939" i="12"/>
  <c r="I940" i="12"/>
  <c r="I941" i="12"/>
  <c r="I942" i="12"/>
  <c r="I943" i="12"/>
  <c r="I944" i="12"/>
  <c r="I945" i="12"/>
  <c r="I946" i="12"/>
  <c r="I947" i="12"/>
  <c r="I948" i="12"/>
  <c r="I949" i="12"/>
  <c r="I950" i="12"/>
  <c r="I951" i="12"/>
  <c r="I952" i="12"/>
  <c r="I953" i="12"/>
  <c r="I954" i="12"/>
  <c r="I955" i="12"/>
  <c r="I956" i="12"/>
  <c r="I957" i="12"/>
  <c r="I958" i="12"/>
  <c r="I959" i="12"/>
  <c r="I960" i="12"/>
  <c r="I961" i="12"/>
  <c r="I962" i="12"/>
  <c r="I963" i="12"/>
  <c r="I964" i="12"/>
  <c r="I965" i="12"/>
  <c r="I966" i="12"/>
  <c r="I967" i="12"/>
  <c r="I968" i="12"/>
  <c r="I969" i="12"/>
  <c r="I970" i="12"/>
  <c r="I971" i="12"/>
  <c r="I972" i="12"/>
  <c r="I973" i="12"/>
  <c r="I974" i="12"/>
  <c r="I975" i="12"/>
  <c r="I976" i="12"/>
  <c r="I977" i="12"/>
  <c r="I978" i="12"/>
  <c r="G4" i="12"/>
  <c r="H4" i="12" s="1"/>
  <c r="G5" i="12"/>
  <c r="G6" i="12"/>
  <c r="G7" i="12"/>
  <c r="H7" i="12" s="1"/>
  <c r="G8" i="12"/>
  <c r="H8" i="12" s="1"/>
  <c r="G9" i="12"/>
  <c r="H9" i="12" s="1"/>
  <c r="G10" i="12"/>
  <c r="G11" i="12"/>
  <c r="G12" i="12"/>
  <c r="G13" i="12"/>
  <c r="H13" i="12" s="1"/>
  <c r="G14" i="12"/>
  <c r="H14" i="12" s="1"/>
  <c r="G15" i="12"/>
  <c r="H15" i="12" s="1"/>
  <c r="G16" i="12"/>
  <c r="H16" i="12" s="1"/>
  <c r="G17" i="12"/>
  <c r="H17" i="12" s="1"/>
  <c r="G18" i="12"/>
  <c r="G19" i="12"/>
  <c r="G20" i="12"/>
  <c r="H20" i="12" s="1"/>
  <c r="G21" i="12"/>
  <c r="H21" i="12" s="1"/>
  <c r="G22" i="12"/>
  <c r="G23" i="12"/>
  <c r="H23" i="12" s="1"/>
  <c r="G24" i="12"/>
  <c r="H24" i="12" s="1"/>
  <c r="G25" i="12"/>
  <c r="H25" i="12" s="1"/>
  <c r="G26" i="12"/>
  <c r="G27" i="12"/>
  <c r="G28" i="12"/>
  <c r="G29" i="12"/>
  <c r="H29" i="12" s="1"/>
  <c r="G30" i="12"/>
  <c r="G31" i="12"/>
  <c r="H31" i="12" s="1"/>
  <c r="G32" i="12"/>
  <c r="H32" i="12" s="1"/>
  <c r="G33" i="12"/>
  <c r="H33" i="12" s="1"/>
  <c r="G34" i="12"/>
  <c r="G35" i="12"/>
  <c r="G36" i="12"/>
  <c r="H36" i="12" s="1"/>
  <c r="G37" i="12"/>
  <c r="G38" i="12"/>
  <c r="G39" i="12"/>
  <c r="H39" i="12" s="1"/>
  <c r="G40" i="12"/>
  <c r="H40" i="12" s="1"/>
  <c r="G41" i="12"/>
  <c r="H41" i="12" s="1"/>
  <c r="G42" i="12"/>
  <c r="G43" i="12"/>
  <c r="G44" i="12"/>
  <c r="H44" i="12" s="1"/>
  <c r="G45" i="12"/>
  <c r="H45" i="12" s="1"/>
  <c r="G46" i="12"/>
  <c r="H46" i="12" s="1"/>
  <c r="G47" i="12"/>
  <c r="H47" i="12" s="1"/>
  <c r="G48" i="12"/>
  <c r="H48" i="12" s="1"/>
  <c r="G49" i="12"/>
  <c r="H49" i="12" s="1"/>
  <c r="G50" i="12"/>
  <c r="H50" i="12" s="1"/>
  <c r="G51" i="12"/>
  <c r="G52" i="12"/>
  <c r="G53" i="12"/>
  <c r="H53" i="12" s="1"/>
  <c r="G54" i="12"/>
  <c r="G55" i="12"/>
  <c r="H55" i="12" s="1"/>
  <c r="G56" i="12"/>
  <c r="H56" i="12" s="1"/>
  <c r="G57" i="12"/>
  <c r="H57" i="12" s="1"/>
  <c r="G58" i="12"/>
  <c r="G59" i="12"/>
  <c r="G60" i="12"/>
  <c r="G61" i="12"/>
  <c r="G62" i="12"/>
  <c r="G63" i="12"/>
  <c r="H63" i="12" s="1"/>
  <c r="G64" i="12"/>
  <c r="H64" i="12" s="1"/>
  <c r="G65" i="12"/>
  <c r="H65" i="12" s="1"/>
  <c r="G66" i="12"/>
  <c r="G67" i="12"/>
  <c r="G68" i="12"/>
  <c r="H68" i="12" s="1"/>
  <c r="G69" i="12"/>
  <c r="H69" i="12" s="1"/>
  <c r="G70" i="12"/>
  <c r="G71" i="12"/>
  <c r="H71" i="12" s="1"/>
  <c r="G72" i="12"/>
  <c r="H72" i="12" s="1"/>
  <c r="G73" i="12"/>
  <c r="H73" i="12" s="1"/>
  <c r="G74" i="12"/>
  <c r="G75" i="12"/>
  <c r="G76" i="12"/>
  <c r="H76" i="12" s="1"/>
  <c r="G77" i="12"/>
  <c r="H77" i="12" s="1"/>
  <c r="G78" i="12"/>
  <c r="H78" i="12" s="1"/>
  <c r="G79" i="12"/>
  <c r="H79" i="12" s="1"/>
  <c r="G80" i="12"/>
  <c r="H80" i="12" s="1"/>
  <c r="G81" i="12"/>
  <c r="H81" i="12" s="1"/>
  <c r="G82" i="12"/>
  <c r="G83" i="12"/>
  <c r="G84" i="12"/>
  <c r="G85" i="12"/>
  <c r="H85" i="12" s="1"/>
  <c r="G86" i="12"/>
  <c r="G87" i="12"/>
  <c r="H87" i="12" s="1"/>
  <c r="G88" i="12"/>
  <c r="H88" i="12" s="1"/>
  <c r="G89" i="12"/>
  <c r="H89" i="12" s="1"/>
  <c r="G90" i="12"/>
  <c r="G91" i="12"/>
  <c r="G92" i="12"/>
  <c r="G93" i="12"/>
  <c r="H93" i="12" s="1"/>
  <c r="G94" i="12"/>
  <c r="G95" i="12"/>
  <c r="H95" i="12" s="1"/>
  <c r="G96" i="12"/>
  <c r="H96" i="12" s="1"/>
  <c r="G97" i="12"/>
  <c r="H97" i="12" s="1"/>
  <c r="G98" i="12"/>
  <c r="G99" i="12"/>
  <c r="G100" i="12"/>
  <c r="H100" i="12" s="1"/>
  <c r="G101" i="12"/>
  <c r="G102" i="12"/>
  <c r="H102" i="12" s="1"/>
  <c r="G103" i="12"/>
  <c r="H103" i="12" s="1"/>
  <c r="G104" i="12"/>
  <c r="H104" i="12" s="1"/>
  <c r="G105" i="12"/>
  <c r="H105" i="12" s="1"/>
  <c r="G106" i="12"/>
  <c r="H106" i="12" s="1"/>
  <c r="G107" i="12"/>
  <c r="G108" i="12"/>
  <c r="H108" i="12" s="1"/>
  <c r="G109" i="12"/>
  <c r="G110" i="12"/>
  <c r="H110" i="12" s="1"/>
  <c r="G111" i="12"/>
  <c r="H111" i="12" s="1"/>
  <c r="G112" i="12"/>
  <c r="H112" i="12" s="1"/>
  <c r="G113" i="12"/>
  <c r="H113" i="12" s="1"/>
  <c r="G114" i="12"/>
  <c r="G115" i="12"/>
  <c r="G116" i="12"/>
  <c r="H116" i="12" s="1"/>
  <c r="G117" i="12"/>
  <c r="G118" i="12"/>
  <c r="H118" i="12" s="1"/>
  <c r="G119" i="12"/>
  <c r="G120" i="12"/>
  <c r="H120" i="12" s="1"/>
  <c r="G121" i="12"/>
  <c r="H121" i="12" s="1"/>
  <c r="G122" i="12"/>
  <c r="G123" i="12"/>
  <c r="H123" i="12" s="1"/>
  <c r="G124" i="12"/>
  <c r="H124" i="12" s="1"/>
  <c r="G125" i="12"/>
  <c r="G126" i="12"/>
  <c r="H126" i="12" s="1"/>
  <c r="G127" i="12"/>
  <c r="H127" i="12" s="1"/>
  <c r="G128" i="12"/>
  <c r="H128" i="12" s="1"/>
  <c r="G129" i="12"/>
  <c r="H129" i="12" s="1"/>
  <c r="G130" i="12"/>
  <c r="G131" i="12"/>
  <c r="G132" i="12"/>
  <c r="H132" i="12" s="1"/>
  <c r="G133" i="12"/>
  <c r="G134" i="12"/>
  <c r="H134" i="12" s="1"/>
  <c r="G135" i="12"/>
  <c r="H135" i="12" s="1"/>
  <c r="G136" i="12"/>
  <c r="H136" i="12" s="1"/>
  <c r="G137" i="12"/>
  <c r="H137" i="12" s="1"/>
  <c r="G138" i="12"/>
  <c r="G139" i="12"/>
  <c r="G140" i="12"/>
  <c r="H140" i="12" s="1"/>
  <c r="G141" i="12"/>
  <c r="H141" i="12" s="1"/>
  <c r="G142" i="12"/>
  <c r="H142" i="12" s="1"/>
  <c r="G143" i="12"/>
  <c r="H143" i="12" s="1"/>
  <c r="G144" i="12"/>
  <c r="G145" i="12"/>
  <c r="H145" i="12" s="1"/>
  <c r="G146" i="12"/>
  <c r="G147" i="12"/>
  <c r="G148" i="12"/>
  <c r="H148" i="12" s="1"/>
  <c r="G149" i="12"/>
  <c r="G150" i="12"/>
  <c r="H150" i="12" s="1"/>
  <c r="G151" i="12"/>
  <c r="H151" i="12" s="1"/>
  <c r="G152" i="12"/>
  <c r="H152" i="12" s="1"/>
  <c r="G153" i="12"/>
  <c r="H153" i="12" s="1"/>
  <c r="G154" i="12"/>
  <c r="G155" i="12"/>
  <c r="H155" i="12" s="1"/>
  <c r="G156" i="12"/>
  <c r="H156" i="12" s="1"/>
  <c r="G157" i="12"/>
  <c r="H157" i="12" s="1"/>
  <c r="G158" i="12"/>
  <c r="G159" i="12"/>
  <c r="H159" i="12" s="1"/>
  <c r="G160" i="12"/>
  <c r="H160" i="12" s="1"/>
  <c r="G161" i="12"/>
  <c r="H161" i="12" s="1"/>
  <c r="G162" i="12"/>
  <c r="G163" i="12"/>
  <c r="G164" i="12"/>
  <c r="G165" i="12"/>
  <c r="H165" i="12" s="1"/>
  <c r="G166" i="12"/>
  <c r="G167" i="12"/>
  <c r="H167" i="12" s="1"/>
  <c r="G168" i="12"/>
  <c r="H168" i="12" s="1"/>
  <c r="G169" i="12"/>
  <c r="H169" i="12" s="1"/>
  <c r="G170" i="12"/>
  <c r="G171" i="12"/>
  <c r="G172" i="12"/>
  <c r="H172" i="12" s="1"/>
  <c r="G173" i="12"/>
  <c r="H173" i="12" s="1"/>
  <c r="G174" i="12"/>
  <c r="H174" i="12" s="1"/>
  <c r="G175" i="12"/>
  <c r="H175" i="12" s="1"/>
  <c r="G176" i="12"/>
  <c r="H176" i="12" s="1"/>
  <c r="G177" i="12"/>
  <c r="H177" i="12" s="1"/>
  <c r="G178" i="12"/>
  <c r="H178" i="12" s="1"/>
  <c r="G179" i="12"/>
  <c r="G180" i="12"/>
  <c r="H180" i="12" s="1"/>
  <c r="G181" i="12"/>
  <c r="H181" i="12" s="1"/>
  <c r="G182" i="12"/>
  <c r="G183" i="12"/>
  <c r="H183" i="12" s="1"/>
  <c r="G184" i="12"/>
  <c r="H184" i="12" s="1"/>
  <c r="G185" i="12"/>
  <c r="H185" i="12" s="1"/>
  <c r="G186" i="12"/>
  <c r="H186" i="12" s="1"/>
  <c r="G187" i="12"/>
  <c r="H187" i="12" s="1"/>
  <c r="G188" i="12"/>
  <c r="H188" i="12" s="1"/>
  <c r="G189" i="12"/>
  <c r="H189" i="12" s="1"/>
  <c r="G190" i="12"/>
  <c r="H190" i="12" s="1"/>
  <c r="G191" i="12"/>
  <c r="G192" i="12"/>
  <c r="H192" i="12" s="1"/>
  <c r="G193" i="12"/>
  <c r="H193" i="12" s="1"/>
  <c r="G194" i="12"/>
  <c r="H194" i="12" s="1"/>
  <c r="G195" i="12"/>
  <c r="G196" i="12"/>
  <c r="G197" i="12"/>
  <c r="H197" i="12" s="1"/>
  <c r="G198" i="12"/>
  <c r="H198" i="12" s="1"/>
  <c r="G199" i="12"/>
  <c r="H199" i="12" s="1"/>
  <c r="G200" i="12"/>
  <c r="H200" i="12" s="1"/>
  <c r="G201" i="12"/>
  <c r="H201" i="12" s="1"/>
  <c r="G202" i="12"/>
  <c r="G203" i="12"/>
  <c r="H203" i="12" s="1"/>
  <c r="G204" i="12"/>
  <c r="H204" i="12" s="1"/>
  <c r="G205" i="12"/>
  <c r="H205" i="12" s="1"/>
  <c r="G206" i="12"/>
  <c r="H206" i="12" s="1"/>
  <c r="G207" i="12"/>
  <c r="H207" i="12" s="1"/>
  <c r="G208" i="12"/>
  <c r="G209" i="12"/>
  <c r="H209" i="12" s="1"/>
  <c r="G210" i="12"/>
  <c r="G211" i="12"/>
  <c r="G212" i="12"/>
  <c r="G213" i="12"/>
  <c r="H213" i="12" s="1"/>
  <c r="G214" i="12"/>
  <c r="H214" i="12" s="1"/>
  <c r="G215" i="12"/>
  <c r="H215" i="12" s="1"/>
  <c r="G216" i="12"/>
  <c r="H216" i="12" s="1"/>
  <c r="G217" i="12"/>
  <c r="H217" i="12" s="1"/>
  <c r="G218" i="12"/>
  <c r="G219" i="12"/>
  <c r="H219" i="12" s="1"/>
  <c r="G220" i="12"/>
  <c r="H220" i="12" s="1"/>
  <c r="G221" i="12"/>
  <c r="G222" i="12"/>
  <c r="H222" i="12" s="1"/>
  <c r="G223" i="12"/>
  <c r="H223" i="12" s="1"/>
  <c r="G224" i="12"/>
  <c r="H224" i="12" s="1"/>
  <c r="G225" i="12"/>
  <c r="H225" i="12" s="1"/>
  <c r="G226" i="12"/>
  <c r="H226" i="12" s="1"/>
  <c r="G227" i="12"/>
  <c r="G228" i="12"/>
  <c r="H228" i="12" s="1"/>
  <c r="G229" i="12"/>
  <c r="G230" i="12"/>
  <c r="H230" i="12" s="1"/>
  <c r="G231" i="12"/>
  <c r="H231" i="12" s="1"/>
  <c r="G232" i="12"/>
  <c r="H232" i="12" s="1"/>
  <c r="G233" i="12"/>
  <c r="H233" i="12" s="1"/>
  <c r="G234" i="12"/>
  <c r="G235" i="12"/>
  <c r="G236" i="12"/>
  <c r="H236" i="12" s="1"/>
  <c r="G237" i="12"/>
  <c r="G238" i="12"/>
  <c r="H238" i="12" s="1"/>
  <c r="G239" i="12"/>
  <c r="H239" i="12" s="1"/>
  <c r="G240" i="12"/>
  <c r="H240" i="12" s="1"/>
  <c r="G241" i="12"/>
  <c r="H241" i="12" s="1"/>
  <c r="G242" i="12"/>
  <c r="G243" i="12"/>
  <c r="G244" i="12"/>
  <c r="H244" i="12" s="1"/>
  <c r="G245" i="12"/>
  <c r="G246" i="12"/>
  <c r="H246" i="12" s="1"/>
  <c r="G247" i="12"/>
  <c r="H247" i="12" s="1"/>
  <c r="G248" i="12"/>
  <c r="G249" i="12"/>
  <c r="H249" i="12" s="1"/>
  <c r="G250" i="12"/>
  <c r="G251" i="12"/>
  <c r="G252" i="12"/>
  <c r="H252" i="12" s="1"/>
  <c r="G253" i="12"/>
  <c r="G254" i="12"/>
  <c r="H254" i="12" s="1"/>
  <c r="G255" i="12"/>
  <c r="H255" i="12" s="1"/>
  <c r="G256" i="12"/>
  <c r="H256" i="12" s="1"/>
  <c r="G257" i="12"/>
  <c r="H257" i="12" s="1"/>
  <c r="G258" i="12"/>
  <c r="G259" i="12"/>
  <c r="G260" i="12"/>
  <c r="H260" i="12" s="1"/>
  <c r="G261" i="12"/>
  <c r="G262" i="12"/>
  <c r="H262" i="12" s="1"/>
  <c r="G263" i="12"/>
  <c r="H263" i="12" s="1"/>
  <c r="G264" i="12"/>
  <c r="H264" i="12" s="1"/>
  <c r="G265" i="12"/>
  <c r="H265" i="12" s="1"/>
  <c r="G266" i="12"/>
  <c r="G267" i="12"/>
  <c r="G268" i="12"/>
  <c r="H268" i="12" s="1"/>
  <c r="G269" i="12"/>
  <c r="H269" i="12" s="1"/>
  <c r="G270" i="12"/>
  <c r="H270" i="12" s="1"/>
  <c r="G271" i="12"/>
  <c r="H271" i="12" s="1"/>
  <c r="G272" i="12"/>
  <c r="H272" i="12" s="1"/>
  <c r="G273" i="12"/>
  <c r="H273" i="12" s="1"/>
  <c r="G274" i="12"/>
  <c r="H274" i="12" s="1"/>
  <c r="G275" i="12"/>
  <c r="G276" i="12"/>
  <c r="G277" i="12"/>
  <c r="G278" i="12"/>
  <c r="G279" i="12"/>
  <c r="H279" i="12" s="1"/>
  <c r="G280" i="12"/>
  <c r="H280" i="12" s="1"/>
  <c r="G281" i="12"/>
  <c r="H281" i="12" s="1"/>
  <c r="G282" i="12"/>
  <c r="G283" i="12"/>
  <c r="G284" i="12"/>
  <c r="H284" i="12" s="1"/>
  <c r="G285" i="12"/>
  <c r="H285" i="12" s="1"/>
  <c r="G286" i="12"/>
  <c r="H286" i="12" s="1"/>
  <c r="G287" i="12"/>
  <c r="G288" i="12"/>
  <c r="H288" i="12" s="1"/>
  <c r="G289" i="12"/>
  <c r="H289" i="12" s="1"/>
  <c r="G290" i="12"/>
  <c r="G291" i="12"/>
  <c r="G292" i="12"/>
  <c r="G293" i="12"/>
  <c r="G294" i="12"/>
  <c r="G295" i="12"/>
  <c r="H295" i="12" s="1"/>
  <c r="G296" i="12"/>
  <c r="H296" i="12" s="1"/>
  <c r="G297" i="12"/>
  <c r="H297" i="12" s="1"/>
  <c r="G298" i="12"/>
  <c r="H298" i="12" s="1"/>
  <c r="G299" i="12"/>
  <c r="H299" i="12" s="1"/>
  <c r="G300" i="12"/>
  <c r="H300" i="12" s="1"/>
  <c r="G301" i="12"/>
  <c r="G302" i="12"/>
  <c r="H302" i="12" s="1"/>
  <c r="G303" i="12"/>
  <c r="G304" i="12"/>
  <c r="H304" i="12" s="1"/>
  <c r="G305" i="12"/>
  <c r="H305" i="12" s="1"/>
  <c r="G306" i="12"/>
  <c r="G307" i="12"/>
  <c r="G308" i="12"/>
  <c r="G309" i="12"/>
  <c r="G310" i="12"/>
  <c r="G311" i="12"/>
  <c r="G312" i="12"/>
  <c r="G313" i="12"/>
  <c r="H313" i="12" s="1"/>
  <c r="G314" i="12"/>
  <c r="H314" i="12" s="1"/>
  <c r="G315" i="12"/>
  <c r="G316" i="12"/>
  <c r="H316" i="12" s="1"/>
  <c r="G317" i="12"/>
  <c r="H317" i="12" s="1"/>
  <c r="G318" i="12"/>
  <c r="H318" i="12" s="1"/>
  <c r="G319" i="12"/>
  <c r="H319" i="12" s="1"/>
  <c r="G320" i="12"/>
  <c r="H320" i="12" s="1"/>
  <c r="G321" i="12"/>
  <c r="H321" i="12" s="1"/>
  <c r="G322" i="12"/>
  <c r="H322" i="12" s="1"/>
  <c r="G323" i="12"/>
  <c r="G324" i="12"/>
  <c r="G325" i="12"/>
  <c r="H325" i="12" s="1"/>
  <c r="G326" i="12"/>
  <c r="G327" i="12"/>
  <c r="H327" i="12" s="1"/>
  <c r="G328" i="12"/>
  <c r="H328" i="12" s="1"/>
  <c r="G329" i="12"/>
  <c r="H329" i="12" s="1"/>
  <c r="G330" i="12"/>
  <c r="G331" i="12"/>
  <c r="G332" i="12"/>
  <c r="H332" i="12" s="1"/>
  <c r="G333" i="12"/>
  <c r="H333" i="12" s="1"/>
  <c r="G334" i="12"/>
  <c r="H334" i="12" s="1"/>
  <c r="G335" i="12"/>
  <c r="H335" i="12" s="1"/>
  <c r="G336" i="12"/>
  <c r="G337" i="12"/>
  <c r="H337" i="12" s="1"/>
  <c r="G338" i="12"/>
  <c r="H338" i="12" s="1"/>
  <c r="G339" i="12"/>
  <c r="G340" i="12"/>
  <c r="G341" i="12"/>
  <c r="H341" i="12" s="1"/>
  <c r="G342" i="12"/>
  <c r="G343" i="12"/>
  <c r="H343" i="12" s="1"/>
  <c r="G344" i="12"/>
  <c r="H344" i="12" s="1"/>
  <c r="G345" i="12"/>
  <c r="H345" i="12" s="1"/>
  <c r="G346" i="12"/>
  <c r="G347" i="12"/>
  <c r="G348" i="12"/>
  <c r="H348" i="12" s="1"/>
  <c r="G349" i="12"/>
  <c r="G350" i="12"/>
  <c r="H350" i="12" s="1"/>
  <c r="G351" i="12"/>
  <c r="H351" i="12" s="1"/>
  <c r="G352" i="12"/>
  <c r="H352" i="12" s="1"/>
  <c r="G353" i="12"/>
  <c r="H353" i="12" s="1"/>
  <c r="G354" i="12"/>
  <c r="H354" i="12" s="1"/>
  <c r="G355" i="12"/>
  <c r="G356" i="12"/>
  <c r="H356" i="12" s="1"/>
  <c r="G357" i="12"/>
  <c r="G358" i="12"/>
  <c r="H358" i="12" s="1"/>
  <c r="G359" i="12"/>
  <c r="H359" i="12" s="1"/>
  <c r="G360" i="12"/>
  <c r="H360" i="12" s="1"/>
  <c r="G361" i="12"/>
  <c r="H361" i="12" s="1"/>
  <c r="G362" i="12"/>
  <c r="G363" i="12"/>
  <c r="H363" i="12" s="1"/>
  <c r="G364" i="12"/>
  <c r="H364" i="12" s="1"/>
  <c r="G365" i="12"/>
  <c r="G366" i="12"/>
  <c r="H366" i="12" s="1"/>
  <c r="G367" i="12"/>
  <c r="G368" i="12"/>
  <c r="H368" i="12" s="1"/>
  <c r="G369" i="12"/>
  <c r="H369" i="12" s="1"/>
  <c r="G370" i="12"/>
  <c r="H370" i="12" s="1"/>
  <c r="G371" i="12"/>
  <c r="G372" i="12"/>
  <c r="H372" i="12" s="1"/>
  <c r="G373" i="12"/>
  <c r="G374" i="12"/>
  <c r="H374" i="12" s="1"/>
  <c r="G375" i="12"/>
  <c r="H375" i="12" s="1"/>
  <c r="G376" i="12"/>
  <c r="H376" i="12" s="1"/>
  <c r="G377" i="12"/>
  <c r="H377" i="12" s="1"/>
  <c r="G378" i="12"/>
  <c r="G379" i="12"/>
  <c r="G380" i="12"/>
  <c r="H380" i="12" s="1"/>
  <c r="G381" i="12"/>
  <c r="G382" i="12"/>
  <c r="H382" i="12" s="1"/>
  <c r="G383" i="12"/>
  <c r="H383" i="12" s="1"/>
  <c r="G384" i="12"/>
  <c r="H384" i="12" s="1"/>
  <c r="G385" i="12"/>
  <c r="H385" i="12" s="1"/>
  <c r="G386" i="12"/>
  <c r="H386" i="12" s="1"/>
  <c r="G387" i="12"/>
  <c r="G388" i="12"/>
  <c r="G389" i="12"/>
  <c r="G390" i="12"/>
  <c r="H390" i="12" s="1"/>
  <c r="G391" i="12"/>
  <c r="H391" i="12" s="1"/>
  <c r="G392" i="12"/>
  <c r="H392" i="12" s="1"/>
  <c r="G393" i="12"/>
  <c r="H393" i="12" s="1"/>
  <c r="G394" i="12"/>
  <c r="G395" i="12"/>
  <c r="G396" i="12"/>
  <c r="H396" i="12" s="1"/>
  <c r="G397" i="12"/>
  <c r="G398" i="12"/>
  <c r="H398" i="12" s="1"/>
  <c r="G399" i="12"/>
  <c r="H399" i="12" s="1"/>
  <c r="G400" i="12"/>
  <c r="H400" i="12" s="1"/>
  <c r="G401" i="12"/>
  <c r="H401" i="12" s="1"/>
  <c r="G402" i="12"/>
  <c r="G403" i="12"/>
  <c r="G404" i="12"/>
  <c r="G405" i="12"/>
  <c r="H405" i="12" s="1"/>
  <c r="G406" i="12"/>
  <c r="H406" i="12" s="1"/>
  <c r="G407" i="12"/>
  <c r="H407" i="12" s="1"/>
  <c r="G408" i="12"/>
  <c r="H408" i="12" s="1"/>
  <c r="G409" i="12"/>
  <c r="H409" i="12" s="1"/>
  <c r="G410" i="12"/>
  <c r="G411" i="12"/>
  <c r="G412" i="12"/>
  <c r="H412" i="12" s="1"/>
  <c r="G413" i="12"/>
  <c r="G414" i="12"/>
  <c r="H414" i="12" s="1"/>
  <c r="G415" i="12"/>
  <c r="G416" i="12"/>
  <c r="H416" i="12" s="1"/>
  <c r="G417" i="12"/>
  <c r="H417" i="12" s="1"/>
  <c r="G418" i="12"/>
  <c r="G419" i="12"/>
  <c r="G420" i="12"/>
  <c r="G421" i="12"/>
  <c r="G422" i="12"/>
  <c r="G423" i="12"/>
  <c r="H423" i="12" s="1"/>
  <c r="G424" i="12"/>
  <c r="H424" i="12" s="1"/>
  <c r="G425" i="12"/>
  <c r="H425" i="12" s="1"/>
  <c r="G426" i="12"/>
  <c r="H426" i="12" s="1"/>
  <c r="G427" i="12"/>
  <c r="H427" i="12" s="1"/>
  <c r="G428" i="12"/>
  <c r="H428" i="12" s="1"/>
  <c r="G429" i="12"/>
  <c r="H429" i="12" s="1"/>
  <c r="G430" i="12"/>
  <c r="H430" i="12" s="1"/>
  <c r="G431" i="12"/>
  <c r="G432" i="12"/>
  <c r="H432" i="12" s="1"/>
  <c r="G433" i="12"/>
  <c r="H433" i="12" s="1"/>
  <c r="G434" i="12"/>
  <c r="G435" i="12"/>
  <c r="G436" i="12"/>
  <c r="H436" i="12" s="1"/>
  <c r="G437" i="12"/>
  <c r="H437" i="12" s="1"/>
  <c r="G438" i="12"/>
  <c r="G439" i="12"/>
  <c r="H439" i="12" s="1"/>
  <c r="G440" i="12"/>
  <c r="H440" i="12" s="1"/>
  <c r="G441" i="12"/>
  <c r="H441" i="12" s="1"/>
  <c r="G442" i="12"/>
  <c r="H442" i="12" s="1"/>
  <c r="G443" i="12"/>
  <c r="G444" i="12"/>
  <c r="H444" i="12" s="1"/>
  <c r="G445" i="12"/>
  <c r="G446" i="12"/>
  <c r="H446" i="12" s="1"/>
  <c r="G447" i="12"/>
  <c r="H447" i="12" s="1"/>
  <c r="G448" i="12"/>
  <c r="G449" i="12"/>
  <c r="H449" i="12" s="1"/>
  <c r="G450" i="12"/>
  <c r="G451" i="12"/>
  <c r="G452" i="12"/>
  <c r="H452" i="12" s="1"/>
  <c r="G453" i="12"/>
  <c r="H453" i="12" s="1"/>
  <c r="G454" i="12"/>
  <c r="G455" i="12"/>
  <c r="H455" i="12" s="1"/>
  <c r="G456" i="12"/>
  <c r="G457" i="12"/>
  <c r="H457" i="12" s="1"/>
  <c r="G458" i="12"/>
  <c r="G459" i="12"/>
  <c r="G460" i="12"/>
  <c r="H460" i="12" s="1"/>
  <c r="G461" i="12"/>
  <c r="H461" i="12" s="1"/>
  <c r="G462" i="12"/>
  <c r="H462" i="12" s="1"/>
  <c r="G463" i="12"/>
  <c r="H463" i="12" s="1"/>
  <c r="G464" i="12"/>
  <c r="H464" i="12" s="1"/>
  <c r="G465" i="12"/>
  <c r="H465" i="12" s="1"/>
  <c r="G466" i="12"/>
  <c r="H466" i="12" s="1"/>
  <c r="G467" i="12"/>
  <c r="G468" i="12"/>
  <c r="G469" i="12"/>
  <c r="G470" i="12"/>
  <c r="G471" i="12"/>
  <c r="H471" i="12" s="1"/>
  <c r="G472" i="12"/>
  <c r="H472" i="12" s="1"/>
  <c r="G473" i="12"/>
  <c r="H473" i="12" s="1"/>
  <c r="G474" i="12"/>
  <c r="G475" i="12"/>
  <c r="G476" i="12"/>
  <c r="H476" i="12" s="1"/>
  <c r="G477" i="12"/>
  <c r="H477" i="12" s="1"/>
  <c r="G478" i="12"/>
  <c r="H478" i="12" s="1"/>
  <c r="G479" i="12"/>
  <c r="G480" i="12"/>
  <c r="H480" i="12" s="1"/>
  <c r="G481" i="12"/>
  <c r="H481" i="12" s="1"/>
  <c r="G482" i="12"/>
  <c r="H482" i="12" s="1"/>
  <c r="G483" i="12"/>
  <c r="G484" i="12"/>
  <c r="H484" i="12" s="1"/>
  <c r="G485" i="12"/>
  <c r="H485" i="12" s="1"/>
  <c r="G486" i="12"/>
  <c r="G487" i="12"/>
  <c r="H487" i="12" s="1"/>
  <c r="G488" i="12"/>
  <c r="G489" i="12"/>
  <c r="H489" i="12" s="1"/>
  <c r="G490" i="12"/>
  <c r="G491" i="12"/>
  <c r="G492" i="12"/>
  <c r="H492" i="12" s="1"/>
  <c r="G493" i="12"/>
  <c r="H493" i="12" s="1"/>
  <c r="G494" i="12"/>
  <c r="H494" i="12" s="1"/>
  <c r="G495" i="12"/>
  <c r="H495" i="12" s="1"/>
  <c r="G496" i="12"/>
  <c r="H496" i="12" s="1"/>
  <c r="G497" i="12"/>
  <c r="H497" i="12" s="1"/>
  <c r="G498" i="12"/>
  <c r="G499" i="12"/>
  <c r="G500" i="12"/>
  <c r="H500" i="12" s="1"/>
  <c r="G501" i="12"/>
  <c r="H501" i="12" s="1"/>
  <c r="G502" i="12"/>
  <c r="G503" i="12"/>
  <c r="H503" i="12" s="1"/>
  <c r="G504" i="12"/>
  <c r="H504" i="12" s="1"/>
  <c r="G505" i="12"/>
  <c r="G506" i="12"/>
  <c r="G507" i="12"/>
  <c r="G508" i="12"/>
  <c r="H508" i="12" s="1"/>
  <c r="G509" i="12"/>
  <c r="H509" i="12" s="1"/>
  <c r="G510" i="12"/>
  <c r="H510" i="12" s="1"/>
  <c r="G511" i="12"/>
  <c r="H511" i="12" s="1"/>
  <c r="G512" i="12"/>
  <c r="H512" i="12" s="1"/>
  <c r="G513" i="12"/>
  <c r="H513" i="12" s="1"/>
  <c r="G514" i="12"/>
  <c r="G515" i="12"/>
  <c r="G516" i="12"/>
  <c r="H516" i="12" s="1"/>
  <c r="G517" i="12"/>
  <c r="H517" i="12" s="1"/>
  <c r="G518" i="12"/>
  <c r="H518" i="12" s="1"/>
  <c r="G519" i="12"/>
  <c r="H519" i="12" s="1"/>
  <c r="G520" i="12"/>
  <c r="G521" i="12"/>
  <c r="H521" i="12" s="1"/>
  <c r="G522" i="12"/>
  <c r="H522" i="12" s="1"/>
  <c r="G523" i="12"/>
  <c r="G524" i="12"/>
  <c r="H524" i="12" s="1"/>
  <c r="G525" i="12"/>
  <c r="G526" i="12"/>
  <c r="H526" i="12" s="1"/>
  <c r="G527" i="12"/>
  <c r="H527" i="12" s="1"/>
  <c r="G528" i="12"/>
  <c r="H528" i="12" s="1"/>
  <c r="G529" i="12"/>
  <c r="H529" i="12" s="1"/>
  <c r="G530" i="12"/>
  <c r="H530" i="12" s="1"/>
  <c r="G531" i="12"/>
  <c r="G532" i="12"/>
  <c r="G533" i="12"/>
  <c r="G534" i="12"/>
  <c r="G535" i="12"/>
  <c r="H535" i="12" s="1"/>
  <c r="G536" i="12"/>
  <c r="H536" i="12" s="1"/>
  <c r="G537" i="12"/>
  <c r="H537" i="12" s="1"/>
  <c r="G538" i="12"/>
  <c r="G539" i="12"/>
  <c r="G540" i="12"/>
  <c r="H540" i="12" s="1"/>
  <c r="G541" i="12"/>
  <c r="G542" i="12"/>
  <c r="G543" i="12"/>
  <c r="G544" i="12"/>
  <c r="H544" i="12" s="1"/>
  <c r="G545" i="12"/>
  <c r="H545" i="12" s="1"/>
  <c r="G546" i="12"/>
  <c r="G547" i="12"/>
  <c r="G548" i="12"/>
  <c r="G549" i="12"/>
  <c r="G550" i="12"/>
  <c r="H550" i="12" s="1"/>
  <c r="G551" i="12"/>
  <c r="H551" i="12" s="1"/>
  <c r="G552" i="12"/>
  <c r="H552" i="12" s="1"/>
  <c r="G553" i="12"/>
  <c r="H553" i="12" s="1"/>
  <c r="G554" i="12"/>
  <c r="H554" i="12" s="1"/>
  <c r="G555" i="12"/>
  <c r="G556" i="12"/>
  <c r="G557" i="12"/>
  <c r="G558" i="12"/>
  <c r="H558" i="12" s="1"/>
  <c r="G559" i="12"/>
  <c r="H559" i="12" s="1"/>
  <c r="G560" i="12"/>
  <c r="H560" i="12" s="1"/>
  <c r="G561" i="12"/>
  <c r="H561" i="12" s="1"/>
  <c r="G562" i="12"/>
  <c r="G563" i="12"/>
  <c r="G564" i="12"/>
  <c r="G565" i="12"/>
  <c r="H565" i="12" s="1"/>
  <c r="G566" i="12"/>
  <c r="H566" i="12" s="1"/>
  <c r="G567" i="12"/>
  <c r="H567" i="12" s="1"/>
  <c r="G568" i="12"/>
  <c r="H568" i="12" s="1"/>
  <c r="G569" i="12"/>
  <c r="G570" i="12"/>
  <c r="H570" i="12" s="1"/>
  <c r="G571" i="12"/>
  <c r="G572" i="12"/>
  <c r="H572" i="12" s="1"/>
  <c r="G573" i="12"/>
  <c r="G574" i="12"/>
  <c r="H574" i="12" s="1"/>
  <c r="G575" i="12"/>
  <c r="H575" i="12" s="1"/>
  <c r="G576" i="12"/>
  <c r="H576" i="12" s="1"/>
  <c r="G577" i="12"/>
  <c r="H577" i="12" s="1"/>
  <c r="G578" i="12"/>
  <c r="G579" i="12"/>
  <c r="G580" i="12"/>
  <c r="H580" i="12" s="1"/>
  <c r="G581" i="12"/>
  <c r="H581" i="12" s="1"/>
  <c r="G582" i="12"/>
  <c r="H582" i="12" s="1"/>
  <c r="G583" i="12"/>
  <c r="G584" i="12"/>
  <c r="H584" i="12" s="1"/>
  <c r="G585" i="12"/>
  <c r="H585" i="12" s="1"/>
  <c r="G586" i="12"/>
  <c r="H586" i="12" s="1"/>
  <c r="G587" i="12"/>
  <c r="G588" i="12"/>
  <c r="H588" i="12" s="1"/>
  <c r="G589" i="12"/>
  <c r="G590" i="12"/>
  <c r="H590" i="12" s="1"/>
  <c r="G591" i="12"/>
  <c r="H591" i="12" s="1"/>
  <c r="G592" i="12"/>
  <c r="H592" i="12" s="1"/>
  <c r="G593" i="12"/>
  <c r="H593" i="12" s="1"/>
  <c r="G594" i="12"/>
  <c r="H594" i="12" s="1"/>
  <c r="G595" i="12"/>
  <c r="G596" i="12"/>
  <c r="G597" i="12"/>
  <c r="G598" i="12"/>
  <c r="G599" i="12"/>
  <c r="H599" i="12" s="1"/>
  <c r="G600" i="12"/>
  <c r="H600" i="12" s="1"/>
  <c r="G601" i="12"/>
  <c r="H601" i="12" s="1"/>
  <c r="G602" i="12"/>
  <c r="G603" i="12"/>
  <c r="G604" i="12"/>
  <c r="H604" i="12" s="1"/>
  <c r="G605" i="12"/>
  <c r="G606" i="12"/>
  <c r="H606" i="12" s="1"/>
  <c r="G607" i="12"/>
  <c r="H607" i="12" s="1"/>
  <c r="G608" i="12"/>
  <c r="H608" i="12" s="1"/>
  <c r="G609" i="12"/>
  <c r="G610" i="12"/>
  <c r="H610" i="12" s="1"/>
  <c r="G611" i="12"/>
  <c r="G612" i="12"/>
  <c r="H612" i="12" s="1"/>
  <c r="G613" i="12"/>
  <c r="H613" i="12" s="1"/>
  <c r="G614" i="12"/>
  <c r="G615" i="12"/>
  <c r="G616" i="12"/>
  <c r="G617" i="12"/>
  <c r="H617" i="12" s="1"/>
  <c r="G618" i="12"/>
  <c r="H618" i="12" s="1"/>
  <c r="G619" i="12"/>
  <c r="G620" i="12"/>
  <c r="G621" i="12"/>
  <c r="G622" i="12"/>
  <c r="H622" i="12" s="1"/>
  <c r="G623" i="12"/>
  <c r="H623" i="12" s="1"/>
  <c r="G624" i="12"/>
  <c r="H624" i="12" s="1"/>
  <c r="G625" i="12"/>
  <c r="H625" i="12" s="1"/>
  <c r="G626" i="12"/>
  <c r="G627" i="12"/>
  <c r="G628" i="12"/>
  <c r="G629" i="12"/>
  <c r="G630" i="12"/>
  <c r="G631" i="12"/>
  <c r="H631" i="12" s="1"/>
  <c r="G632" i="12"/>
  <c r="H632" i="12" s="1"/>
  <c r="G633" i="12"/>
  <c r="H633" i="12" s="1"/>
  <c r="G634" i="12"/>
  <c r="H634" i="12" s="1"/>
  <c r="G635" i="12"/>
  <c r="G636" i="12"/>
  <c r="H636" i="12" s="1"/>
  <c r="G637" i="12"/>
  <c r="H637" i="12" s="1"/>
  <c r="G638" i="12"/>
  <c r="H638" i="12" s="1"/>
  <c r="G639" i="12"/>
  <c r="H639" i="12" s="1"/>
  <c r="G640" i="12"/>
  <c r="H640" i="12" s="1"/>
  <c r="G641" i="12"/>
  <c r="G642" i="12"/>
  <c r="G643" i="12"/>
  <c r="G644" i="12"/>
  <c r="H644" i="12" s="1"/>
  <c r="G645" i="12"/>
  <c r="H645" i="12" s="1"/>
  <c r="G646" i="12"/>
  <c r="H646" i="12" s="1"/>
  <c r="G647" i="12"/>
  <c r="H647" i="12" s="1"/>
  <c r="G648" i="12"/>
  <c r="H648" i="12" s="1"/>
  <c r="G649" i="12"/>
  <c r="H649" i="12" s="1"/>
  <c r="G650" i="12"/>
  <c r="G651" i="12"/>
  <c r="H651" i="12" s="1"/>
  <c r="G652" i="12"/>
  <c r="G653" i="12"/>
  <c r="G654" i="12"/>
  <c r="G655" i="12"/>
  <c r="G656" i="12"/>
  <c r="H656" i="12" s="1"/>
  <c r="G657" i="12"/>
  <c r="H657" i="12" s="1"/>
  <c r="G658" i="12"/>
  <c r="H658" i="12" s="1"/>
  <c r="G659" i="12"/>
  <c r="G660" i="12"/>
  <c r="H660" i="12" s="1"/>
  <c r="G661" i="12"/>
  <c r="H661" i="12" s="1"/>
  <c r="G662" i="12"/>
  <c r="H662" i="12" s="1"/>
  <c r="G663" i="12"/>
  <c r="H663" i="12" s="1"/>
  <c r="G664" i="12"/>
  <c r="H664" i="12" s="1"/>
  <c r="G665" i="12"/>
  <c r="G666" i="12"/>
  <c r="G667" i="12"/>
  <c r="G668" i="12"/>
  <c r="H668" i="12" s="1"/>
  <c r="G669" i="12"/>
  <c r="H669" i="12" s="1"/>
  <c r="G670" i="12"/>
  <c r="G671" i="12"/>
  <c r="H671" i="12" s="1"/>
  <c r="G672" i="12"/>
  <c r="H672" i="12" s="1"/>
  <c r="G673" i="12"/>
  <c r="H673" i="12" s="1"/>
  <c r="G674" i="12"/>
  <c r="H674" i="12" s="1"/>
  <c r="G675" i="12"/>
  <c r="G676" i="12"/>
  <c r="H676" i="12" s="1"/>
  <c r="G677" i="12"/>
  <c r="H677" i="12" s="1"/>
  <c r="G678" i="12"/>
  <c r="G679" i="12"/>
  <c r="H679" i="12" s="1"/>
  <c r="G680" i="12"/>
  <c r="H680" i="12" s="1"/>
  <c r="G681" i="12"/>
  <c r="H681" i="12" s="1"/>
  <c r="G682" i="12"/>
  <c r="G683" i="12"/>
  <c r="H683" i="12" s="1"/>
  <c r="G684" i="12"/>
  <c r="H684" i="12" s="1"/>
  <c r="G685" i="12"/>
  <c r="H685" i="12" s="1"/>
  <c r="G686" i="12"/>
  <c r="G687" i="12"/>
  <c r="H687" i="12" s="1"/>
  <c r="G688" i="12"/>
  <c r="H688" i="12" s="1"/>
  <c r="G689" i="12"/>
  <c r="H689" i="12" s="1"/>
  <c r="G690" i="12"/>
  <c r="G691" i="12"/>
  <c r="G692" i="12"/>
  <c r="H692" i="12" s="1"/>
  <c r="G693" i="12"/>
  <c r="G694" i="12"/>
  <c r="G695" i="12"/>
  <c r="G696" i="12"/>
  <c r="G697" i="12"/>
  <c r="H697" i="12" s="1"/>
  <c r="G698" i="12"/>
  <c r="G699" i="12"/>
  <c r="G700" i="12"/>
  <c r="G701" i="12"/>
  <c r="G702" i="12"/>
  <c r="G703" i="12"/>
  <c r="H703" i="12" s="1"/>
  <c r="G704" i="12"/>
  <c r="H704" i="12" s="1"/>
  <c r="G705" i="12"/>
  <c r="H705" i="12" s="1"/>
  <c r="G706" i="12"/>
  <c r="G707" i="12"/>
  <c r="G708" i="12"/>
  <c r="H708" i="12" s="1"/>
  <c r="G709" i="12"/>
  <c r="G710" i="12"/>
  <c r="G711" i="12"/>
  <c r="G712" i="12"/>
  <c r="G713" i="12"/>
  <c r="H713" i="12" s="1"/>
  <c r="G714" i="12"/>
  <c r="H714" i="12" s="1"/>
  <c r="G715" i="12"/>
  <c r="G716" i="12"/>
  <c r="H716" i="12" s="1"/>
  <c r="G717" i="12"/>
  <c r="G718" i="12"/>
  <c r="G719" i="12"/>
  <c r="H719" i="12" s="1"/>
  <c r="G720" i="12"/>
  <c r="H720" i="12" s="1"/>
  <c r="G721" i="12"/>
  <c r="H721" i="12" s="1"/>
  <c r="G722" i="12"/>
  <c r="H722" i="12" s="1"/>
  <c r="G723" i="12"/>
  <c r="G724" i="12"/>
  <c r="H724" i="12" s="1"/>
  <c r="G725" i="12"/>
  <c r="H725" i="12" s="1"/>
  <c r="G726" i="12"/>
  <c r="G727" i="12"/>
  <c r="G728" i="12"/>
  <c r="H728" i="12" s="1"/>
  <c r="G729" i="12"/>
  <c r="H729" i="12" s="1"/>
  <c r="G730" i="12"/>
  <c r="H730" i="12" s="1"/>
  <c r="G731" i="12"/>
  <c r="G732" i="12"/>
  <c r="H732" i="12" s="1"/>
  <c r="G733" i="12"/>
  <c r="G734" i="12"/>
  <c r="H734" i="12" s="1"/>
  <c r="G735" i="12"/>
  <c r="H735" i="12" s="1"/>
  <c r="G736" i="12"/>
  <c r="G737" i="12"/>
  <c r="H737" i="12" s="1"/>
  <c r="G738" i="12"/>
  <c r="G739" i="12"/>
  <c r="G740" i="12"/>
  <c r="G741" i="12"/>
  <c r="H741" i="12" s="1"/>
  <c r="G742" i="12"/>
  <c r="G743" i="12"/>
  <c r="H743" i="12" s="1"/>
  <c r="G744" i="12"/>
  <c r="G745" i="12"/>
  <c r="H745" i="12" s="1"/>
  <c r="G746" i="12"/>
  <c r="H746" i="12" s="1"/>
  <c r="G747" i="12"/>
  <c r="G748" i="12"/>
  <c r="G749" i="12"/>
  <c r="H749" i="12" s="1"/>
  <c r="G750" i="12"/>
  <c r="H750" i="12" s="1"/>
  <c r="G751" i="12"/>
  <c r="H751" i="12" s="1"/>
  <c r="G752" i="12"/>
  <c r="H752" i="12" s="1"/>
  <c r="G753" i="12"/>
  <c r="G754" i="12"/>
  <c r="H754" i="12" s="1"/>
  <c r="G755" i="12"/>
  <c r="G756" i="12"/>
  <c r="H756" i="12" s="1"/>
  <c r="G757" i="12"/>
  <c r="G758" i="12"/>
  <c r="G759" i="12"/>
  <c r="G760" i="12"/>
  <c r="H760" i="12" s="1"/>
  <c r="G761" i="12"/>
  <c r="H761" i="12" s="1"/>
  <c r="G762" i="12"/>
  <c r="G763" i="12"/>
  <c r="G764" i="12"/>
  <c r="H764" i="12" s="1"/>
  <c r="G765" i="12"/>
  <c r="G766" i="12"/>
  <c r="H766" i="12" s="1"/>
  <c r="G767" i="12"/>
  <c r="G768" i="12"/>
  <c r="H768" i="12" s="1"/>
  <c r="G769" i="12"/>
  <c r="H769" i="12" s="1"/>
  <c r="G770" i="12"/>
  <c r="G771" i="12"/>
  <c r="G772" i="12"/>
  <c r="G773" i="12"/>
  <c r="G774" i="12"/>
  <c r="G775" i="12"/>
  <c r="H775" i="12" s="1"/>
  <c r="G776" i="12"/>
  <c r="H776" i="12" s="1"/>
  <c r="G777" i="12"/>
  <c r="H777" i="12" s="1"/>
  <c r="G778" i="12"/>
  <c r="H778" i="12" s="1"/>
  <c r="G779" i="12"/>
  <c r="G780" i="12"/>
  <c r="H780" i="12" s="1"/>
  <c r="G781" i="12"/>
  <c r="G782" i="12"/>
  <c r="G783" i="12"/>
  <c r="H783" i="12" s="1"/>
  <c r="G784" i="12"/>
  <c r="H784" i="12" s="1"/>
  <c r="G785" i="12"/>
  <c r="H785" i="12" s="1"/>
  <c r="G786" i="12"/>
  <c r="H786" i="12" s="1"/>
  <c r="G787" i="12"/>
  <c r="H787" i="12" s="1"/>
  <c r="G788" i="12"/>
  <c r="H788" i="12" s="1"/>
  <c r="G789" i="12"/>
  <c r="G790" i="12"/>
  <c r="H790" i="12" s="1"/>
  <c r="G791" i="12"/>
  <c r="G792" i="12"/>
  <c r="G793" i="12"/>
  <c r="H793" i="12" s="1"/>
  <c r="G794" i="12"/>
  <c r="G795" i="12"/>
  <c r="G796" i="12"/>
  <c r="H796" i="12" s="1"/>
  <c r="G797" i="12"/>
  <c r="G798" i="12"/>
  <c r="H798" i="12" s="1"/>
  <c r="G799" i="12"/>
  <c r="H799" i="12" s="1"/>
  <c r="G800" i="12"/>
  <c r="H800" i="12" s="1"/>
  <c r="G801" i="12"/>
  <c r="H801" i="12" s="1"/>
  <c r="G802" i="12"/>
  <c r="G803" i="12"/>
  <c r="G804" i="12"/>
  <c r="H804" i="12" s="1"/>
  <c r="G805" i="12"/>
  <c r="G806" i="12"/>
  <c r="G807" i="12"/>
  <c r="H807" i="12" s="1"/>
  <c r="G808" i="12"/>
  <c r="H808" i="12" s="1"/>
  <c r="G809" i="12"/>
  <c r="H809" i="12" s="1"/>
  <c r="G810" i="12"/>
  <c r="G811" i="12"/>
  <c r="G812" i="12"/>
  <c r="G813" i="12"/>
  <c r="H813" i="12" s="1"/>
  <c r="G814" i="12"/>
  <c r="G815" i="12"/>
  <c r="H815" i="12" s="1"/>
  <c r="G816" i="12"/>
  <c r="H816" i="12" s="1"/>
  <c r="G817" i="12"/>
  <c r="H817" i="12" s="1"/>
  <c r="G818" i="12"/>
  <c r="G819" i="12"/>
  <c r="H819" i="12" s="1"/>
  <c r="G820" i="12"/>
  <c r="G821" i="12"/>
  <c r="G822" i="12"/>
  <c r="G823" i="12"/>
  <c r="H823" i="12" s="1"/>
  <c r="G824" i="12"/>
  <c r="G825" i="12"/>
  <c r="H825" i="12" s="1"/>
  <c r="G826" i="12"/>
  <c r="H826" i="12" s="1"/>
  <c r="G827" i="12"/>
  <c r="G828" i="12"/>
  <c r="H828" i="12" s="1"/>
  <c r="G829" i="12"/>
  <c r="H829" i="12" s="1"/>
  <c r="G830" i="12"/>
  <c r="H830" i="12" s="1"/>
  <c r="G831" i="12"/>
  <c r="G832" i="12"/>
  <c r="H832" i="12" s="1"/>
  <c r="G833" i="12"/>
  <c r="H833" i="12" s="1"/>
  <c r="G834" i="12"/>
  <c r="H834" i="12" s="1"/>
  <c r="G835" i="12"/>
  <c r="G836" i="12"/>
  <c r="H836" i="12" s="1"/>
  <c r="G837" i="12"/>
  <c r="G838" i="12"/>
  <c r="G839" i="12"/>
  <c r="H839" i="12" s="1"/>
  <c r="G840" i="12"/>
  <c r="H840" i="12" s="1"/>
  <c r="G841" i="12"/>
  <c r="H841" i="12" s="1"/>
  <c r="G842" i="12"/>
  <c r="G843" i="12"/>
  <c r="G844" i="12"/>
  <c r="H844" i="12" s="1"/>
  <c r="G845" i="12"/>
  <c r="H845" i="12" s="1"/>
  <c r="G846" i="12"/>
  <c r="G847" i="12"/>
  <c r="H847" i="12" s="1"/>
  <c r="G848" i="12"/>
  <c r="H848" i="12" s="1"/>
  <c r="G849" i="12"/>
  <c r="H849" i="12" s="1"/>
  <c r="G850" i="12"/>
  <c r="H850" i="12" s="1"/>
  <c r="G851" i="12"/>
  <c r="G852" i="12"/>
  <c r="H852" i="12" s="1"/>
  <c r="G853" i="12"/>
  <c r="G854" i="12"/>
  <c r="G855" i="12"/>
  <c r="H855" i="12" s="1"/>
  <c r="G856" i="12"/>
  <c r="G857" i="12"/>
  <c r="H857" i="12" s="1"/>
  <c r="G858" i="12"/>
  <c r="G859" i="12"/>
  <c r="G860" i="12"/>
  <c r="H860" i="12" s="1"/>
  <c r="G861" i="12"/>
  <c r="G862" i="12"/>
  <c r="H862" i="12" s="1"/>
  <c r="G863" i="12"/>
  <c r="G864" i="12"/>
  <c r="G865" i="12"/>
  <c r="H865" i="12" s="1"/>
  <c r="G866" i="12"/>
  <c r="H866" i="12" s="1"/>
  <c r="G867" i="12"/>
  <c r="G868" i="12"/>
  <c r="G869" i="12"/>
  <c r="G870" i="12"/>
  <c r="H870" i="12" s="1"/>
  <c r="G871" i="12"/>
  <c r="H871" i="12" s="1"/>
  <c r="G872" i="12"/>
  <c r="G873" i="12"/>
  <c r="G874" i="12"/>
  <c r="H874" i="12" s="1"/>
  <c r="G875" i="12"/>
  <c r="G876" i="12"/>
  <c r="G877" i="12"/>
  <c r="H877" i="12" s="1"/>
  <c r="G878" i="12"/>
  <c r="G879" i="12"/>
  <c r="H879" i="12" s="1"/>
  <c r="G880" i="12"/>
  <c r="H880" i="12" s="1"/>
  <c r="G881" i="12"/>
  <c r="G882" i="12"/>
  <c r="H882" i="12" s="1"/>
  <c r="G883" i="12"/>
  <c r="G884" i="12"/>
  <c r="H884" i="12" s="1"/>
  <c r="G885" i="12"/>
  <c r="G886" i="12"/>
  <c r="G887" i="12"/>
  <c r="H887" i="12" s="1"/>
  <c r="G888" i="12"/>
  <c r="G889" i="12"/>
  <c r="H889" i="12" s="1"/>
  <c r="G890" i="12"/>
  <c r="G891" i="12"/>
  <c r="G892" i="12"/>
  <c r="G893" i="12"/>
  <c r="H893" i="12" s="1"/>
  <c r="G894" i="12"/>
  <c r="G895" i="12"/>
  <c r="H895" i="12" s="1"/>
  <c r="G896" i="12"/>
  <c r="H896" i="12" s="1"/>
  <c r="G897" i="12"/>
  <c r="G898" i="12"/>
  <c r="H898" i="12" s="1"/>
  <c r="G899" i="12"/>
  <c r="G900" i="12"/>
  <c r="G901" i="12"/>
  <c r="G902" i="12"/>
  <c r="G903" i="12"/>
  <c r="H903" i="12" s="1"/>
  <c r="G904" i="12"/>
  <c r="G905" i="12"/>
  <c r="G906" i="12"/>
  <c r="G907" i="12"/>
  <c r="H907" i="12" s="1"/>
  <c r="G908" i="12"/>
  <c r="H908" i="12" s="1"/>
  <c r="G909" i="12"/>
  <c r="G910" i="12"/>
  <c r="G911" i="12"/>
  <c r="G912" i="12"/>
  <c r="H912" i="12" s="1"/>
  <c r="G913" i="12"/>
  <c r="G914" i="12"/>
  <c r="G915" i="12"/>
  <c r="G916" i="12"/>
  <c r="H916" i="12" s="1"/>
  <c r="G917" i="12"/>
  <c r="G918" i="12"/>
  <c r="G919" i="12"/>
  <c r="H919" i="12" s="1"/>
  <c r="G920" i="12"/>
  <c r="G921" i="12"/>
  <c r="G922" i="12"/>
  <c r="G923" i="12"/>
  <c r="G924" i="12"/>
  <c r="G925" i="12"/>
  <c r="G926" i="12"/>
  <c r="G927" i="12"/>
  <c r="G928" i="12"/>
  <c r="G929" i="12"/>
  <c r="G930" i="12"/>
  <c r="G931" i="12"/>
  <c r="H931" i="12" s="1"/>
  <c r="G932" i="12"/>
  <c r="H932" i="12" s="1"/>
  <c r="G933" i="12"/>
  <c r="H933" i="12" s="1"/>
  <c r="G934" i="12"/>
  <c r="G935" i="12"/>
  <c r="G936" i="12"/>
  <c r="G937" i="12"/>
  <c r="G938" i="12"/>
  <c r="H938" i="12" s="1"/>
  <c r="G939" i="12"/>
  <c r="H939" i="12" s="1"/>
  <c r="G940" i="12"/>
  <c r="H940" i="12" s="1"/>
  <c r="G941" i="12"/>
  <c r="H941" i="12" s="1"/>
  <c r="G942" i="12"/>
  <c r="H942" i="12" s="1"/>
  <c r="G943" i="12"/>
  <c r="H943" i="12" s="1"/>
  <c r="G944" i="12"/>
  <c r="H944" i="12" s="1"/>
  <c r="G945" i="12"/>
  <c r="H945" i="12" s="1"/>
  <c r="G946" i="12"/>
  <c r="H946" i="12" s="1"/>
  <c r="G947" i="12"/>
  <c r="H947" i="12" s="1"/>
  <c r="G948" i="12"/>
  <c r="H948" i="12" s="1"/>
  <c r="G949" i="12"/>
  <c r="G950" i="12"/>
  <c r="H950" i="12" s="1"/>
  <c r="G951" i="12"/>
  <c r="H951" i="12" s="1"/>
  <c r="G952" i="12"/>
  <c r="H952" i="12" s="1"/>
  <c r="G953" i="12"/>
  <c r="H953" i="12" s="1"/>
  <c r="G954" i="12"/>
  <c r="G955" i="12"/>
  <c r="H955" i="12" s="1"/>
  <c r="G956" i="12"/>
  <c r="H956" i="12" s="1"/>
  <c r="G957" i="12"/>
  <c r="G958" i="12"/>
  <c r="H958" i="12" s="1"/>
  <c r="G959" i="12"/>
  <c r="H959" i="12" s="1"/>
  <c r="G960" i="12"/>
  <c r="G961" i="12"/>
  <c r="H961" i="12" s="1"/>
  <c r="G962" i="12"/>
  <c r="H962" i="12" s="1"/>
  <c r="G963" i="12"/>
  <c r="G964" i="12"/>
  <c r="H964" i="12" s="1"/>
  <c r="G965" i="12"/>
  <c r="H965" i="12" s="1"/>
  <c r="G966" i="12"/>
  <c r="H966" i="12" s="1"/>
  <c r="G967" i="12"/>
  <c r="H967" i="12" s="1"/>
  <c r="G968" i="12"/>
  <c r="G969" i="12"/>
  <c r="H969" i="12" s="1"/>
  <c r="G970" i="12"/>
  <c r="H970" i="12" s="1"/>
  <c r="G971" i="12"/>
  <c r="H971" i="12" s="1"/>
  <c r="G972" i="12"/>
  <c r="H972" i="12" s="1"/>
  <c r="G973" i="12"/>
  <c r="G974" i="12"/>
  <c r="G975" i="12"/>
  <c r="H975" i="12" s="1"/>
  <c r="G976" i="12"/>
  <c r="H976" i="12" s="1"/>
  <c r="G977" i="12"/>
  <c r="H977" i="12" s="1"/>
  <c r="G978" i="12"/>
  <c r="L2" i="12"/>
  <c r="I2" i="12"/>
  <c r="G2" i="12"/>
  <c r="H2" i="12" s="1"/>
  <c r="K3" i="11"/>
  <c r="K4" i="11"/>
  <c r="K5" i="11"/>
  <c r="K6" i="11"/>
  <c r="K7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H3" i="11"/>
  <c r="H4" i="11"/>
  <c r="H5" i="11"/>
  <c r="H6" i="11"/>
  <c r="H7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F3" i="11"/>
  <c r="G3" i="11" s="1"/>
  <c r="F4" i="11"/>
  <c r="G4" i="11" s="1"/>
  <c r="F5" i="11"/>
  <c r="G5" i="11" s="1"/>
  <c r="F6" i="11"/>
  <c r="G6" i="11" s="1"/>
  <c r="F7" i="11"/>
  <c r="G7" i="11" s="1"/>
  <c r="F9" i="11"/>
  <c r="F10" i="11"/>
  <c r="F11" i="11"/>
  <c r="G11" i="11" s="1"/>
  <c r="F12" i="11"/>
  <c r="G12" i="11" s="1"/>
  <c r="F13" i="11"/>
  <c r="G13" i="11" s="1"/>
  <c r="F14" i="11"/>
  <c r="F15" i="11"/>
  <c r="G15" i="11" s="1"/>
  <c r="F16" i="11"/>
  <c r="G16" i="11" s="1"/>
  <c r="F17" i="11"/>
  <c r="G17" i="11" s="1"/>
  <c r="F18" i="11"/>
  <c r="G18" i="11" s="1"/>
  <c r="F19" i="11"/>
  <c r="G19" i="11" s="1"/>
  <c r="F20" i="11"/>
  <c r="G20" i="11" s="1"/>
  <c r="F21" i="11"/>
  <c r="G21" i="11" s="1"/>
  <c r="F22" i="11"/>
  <c r="F23" i="11"/>
  <c r="G23" i="11" s="1"/>
  <c r="F24" i="11"/>
  <c r="F25" i="11"/>
  <c r="F26" i="11"/>
  <c r="G26" i="11" s="1"/>
  <c r="F27" i="11"/>
  <c r="G27" i="11" s="1"/>
  <c r="F28" i="11"/>
  <c r="G28" i="11" s="1"/>
  <c r="F29" i="11"/>
  <c r="F30" i="11"/>
  <c r="G30" i="11" s="1"/>
  <c r="F31" i="11"/>
  <c r="G31" i="11" s="1"/>
  <c r="F32" i="11"/>
  <c r="F33" i="11"/>
  <c r="G33" i="11" s="1"/>
  <c r="F35" i="11"/>
  <c r="G35" i="11" s="1"/>
  <c r="F36" i="11"/>
  <c r="G36" i="11" s="1"/>
  <c r="F37" i="11"/>
  <c r="G37" i="11" s="1"/>
  <c r="F38" i="11"/>
  <c r="G38" i="11" s="1"/>
  <c r="F39" i="11"/>
  <c r="G39" i="11" s="1"/>
  <c r="F40" i="11"/>
  <c r="G40" i="11" s="1"/>
  <c r="F41" i="11"/>
  <c r="G41" i="11" s="1"/>
  <c r="F42" i="11"/>
  <c r="G42" i="11" s="1"/>
  <c r="F43" i="11"/>
  <c r="F44" i="11"/>
  <c r="G44" i="11" s="1"/>
  <c r="F45" i="11"/>
  <c r="G45" i="11" s="1"/>
  <c r="F46" i="11"/>
  <c r="G46" i="11" s="1"/>
  <c r="F47" i="11"/>
  <c r="G47" i="11" s="1"/>
  <c r="F48" i="11"/>
  <c r="G48" i="11" s="1"/>
  <c r="K2" i="11"/>
  <c r="H2" i="11"/>
  <c r="F2" i="11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F85" i="4"/>
  <c r="AH85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AU85" i="4"/>
  <c r="BT85" i="4"/>
  <c r="BU85" i="4"/>
  <c r="BW85" i="4"/>
  <c r="BX85" i="4"/>
  <c r="BY85" i="4"/>
  <c r="BZ85" i="4"/>
  <c r="CA85" i="4"/>
  <c r="CB85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Y76" i="4"/>
  <c r="Z76" i="4"/>
  <c r="AA76" i="4"/>
  <c r="AB76" i="4"/>
  <c r="AC76" i="4"/>
  <c r="AF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BT76" i="4"/>
  <c r="BU76" i="4"/>
  <c r="BW76" i="4"/>
  <c r="BX76" i="4"/>
  <c r="BY76" i="4"/>
  <c r="BZ76" i="4"/>
  <c r="CA76" i="4"/>
  <c r="CB76" i="4"/>
  <c r="H76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F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BT54" i="4"/>
  <c r="BU54" i="4"/>
  <c r="BW54" i="4"/>
  <c r="BX54" i="4"/>
  <c r="BY54" i="4"/>
  <c r="BZ54" i="4"/>
  <c r="CA54" i="4"/>
  <c r="CB54" i="4"/>
  <c r="H54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W88" i="4" s="1"/>
  <c r="X11" i="4"/>
  <c r="X88" i="4" s="1"/>
  <c r="Y11" i="4"/>
  <c r="Y88" i="4" s="1"/>
  <c r="Z11" i="4"/>
  <c r="Z88" i="4" s="1"/>
  <c r="AA11" i="4"/>
  <c r="AA88" i="4" s="1"/>
  <c r="AB11" i="4"/>
  <c r="AB88" i="4" s="1"/>
  <c r="AC11" i="4"/>
  <c r="AC88" i="4" s="1"/>
  <c r="AF11" i="4"/>
  <c r="AF88" i="4" s="1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BT11" i="4"/>
  <c r="BU11" i="4"/>
  <c r="BW11" i="4"/>
  <c r="BX11" i="4"/>
  <c r="BY11" i="4"/>
  <c r="BZ11" i="4"/>
  <c r="CA11" i="4"/>
  <c r="CB11" i="4"/>
  <c r="H11" i="4"/>
  <c r="C3" i="6"/>
  <c r="G251" i="8" a="1"/>
  <c r="G251" i="8" s="1"/>
  <c r="G252" i="8" a="1"/>
  <c r="G252" i="8" s="1"/>
  <c r="G253" i="8" a="1"/>
  <c r="G253" i="8" s="1"/>
  <c r="G254" i="8" a="1"/>
  <c r="G254" i="8" s="1"/>
  <c r="G171" i="8" a="1"/>
  <c r="G171" i="8" s="1"/>
  <c r="G172" i="8" a="1"/>
  <c r="G172" i="8" s="1"/>
  <c r="G173" i="8" a="1"/>
  <c r="G173" i="8" s="1"/>
  <c r="G174" i="8" a="1"/>
  <c r="G174" i="8" s="1"/>
  <c r="G175" i="8" a="1"/>
  <c r="G175" i="8" s="1"/>
  <c r="G176" i="8" a="1"/>
  <c r="G176" i="8" s="1"/>
  <c r="G177" i="8" a="1"/>
  <c r="G177" i="8" s="1"/>
  <c r="G178" i="8" a="1"/>
  <c r="G178" i="8" s="1"/>
  <c r="G1425" i="8" a="1"/>
  <c r="G1425" i="8" s="1"/>
  <c r="G1424" i="8" a="1"/>
  <c r="G1424" i="8" s="1"/>
  <c r="G1423" i="8" a="1"/>
  <c r="G1423" i="8" s="1"/>
  <c r="G1422" i="8" a="1"/>
  <c r="G1422" i="8" s="1"/>
  <c r="G1421" i="8" a="1"/>
  <c r="G1421" i="8" s="1"/>
  <c r="G1420" i="8" a="1"/>
  <c r="G1420" i="8" s="1"/>
  <c r="G1419" i="8" a="1"/>
  <c r="G1419" i="8" s="1"/>
  <c r="G1418" i="8" a="1"/>
  <c r="G1418" i="8" s="1"/>
  <c r="G1417" i="8" a="1"/>
  <c r="G1417" i="8" s="1"/>
  <c r="G1416" i="8" a="1"/>
  <c r="G1416" i="8" s="1"/>
  <c r="G1415" i="8" a="1"/>
  <c r="G1415" i="8" s="1"/>
  <c r="G1414" i="8" a="1"/>
  <c r="G1414" i="8" s="1"/>
  <c r="G1413" i="8" a="1"/>
  <c r="G1413" i="8" s="1"/>
  <c r="G1412" i="8" a="1"/>
  <c r="G1412" i="8" s="1"/>
  <c r="G1411" i="8" a="1"/>
  <c r="G1411" i="8" s="1"/>
  <c r="G1410" i="8" a="1"/>
  <c r="G1410" i="8" s="1"/>
  <c r="G1409" i="8" a="1"/>
  <c r="G1409" i="8" s="1"/>
  <c r="G1408" i="8" a="1"/>
  <c r="G1408" i="8" s="1"/>
  <c r="G1407" i="8" a="1"/>
  <c r="G1407" i="8" s="1"/>
  <c r="G1406" i="8" a="1"/>
  <c r="G1406" i="8" s="1"/>
  <c r="G1405" i="8" a="1"/>
  <c r="G1405" i="8" s="1"/>
  <c r="G1404" i="8" a="1"/>
  <c r="G1404" i="8" s="1"/>
  <c r="G1403" i="8" a="1"/>
  <c r="G1403" i="8" s="1"/>
  <c r="G1402" i="8" a="1"/>
  <c r="G1402" i="8" s="1"/>
  <c r="G1401" i="8" a="1"/>
  <c r="G1401" i="8" s="1"/>
  <c r="G1400" i="8" a="1"/>
  <c r="G1400" i="8" s="1"/>
  <c r="G1399" i="8" a="1"/>
  <c r="G1399" i="8" s="1"/>
  <c r="G1398" i="8" a="1"/>
  <c r="G1398" i="8" s="1"/>
  <c r="G1397" i="8" a="1"/>
  <c r="G1397" i="8" s="1"/>
  <c r="G1396" i="8" a="1"/>
  <c r="G1396" i="8" s="1"/>
  <c r="G1395" i="8" a="1"/>
  <c r="G1395" i="8" s="1"/>
  <c r="G1394" i="8" a="1"/>
  <c r="G1394" i="8" s="1"/>
  <c r="G1393" i="8" a="1"/>
  <c r="G1393" i="8" s="1"/>
  <c r="G1392" i="8" a="1"/>
  <c r="G1392" i="8" s="1"/>
  <c r="G1391" i="8" a="1"/>
  <c r="G1391" i="8" s="1"/>
  <c r="G1390" i="8" a="1"/>
  <c r="G1390" i="8" s="1"/>
  <c r="G1389" i="8" a="1"/>
  <c r="G1389" i="8" s="1"/>
  <c r="G1388" i="8" a="1"/>
  <c r="G1388" i="8" s="1"/>
  <c r="G1387" i="8" a="1"/>
  <c r="G1387" i="8" s="1"/>
  <c r="G1386" i="8" a="1"/>
  <c r="G1386" i="8" s="1"/>
  <c r="G1385" i="8" a="1"/>
  <c r="G1385" i="8" s="1"/>
  <c r="G1384" i="8" a="1"/>
  <c r="G1384" i="8" s="1"/>
  <c r="G1383" i="8" a="1"/>
  <c r="G1383" i="8" s="1"/>
  <c r="G1382" i="8" a="1"/>
  <c r="G1382" i="8" s="1"/>
  <c r="G1381" i="8" a="1"/>
  <c r="G1381" i="8" s="1"/>
  <c r="G1380" i="8" a="1"/>
  <c r="G1380" i="8" s="1"/>
  <c r="G1379" i="8" a="1"/>
  <c r="G1379" i="8" s="1"/>
  <c r="G1378" i="8" a="1"/>
  <c r="G1378" i="8" s="1"/>
  <c r="G1377" i="8" a="1"/>
  <c r="G1377" i="8" s="1"/>
  <c r="G1376" i="8" a="1"/>
  <c r="G1376" i="8" s="1"/>
  <c r="G1375" i="8" a="1"/>
  <c r="G1375" i="8" s="1"/>
  <c r="G1374" i="8" a="1"/>
  <c r="G1374" i="8" s="1"/>
  <c r="G1373" i="8" a="1"/>
  <c r="G1373" i="8" s="1"/>
  <c r="G1372" i="8" a="1"/>
  <c r="G1372" i="8" s="1"/>
  <c r="G1371" i="8" a="1"/>
  <c r="G1371" i="8" s="1"/>
  <c r="G1370" i="8" a="1"/>
  <c r="G1370" i="8" s="1"/>
  <c r="G1369" i="8" a="1"/>
  <c r="G1369" i="8" s="1"/>
  <c r="G1368" i="8" a="1"/>
  <c r="G1368" i="8" s="1"/>
  <c r="G1367" i="8" a="1"/>
  <c r="G1367" i="8" s="1"/>
  <c r="G1366" i="8" a="1"/>
  <c r="G1366" i="8" s="1"/>
  <c r="G1365" i="8" a="1"/>
  <c r="G1365" i="8" s="1"/>
  <c r="G1364" i="8" a="1"/>
  <c r="G1364" i="8" s="1"/>
  <c r="G1363" i="8" a="1"/>
  <c r="G1363" i="8" s="1"/>
  <c r="G1362" i="8" a="1"/>
  <c r="G1362" i="8" s="1"/>
  <c r="G1361" i="8" a="1"/>
  <c r="G1361" i="8" s="1"/>
  <c r="G1360" i="8" a="1"/>
  <c r="G1360" i="8" s="1"/>
  <c r="G1359" i="8" a="1"/>
  <c r="G1359" i="8" s="1"/>
  <c r="G1358" i="8" a="1"/>
  <c r="G1358" i="8" s="1"/>
  <c r="G1357" i="8" a="1"/>
  <c r="G1357" i="8" s="1"/>
  <c r="G1356" i="8" a="1"/>
  <c r="G1356" i="8" s="1"/>
  <c r="G1355" i="8" a="1"/>
  <c r="G1355" i="8" s="1"/>
  <c r="G1354" i="8" a="1"/>
  <c r="G1354" i="8" s="1"/>
  <c r="G1353" i="8" a="1"/>
  <c r="G1353" i="8" s="1"/>
  <c r="G1352" i="8" a="1"/>
  <c r="G1352" i="8" s="1"/>
  <c r="G1351" i="8" a="1"/>
  <c r="G1351" i="8" s="1"/>
  <c r="G1350" i="8" a="1"/>
  <c r="G1350" i="8" s="1"/>
  <c r="G1349" i="8" a="1"/>
  <c r="G1349" i="8" s="1"/>
  <c r="G1348" i="8" a="1"/>
  <c r="G1348" i="8" s="1"/>
  <c r="G1347" i="8" a="1"/>
  <c r="G1347" i="8" s="1"/>
  <c r="G1346" i="8" a="1"/>
  <c r="G1346" i="8" s="1"/>
  <c r="G1345" i="8" a="1"/>
  <c r="G1345" i="8" s="1"/>
  <c r="G1344" i="8" a="1"/>
  <c r="G1344" i="8" s="1"/>
  <c r="G1343" i="8" a="1"/>
  <c r="G1343" i="8" s="1"/>
  <c r="G1342" i="8" a="1"/>
  <c r="G1342" i="8" s="1"/>
  <c r="G1341" i="8" a="1"/>
  <c r="G1341" i="8" s="1"/>
  <c r="G1340" i="8" a="1"/>
  <c r="G1340" i="8" s="1"/>
  <c r="G1339" i="8" a="1"/>
  <c r="G1339" i="8" s="1"/>
  <c r="G1338" i="8" a="1"/>
  <c r="G1338" i="8" s="1"/>
  <c r="G1337" i="8" a="1"/>
  <c r="G1337" i="8" s="1"/>
  <c r="G1336" i="8" a="1"/>
  <c r="G1336" i="8" s="1"/>
  <c r="G1335" i="8" a="1"/>
  <c r="G1335" i="8" s="1"/>
  <c r="G1334" i="8" a="1"/>
  <c r="G1334" i="8" s="1"/>
  <c r="G1333" i="8" a="1"/>
  <c r="G1333" i="8" s="1"/>
  <c r="G1332" i="8" a="1"/>
  <c r="G1332" i="8" s="1"/>
  <c r="G1331" i="8" a="1"/>
  <c r="G1331" i="8" s="1"/>
  <c r="G1330" i="8" a="1"/>
  <c r="G1330" i="8" s="1"/>
  <c r="G1329" i="8" a="1"/>
  <c r="G1329" i="8" s="1"/>
  <c r="G1328" i="8" a="1"/>
  <c r="G1328" i="8" s="1"/>
  <c r="G1327" i="8" a="1"/>
  <c r="G1327" i="8" s="1"/>
  <c r="G1326" i="8" a="1"/>
  <c r="G1326" i="8" s="1"/>
  <c r="G1325" i="8" a="1"/>
  <c r="G1325" i="8" s="1"/>
  <c r="G1324" i="8" a="1"/>
  <c r="G1324" i="8" s="1"/>
  <c r="G1323" i="8" a="1"/>
  <c r="G1323" i="8" s="1"/>
  <c r="G1322" i="8" a="1"/>
  <c r="G1322" i="8" s="1"/>
  <c r="G1321" i="8" a="1"/>
  <c r="G1321" i="8" s="1"/>
  <c r="G1320" i="8" a="1"/>
  <c r="G1320" i="8" s="1"/>
  <c r="G1319" i="8" a="1"/>
  <c r="G1319" i="8" s="1"/>
  <c r="G1318" i="8" a="1"/>
  <c r="G1318" i="8" s="1"/>
  <c r="G1317" i="8" a="1"/>
  <c r="G1317" i="8" s="1"/>
  <c r="G1316" i="8" a="1"/>
  <c r="G1316" i="8" s="1"/>
  <c r="G1315" i="8" a="1"/>
  <c r="G1315" i="8" s="1"/>
  <c r="G1314" i="8" a="1"/>
  <c r="G1314" i="8" s="1"/>
  <c r="G1313" i="8" a="1"/>
  <c r="G1313" i="8" s="1"/>
  <c r="G1312" i="8" a="1"/>
  <c r="G1312" i="8" s="1"/>
  <c r="G1311" i="8" a="1"/>
  <c r="G1311" i="8" s="1"/>
  <c r="G1310" i="8" a="1"/>
  <c r="G1310" i="8" s="1"/>
  <c r="G1309" i="8" a="1"/>
  <c r="G1309" i="8" s="1"/>
  <c r="G1308" i="8" a="1"/>
  <c r="G1308" i="8" s="1"/>
  <c r="G1307" i="8" a="1"/>
  <c r="G1307" i="8" s="1"/>
  <c r="G1306" i="8" a="1"/>
  <c r="G1306" i="8" s="1"/>
  <c r="G1305" i="8" a="1"/>
  <c r="G1305" i="8" s="1"/>
  <c r="G1304" i="8" a="1"/>
  <c r="G1304" i="8" s="1"/>
  <c r="G1303" i="8" a="1"/>
  <c r="G1303" i="8" s="1"/>
  <c r="G1302" i="8" a="1"/>
  <c r="G1302" i="8" s="1"/>
  <c r="G1299" i="8" a="1"/>
  <c r="G1299" i="8" s="1"/>
  <c r="G1298" i="8" a="1"/>
  <c r="G1298" i="8" s="1"/>
  <c r="G1297" i="8" a="1"/>
  <c r="G1297" i="8" s="1"/>
  <c r="G1296" i="8" a="1"/>
  <c r="G1296" i="8" s="1"/>
  <c r="G1295" i="8" a="1"/>
  <c r="G1295" i="8" s="1"/>
  <c r="G1293" i="8" a="1"/>
  <c r="G1293" i="8" s="1"/>
  <c r="G1292" i="8" a="1"/>
  <c r="G1292" i="8" s="1"/>
  <c r="G1291" i="8" a="1"/>
  <c r="G1291" i="8" s="1"/>
  <c r="G1290" i="8" a="1"/>
  <c r="G1290" i="8" s="1"/>
  <c r="G1289" i="8" a="1"/>
  <c r="G1289" i="8" s="1"/>
  <c r="G1288" i="8" a="1"/>
  <c r="G1288" i="8" s="1"/>
  <c r="G1287" i="8" a="1"/>
  <c r="G1287" i="8" s="1"/>
  <c r="G1286" i="8" a="1"/>
  <c r="G1286" i="8" s="1"/>
  <c r="G1285" i="8" a="1"/>
  <c r="G1285" i="8" s="1"/>
  <c r="G1284" i="8" a="1"/>
  <c r="G1284" i="8" s="1"/>
  <c r="G1283" i="8" a="1"/>
  <c r="G1283" i="8" s="1"/>
  <c r="G1282" i="8" a="1"/>
  <c r="G1282" i="8" s="1"/>
  <c r="G1281" i="8" a="1"/>
  <c r="G1281" i="8" s="1"/>
  <c r="G1280" i="8" a="1"/>
  <c r="G1280" i="8" s="1"/>
  <c r="G1279" i="8" a="1"/>
  <c r="G1279" i="8" s="1"/>
  <c r="G1278" i="8" a="1"/>
  <c r="G1278" i="8" s="1"/>
  <c r="G1277" i="8" a="1"/>
  <c r="G1277" i="8" s="1"/>
  <c r="G1274" i="8" a="1"/>
  <c r="G1274" i="8" s="1"/>
  <c r="G1273" i="8" a="1"/>
  <c r="G1273" i="8" s="1"/>
  <c r="G1272" i="8" a="1"/>
  <c r="G1272" i="8" s="1"/>
  <c r="G764" i="8" a="1"/>
  <c r="G764" i="8" s="1"/>
  <c r="G763" i="8" a="1"/>
  <c r="G763" i="8" s="1"/>
  <c r="G762" i="8" a="1"/>
  <c r="G762" i="8" s="1"/>
  <c r="G761" i="8" a="1"/>
  <c r="G761" i="8" s="1"/>
  <c r="G760" i="8" a="1"/>
  <c r="G760" i="8" s="1"/>
  <c r="G759" i="8" a="1"/>
  <c r="G759" i="8" s="1"/>
  <c r="G758" i="8" a="1"/>
  <c r="G758" i="8" s="1"/>
  <c r="G256" i="8" a="1"/>
  <c r="G256" i="8" s="1"/>
  <c r="G757" i="8" a="1"/>
  <c r="G757" i="8" s="1"/>
  <c r="G756" i="8" a="1"/>
  <c r="G756" i="8" s="1"/>
  <c r="G755" i="8" a="1"/>
  <c r="G755" i="8" s="1"/>
  <c r="G754" i="8" a="1"/>
  <c r="G754" i="8" s="1"/>
  <c r="G753" i="8" a="1"/>
  <c r="G753" i="8" s="1"/>
  <c r="G255" i="8" a="1"/>
  <c r="G255" i="8" s="1"/>
  <c r="G752" i="8" a="1"/>
  <c r="G752" i="8" s="1"/>
  <c r="G751" i="8" a="1"/>
  <c r="G751" i="8" s="1"/>
  <c r="G750" i="8" a="1"/>
  <c r="G750" i="8" s="1"/>
  <c r="G749" i="8" a="1"/>
  <c r="G749" i="8" s="1"/>
  <c r="G93" i="8" a="1"/>
  <c r="G93" i="8" s="1"/>
  <c r="G748" i="8" a="1"/>
  <c r="G748" i="8" s="1"/>
  <c r="G747" i="8" a="1"/>
  <c r="G747" i="8" s="1"/>
  <c r="G746" i="8" a="1"/>
  <c r="G746" i="8" s="1"/>
  <c r="G250" i="8" a="1"/>
  <c r="G250" i="8" s="1"/>
  <c r="G161" i="8" a="1"/>
  <c r="G161" i="8" s="1"/>
  <c r="G249" i="8" a="1"/>
  <c r="G249" i="8" s="1"/>
  <c r="G745" i="8" a="1"/>
  <c r="G745" i="8" s="1"/>
  <c r="G744" i="8" a="1"/>
  <c r="G744" i="8" s="1"/>
  <c r="G743" i="8" a="1"/>
  <c r="G743" i="8" s="1"/>
  <c r="G742" i="8" a="1"/>
  <c r="G742" i="8" s="1"/>
  <c r="G741" i="8" a="1"/>
  <c r="G741" i="8" s="1"/>
  <c r="G740" i="8" a="1"/>
  <c r="G740" i="8" s="1"/>
  <c r="G739" i="8" a="1"/>
  <c r="G739" i="8" s="1"/>
  <c r="G80" i="8" a="1"/>
  <c r="G80" i="8" s="1"/>
  <c r="G738" i="8" a="1"/>
  <c r="G738" i="8" s="1"/>
  <c r="G737" i="8" a="1"/>
  <c r="G737" i="8" s="1"/>
  <c r="G736" i="8" a="1"/>
  <c r="G736" i="8" s="1"/>
  <c r="G879" i="8" a="1"/>
  <c r="G879" i="8" s="1"/>
  <c r="G878" i="8" a="1"/>
  <c r="G878" i="8" s="1"/>
  <c r="G735" i="8" a="1"/>
  <c r="G735" i="8" s="1"/>
  <c r="G734" i="8" a="1"/>
  <c r="G734" i="8" s="1"/>
  <c r="G733" i="8" a="1"/>
  <c r="G733" i="8" s="1"/>
  <c r="G732" i="8" a="1"/>
  <c r="G732" i="8" s="1"/>
  <c r="G731" i="8" a="1"/>
  <c r="G731" i="8" s="1"/>
  <c r="G730" i="8" a="1"/>
  <c r="G730" i="8" s="1"/>
  <c r="G729" i="8" a="1"/>
  <c r="G729" i="8" s="1"/>
  <c r="G728" i="8" a="1"/>
  <c r="G728" i="8" s="1"/>
  <c r="G248" i="8" a="1"/>
  <c r="G248" i="8" s="1"/>
  <c r="G727" i="8" a="1"/>
  <c r="G727" i="8" s="1"/>
  <c r="G726" i="8" a="1"/>
  <c r="G726" i="8" s="1"/>
  <c r="G725" i="8" a="1"/>
  <c r="G725" i="8" s="1"/>
  <c r="G724" i="8" a="1"/>
  <c r="G724" i="8" s="1"/>
  <c r="G723" i="8" a="1"/>
  <c r="G723" i="8" s="1"/>
  <c r="G722" i="8" a="1"/>
  <c r="G722" i="8" s="1"/>
  <c r="G720" i="8" a="1"/>
  <c r="G720" i="8" s="1"/>
  <c r="G719" i="8" a="1"/>
  <c r="G719" i="8" s="1"/>
  <c r="G718" i="8" a="1"/>
  <c r="G718" i="8" s="1"/>
  <c r="G717" i="8" a="1"/>
  <c r="G717" i="8" s="1"/>
  <c r="G716" i="8" a="1"/>
  <c r="G716" i="8" s="1"/>
  <c r="G129" i="8" a="1"/>
  <c r="G129" i="8" s="1"/>
  <c r="G128" i="8" a="1"/>
  <c r="G128" i="8" s="1"/>
  <c r="G715" i="8" a="1"/>
  <c r="G715" i="8" s="1"/>
  <c r="G714" i="8" a="1"/>
  <c r="G714" i="8" s="1"/>
  <c r="G713" i="8" a="1"/>
  <c r="G713" i="8" s="1"/>
  <c r="G712" i="8" a="1"/>
  <c r="G712" i="8" s="1"/>
  <c r="G710" i="8" a="1"/>
  <c r="G710" i="8" s="1"/>
  <c r="G709" i="8" a="1"/>
  <c r="G709" i="8" s="1"/>
  <c r="G708" i="8" a="1"/>
  <c r="G708" i="8" s="1"/>
  <c r="G136" i="8" a="1"/>
  <c r="G136" i="8" s="1"/>
  <c r="G707" i="8" a="1"/>
  <c r="G707" i="8" s="1"/>
  <c r="G706" i="8" a="1"/>
  <c r="G706" i="8" s="1"/>
  <c r="G705" i="8" a="1"/>
  <c r="G705" i="8" s="1"/>
  <c r="G704" i="8" a="1"/>
  <c r="G704" i="8" s="1"/>
  <c r="G703" i="8" a="1"/>
  <c r="G703" i="8" s="1"/>
  <c r="G702" i="8" a="1"/>
  <c r="G702" i="8" s="1"/>
  <c r="G701" i="8" a="1"/>
  <c r="G701" i="8" s="1"/>
  <c r="G700" i="8" a="1"/>
  <c r="G700" i="8" s="1"/>
  <c r="G877" i="8" a="1"/>
  <c r="G877" i="8" s="1"/>
  <c r="G699" i="8" a="1"/>
  <c r="G699" i="8" s="1"/>
  <c r="G698" i="8" a="1"/>
  <c r="G698" i="8" s="1"/>
  <c r="G697" i="8" a="1"/>
  <c r="G697" i="8" s="1"/>
  <c r="G696" i="8" a="1"/>
  <c r="G696" i="8" s="1"/>
  <c r="G695" i="8" a="1"/>
  <c r="G695" i="8" s="1"/>
  <c r="G694" i="8" a="1"/>
  <c r="G694" i="8" s="1"/>
  <c r="G693" i="8" a="1"/>
  <c r="G693" i="8" s="1"/>
  <c r="G692" i="8" a="1"/>
  <c r="G692" i="8" s="1"/>
  <c r="G691" i="8" a="1"/>
  <c r="G691" i="8" s="1"/>
  <c r="G690" i="8" a="1"/>
  <c r="G690" i="8" s="1"/>
  <c r="G126" i="8" a="1"/>
  <c r="G126" i="8" s="1"/>
  <c r="G689" i="8" a="1"/>
  <c r="G689" i="8" s="1"/>
  <c r="G688" i="8" a="1"/>
  <c r="G688" i="8" s="1"/>
  <c r="G687" i="8" a="1"/>
  <c r="G687" i="8" s="1"/>
  <c r="G686" i="8" a="1"/>
  <c r="G686" i="8" s="1"/>
  <c r="G685" i="8" a="1"/>
  <c r="G685" i="8" s="1"/>
  <c r="G684" i="8" a="1"/>
  <c r="G684" i="8" s="1"/>
  <c r="G683" i="8" a="1"/>
  <c r="G683" i="8" s="1"/>
  <c r="G682" i="8" a="1"/>
  <c r="G682" i="8" s="1"/>
  <c r="G681" i="8" a="1"/>
  <c r="G681" i="8" s="1"/>
  <c r="G680" i="8" a="1"/>
  <c r="G680" i="8" s="1"/>
  <c r="G679" i="8" a="1"/>
  <c r="G679" i="8" s="1"/>
  <c r="G678" i="8" a="1"/>
  <c r="G678" i="8" s="1"/>
  <c r="G677" i="8" a="1"/>
  <c r="G677" i="8" s="1"/>
  <c r="G674" i="8" a="1"/>
  <c r="G674" i="8" s="1"/>
  <c r="G673" i="8" a="1"/>
  <c r="G673" i="8" s="1"/>
  <c r="G92" i="8" a="1"/>
  <c r="G92" i="8" s="1"/>
  <c r="G670" i="8" a="1"/>
  <c r="G670" i="8" s="1"/>
  <c r="G669" i="8" a="1"/>
  <c r="G669" i="8" s="1"/>
  <c r="G668" i="8" a="1"/>
  <c r="G668" i="8" s="1"/>
  <c r="G667" i="8" a="1"/>
  <c r="G667" i="8" s="1"/>
  <c r="G666" i="8" a="1"/>
  <c r="G666" i="8" s="1"/>
  <c r="G665" i="8" a="1"/>
  <c r="G665" i="8" s="1"/>
  <c r="G664" i="8" a="1"/>
  <c r="G664" i="8" s="1"/>
  <c r="G132" i="8" a="1"/>
  <c r="G132" i="8" s="1"/>
  <c r="G662" i="8" a="1"/>
  <c r="G662" i="8" s="1"/>
  <c r="G661" i="8" a="1"/>
  <c r="G661" i="8" s="1"/>
  <c r="G660" i="8" a="1"/>
  <c r="G660" i="8" s="1"/>
  <c r="G170" i="8" a="1"/>
  <c r="G170" i="8" s="1"/>
  <c r="G79" i="8" a="1"/>
  <c r="G79" i="8" s="1"/>
  <c r="G659" i="8" a="1"/>
  <c r="G659" i="8" s="1"/>
  <c r="G657" i="8" a="1"/>
  <c r="G657" i="8" s="1"/>
  <c r="G656" i="8" a="1"/>
  <c r="G656" i="8" s="1"/>
  <c r="G876" i="8" a="1"/>
  <c r="G876" i="8" s="1"/>
  <c r="G655" i="8" a="1"/>
  <c r="G655" i="8" s="1"/>
  <c r="G654" i="8" a="1"/>
  <c r="G654" i="8" s="1"/>
  <c r="G653" i="8" a="1"/>
  <c r="G653" i="8" s="1"/>
  <c r="G652" i="8" a="1"/>
  <c r="G652" i="8" s="1"/>
  <c r="G651" i="8" a="1"/>
  <c r="G651" i="8" s="1"/>
  <c r="G650" i="8" a="1"/>
  <c r="G650" i="8" s="1"/>
  <c r="G649" i="8" a="1"/>
  <c r="G649" i="8" s="1"/>
  <c r="G648" i="8" a="1"/>
  <c r="G648" i="8" s="1"/>
  <c r="G647" i="8" a="1"/>
  <c r="G647" i="8" s="1"/>
  <c r="G646" i="8" a="1"/>
  <c r="G646" i="8" s="1"/>
  <c r="G645" i="8" a="1"/>
  <c r="G645" i="8" s="1"/>
  <c r="G644" i="8" a="1"/>
  <c r="G644" i="8" s="1"/>
  <c r="G643" i="8" a="1"/>
  <c r="G643" i="8" s="1"/>
  <c r="G78" i="8" a="1"/>
  <c r="G78" i="8" s="1"/>
  <c r="G642" i="8" a="1"/>
  <c r="G642" i="8" s="1"/>
  <c r="G91" i="8" a="1"/>
  <c r="G91" i="8" s="1"/>
  <c r="G77" i="8" a="1"/>
  <c r="G77" i="8" s="1"/>
  <c r="G641" i="8" a="1"/>
  <c r="G641" i="8" s="1"/>
  <c r="G158" i="8" a="1"/>
  <c r="G158" i="8" s="1"/>
  <c r="G125" i="8" a="1"/>
  <c r="G125" i="8" s="1"/>
  <c r="G639" i="8" a="1"/>
  <c r="G639" i="8" s="1"/>
  <c r="G124" i="8" a="1"/>
  <c r="G124" i="8" s="1"/>
  <c r="G638" i="8" a="1"/>
  <c r="G638" i="8" s="1"/>
  <c r="G637" i="8" a="1"/>
  <c r="G637" i="8" s="1"/>
  <c r="G636" i="8" a="1"/>
  <c r="G636" i="8" s="1"/>
  <c r="G635" i="8" a="1"/>
  <c r="G635" i="8" s="1"/>
  <c r="G634" i="8" a="1"/>
  <c r="G634" i="8" s="1"/>
  <c r="G633" i="8" a="1"/>
  <c r="G633" i="8" s="1"/>
  <c r="G131" i="8" a="1"/>
  <c r="G131" i="8" s="1"/>
  <c r="G632" i="8" a="1"/>
  <c r="G632" i="8" s="1"/>
  <c r="G631" i="8" a="1"/>
  <c r="G631" i="8" s="1"/>
  <c r="G90" i="8" a="1"/>
  <c r="G90" i="8" s="1"/>
  <c r="G630" i="8" a="1"/>
  <c r="G630" i="8" s="1"/>
  <c r="G629" i="8" a="1"/>
  <c r="G629" i="8" s="1"/>
  <c r="G123" i="8" a="1"/>
  <c r="G123" i="8" s="1"/>
  <c r="G628" i="8" a="1"/>
  <c r="G628" i="8" s="1"/>
  <c r="G130" i="8" a="1"/>
  <c r="G130" i="8" s="1"/>
  <c r="G627" i="8" a="1"/>
  <c r="G627" i="8" s="1"/>
  <c r="G626" i="8" a="1"/>
  <c r="G626" i="8" s="1"/>
  <c r="G625" i="8" a="1"/>
  <c r="G625" i="8" s="1"/>
  <c r="G623" i="8" a="1"/>
  <c r="G623" i="8" s="1"/>
  <c r="G621" i="8" a="1"/>
  <c r="G621" i="8" s="1"/>
  <c r="G620" i="8" a="1"/>
  <c r="G620" i="8" s="1"/>
  <c r="G855" i="8" a="1"/>
  <c r="G855" i="8" s="1"/>
  <c r="G122" i="8" a="1"/>
  <c r="G122" i="8" s="1"/>
  <c r="G619" i="8" a="1"/>
  <c r="G619" i="8" s="1"/>
  <c r="G76" i="8" a="1"/>
  <c r="G76" i="8" s="1"/>
  <c r="G75" i="8" a="1"/>
  <c r="G75" i="8" s="1"/>
  <c r="G74" i="8" a="1"/>
  <c r="G74" i="8" s="1"/>
  <c r="G121" i="8" a="1"/>
  <c r="G121" i="8" s="1"/>
  <c r="G618" i="8" a="1"/>
  <c r="G618" i="8" s="1"/>
  <c r="G617" i="8" a="1"/>
  <c r="G617" i="8" s="1"/>
  <c r="G616" i="8" a="1"/>
  <c r="G616" i="8" s="1"/>
  <c r="G615" i="8" a="1"/>
  <c r="G615" i="8" s="1"/>
  <c r="G73" i="8" a="1"/>
  <c r="G73" i="8" s="1"/>
  <c r="G614" i="8" a="1"/>
  <c r="G614" i="8" s="1"/>
  <c r="G613" i="8" a="1"/>
  <c r="G613" i="8" s="1"/>
  <c r="G612" i="8" a="1"/>
  <c r="G612" i="8" s="1"/>
  <c r="G858" i="8" a="1"/>
  <c r="G858" i="8" s="1"/>
  <c r="G611" i="8" a="1"/>
  <c r="G611" i="8" s="1"/>
  <c r="G610" i="8" a="1"/>
  <c r="G610" i="8" s="1"/>
  <c r="G609" i="8" a="1"/>
  <c r="G609" i="8" s="1"/>
  <c r="G608" i="8" a="1"/>
  <c r="G608" i="8" s="1"/>
  <c r="G607" i="8" a="1"/>
  <c r="G607" i="8" s="1"/>
  <c r="G606" i="8" a="1"/>
  <c r="G606" i="8" s="1"/>
  <c r="G605" i="8" a="1"/>
  <c r="G605" i="8" s="1"/>
  <c r="G604" i="8" a="1"/>
  <c r="G604" i="8" s="1"/>
  <c r="G603" i="8" a="1"/>
  <c r="G603" i="8" s="1"/>
  <c r="G602" i="8" a="1"/>
  <c r="G602" i="8" s="1"/>
  <c r="G601" i="8" a="1"/>
  <c r="G601" i="8" s="1"/>
  <c r="G600" i="8" a="1"/>
  <c r="G600" i="8" s="1"/>
  <c r="G599" i="8" a="1"/>
  <c r="G599" i="8" s="1"/>
  <c r="G120" i="8" a="1"/>
  <c r="G120" i="8" s="1"/>
  <c r="G119" i="8" a="1"/>
  <c r="G119" i="8" s="1"/>
  <c r="G598" i="8" a="1"/>
  <c r="G598" i="8" s="1"/>
  <c r="G597" i="8" a="1"/>
  <c r="G597" i="8" s="1"/>
  <c r="G596" i="8" a="1"/>
  <c r="G596" i="8" s="1"/>
  <c r="G118" i="8" a="1"/>
  <c r="G118" i="8" s="1"/>
  <c r="G595" i="8" a="1"/>
  <c r="G595" i="8" s="1"/>
  <c r="G594" i="8" a="1"/>
  <c r="G594" i="8" s="1"/>
  <c r="G593" i="8" a="1"/>
  <c r="G593" i="8" s="1"/>
  <c r="G592" i="8" a="1"/>
  <c r="G592" i="8" s="1"/>
  <c r="G591" i="8" a="1"/>
  <c r="G591" i="8" s="1"/>
  <c r="G590" i="8" a="1"/>
  <c r="G590" i="8" s="1"/>
  <c r="G589" i="8" a="1"/>
  <c r="G589" i="8" s="1"/>
  <c r="G72" i="8" a="1"/>
  <c r="G72" i="8" s="1"/>
  <c r="G117" i="8" a="1"/>
  <c r="G117" i="8" s="1"/>
  <c r="G116" i="8" a="1"/>
  <c r="G116" i="8" s="1"/>
  <c r="G115" i="8" a="1"/>
  <c r="G115" i="8" s="1"/>
  <c r="G114" i="8" a="1"/>
  <c r="G114" i="8" s="1"/>
  <c r="G875" i="8" a="1"/>
  <c r="G875" i="8" s="1"/>
  <c r="G588" i="8" a="1"/>
  <c r="G588" i="8" s="1"/>
  <c r="G587" i="8" a="1"/>
  <c r="G587" i="8" s="1"/>
  <c r="G586" i="8" a="1"/>
  <c r="G586" i="8" s="1"/>
  <c r="G585" i="8" a="1"/>
  <c r="G585" i="8" s="1"/>
  <c r="G584" i="8" a="1"/>
  <c r="G584" i="8" s="1"/>
  <c r="G583" i="8" a="1"/>
  <c r="G583" i="8" s="1"/>
  <c r="G156" i="8" a="1"/>
  <c r="G156" i="8" s="1"/>
  <c r="G581" i="8" a="1"/>
  <c r="G581" i="8" s="1"/>
  <c r="G580" i="8" a="1"/>
  <c r="G580" i="8" s="1"/>
  <c r="G579" i="8" a="1"/>
  <c r="G579" i="8" s="1"/>
  <c r="G578" i="8" a="1"/>
  <c r="G578" i="8" s="1"/>
  <c r="G577" i="8" a="1"/>
  <c r="G577" i="8" s="1"/>
  <c r="G576" i="8" a="1"/>
  <c r="G576" i="8" s="1"/>
  <c r="G575" i="8" a="1"/>
  <c r="G575" i="8" s="1"/>
  <c r="G574" i="8" a="1"/>
  <c r="G574" i="8" s="1"/>
  <c r="G573" i="8" a="1"/>
  <c r="G573" i="8" s="1"/>
  <c r="G571" i="8" a="1"/>
  <c r="G571" i="8" s="1"/>
  <c r="G570" i="8" a="1"/>
  <c r="G570" i="8" s="1"/>
  <c r="G569" i="8" a="1"/>
  <c r="G569" i="8" s="1"/>
  <c r="G568" i="8" a="1"/>
  <c r="G568" i="8" s="1"/>
  <c r="G70" i="8" a="1"/>
  <c r="G70" i="8" s="1"/>
  <c r="G69" i="8" a="1"/>
  <c r="G69" i="8" s="1"/>
  <c r="G155" i="8" a="1"/>
  <c r="G155" i="8" s="1"/>
  <c r="G567" i="8" a="1"/>
  <c r="G567" i="8" s="1"/>
  <c r="G566" i="8" a="1"/>
  <c r="G566" i="8" s="1"/>
  <c r="G154" i="8" a="1"/>
  <c r="G154" i="8" s="1"/>
  <c r="G153" i="8" a="1"/>
  <c r="G153" i="8" s="1"/>
  <c r="G565" i="8" a="1"/>
  <c r="G565" i="8" s="1"/>
  <c r="G874" i="8" a="1"/>
  <c r="G874" i="8" s="1"/>
  <c r="G873" i="8" a="1"/>
  <c r="G873" i="8" s="1"/>
  <c r="G564" i="8" a="1"/>
  <c r="G564" i="8" s="1"/>
  <c r="G563" i="8" a="1"/>
  <c r="G563" i="8" s="1"/>
  <c r="G562" i="8" a="1"/>
  <c r="G562" i="8" s="1"/>
  <c r="G561" i="8" a="1"/>
  <c r="G561" i="8" s="1"/>
  <c r="G68" i="8" a="1"/>
  <c r="G68" i="8" s="1"/>
  <c r="G113" i="8" a="1"/>
  <c r="G113" i="8" s="1"/>
  <c r="G560" i="8" a="1"/>
  <c r="G560" i="8" s="1"/>
  <c r="G559" i="8" a="1"/>
  <c r="G559" i="8" s="1"/>
  <c r="G558" i="8" a="1"/>
  <c r="G558" i="8" s="1"/>
  <c r="G557" i="8" a="1"/>
  <c r="G557" i="8" s="1"/>
  <c r="G152" i="8" a="1"/>
  <c r="G152" i="8" s="1"/>
  <c r="G556" i="8" a="1"/>
  <c r="G556" i="8" s="1"/>
  <c r="G555" i="8" a="1"/>
  <c r="G555" i="8" s="1"/>
  <c r="G554" i="8" a="1"/>
  <c r="G554" i="8" s="1"/>
  <c r="G553" i="8" a="1"/>
  <c r="G553" i="8" s="1"/>
  <c r="G552" i="8" a="1"/>
  <c r="G552" i="8" s="1"/>
  <c r="G247" i="8" a="1"/>
  <c r="G247" i="8" s="1"/>
  <c r="G551" i="8" a="1"/>
  <c r="G551" i="8" s="1"/>
  <c r="G550" i="8" a="1"/>
  <c r="G550" i="8" s="1"/>
  <c r="G549" i="8" a="1"/>
  <c r="G549" i="8" s="1"/>
  <c r="G548" i="8" a="1"/>
  <c r="G548" i="8" s="1"/>
  <c r="G547" i="8" a="1"/>
  <c r="G547" i="8" s="1"/>
  <c r="G546" i="8" a="1"/>
  <c r="G546" i="8" s="1"/>
  <c r="G545" i="8" a="1"/>
  <c r="G545" i="8" s="1"/>
  <c r="G544" i="8" a="1"/>
  <c r="G544" i="8" s="1"/>
  <c r="G543" i="8" a="1"/>
  <c r="G543" i="8" s="1"/>
  <c r="G542" i="8" a="1"/>
  <c r="G542" i="8" s="1"/>
  <c r="G541" i="8" a="1"/>
  <c r="G541" i="8" s="1"/>
  <c r="G540" i="8" a="1"/>
  <c r="G540" i="8" s="1"/>
  <c r="G539" i="8" a="1"/>
  <c r="G539" i="8" s="1"/>
  <c r="G538" i="8" a="1"/>
  <c r="G538" i="8" s="1"/>
  <c r="G537" i="8" a="1"/>
  <c r="G537" i="8" s="1"/>
  <c r="G536" i="8" a="1"/>
  <c r="G536" i="8" s="1"/>
  <c r="G535" i="8" a="1"/>
  <c r="G535" i="8" s="1"/>
  <c r="G534" i="8" a="1"/>
  <c r="G534" i="8" s="1"/>
  <c r="G533" i="8" a="1"/>
  <c r="G533" i="8" s="1"/>
  <c r="G532" i="8" a="1"/>
  <c r="G532" i="8" s="1"/>
  <c r="G531" i="8" a="1"/>
  <c r="G531" i="8" s="1"/>
  <c r="G530" i="8" a="1"/>
  <c r="G530" i="8" s="1"/>
  <c r="G529" i="8" a="1"/>
  <c r="G529" i="8" s="1"/>
  <c r="G528" i="8" a="1"/>
  <c r="G528" i="8" s="1"/>
  <c r="G527" i="8" a="1"/>
  <c r="G527" i="8" s="1"/>
  <c r="G526" i="8" a="1"/>
  <c r="G526" i="8" s="1"/>
  <c r="G525" i="8" a="1"/>
  <c r="G525" i="8" s="1"/>
  <c r="G524" i="8" a="1"/>
  <c r="G524" i="8" s="1"/>
  <c r="G523" i="8" a="1"/>
  <c r="G523" i="8" s="1"/>
  <c r="G522" i="8" a="1"/>
  <c r="G522" i="8" s="1"/>
  <c r="G521" i="8" a="1"/>
  <c r="G521" i="8" s="1"/>
  <c r="G520" i="8" a="1"/>
  <c r="G520" i="8" s="1"/>
  <c r="G519" i="8" a="1"/>
  <c r="G519" i="8" s="1"/>
  <c r="G871" i="8" a="1"/>
  <c r="G871" i="8" s="1"/>
  <c r="G518" i="8" a="1"/>
  <c r="G518" i="8" s="1"/>
  <c r="G517" i="8" a="1"/>
  <c r="G517" i="8" s="1"/>
  <c r="G516" i="8" a="1"/>
  <c r="G516" i="8" s="1"/>
  <c r="G515" i="8" a="1"/>
  <c r="G515" i="8" s="1"/>
  <c r="G514" i="8" a="1"/>
  <c r="G514" i="8" s="1"/>
  <c r="G513" i="8" a="1"/>
  <c r="G513" i="8" s="1"/>
  <c r="G512" i="8" a="1"/>
  <c r="G512" i="8" s="1"/>
  <c r="G511" i="8" a="1"/>
  <c r="G511" i="8" s="1"/>
  <c r="G510" i="8" a="1"/>
  <c r="G510" i="8" s="1"/>
  <c r="G509" i="8" a="1"/>
  <c r="G509" i="8" s="1"/>
  <c r="G508" i="8" a="1"/>
  <c r="G508" i="8" s="1"/>
  <c r="G507" i="8" a="1"/>
  <c r="G507" i="8" s="1"/>
  <c r="G506" i="8" a="1"/>
  <c r="G506" i="8" s="1"/>
  <c r="G505" i="8" a="1"/>
  <c r="G505" i="8" s="1"/>
  <c r="G504" i="8" a="1"/>
  <c r="G504" i="8" s="1"/>
  <c r="G503" i="8" a="1"/>
  <c r="G503" i="8" s="1"/>
  <c r="G502" i="8" a="1"/>
  <c r="G502" i="8" s="1"/>
  <c r="G501" i="8" a="1"/>
  <c r="G501" i="8" s="1"/>
  <c r="G500" i="8" a="1"/>
  <c r="G500" i="8" s="1"/>
  <c r="G499" i="8" a="1"/>
  <c r="G499" i="8" s="1"/>
  <c r="G498" i="8" a="1"/>
  <c r="G498" i="8" s="1"/>
  <c r="G497" i="8" a="1"/>
  <c r="G497" i="8" s="1"/>
  <c r="G496" i="8" a="1"/>
  <c r="G496" i="8" s="1"/>
  <c r="G495" i="8" a="1"/>
  <c r="G495" i="8" s="1"/>
  <c r="G494" i="8" a="1"/>
  <c r="G494" i="8" s="1"/>
  <c r="G493" i="8" a="1"/>
  <c r="G493" i="8" s="1"/>
  <c r="G492" i="8" a="1"/>
  <c r="G492" i="8" s="1"/>
  <c r="G491" i="8" a="1"/>
  <c r="G491" i="8" s="1"/>
  <c r="G490" i="8" a="1"/>
  <c r="G490" i="8" s="1"/>
  <c r="G489" i="8" a="1"/>
  <c r="G489" i="8" s="1"/>
  <c r="G488" i="8" a="1"/>
  <c r="G488" i="8" s="1"/>
  <c r="G487" i="8" a="1"/>
  <c r="G487" i="8" s="1"/>
  <c r="G486" i="8" a="1"/>
  <c r="G486" i="8" s="1"/>
  <c r="G485" i="8" a="1"/>
  <c r="G485" i="8" s="1"/>
  <c r="G484" i="8" a="1"/>
  <c r="G484" i="8" s="1"/>
  <c r="G483" i="8" a="1"/>
  <c r="G483" i="8" s="1"/>
  <c r="G482" i="8" a="1"/>
  <c r="G482" i="8" s="1"/>
  <c r="G481" i="8" a="1"/>
  <c r="G481" i="8" s="1"/>
  <c r="G480" i="8" a="1"/>
  <c r="G480" i="8" s="1"/>
  <c r="G479" i="8" a="1"/>
  <c r="G479" i="8" s="1"/>
  <c r="G478" i="8" a="1"/>
  <c r="G478" i="8" s="1"/>
  <c r="G477" i="8" a="1"/>
  <c r="G477" i="8" s="1"/>
  <c r="G476" i="8" a="1"/>
  <c r="G476" i="8" s="1"/>
  <c r="G475" i="8" a="1"/>
  <c r="G475" i="8" s="1"/>
  <c r="G474" i="8" a="1"/>
  <c r="G474" i="8" s="1"/>
  <c r="G473" i="8" a="1"/>
  <c r="G473" i="8" s="1"/>
  <c r="G472" i="8" a="1"/>
  <c r="G472" i="8" s="1"/>
  <c r="G471" i="8" a="1"/>
  <c r="G471" i="8" s="1"/>
  <c r="G470" i="8" a="1"/>
  <c r="G470" i="8" s="1"/>
  <c r="G469" i="8" a="1"/>
  <c r="G469" i="8" s="1"/>
  <c r="G468" i="8" a="1"/>
  <c r="G468" i="8" s="1"/>
  <c r="G467" i="8" a="1"/>
  <c r="G467" i="8" s="1"/>
  <c r="G466" i="8" a="1"/>
  <c r="G466" i="8" s="1"/>
  <c r="G67" i="8" a="1"/>
  <c r="G67" i="8" s="1"/>
  <c r="G465" i="8" a="1"/>
  <c r="G465" i="8" s="1"/>
  <c r="G464" i="8" a="1"/>
  <c r="G464" i="8" s="1"/>
  <c r="G463" i="8" a="1"/>
  <c r="G463" i="8" s="1"/>
  <c r="G462" i="8" a="1"/>
  <c r="G462" i="8" s="1"/>
  <c r="G461" i="8" a="1"/>
  <c r="G461" i="8" s="1"/>
  <c r="G460" i="8" a="1"/>
  <c r="G460" i="8" s="1"/>
  <c r="G246" i="8" a="1"/>
  <c r="G246" i="8" s="1"/>
  <c r="G459" i="8" a="1"/>
  <c r="G459" i="8" s="1"/>
  <c r="G245" i="8" a="1"/>
  <c r="G245" i="8" s="1"/>
  <c r="G458" i="8" a="1"/>
  <c r="G458" i="8" s="1"/>
  <c r="G457" i="8" a="1"/>
  <c r="G457" i="8" s="1"/>
  <c r="G456" i="8" a="1"/>
  <c r="G456" i="8" s="1"/>
  <c r="G455" i="8" a="1"/>
  <c r="G455" i="8" s="1"/>
  <c r="G454" i="8" a="1"/>
  <c r="G454" i="8" s="1"/>
  <c r="G244" i="8" a="1"/>
  <c r="G244" i="8" s="1"/>
  <c r="G243" i="8" a="1"/>
  <c r="G243" i="8" s="1"/>
  <c r="G453" i="8" a="1"/>
  <c r="G453" i="8" s="1"/>
  <c r="G452" i="8" a="1"/>
  <c r="G452" i="8" s="1"/>
  <c r="G242" i="8" a="1"/>
  <c r="G242" i="8" s="1"/>
  <c r="G451" i="8" a="1"/>
  <c r="G451" i="8" s="1"/>
  <c r="G241" i="8" a="1"/>
  <c r="G241" i="8" s="1"/>
  <c r="G450" i="8" a="1"/>
  <c r="G450" i="8" s="1"/>
  <c r="G449" i="8" a="1"/>
  <c r="G449" i="8" s="1"/>
  <c r="G240" i="8" a="1"/>
  <c r="G240" i="8" s="1"/>
  <c r="G239" i="8" a="1"/>
  <c r="G239" i="8" s="1"/>
  <c r="G162" i="8" a="1"/>
  <c r="G162" i="8" s="1"/>
  <c r="G448" i="8" a="1"/>
  <c r="G448" i="8" s="1"/>
  <c r="G447" i="8" a="1"/>
  <c r="G447" i="8" s="1"/>
  <c r="G446" i="8" a="1"/>
  <c r="G446" i="8" s="1"/>
  <c r="G238" i="8" a="1"/>
  <c r="G238" i="8" s="1"/>
  <c r="G445" i="8" a="1"/>
  <c r="G445" i="8" s="1"/>
  <c r="G444" i="8" a="1"/>
  <c r="G444" i="8" s="1"/>
  <c r="G870" i="8" a="1"/>
  <c r="G870" i="8" s="1"/>
  <c r="G443" i="8" a="1"/>
  <c r="G443" i="8" s="1"/>
  <c r="G151" i="8" a="1"/>
  <c r="G151" i="8" s="1"/>
  <c r="G442" i="8" a="1"/>
  <c r="G442" i="8" s="1"/>
  <c r="G237" i="8" a="1"/>
  <c r="G237" i="8" s="1"/>
  <c r="G441" i="8" a="1"/>
  <c r="G441" i="8" s="1"/>
  <c r="G66" i="8" a="1"/>
  <c r="G66" i="8" s="1"/>
  <c r="G440" i="8" a="1"/>
  <c r="G440" i="8" s="1"/>
  <c r="G439" i="8" a="1"/>
  <c r="G439" i="8" s="1"/>
  <c r="G438" i="8" a="1"/>
  <c r="G438" i="8" s="1"/>
  <c r="G65" i="8" a="1"/>
  <c r="G65" i="8" s="1"/>
  <c r="G437" i="8" a="1"/>
  <c r="G437" i="8" s="1"/>
  <c r="G436" i="8" a="1"/>
  <c r="G436" i="8" s="1"/>
  <c r="G869" i="8" a="1"/>
  <c r="G869" i="8" s="1"/>
  <c r="G868" i="8" a="1"/>
  <c r="G868" i="8" s="1"/>
  <c r="G150" i="8" a="1"/>
  <c r="G150" i="8" s="1"/>
  <c r="G435" i="8" a="1"/>
  <c r="G435" i="8" s="1"/>
  <c r="G236" i="8" a="1"/>
  <c r="G236" i="8" s="1"/>
  <c r="G434" i="8" a="1"/>
  <c r="G434" i="8" s="1"/>
  <c r="G433" i="8" a="1"/>
  <c r="G433" i="8" s="1"/>
  <c r="G235" i="8" a="1"/>
  <c r="G235" i="8" s="1"/>
  <c r="G234" i="8" a="1"/>
  <c r="G234" i="8" s="1"/>
  <c r="G432" i="8" a="1"/>
  <c r="G432" i="8" s="1"/>
  <c r="G431" i="8" a="1"/>
  <c r="G431" i="8" s="1"/>
  <c r="G149" i="8" a="1"/>
  <c r="G149" i="8" s="1"/>
  <c r="G430" i="8" a="1"/>
  <c r="G430" i="8" s="1"/>
  <c r="G429" i="8" a="1"/>
  <c r="G429" i="8" s="1"/>
  <c r="G428" i="8" a="1"/>
  <c r="G428" i="8" s="1"/>
  <c r="G427" i="8" a="1"/>
  <c r="G427" i="8" s="1"/>
  <c r="G426" i="8" a="1"/>
  <c r="G426" i="8" s="1"/>
  <c r="G425" i="8" a="1"/>
  <c r="G425" i="8" s="1"/>
  <c r="G424" i="8" a="1"/>
  <c r="G424" i="8" s="1"/>
  <c r="G423" i="8" a="1"/>
  <c r="G423" i="8" s="1"/>
  <c r="G422" i="8" a="1"/>
  <c r="G422" i="8" s="1"/>
  <c r="G421" i="8" a="1"/>
  <c r="G421" i="8" s="1"/>
  <c r="G420" i="8" a="1"/>
  <c r="G420" i="8" s="1"/>
  <c r="G419" i="8" a="1"/>
  <c r="G419" i="8" s="1"/>
  <c r="G418" i="8" a="1"/>
  <c r="G418" i="8" s="1"/>
  <c r="G417" i="8" a="1"/>
  <c r="G417" i="8" s="1"/>
  <c r="G416" i="8" a="1"/>
  <c r="G416" i="8" s="1"/>
  <c r="G415" i="8" a="1"/>
  <c r="G415" i="8" s="1"/>
  <c r="G414" i="8" a="1"/>
  <c r="G414" i="8" s="1"/>
  <c r="G413" i="8" a="1"/>
  <c r="G413" i="8" s="1"/>
  <c r="G412" i="8" a="1"/>
  <c r="G412" i="8" s="1"/>
  <c r="G411" i="8" a="1"/>
  <c r="G411" i="8" s="1"/>
  <c r="G410" i="8" a="1"/>
  <c r="G410" i="8" s="1"/>
  <c r="G409" i="8" a="1"/>
  <c r="G409" i="8" s="1"/>
  <c r="G408" i="8" a="1"/>
  <c r="G408" i="8" s="1"/>
  <c r="G64" i="8" a="1"/>
  <c r="G64" i="8" s="1"/>
  <c r="G407" i="8" a="1"/>
  <c r="G407" i="8" s="1"/>
  <c r="G406" i="8" a="1"/>
  <c r="G406" i="8" s="1"/>
  <c r="G405" i="8" a="1"/>
  <c r="G405" i="8" s="1"/>
  <c r="G404" i="8" a="1"/>
  <c r="G404" i="8" s="1"/>
  <c r="G233" i="8" a="1"/>
  <c r="G233" i="8" s="1"/>
  <c r="G111" i="8" a="1"/>
  <c r="G111" i="8" s="1"/>
  <c r="G403" i="8" a="1"/>
  <c r="G403" i="8" s="1"/>
  <c r="G110" i="8" a="1"/>
  <c r="G110" i="8" s="1"/>
  <c r="G402" i="8" a="1"/>
  <c r="G402" i="8" s="1"/>
  <c r="G867" i="8" a="1"/>
  <c r="G867" i="8" s="1"/>
  <c r="G401" i="8" a="1"/>
  <c r="G401" i="8" s="1"/>
  <c r="G400" i="8" a="1"/>
  <c r="G400" i="8" s="1"/>
  <c r="G399" i="8" a="1"/>
  <c r="G399" i="8" s="1"/>
  <c r="G398" i="8" a="1"/>
  <c r="G398" i="8" s="1"/>
  <c r="G63" i="8" a="1"/>
  <c r="G63" i="8" s="1"/>
  <c r="G866" i="8" a="1"/>
  <c r="G866" i="8" s="1"/>
  <c r="G62" i="8" a="1"/>
  <c r="G62" i="8" s="1"/>
  <c r="G61" i="8" a="1"/>
  <c r="G61" i="8" s="1"/>
  <c r="G397" i="8" a="1"/>
  <c r="G397" i="8" s="1"/>
  <c r="G396" i="8" a="1"/>
  <c r="G396" i="8" s="1"/>
  <c r="G395" i="8" a="1"/>
  <c r="G395" i="8" s="1"/>
  <c r="G60" i="8" a="1"/>
  <c r="G60" i="8" s="1"/>
  <c r="G59" i="8" a="1"/>
  <c r="G59" i="8" s="1"/>
  <c r="G141" i="8" a="1"/>
  <c r="G141" i="8" s="1"/>
  <c r="G394" i="8" a="1"/>
  <c r="G394" i="8" s="1"/>
  <c r="G393" i="8" a="1"/>
  <c r="G393" i="8" s="1"/>
  <c r="G392" i="8" a="1"/>
  <c r="G392" i="8" s="1"/>
  <c r="G391" i="8" a="1"/>
  <c r="G391" i="8" s="1"/>
  <c r="G109" i="8" a="1"/>
  <c r="G109" i="8" s="1"/>
  <c r="G390" i="8" a="1"/>
  <c r="G390" i="8" s="1"/>
  <c r="G58" i="8" a="1"/>
  <c r="G58" i="8" s="1"/>
  <c r="G389" i="8" a="1"/>
  <c r="G389" i="8" s="1"/>
  <c r="G148" i="8" a="1"/>
  <c r="G148" i="8" s="1"/>
  <c r="G108" i="8" a="1"/>
  <c r="G108" i="8" s="1"/>
  <c r="G864" i="8" a="1"/>
  <c r="G864" i="8" s="1"/>
  <c r="G863" i="8" a="1"/>
  <c r="G863" i="8" s="1"/>
  <c r="G232" i="8" a="1"/>
  <c r="G232" i="8" s="1"/>
  <c r="G231" i="8" a="1"/>
  <c r="G231" i="8" s="1"/>
  <c r="G230" i="8" a="1"/>
  <c r="G230" i="8" s="1"/>
  <c r="G229" i="8" a="1"/>
  <c r="G229" i="8" s="1"/>
  <c r="G228" i="8" a="1"/>
  <c r="G228" i="8" s="1"/>
  <c r="G227" i="8" a="1"/>
  <c r="G227" i="8" s="1"/>
  <c r="G862" i="8" a="1"/>
  <c r="G862" i="8" s="1"/>
  <c r="G388" i="8" a="1"/>
  <c r="G388" i="8" s="1"/>
  <c r="G226" i="8" a="1"/>
  <c r="G226" i="8" s="1"/>
  <c r="G386" i="8" a="1"/>
  <c r="G386" i="8" s="1"/>
  <c r="G385" i="8" a="1"/>
  <c r="G385" i="8" s="1"/>
  <c r="G225" i="8" a="1"/>
  <c r="G225" i="8" s="1"/>
  <c r="G224" i="8" a="1"/>
  <c r="G224" i="8" s="1"/>
  <c r="G223" i="8" a="1"/>
  <c r="G223" i="8" s="1"/>
  <c r="G222" i="8" a="1"/>
  <c r="G222" i="8" s="1"/>
  <c r="G221" i="8" a="1"/>
  <c r="G221" i="8" s="1"/>
  <c r="G39" i="8" a="1"/>
  <c r="G39" i="8" s="1"/>
  <c r="G384" i="8" a="1"/>
  <c r="G384" i="8" s="1"/>
  <c r="G383" i="8" a="1"/>
  <c r="G383" i="8" s="1"/>
  <c r="G382" i="8" a="1"/>
  <c r="G382" i="8" s="1"/>
  <c r="G381" i="8" a="1"/>
  <c r="G381" i="8" s="1"/>
  <c r="G147" i="8" a="1"/>
  <c r="G147" i="8" s="1"/>
  <c r="G380" i="8" a="1"/>
  <c r="G380" i="8" s="1"/>
  <c r="G379" i="8" a="1"/>
  <c r="G379" i="8" s="1"/>
  <c r="G146" i="8" a="1"/>
  <c r="G146" i="8" s="1"/>
  <c r="G378" i="8" a="1"/>
  <c r="G378" i="8" s="1"/>
  <c r="G377" i="8" a="1"/>
  <c r="G377" i="8" s="1"/>
  <c r="G376" i="8" a="1"/>
  <c r="G376" i="8" s="1"/>
  <c r="G375" i="8" a="1"/>
  <c r="G375" i="8" s="1"/>
  <c r="G374" i="8" a="1"/>
  <c r="G374" i="8" s="1"/>
  <c r="G373" i="8" a="1"/>
  <c r="G373" i="8" s="1"/>
  <c r="G140" i="8" a="1"/>
  <c r="G140" i="8" s="1"/>
  <c r="G57" i="8" a="1"/>
  <c r="G57" i="8" s="1"/>
  <c r="G372" i="8" a="1"/>
  <c r="G372" i="8" s="1"/>
  <c r="G56" i="8" a="1"/>
  <c r="G56" i="8" s="1"/>
  <c r="G55" i="8" a="1"/>
  <c r="G55" i="8" s="1"/>
  <c r="G371" i="8" a="1"/>
  <c r="G371" i="8" s="1"/>
  <c r="G370" i="8" a="1"/>
  <c r="G370" i="8" s="1"/>
  <c r="G54" i="8" a="1"/>
  <c r="G54" i="8" s="1"/>
  <c r="G369" i="8" a="1"/>
  <c r="G369" i="8" s="1"/>
  <c r="G368" i="8" a="1"/>
  <c r="G368" i="8" s="1"/>
  <c r="G53" i="8" a="1"/>
  <c r="G53" i="8" s="1"/>
  <c r="G367" i="8" a="1"/>
  <c r="G367" i="8" s="1"/>
  <c r="G366" i="8" a="1"/>
  <c r="G366" i="8" s="1"/>
  <c r="G365" i="8" a="1"/>
  <c r="G365" i="8" s="1"/>
  <c r="G364" i="8" a="1"/>
  <c r="G364" i="8" s="1"/>
  <c r="G220" i="8" a="1"/>
  <c r="G220" i="8" s="1"/>
  <c r="G363" i="8" a="1"/>
  <c r="G363" i="8" s="1"/>
  <c r="G362" i="8" a="1"/>
  <c r="G362" i="8" s="1"/>
  <c r="G219" i="8" a="1"/>
  <c r="G219" i="8" s="1"/>
  <c r="G361" i="8" a="1"/>
  <c r="G361" i="8" s="1"/>
  <c r="G360" i="8" a="1"/>
  <c r="G360" i="8" s="1"/>
  <c r="G359" i="8" a="1"/>
  <c r="G359" i="8" s="1"/>
  <c r="G358" i="8" a="1"/>
  <c r="G358" i="8" s="1"/>
  <c r="G357" i="8" a="1"/>
  <c r="G357" i="8" s="1"/>
  <c r="G356" i="8" a="1"/>
  <c r="G356" i="8" s="1"/>
  <c r="G355" i="8" a="1"/>
  <c r="G355" i="8" s="1"/>
  <c r="G354" i="8" a="1"/>
  <c r="G354" i="8" s="1"/>
  <c r="G353" i="8" a="1"/>
  <c r="G353" i="8" s="1"/>
  <c r="G139" i="8" a="1"/>
  <c r="G139" i="8" s="1"/>
  <c r="G352" i="8" a="1"/>
  <c r="G352" i="8" s="1"/>
  <c r="G351" i="8" a="1"/>
  <c r="G351" i="8" s="1"/>
  <c r="G350" i="8" a="1"/>
  <c r="G350" i="8" s="1"/>
  <c r="G349" i="8" a="1"/>
  <c r="G349" i="8" s="1"/>
  <c r="G348" i="8" a="1"/>
  <c r="G348" i="8" s="1"/>
  <c r="G347" i="8" a="1"/>
  <c r="G347" i="8" s="1"/>
  <c r="G346" i="8" a="1"/>
  <c r="G346" i="8" s="1"/>
  <c r="G345" i="8" a="1"/>
  <c r="G345" i="8" s="1"/>
  <c r="G218" i="8" a="1"/>
  <c r="G218" i="8" s="1"/>
  <c r="G344" i="8" a="1"/>
  <c r="G344" i="8" s="1"/>
  <c r="G343" i="8" a="1"/>
  <c r="G343" i="8" s="1"/>
  <c r="G342" i="8" a="1"/>
  <c r="G342" i="8" s="1"/>
  <c r="G341" i="8" a="1"/>
  <c r="G341" i="8" s="1"/>
  <c r="G340" i="8" a="1"/>
  <c r="G340" i="8" s="1"/>
  <c r="G339" i="8" a="1"/>
  <c r="G339" i="8" s="1"/>
  <c r="G338" i="8" a="1"/>
  <c r="G338" i="8" s="1"/>
  <c r="G38" i="8" a="1"/>
  <c r="G38" i="8" s="1"/>
  <c r="G337" i="8" a="1"/>
  <c r="G337" i="8" s="1"/>
  <c r="G336" i="8" a="1"/>
  <c r="G336" i="8" s="1"/>
  <c r="G335" i="8" a="1"/>
  <c r="G335" i="8" s="1"/>
  <c r="G334" i="8" a="1"/>
  <c r="G334" i="8" s="1"/>
  <c r="G333" i="8" a="1"/>
  <c r="G333" i="8" s="1"/>
  <c r="G332" i="8" a="1"/>
  <c r="G332" i="8" s="1"/>
  <c r="G331" i="8" a="1"/>
  <c r="G331" i="8" s="1"/>
  <c r="G330" i="8" a="1"/>
  <c r="G330" i="8" s="1"/>
  <c r="G329" i="8" a="1"/>
  <c r="G329" i="8" s="1"/>
  <c r="G328" i="8" a="1"/>
  <c r="G328" i="8" s="1"/>
  <c r="G217" i="8" a="1"/>
  <c r="G217" i="8" s="1"/>
  <c r="G327" i="8" a="1"/>
  <c r="G327" i="8" s="1"/>
  <c r="G326" i="8" a="1"/>
  <c r="G326" i="8" s="1"/>
  <c r="G325" i="8" a="1"/>
  <c r="G325" i="8" s="1"/>
  <c r="G324" i="8" a="1"/>
  <c r="G324" i="8" s="1"/>
  <c r="G856" i="8" a="1"/>
  <c r="G856" i="8" s="1"/>
  <c r="G216" i="8" a="1"/>
  <c r="G216" i="8" s="1"/>
  <c r="G215" i="8" a="1"/>
  <c r="G215" i="8" s="1"/>
  <c r="G214" i="8" a="1"/>
  <c r="G214" i="8" s="1"/>
  <c r="G213" i="8" a="1"/>
  <c r="G213" i="8" s="1"/>
  <c r="G212" i="8" a="1"/>
  <c r="G212" i="8" s="1"/>
  <c r="G323" i="8" a="1"/>
  <c r="G323" i="8" s="1"/>
  <c r="G211" i="8" a="1"/>
  <c r="G211" i="8" s="1"/>
  <c r="G210" i="8" a="1"/>
  <c r="G210" i="8" s="1"/>
  <c r="G209" i="8" a="1"/>
  <c r="G209" i="8" s="1"/>
  <c r="G322" i="8" a="1"/>
  <c r="G322" i="8" s="1"/>
  <c r="G208" i="8" a="1"/>
  <c r="G208" i="8" s="1"/>
  <c r="G207" i="8" a="1"/>
  <c r="G207" i="8" s="1"/>
  <c r="G206" i="8" a="1"/>
  <c r="G206" i="8" s="1"/>
  <c r="G205" i="8" a="1"/>
  <c r="G205" i="8" s="1"/>
  <c r="G204" i="8" a="1"/>
  <c r="G204" i="8" s="1"/>
  <c r="G203" i="8" a="1"/>
  <c r="G203" i="8" s="1"/>
  <c r="G321" i="8" a="1"/>
  <c r="G321" i="8" s="1"/>
  <c r="G145" i="8" a="1"/>
  <c r="G145" i="8" s="1"/>
  <c r="G144" i="8" a="1"/>
  <c r="G144" i="8" s="1"/>
  <c r="G138" i="8" a="1"/>
  <c r="G138" i="8" s="1"/>
  <c r="G137" i="8" a="1"/>
  <c r="G137" i="8" s="1"/>
  <c r="G143" i="8" a="1"/>
  <c r="G143" i="8" s="1"/>
  <c r="G142" i="8" a="1"/>
  <c r="G142" i="8" s="1"/>
  <c r="G107" i="8" a="1"/>
  <c r="G107" i="8" s="1"/>
  <c r="G105" i="8" a="1"/>
  <c r="G105" i="8" s="1"/>
  <c r="G861" i="8" a="1"/>
  <c r="G861" i="8" s="1"/>
  <c r="G104" i="8" a="1"/>
  <c r="G104" i="8" s="1"/>
  <c r="G103" i="8" a="1"/>
  <c r="G103" i="8" s="1"/>
  <c r="G102" i="8" a="1"/>
  <c r="G102" i="8" s="1"/>
  <c r="G101" i="8" a="1"/>
  <c r="G101" i="8" s="1"/>
  <c r="G100" i="8" a="1"/>
  <c r="G100" i="8" s="1"/>
  <c r="G99" i="8" a="1"/>
  <c r="G99" i="8" s="1"/>
  <c r="G98" i="8" a="1"/>
  <c r="G98" i="8" s="1"/>
  <c r="G97" i="8" a="1"/>
  <c r="G97" i="8" s="1"/>
  <c r="G96" i="8" a="1"/>
  <c r="G96" i="8" s="1"/>
  <c r="G95" i="8" a="1"/>
  <c r="G95" i="8" s="1"/>
  <c r="G94" i="8" a="1"/>
  <c r="G94" i="8" s="1"/>
  <c r="G37" i="8" a="1"/>
  <c r="G37" i="8" s="1"/>
  <c r="G52" i="8" a="1"/>
  <c r="G52" i="8" s="1"/>
  <c r="G36" i="8" a="1"/>
  <c r="G36" i="8" s="1"/>
  <c r="G35" i="8" a="1"/>
  <c r="G35" i="8" s="1"/>
  <c r="G34" i="8" a="1"/>
  <c r="G34" i="8" s="1"/>
  <c r="G33" i="8" a="1"/>
  <c r="G33" i="8" s="1"/>
  <c r="G51" i="8" a="1"/>
  <c r="G51" i="8" s="1"/>
  <c r="G50" i="8" a="1"/>
  <c r="G50" i="8" s="1"/>
  <c r="G49" i="8" a="1"/>
  <c r="G49" i="8" s="1"/>
  <c r="G32" i="8" a="1"/>
  <c r="G32" i="8" s="1"/>
  <c r="G31" i="8" a="1"/>
  <c r="G31" i="8" s="1"/>
  <c r="G30" i="8" a="1"/>
  <c r="G30" i="8" s="1"/>
  <c r="G29" i="8" a="1"/>
  <c r="G29" i="8" s="1"/>
  <c r="G28" i="8" a="1"/>
  <c r="G28" i="8" s="1"/>
  <c r="G48" i="8" a="1"/>
  <c r="G48" i="8" s="1"/>
  <c r="G27" i="8" a="1"/>
  <c r="G27" i="8" s="1"/>
  <c r="G26" i="8" a="1"/>
  <c r="G26" i="8" s="1"/>
  <c r="G25" i="8" a="1"/>
  <c r="G25" i="8" s="1"/>
  <c r="G24" i="8" a="1"/>
  <c r="G24" i="8" s="1"/>
  <c r="G47" i="8" a="1"/>
  <c r="G47" i="8" s="1"/>
  <c r="G23" i="8" a="1"/>
  <c r="G23" i="8" s="1"/>
  <c r="G46" i="8" a="1"/>
  <c r="G46" i="8" s="1"/>
  <c r="G45" i="8" a="1"/>
  <c r="G45" i="8" s="1"/>
  <c r="G22" i="8" a="1"/>
  <c r="G22" i="8" s="1"/>
  <c r="G21" i="8" a="1"/>
  <c r="G21" i="8" s="1"/>
  <c r="G20" i="8" a="1"/>
  <c r="G20" i="8" s="1"/>
  <c r="G19" i="8" a="1"/>
  <c r="G19" i="8" s="1"/>
  <c r="G18" i="8" a="1"/>
  <c r="G18" i="8" s="1"/>
  <c r="G17" i="8" a="1"/>
  <c r="G17" i="8" s="1"/>
  <c r="G16" i="8" a="1"/>
  <c r="G16" i="8" s="1"/>
  <c r="G15" i="8" a="1"/>
  <c r="G15" i="8" s="1"/>
  <c r="G14" i="8" a="1"/>
  <c r="G14" i="8" s="1"/>
  <c r="G13" i="8" a="1"/>
  <c r="G13" i="8" s="1"/>
  <c r="G12" i="8" a="1"/>
  <c r="G12" i="8" s="1"/>
  <c r="G44" i="8" a="1"/>
  <c r="G44" i="8" s="1"/>
  <c r="G43" i="8" a="1"/>
  <c r="G43" i="8" s="1"/>
  <c r="G42" i="8" a="1"/>
  <c r="G42" i="8" s="1"/>
  <c r="G11" i="8" a="1"/>
  <c r="G11" i="8" s="1"/>
  <c r="G10" i="8" a="1"/>
  <c r="G10" i="8" s="1"/>
  <c r="G9" i="8" a="1"/>
  <c r="G9" i="8" s="1"/>
  <c r="G8" i="8" a="1"/>
  <c r="G8" i="8" s="1"/>
  <c r="G7" i="8" a="1"/>
  <c r="G7" i="8" s="1"/>
  <c r="G6" i="8" a="1"/>
  <c r="G6" i="8" s="1"/>
  <c r="G5" i="8" a="1"/>
  <c r="G5" i="8" s="1"/>
  <c r="G4" i="8" a="1"/>
  <c r="G4" i="8" s="1"/>
  <c r="G41" i="8" a="1"/>
  <c r="G41" i="8" s="1"/>
  <c r="G3" i="8" a="1"/>
  <c r="G3" i="8" s="1"/>
  <c r="G865" i="8" a="1"/>
  <c r="G865" i="8" s="1"/>
  <c r="G860" i="8" a="1"/>
  <c r="G860" i="8" s="1"/>
  <c r="G859" i="8" a="1"/>
  <c r="G859" i="8" s="1"/>
  <c r="G40" i="8" a="1"/>
  <c r="G40" i="8" s="1"/>
  <c r="G2" i="8" a="1"/>
  <c r="G2" i="8" s="1"/>
  <c r="G320" i="8" a="1"/>
  <c r="G320" i="8" s="1"/>
  <c r="G319" i="8" a="1"/>
  <c r="G319" i="8" s="1"/>
  <c r="G318" i="8" a="1"/>
  <c r="G318" i="8" s="1"/>
  <c r="G317" i="8" a="1"/>
  <c r="G317" i="8" s="1"/>
  <c r="G316" i="8" a="1"/>
  <c r="G316" i="8" s="1"/>
  <c r="G315" i="8" a="1"/>
  <c r="G315" i="8" s="1"/>
  <c r="G202" i="8" a="1"/>
  <c r="G202" i="8" s="1"/>
  <c r="G201" i="8" a="1"/>
  <c r="G201" i="8" s="1"/>
  <c r="G200" i="8" a="1"/>
  <c r="G200" i="8" s="1"/>
  <c r="G199" i="8" a="1"/>
  <c r="G199" i="8" s="1"/>
  <c r="G314" i="8" a="1"/>
  <c r="G314" i="8" s="1"/>
  <c r="G313" i="8" a="1"/>
  <c r="G313" i="8" s="1"/>
  <c r="G198" i="8" a="1"/>
  <c r="G198" i="8" s="1"/>
  <c r="G197" i="8" a="1"/>
  <c r="G197" i="8" s="1"/>
  <c r="G310" i="8" a="1"/>
  <c r="G310" i="8" s="1"/>
  <c r="G309" i="8" a="1"/>
  <c r="G309" i="8" s="1"/>
  <c r="G196" i="8" a="1"/>
  <c r="G196" i="8" s="1"/>
  <c r="G308" i="8" a="1"/>
  <c r="G308" i="8" s="1"/>
  <c r="G307" i="8" a="1"/>
  <c r="G307" i="8" s="1"/>
  <c r="G195" i="8" a="1"/>
  <c r="G195" i="8" s="1"/>
  <c r="G194" i="8" a="1"/>
  <c r="G194" i="8" s="1"/>
  <c r="G193" i="8" a="1"/>
  <c r="G193" i="8" s="1"/>
  <c r="G306" i="8" a="1"/>
  <c r="G306" i="8" s="1"/>
  <c r="G305" i="8" a="1"/>
  <c r="G305" i="8" s="1"/>
  <c r="G304" i="8" a="1"/>
  <c r="G304" i="8" s="1"/>
  <c r="G303" i="8" a="1"/>
  <c r="G303" i="8" s="1"/>
  <c r="G192" i="8" a="1"/>
  <c r="G192" i="8" s="1"/>
  <c r="G302" i="8" a="1"/>
  <c r="G302" i="8" s="1"/>
  <c r="G191" i="8" a="1"/>
  <c r="G191" i="8" s="1"/>
  <c r="G190" i="8" a="1"/>
  <c r="G190" i="8" s="1"/>
  <c r="G301" i="8" a="1"/>
  <c r="G301" i="8" s="1"/>
  <c r="G300" i="8" a="1"/>
  <c r="G300" i="8" s="1"/>
  <c r="G299" i="8" a="1"/>
  <c r="G299" i="8" s="1"/>
  <c r="G189" i="8" a="1"/>
  <c r="G189" i="8" s="1"/>
  <c r="G298" i="8" a="1"/>
  <c r="G298" i="8" s="1"/>
  <c r="G188" i="8" a="1"/>
  <c r="G188" i="8" s="1"/>
  <c r="G297" i="8" a="1"/>
  <c r="G297" i="8" s="1"/>
  <c r="G187" i="8" a="1"/>
  <c r="G187" i="8" s="1"/>
  <c r="G186" i="8" a="1"/>
  <c r="G186" i="8" s="1"/>
  <c r="G185" i="8" a="1"/>
  <c r="G185" i="8" s="1"/>
  <c r="G184" i="8" a="1"/>
  <c r="G184" i="8" s="1"/>
  <c r="G296" i="8" a="1"/>
  <c r="G296" i="8" s="1"/>
  <c r="G295" i="8" a="1"/>
  <c r="G295" i="8" s="1"/>
  <c r="G294" i="8" a="1"/>
  <c r="G294" i="8" s="1"/>
  <c r="G293" i="8" a="1"/>
  <c r="G293" i="8" s="1"/>
  <c r="G292" i="8" a="1"/>
  <c r="G292" i="8" s="1"/>
  <c r="G291" i="8" a="1"/>
  <c r="G291" i="8" s="1"/>
  <c r="G183" i="8" a="1"/>
  <c r="G183" i="8" s="1"/>
  <c r="G290" i="8" a="1"/>
  <c r="G290" i="8" s="1"/>
  <c r="G182" i="8" a="1"/>
  <c r="G182" i="8" s="1"/>
  <c r="G181" i="8" a="1"/>
  <c r="G181" i="8" s="1"/>
  <c r="G289" i="8" a="1"/>
  <c r="G289" i="8" s="1"/>
  <c r="G288" i="8" a="1"/>
  <c r="G288" i="8" s="1"/>
  <c r="G287" i="8" a="1"/>
  <c r="G287" i="8" s="1"/>
  <c r="G286" i="8" a="1"/>
  <c r="G286" i="8" s="1"/>
  <c r="G285" i="8" a="1"/>
  <c r="G285" i="8" s="1"/>
  <c r="G284" i="8" a="1"/>
  <c r="G284" i="8" s="1"/>
  <c r="G283" i="8" a="1"/>
  <c r="G283" i="8" s="1"/>
  <c r="G180" i="8" a="1"/>
  <c r="G180" i="8" s="1"/>
  <c r="G282" i="8" a="1"/>
  <c r="G282" i="8" s="1"/>
  <c r="G281" i="8" a="1"/>
  <c r="G281" i="8" s="1"/>
  <c r="G280" i="8" a="1"/>
  <c r="G280" i="8" s="1"/>
  <c r="G279" i="8" a="1"/>
  <c r="G279" i="8" s="1"/>
  <c r="G179" i="8" a="1"/>
  <c r="G179" i="8" s="1"/>
  <c r="G278" i="8" a="1"/>
  <c r="G278" i="8" s="1"/>
  <c r="G277" i="8" a="1"/>
  <c r="G277" i="8" s="1"/>
  <c r="G276" i="8" a="1"/>
  <c r="G276" i="8" s="1"/>
  <c r="G275" i="8" a="1"/>
  <c r="G275" i="8" s="1"/>
  <c r="G274" i="8" a="1"/>
  <c r="G274" i="8" s="1"/>
  <c r="G273" i="8" a="1"/>
  <c r="G273" i="8" s="1"/>
  <c r="G272" i="8" a="1"/>
  <c r="G272" i="8" s="1"/>
  <c r="G271" i="8" a="1"/>
  <c r="G271" i="8" s="1"/>
  <c r="G270" i="8" a="1"/>
  <c r="G270" i="8" s="1"/>
  <c r="G269" i="8" a="1"/>
  <c r="G269" i="8" s="1"/>
  <c r="G268" i="8" a="1"/>
  <c r="G268" i="8" s="1"/>
  <c r="G267" i="8" a="1"/>
  <c r="G267" i="8" s="1"/>
  <c r="G266" i="8" a="1"/>
  <c r="G266" i="8" s="1"/>
  <c r="G265" i="8" a="1"/>
  <c r="G265" i="8" s="1"/>
  <c r="G264" i="8" a="1"/>
  <c r="G264" i="8" s="1"/>
  <c r="G263" i="8" a="1"/>
  <c r="G263" i="8" s="1"/>
  <c r="G262" i="8" a="1"/>
  <c r="G262" i="8" s="1"/>
  <c r="G261" i="8" a="1"/>
  <c r="G261" i="8" s="1"/>
  <c r="G259" i="8" a="1"/>
  <c r="G259" i="8" s="1"/>
  <c r="G258" i="8" a="1"/>
  <c r="G258" i="8" s="1"/>
  <c r="G257" i="8" a="1"/>
  <c r="G257" i="8" s="1"/>
  <c r="H112" i="11" l="1"/>
  <c r="K112" i="11"/>
  <c r="F112" i="11"/>
  <c r="J935" i="12"/>
  <c r="K935" i="12" s="1"/>
  <c r="J927" i="12"/>
  <c r="K927" i="12" s="1"/>
  <c r="J911" i="12"/>
  <c r="K911" i="12" s="1"/>
  <c r="J863" i="12"/>
  <c r="K863" i="12" s="1"/>
  <c r="J831" i="12"/>
  <c r="K831" i="12" s="1"/>
  <c r="J791" i="12"/>
  <c r="K791" i="12" s="1"/>
  <c r="J767" i="12"/>
  <c r="K767" i="12" s="1"/>
  <c r="J759" i="12"/>
  <c r="K759" i="12" s="1"/>
  <c r="J711" i="12"/>
  <c r="K711" i="12" s="1"/>
  <c r="J655" i="12"/>
  <c r="K655" i="12" s="1"/>
  <c r="J615" i="12"/>
  <c r="K615" i="12" s="1"/>
  <c r="J543" i="12"/>
  <c r="K543" i="12" s="1"/>
  <c r="J479" i="12"/>
  <c r="K479" i="12" s="1"/>
  <c r="J431" i="12"/>
  <c r="K431" i="12" s="1"/>
  <c r="J415" i="12"/>
  <c r="K415" i="12" s="1"/>
  <c r="J367" i="12"/>
  <c r="K367" i="12" s="1"/>
  <c r="J311" i="12"/>
  <c r="K311" i="12" s="1"/>
  <c r="J303" i="12"/>
  <c r="K303" i="12" s="1"/>
  <c r="J949" i="12"/>
  <c r="K949" i="12" s="1"/>
  <c r="J917" i="12"/>
  <c r="K917" i="12" s="1"/>
  <c r="J901" i="12"/>
  <c r="K901" i="12" s="1"/>
  <c r="J885" i="12"/>
  <c r="K885" i="12" s="1"/>
  <c r="J805" i="12"/>
  <c r="K805" i="12" s="1"/>
  <c r="J789" i="12"/>
  <c r="K789" i="12" s="1"/>
  <c r="J701" i="12"/>
  <c r="K701" i="12" s="1"/>
  <c r="J597" i="12"/>
  <c r="K597" i="12" s="1"/>
  <c r="J421" i="12"/>
  <c r="K421" i="12" s="1"/>
  <c r="J309" i="12"/>
  <c r="K309" i="12" s="1"/>
  <c r="J869" i="12"/>
  <c r="K869" i="12" s="1"/>
  <c r="J293" i="12"/>
  <c r="K293" i="12" s="1"/>
  <c r="J277" i="12"/>
  <c r="K277" i="12" s="1"/>
  <c r="F29" i="18"/>
  <c r="G29" i="18" s="1"/>
  <c r="H29" i="18" s="1"/>
  <c r="C20" i="6"/>
  <c r="D3" i="14" s="1"/>
  <c r="C22" i="6"/>
  <c r="D10" i="14"/>
  <c r="D2" i="14"/>
  <c r="I3" i="13" a="1"/>
  <c r="J119" i="12"/>
  <c r="K119" i="12" s="1"/>
  <c r="K3" i="13" a="1"/>
  <c r="M3" i="13" a="1"/>
  <c r="P3" i="13" a="1"/>
  <c r="P24" i="13" s="1"/>
  <c r="F3" i="13" a="1"/>
  <c r="D3" i="13" a="1"/>
  <c r="J717" i="12"/>
  <c r="K717" i="12" s="1"/>
  <c r="J821" i="12"/>
  <c r="K821" i="12" s="1"/>
  <c r="H5" i="12"/>
  <c r="G29" i="11"/>
  <c r="G2" i="11"/>
  <c r="I32" i="11"/>
  <c r="J32" i="11" s="1"/>
  <c r="I24" i="11"/>
  <c r="J24" i="11" s="1"/>
  <c r="G22" i="11"/>
  <c r="G14" i="11"/>
  <c r="K1365" i="12"/>
  <c r="K1349" i="12"/>
  <c r="K1347" i="12"/>
  <c r="K1341" i="12"/>
  <c r="K1340" i="12"/>
  <c r="K1339" i="12"/>
  <c r="BX65" i="4"/>
  <c r="BW65" i="4"/>
  <c r="BY65" i="4"/>
  <c r="BT65" i="4"/>
  <c r="BZ65" i="4"/>
  <c r="CB65" i="4"/>
  <c r="CA65" i="4"/>
  <c r="BU65" i="4"/>
  <c r="I9" i="11"/>
  <c r="J9" i="11" s="1"/>
  <c r="G9" i="11"/>
  <c r="I39" i="11"/>
  <c r="J39" i="11" s="1"/>
  <c r="I21" i="11"/>
  <c r="J21" i="11" s="1"/>
  <c r="I38" i="11"/>
  <c r="J38" i="11" s="1"/>
  <c r="I33" i="11"/>
  <c r="J33" i="11" s="1"/>
  <c r="I13" i="11"/>
  <c r="J13" i="11" s="1"/>
  <c r="I43" i="11"/>
  <c r="J43" i="11" s="1"/>
  <c r="I37" i="11"/>
  <c r="J37" i="11" s="1"/>
  <c r="I28" i="11"/>
  <c r="J28" i="11" s="1"/>
  <c r="I10" i="11"/>
  <c r="J10" i="11" s="1"/>
  <c r="I48" i="11"/>
  <c r="J48" i="11" s="1"/>
  <c r="I20" i="11"/>
  <c r="J20" i="11" s="1"/>
  <c r="G10" i="11"/>
  <c r="I7" i="11"/>
  <c r="J7" i="11" s="1"/>
  <c r="I14" i="11"/>
  <c r="I4" i="11"/>
  <c r="J4" i="11" s="1"/>
  <c r="I3" i="11"/>
  <c r="J3" i="11" s="1"/>
  <c r="I2" i="11"/>
  <c r="I46" i="11"/>
  <c r="J46" i="11" s="1"/>
  <c r="I29" i="11"/>
  <c r="I23" i="11"/>
  <c r="J23" i="11" s="1"/>
  <c r="I31" i="11"/>
  <c r="J31" i="11" s="1"/>
  <c r="I36" i="11"/>
  <c r="J36" i="11" s="1"/>
  <c r="I27" i="11"/>
  <c r="J27" i="11" s="1"/>
  <c r="I19" i="11"/>
  <c r="J19" i="11" s="1"/>
  <c r="I45" i="11"/>
  <c r="J45" i="11" s="1"/>
  <c r="I12" i="11"/>
  <c r="J12" i="11" s="1"/>
  <c r="G43" i="11"/>
  <c r="G32" i="11"/>
  <c r="I25" i="11"/>
  <c r="J25" i="11" s="1"/>
  <c r="G24" i="11"/>
  <c r="I40" i="11"/>
  <c r="J40" i="11" s="1"/>
  <c r="I47" i="11"/>
  <c r="J47" i="11" s="1"/>
  <c r="I30" i="11"/>
  <c r="J30" i="11" s="1"/>
  <c r="I22" i="11"/>
  <c r="I5" i="11"/>
  <c r="J5" i="11" s="1"/>
  <c r="I44" i="11"/>
  <c r="J44" i="11" s="1"/>
  <c r="I11" i="11"/>
  <c r="J11" i="11" s="1"/>
  <c r="I16" i="11"/>
  <c r="J16" i="11" s="1"/>
  <c r="I35" i="11"/>
  <c r="J35" i="11" s="1"/>
  <c r="I26" i="11"/>
  <c r="J26" i="11" s="1"/>
  <c r="I18" i="11"/>
  <c r="J18" i="11" s="1"/>
  <c r="I41" i="11"/>
  <c r="J41" i="11" s="1"/>
  <c r="I42" i="11"/>
  <c r="J42" i="11" s="1"/>
  <c r="I17" i="11"/>
  <c r="J17" i="11" s="1"/>
  <c r="I15" i="11"/>
  <c r="J15" i="11" s="1"/>
  <c r="G25" i="11"/>
  <c r="I6" i="11"/>
  <c r="J6" i="11" s="1"/>
  <c r="J104" i="12"/>
  <c r="K104" i="12" s="1"/>
  <c r="J80" i="12"/>
  <c r="K80" i="12" s="1"/>
  <c r="J40" i="12"/>
  <c r="K40" i="12" s="1"/>
  <c r="J32" i="12"/>
  <c r="K32" i="12" s="1"/>
  <c r="J24" i="12"/>
  <c r="K24" i="12" s="1"/>
  <c r="J16" i="12"/>
  <c r="K16" i="12" s="1"/>
  <c r="J846" i="12"/>
  <c r="K846" i="12" s="1"/>
  <c r="J782" i="12"/>
  <c r="K782" i="12" s="1"/>
  <c r="J726" i="12"/>
  <c r="K726" i="12" s="1"/>
  <c r="J166" i="12"/>
  <c r="K166" i="12" s="1"/>
  <c r="J944" i="12"/>
  <c r="K944" i="12" s="1"/>
  <c r="J848" i="12"/>
  <c r="K848" i="12" s="1"/>
  <c r="J728" i="12"/>
  <c r="K728" i="12" s="1"/>
  <c r="J720" i="12"/>
  <c r="K720" i="12" s="1"/>
  <c r="J688" i="12"/>
  <c r="K688" i="12" s="1"/>
  <c r="J664" i="12"/>
  <c r="K664" i="12" s="1"/>
  <c r="J648" i="12"/>
  <c r="K648" i="12" s="1"/>
  <c r="J600" i="12"/>
  <c r="K600" i="12" s="1"/>
  <c r="J528" i="12"/>
  <c r="K528" i="12" s="1"/>
  <c r="J224" i="12"/>
  <c r="K224" i="12" s="1"/>
  <c r="J611" i="12"/>
  <c r="K611" i="12" s="1"/>
  <c r="J603" i="12"/>
  <c r="K603" i="12" s="1"/>
  <c r="J547" i="12"/>
  <c r="K547" i="12" s="1"/>
  <c r="J515" i="12"/>
  <c r="K515" i="12" s="1"/>
  <c r="J507" i="12"/>
  <c r="K507" i="12" s="1"/>
  <c r="J499" i="12"/>
  <c r="K499" i="12" s="1"/>
  <c r="J177" i="12"/>
  <c r="K177" i="12" s="1"/>
  <c r="J497" i="12"/>
  <c r="K497" i="12" s="1"/>
  <c r="J529" i="12"/>
  <c r="K529" i="12" s="1"/>
  <c r="J903" i="12"/>
  <c r="K903" i="12" s="1"/>
  <c r="J817" i="12"/>
  <c r="K817" i="12" s="1"/>
  <c r="J601" i="12"/>
  <c r="K601" i="12" s="1"/>
  <c r="J457" i="12"/>
  <c r="K457" i="12" s="1"/>
  <c r="J417" i="12"/>
  <c r="K417" i="12" s="1"/>
  <c r="J409" i="12"/>
  <c r="K409" i="12" s="1"/>
  <c r="J369" i="12"/>
  <c r="K369" i="12" s="1"/>
  <c r="J591" i="12"/>
  <c r="K591" i="12" s="1"/>
  <c r="J279" i="12"/>
  <c r="K279" i="12" s="1"/>
  <c r="J135" i="12"/>
  <c r="K135" i="12" s="1"/>
  <c r="J7" i="12"/>
  <c r="K7" i="12" s="1"/>
  <c r="J585" i="12"/>
  <c r="K585" i="12" s="1"/>
  <c r="J967" i="12"/>
  <c r="K967" i="12" s="1"/>
  <c r="J198" i="12"/>
  <c r="K198" i="12" s="1"/>
  <c r="J97" i="12"/>
  <c r="K97" i="12" s="1"/>
  <c r="J295" i="12"/>
  <c r="K295" i="12" s="1"/>
  <c r="J113" i="12"/>
  <c r="K113" i="12" s="1"/>
  <c r="J351" i="12"/>
  <c r="K351" i="12" s="1"/>
  <c r="J556" i="12"/>
  <c r="K556" i="12" s="1"/>
  <c r="J577" i="12"/>
  <c r="K577" i="12" s="1"/>
  <c r="J375" i="12"/>
  <c r="K375" i="12" s="1"/>
  <c r="J455" i="12"/>
  <c r="K455" i="12" s="1"/>
  <c r="J193" i="12"/>
  <c r="K193" i="12" s="1"/>
  <c r="J487" i="12"/>
  <c r="K487" i="12" s="1"/>
  <c r="J233" i="12"/>
  <c r="K233" i="12" s="1"/>
  <c r="J79" i="12"/>
  <c r="K79" i="12" s="1"/>
  <c r="J305" i="12"/>
  <c r="K305" i="12" s="1"/>
  <c r="H759" i="12"/>
  <c r="J151" i="12"/>
  <c r="K151" i="12" s="1"/>
  <c r="J751" i="12"/>
  <c r="K751" i="12" s="1"/>
  <c r="J95" i="12"/>
  <c r="K95" i="12" s="1"/>
  <c r="J407" i="12"/>
  <c r="K407" i="12" s="1"/>
  <c r="J185" i="12"/>
  <c r="K185" i="12" s="1"/>
  <c r="J833" i="12"/>
  <c r="K833" i="12" s="1"/>
  <c r="J111" i="12"/>
  <c r="K111" i="12" s="1"/>
  <c r="J976" i="12"/>
  <c r="K976" i="12" s="1"/>
  <c r="J352" i="12"/>
  <c r="K352" i="12" s="1"/>
  <c r="J344" i="12"/>
  <c r="K344" i="12" s="1"/>
  <c r="J328" i="12"/>
  <c r="K328" i="12" s="1"/>
  <c r="J304" i="12"/>
  <c r="K304" i="12" s="1"/>
  <c r="J280" i="12"/>
  <c r="K280" i="12" s="1"/>
  <c r="J256" i="12"/>
  <c r="K256" i="12" s="1"/>
  <c r="J240" i="12"/>
  <c r="K240" i="12" s="1"/>
  <c r="J232" i="12"/>
  <c r="K232" i="12" s="1"/>
  <c r="J216" i="12"/>
  <c r="K216" i="12" s="1"/>
  <c r="J192" i="12"/>
  <c r="K192" i="12" s="1"/>
  <c r="J184" i="12"/>
  <c r="K184" i="12" s="1"/>
  <c r="J176" i="12"/>
  <c r="K176" i="12" s="1"/>
  <c r="J160" i="12"/>
  <c r="K160" i="12" s="1"/>
  <c r="J503" i="12"/>
  <c r="K503" i="12" s="1"/>
  <c r="J399" i="12"/>
  <c r="K399" i="12" s="1"/>
  <c r="J241" i="12"/>
  <c r="K241" i="12" s="1"/>
  <c r="J110" i="12"/>
  <c r="K110" i="12" s="1"/>
  <c r="J263" i="12"/>
  <c r="K263" i="12" s="1"/>
  <c r="J535" i="12"/>
  <c r="K535" i="12" s="1"/>
  <c r="J89" i="12"/>
  <c r="K89" i="12" s="1"/>
  <c r="J249" i="12"/>
  <c r="K249" i="12" s="1"/>
  <c r="J753" i="12"/>
  <c r="K753" i="12" s="1"/>
  <c r="J665" i="12"/>
  <c r="K665" i="12" s="1"/>
  <c r="J641" i="12"/>
  <c r="K641" i="12" s="1"/>
  <c r="J609" i="12"/>
  <c r="K609" i="12" s="1"/>
  <c r="J569" i="12"/>
  <c r="K569" i="12" s="1"/>
  <c r="J505" i="12"/>
  <c r="K505" i="12" s="1"/>
  <c r="J331" i="12"/>
  <c r="K331" i="12" s="1"/>
  <c r="J323" i="12"/>
  <c r="K323" i="12" s="1"/>
  <c r="J307" i="12"/>
  <c r="K307" i="12" s="1"/>
  <c r="J275" i="12"/>
  <c r="K275" i="12" s="1"/>
  <c r="J61" i="12"/>
  <c r="K61" i="12" s="1"/>
  <c r="J616" i="12"/>
  <c r="K616" i="12" s="1"/>
  <c r="J448" i="12"/>
  <c r="K448" i="12" s="1"/>
  <c r="J919" i="12"/>
  <c r="K919" i="12" s="1"/>
  <c r="J862" i="12"/>
  <c r="K862" i="12" s="1"/>
  <c r="J951" i="12"/>
  <c r="K951" i="12" s="1"/>
  <c r="J105" i="12"/>
  <c r="K105" i="12" s="1"/>
  <c r="J297" i="12"/>
  <c r="K297" i="12" s="1"/>
  <c r="J441" i="12"/>
  <c r="K441" i="12" s="1"/>
  <c r="J841" i="12"/>
  <c r="K841" i="12" s="1"/>
  <c r="J267" i="12"/>
  <c r="K267" i="12" s="1"/>
  <c r="J243" i="12"/>
  <c r="K243" i="12" s="1"/>
  <c r="J235" i="12"/>
  <c r="K235" i="12" s="1"/>
  <c r="J227" i="12"/>
  <c r="K227" i="12" s="1"/>
  <c r="J211" i="12"/>
  <c r="K211" i="12" s="1"/>
  <c r="J624" i="12"/>
  <c r="K624" i="12" s="1"/>
  <c r="J584" i="12"/>
  <c r="K584" i="12" s="1"/>
  <c r="J112" i="12"/>
  <c r="K112" i="12" s="1"/>
  <c r="J31" i="12"/>
  <c r="K31" i="12" s="1"/>
  <c r="J679" i="12"/>
  <c r="K679" i="12" s="1"/>
  <c r="J823" i="12"/>
  <c r="K823" i="12" s="1"/>
  <c r="J321" i="12"/>
  <c r="K321" i="12" s="1"/>
  <c r="J465" i="12"/>
  <c r="K465" i="12" s="1"/>
  <c r="J681" i="12"/>
  <c r="K681" i="12" s="1"/>
  <c r="J495" i="12"/>
  <c r="K495" i="12" s="1"/>
  <c r="J867" i="12"/>
  <c r="J859" i="12"/>
  <c r="K859" i="12" s="1"/>
  <c r="J851" i="12"/>
  <c r="K851" i="12" s="1"/>
  <c r="J843" i="12"/>
  <c r="K843" i="12" s="1"/>
  <c r="J835" i="12"/>
  <c r="K835" i="12" s="1"/>
  <c r="J827" i="12"/>
  <c r="K827" i="12" s="1"/>
  <c r="J491" i="12"/>
  <c r="K491" i="12" s="1"/>
  <c r="J483" i="12"/>
  <c r="K483" i="12" s="1"/>
  <c r="J475" i="12"/>
  <c r="K475" i="12" s="1"/>
  <c r="J312" i="12"/>
  <c r="K312" i="12" s="1"/>
  <c r="J139" i="12"/>
  <c r="K139" i="12" s="1"/>
  <c r="J784" i="12"/>
  <c r="K784" i="12" s="1"/>
  <c r="J632" i="12"/>
  <c r="K632" i="12" s="1"/>
  <c r="J400" i="12"/>
  <c r="K400" i="12" s="1"/>
  <c r="J120" i="12"/>
  <c r="K120" i="12" s="1"/>
  <c r="J88" i="12"/>
  <c r="K88" i="12" s="1"/>
  <c r="J39" i="12"/>
  <c r="K39" i="12" s="1"/>
  <c r="J743" i="12"/>
  <c r="K743" i="12" s="1"/>
  <c r="J855" i="12"/>
  <c r="K855" i="12" s="1"/>
  <c r="J345" i="12"/>
  <c r="K345" i="12" s="1"/>
  <c r="J713" i="12"/>
  <c r="K713" i="12" s="1"/>
  <c r="J968" i="12"/>
  <c r="K968" i="12" s="1"/>
  <c r="J803" i="12"/>
  <c r="K803" i="12" s="1"/>
  <c r="H543" i="12"/>
  <c r="J138" i="12"/>
  <c r="K138" i="12" s="1"/>
  <c r="J131" i="12"/>
  <c r="K131" i="12" s="1"/>
  <c r="J510" i="12"/>
  <c r="K510" i="12" s="1"/>
  <c r="J382" i="12"/>
  <c r="K382" i="12" s="1"/>
  <c r="J334" i="12"/>
  <c r="K334" i="12" s="1"/>
  <c r="J302" i="12"/>
  <c r="K302" i="12" s="1"/>
  <c r="J286" i="12"/>
  <c r="K286" i="12" s="1"/>
  <c r="J142" i="12"/>
  <c r="K142" i="12" s="1"/>
  <c r="J657" i="12"/>
  <c r="K657" i="12" s="1"/>
  <c r="J776" i="12"/>
  <c r="K776" i="12" s="1"/>
  <c r="J408" i="12"/>
  <c r="K408" i="12" s="1"/>
  <c r="J663" i="12"/>
  <c r="K663" i="12" s="1"/>
  <c r="J879" i="12"/>
  <c r="K879" i="12" s="1"/>
  <c r="J49" i="12"/>
  <c r="K49" i="12" s="1"/>
  <c r="J721" i="12"/>
  <c r="K721" i="12" s="1"/>
  <c r="J815" i="12"/>
  <c r="K815" i="12" s="1"/>
  <c r="J755" i="12"/>
  <c r="K755" i="12" s="1"/>
  <c r="J747" i="12"/>
  <c r="K747" i="12" s="1"/>
  <c r="J419" i="12"/>
  <c r="K419" i="12" s="1"/>
  <c r="J411" i="12"/>
  <c r="K411" i="12" s="1"/>
  <c r="J403" i="12"/>
  <c r="K403" i="12" s="1"/>
  <c r="J395" i="12"/>
  <c r="K395" i="12" s="1"/>
  <c r="J387" i="12"/>
  <c r="K387" i="12" s="1"/>
  <c r="J123" i="12"/>
  <c r="K123" i="12" s="1"/>
  <c r="J115" i="12"/>
  <c r="K115" i="12" s="1"/>
  <c r="J107" i="12"/>
  <c r="K107" i="12" s="1"/>
  <c r="J99" i="12"/>
  <c r="K99" i="12" s="1"/>
  <c r="J91" i="12"/>
  <c r="K91" i="12" s="1"/>
  <c r="J83" i="12"/>
  <c r="K83" i="12" s="1"/>
  <c r="J75" i="12"/>
  <c r="K75" i="12" s="1"/>
  <c r="J59" i="12"/>
  <c r="K59" i="12" s="1"/>
  <c r="J816" i="12"/>
  <c r="K816" i="12" s="1"/>
  <c r="J472" i="12"/>
  <c r="K472" i="12" s="1"/>
  <c r="J128" i="12"/>
  <c r="K128" i="12" s="1"/>
  <c r="J46" i="12"/>
  <c r="K46" i="12" s="1"/>
  <c r="J895" i="12"/>
  <c r="K895" i="12" s="1"/>
  <c r="J57" i="12"/>
  <c r="K57" i="12" s="1"/>
  <c r="J393" i="12"/>
  <c r="K393" i="12" s="1"/>
  <c r="J561" i="12"/>
  <c r="K561" i="12" s="1"/>
  <c r="J745" i="12"/>
  <c r="K745" i="12" s="1"/>
  <c r="J847" i="12"/>
  <c r="K847" i="12" s="1"/>
  <c r="J739" i="12"/>
  <c r="K739" i="12" s="1"/>
  <c r="J379" i="12"/>
  <c r="K379" i="12" s="1"/>
  <c r="J440" i="12"/>
  <c r="K440" i="12" s="1"/>
  <c r="J23" i="12"/>
  <c r="K23" i="12" s="1"/>
  <c r="J975" i="12"/>
  <c r="K975" i="12" s="1"/>
  <c r="J17" i="12"/>
  <c r="K17" i="12" s="1"/>
  <c r="J313" i="12"/>
  <c r="K313" i="12" s="1"/>
  <c r="J433" i="12"/>
  <c r="K433" i="12" s="1"/>
  <c r="J649" i="12"/>
  <c r="K649" i="12" s="1"/>
  <c r="J939" i="12"/>
  <c r="K939" i="12" s="1"/>
  <c r="J923" i="12"/>
  <c r="K923" i="12" s="1"/>
  <c r="J915" i="12"/>
  <c r="K915" i="12" s="1"/>
  <c r="J899" i="12"/>
  <c r="K899" i="12" s="1"/>
  <c r="H753" i="12"/>
  <c r="J520" i="12"/>
  <c r="K520" i="12" s="1"/>
  <c r="H483" i="12"/>
  <c r="H311" i="12"/>
  <c r="J144" i="12"/>
  <c r="K144" i="12" s="1"/>
  <c r="H115" i="12"/>
  <c r="J519" i="12"/>
  <c r="K519" i="12" s="1"/>
  <c r="J769" i="12"/>
  <c r="K769" i="12" s="1"/>
  <c r="J33" i="12"/>
  <c r="K33" i="12" s="1"/>
  <c r="J129" i="12"/>
  <c r="K129" i="12" s="1"/>
  <c r="J449" i="12"/>
  <c r="K449" i="12" s="1"/>
  <c r="J673" i="12"/>
  <c r="K673" i="12" s="1"/>
  <c r="J559" i="12"/>
  <c r="K559" i="12" s="1"/>
  <c r="J960" i="12"/>
  <c r="K960" i="12" s="1"/>
  <c r="J707" i="12"/>
  <c r="K707" i="12" s="1"/>
  <c r="H615" i="12"/>
  <c r="H609" i="12"/>
  <c r="J595" i="12"/>
  <c r="K595" i="12" s="1"/>
  <c r="J467" i="12"/>
  <c r="K467" i="12" s="1"/>
  <c r="J363" i="12"/>
  <c r="K363" i="12" s="1"/>
  <c r="J355" i="12"/>
  <c r="K355" i="12" s="1"/>
  <c r="J347" i="12"/>
  <c r="K347" i="12" s="1"/>
  <c r="J339" i="12"/>
  <c r="K339" i="12" s="1"/>
  <c r="J259" i="12"/>
  <c r="K259" i="12" s="1"/>
  <c r="J251" i="12"/>
  <c r="K251" i="12" s="1"/>
  <c r="J25" i="12"/>
  <c r="K25" i="12" s="1"/>
  <c r="J906" i="12"/>
  <c r="K906" i="12" s="1"/>
  <c r="J270" i="12"/>
  <c r="K270" i="12" s="1"/>
  <c r="J47" i="12"/>
  <c r="K47" i="12" s="1"/>
  <c r="J327" i="12"/>
  <c r="K327" i="12" s="1"/>
  <c r="J41" i="12"/>
  <c r="K41" i="12" s="1"/>
  <c r="J153" i="12"/>
  <c r="K153" i="12" s="1"/>
  <c r="J920" i="12"/>
  <c r="K920" i="12" s="1"/>
  <c r="J872" i="12"/>
  <c r="K872" i="12" s="1"/>
  <c r="J864" i="12"/>
  <c r="K864" i="12" s="1"/>
  <c r="J856" i="12"/>
  <c r="K856" i="12" s="1"/>
  <c r="J734" i="12"/>
  <c r="K734" i="12" s="1"/>
  <c r="J622" i="12"/>
  <c r="K622" i="12" s="1"/>
  <c r="J590" i="12"/>
  <c r="K590" i="12" s="1"/>
  <c r="J478" i="12"/>
  <c r="K478" i="12" s="1"/>
  <c r="J462" i="12"/>
  <c r="K462" i="12" s="1"/>
  <c r="J414" i="12"/>
  <c r="K414" i="12" s="1"/>
  <c r="J350" i="12"/>
  <c r="K350" i="12" s="1"/>
  <c r="J318" i="12"/>
  <c r="K318" i="12" s="1"/>
  <c r="J254" i="12"/>
  <c r="K254" i="12" s="1"/>
  <c r="J222" i="12"/>
  <c r="K222" i="12" s="1"/>
  <c r="J206" i="12"/>
  <c r="K206" i="12" s="1"/>
  <c r="J190" i="12"/>
  <c r="K190" i="12" s="1"/>
  <c r="J174" i="12"/>
  <c r="K174" i="12" s="1"/>
  <c r="J78" i="12"/>
  <c r="K78" i="12" s="1"/>
  <c r="J807" i="12"/>
  <c r="K807" i="12" s="1"/>
  <c r="J930" i="12"/>
  <c r="K930" i="12" s="1"/>
  <c r="J55" i="12"/>
  <c r="K55" i="12" s="1"/>
  <c r="J199" i="12"/>
  <c r="K199" i="12" s="1"/>
  <c r="J359" i="12"/>
  <c r="K359" i="12" s="1"/>
  <c r="J551" i="12"/>
  <c r="K551" i="12" s="1"/>
  <c r="J527" i="12"/>
  <c r="K527" i="12" s="1"/>
  <c r="J161" i="12"/>
  <c r="K161" i="12" s="1"/>
  <c r="J265" i="12"/>
  <c r="K265" i="12" s="1"/>
  <c r="J385" i="12"/>
  <c r="K385" i="12" s="1"/>
  <c r="J239" i="12"/>
  <c r="K239" i="12" s="1"/>
  <c r="H616" i="12"/>
  <c r="H968" i="12"/>
  <c r="J840" i="12"/>
  <c r="K840" i="12" s="1"/>
  <c r="J779" i="12"/>
  <c r="K779" i="12" s="1"/>
  <c r="J539" i="12"/>
  <c r="K539" i="12" s="1"/>
  <c r="J473" i="12"/>
  <c r="K473" i="12" s="1"/>
  <c r="J435" i="12"/>
  <c r="K435" i="12" s="1"/>
  <c r="J171" i="12"/>
  <c r="K171" i="12" s="1"/>
  <c r="J163" i="12"/>
  <c r="K163" i="12" s="1"/>
  <c r="J43" i="12"/>
  <c r="K43" i="12" s="1"/>
  <c r="J35" i="12"/>
  <c r="K35" i="12" s="1"/>
  <c r="J526" i="12"/>
  <c r="K526" i="12" s="1"/>
  <c r="J63" i="12"/>
  <c r="K63" i="12" s="1"/>
  <c r="J247" i="12"/>
  <c r="K247" i="12" s="1"/>
  <c r="J136" i="12"/>
  <c r="K136" i="12" s="1"/>
  <c r="J169" i="12"/>
  <c r="K169" i="12" s="1"/>
  <c r="J273" i="12"/>
  <c r="K273" i="12" s="1"/>
  <c r="J617" i="12"/>
  <c r="K617" i="12" s="1"/>
  <c r="J771" i="12"/>
  <c r="K771" i="12" s="1"/>
  <c r="J763" i="12"/>
  <c r="K763" i="12" s="1"/>
  <c r="J696" i="12"/>
  <c r="K696" i="12" s="1"/>
  <c r="J643" i="12"/>
  <c r="K643" i="12" s="1"/>
  <c r="J635" i="12"/>
  <c r="K635" i="12" s="1"/>
  <c r="J627" i="12"/>
  <c r="K627" i="12" s="1"/>
  <c r="J592" i="12"/>
  <c r="K592" i="12" s="1"/>
  <c r="H419" i="12"/>
  <c r="J336" i="12"/>
  <c r="K336" i="12" s="1"/>
  <c r="H307" i="12"/>
  <c r="J248" i="12"/>
  <c r="K248" i="12" s="1"/>
  <c r="J147" i="12"/>
  <c r="K147" i="12" s="1"/>
  <c r="J19" i="12"/>
  <c r="K19" i="12" s="1"/>
  <c r="J11" i="12"/>
  <c r="K11" i="12" s="1"/>
  <c r="J639" i="12"/>
  <c r="K639" i="12" s="1"/>
  <c r="J71" i="12"/>
  <c r="K71" i="12" s="1"/>
  <c r="J631" i="12"/>
  <c r="K631" i="12" s="1"/>
  <c r="J521" i="12"/>
  <c r="K521" i="12" s="1"/>
  <c r="J625" i="12"/>
  <c r="K625" i="12" s="1"/>
  <c r="J456" i="12"/>
  <c r="K456" i="12" s="1"/>
  <c r="J208" i="12"/>
  <c r="K208" i="12" s="1"/>
  <c r="J200" i="12"/>
  <c r="K200" i="12" s="1"/>
  <c r="J471" i="12"/>
  <c r="K471" i="12" s="1"/>
  <c r="J640" i="12"/>
  <c r="K640" i="12" s="1"/>
  <c r="J257" i="12"/>
  <c r="K257" i="12" s="1"/>
  <c r="J513" i="12"/>
  <c r="K513" i="12" s="1"/>
  <c r="J689" i="12"/>
  <c r="K689" i="12" s="1"/>
  <c r="J838" i="12"/>
  <c r="K838" i="12" s="1"/>
  <c r="J774" i="12"/>
  <c r="K774" i="12" s="1"/>
  <c r="J710" i="12"/>
  <c r="K710" i="12" s="1"/>
  <c r="J654" i="12"/>
  <c r="K654" i="12" s="1"/>
  <c r="J158" i="12"/>
  <c r="K158" i="12" s="1"/>
  <c r="J152" i="12"/>
  <c r="K152" i="12" s="1"/>
  <c r="J697" i="12"/>
  <c r="K697" i="12" s="1"/>
  <c r="J768" i="12"/>
  <c r="K768" i="12" s="1"/>
  <c r="J552" i="12"/>
  <c r="K552" i="12" s="1"/>
  <c r="J978" i="12"/>
  <c r="K978" i="12" s="1"/>
  <c r="J646" i="12"/>
  <c r="K646" i="12" s="1"/>
  <c r="J582" i="12"/>
  <c r="K582" i="12" s="1"/>
  <c r="H479" i="12"/>
  <c r="H395" i="12"/>
  <c r="J294" i="12"/>
  <c r="K294" i="12" s="1"/>
  <c r="J636" i="12"/>
  <c r="K636" i="12" s="1"/>
  <c r="J508" i="12"/>
  <c r="K508" i="12" s="1"/>
  <c r="J444" i="12"/>
  <c r="K444" i="12" s="1"/>
  <c r="J428" i="12"/>
  <c r="K428" i="12" s="1"/>
  <c r="J412" i="12"/>
  <c r="K412" i="12" s="1"/>
  <c r="J348" i="12"/>
  <c r="K348" i="12" s="1"/>
  <c r="J236" i="12"/>
  <c r="K236" i="12" s="1"/>
  <c r="J188" i="12"/>
  <c r="K188" i="12" s="1"/>
  <c r="J180" i="12"/>
  <c r="K180" i="12" s="1"/>
  <c r="J172" i="12"/>
  <c r="K172" i="12" s="1"/>
  <c r="J68" i="12"/>
  <c r="K68" i="12" s="1"/>
  <c r="J36" i="12"/>
  <c r="K36" i="12" s="1"/>
  <c r="J353" i="12"/>
  <c r="K353" i="12" s="1"/>
  <c r="H843" i="12"/>
  <c r="J830" i="12"/>
  <c r="K830" i="12" s="1"/>
  <c r="J758" i="12"/>
  <c r="K758" i="12" s="1"/>
  <c r="J542" i="12"/>
  <c r="K542" i="12" s="1"/>
  <c r="J534" i="12"/>
  <c r="K534" i="12" s="1"/>
  <c r="H387" i="12"/>
  <c r="H339" i="12"/>
  <c r="H293" i="12"/>
  <c r="H235" i="12"/>
  <c r="J446" i="12"/>
  <c r="K446" i="12" s="1"/>
  <c r="J209" i="12"/>
  <c r="K209" i="12" s="1"/>
  <c r="J289" i="12"/>
  <c r="K289" i="12" s="1"/>
  <c r="J268" i="12"/>
  <c r="K268" i="12" s="1"/>
  <c r="J704" i="12"/>
  <c r="K704" i="12" s="1"/>
  <c r="J678" i="12"/>
  <c r="K678" i="12" s="1"/>
  <c r="J278" i="12"/>
  <c r="K278" i="12" s="1"/>
  <c r="J464" i="12"/>
  <c r="K464" i="12" s="1"/>
  <c r="J145" i="12"/>
  <c r="K145" i="12" s="1"/>
  <c r="J217" i="12"/>
  <c r="K217" i="12" s="1"/>
  <c r="J729" i="12"/>
  <c r="K729" i="12" s="1"/>
  <c r="J672" i="12"/>
  <c r="K672" i="12" s="1"/>
  <c r="J568" i="12"/>
  <c r="K568" i="12" s="1"/>
  <c r="J750" i="12"/>
  <c r="K750" i="12" s="1"/>
  <c r="J470" i="12"/>
  <c r="K470" i="12" s="1"/>
  <c r="J366" i="12"/>
  <c r="K366" i="12" s="1"/>
  <c r="H331" i="12"/>
  <c r="H277" i="12"/>
  <c r="H227" i="12"/>
  <c r="J182" i="12"/>
  <c r="K182" i="12" s="1"/>
  <c r="J857" i="12"/>
  <c r="K857" i="12" s="1"/>
  <c r="J849" i="12"/>
  <c r="K849" i="12" s="1"/>
  <c r="J825" i="12"/>
  <c r="K825" i="12" s="1"/>
  <c r="J801" i="12"/>
  <c r="K801" i="12" s="1"/>
  <c r="J785" i="12"/>
  <c r="K785" i="12" s="1"/>
  <c r="J423" i="12"/>
  <c r="K423" i="12" s="1"/>
  <c r="J865" i="12"/>
  <c r="K865" i="12" s="1"/>
  <c r="J934" i="12"/>
  <c r="K934" i="12" s="1"/>
  <c r="J742" i="12"/>
  <c r="K742" i="12" s="1"/>
  <c r="J670" i="12"/>
  <c r="K670" i="12" s="1"/>
  <c r="J310" i="12"/>
  <c r="K310" i="12" s="1"/>
  <c r="J439" i="12"/>
  <c r="K439" i="12" s="1"/>
  <c r="J599" i="12"/>
  <c r="K599" i="12" s="1"/>
  <c r="J560" i="12"/>
  <c r="K560" i="12" s="1"/>
  <c r="J719" i="12"/>
  <c r="K719" i="12" s="1"/>
  <c r="J401" i="12"/>
  <c r="K401" i="12" s="1"/>
  <c r="J481" i="12"/>
  <c r="K481" i="12" s="1"/>
  <c r="J974" i="12"/>
  <c r="K974" i="12" s="1"/>
  <c r="J926" i="12"/>
  <c r="K926" i="12" s="1"/>
  <c r="J918" i="12"/>
  <c r="K918" i="12" s="1"/>
  <c r="J910" i="12"/>
  <c r="K910" i="12" s="1"/>
  <c r="J894" i="12"/>
  <c r="K894" i="12" s="1"/>
  <c r="J886" i="12"/>
  <c r="K886" i="12" s="1"/>
  <c r="J878" i="12"/>
  <c r="K878" i="12" s="1"/>
  <c r="J790" i="12"/>
  <c r="K790" i="12" s="1"/>
  <c r="H655" i="12"/>
  <c r="H166" i="12"/>
  <c r="H927" i="12"/>
  <c r="H923" i="12"/>
  <c r="J576" i="12"/>
  <c r="K576" i="12" s="1"/>
  <c r="J798" i="12"/>
  <c r="K798" i="12" s="1"/>
  <c r="J799" i="12"/>
  <c r="K799" i="12" s="1"/>
  <c r="J15" i="12"/>
  <c r="K15" i="12" s="1"/>
  <c r="J127" i="12"/>
  <c r="K127" i="12" s="1"/>
  <c r="J231" i="12"/>
  <c r="K231" i="12" s="1"/>
  <c r="J343" i="12"/>
  <c r="K343" i="12" s="1"/>
  <c r="J887" i="12"/>
  <c r="K887" i="12" s="1"/>
  <c r="J943" i="12"/>
  <c r="K943" i="12" s="1"/>
  <c r="J72" i="12"/>
  <c r="K72" i="12" s="1"/>
  <c r="J384" i="12"/>
  <c r="K384" i="12" s="1"/>
  <c r="J512" i="12"/>
  <c r="K512" i="12" s="1"/>
  <c r="J73" i="12"/>
  <c r="K73" i="12" s="1"/>
  <c r="J593" i="12"/>
  <c r="K593" i="12" s="1"/>
  <c r="J705" i="12"/>
  <c r="K705" i="12" s="1"/>
  <c r="J511" i="12"/>
  <c r="K511" i="12" s="1"/>
  <c r="J223" i="12"/>
  <c r="K223" i="12" s="1"/>
  <c r="H872" i="12"/>
  <c r="J376" i="12"/>
  <c r="K376" i="12" s="1"/>
  <c r="H312" i="12"/>
  <c r="H960" i="12"/>
  <c r="J937" i="12"/>
  <c r="K937" i="12" s="1"/>
  <c r="H910" i="12"/>
  <c r="H763" i="12"/>
  <c r="H711" i="12"/>
  <c r="J706" i="12"/>
  <c r="K706" i="12" s="1"/>
  <c r="H665" i="12"/>
  <c r="H641" i="12"/>
  <c r="H603" i="12"/>
  <c r="J392" i="12"/>
  <c r="K392" i="12" s="1"/>
  <c r="H75" i="12"/>
  <c r="H11" i="12"/>
  <c r="J430" i="12"/>
  <c r="K430" i="12" s="1"/>
  <c r="J606" i="12"/>
  <c r="K606" i="12" s="1"/>
  <c r="J87" i="12"/>
  <c r="K87" i="12" s="1"/>
  <c r="J143" i="12"/>
  <c r="K143" i="12" s="1"/>
  <c r="J8" i="12"/>
  <c r="K8" i="12" s="1"/>
  <c r="J288" i="12"/>
  <c r="K288" i="12" s="1"/>
  <c r="J416" i="12"/>
  <c r="K416" i="12" s="1"/>
  <c r="J544" i="12"/>
  <c r="K544" i="12" s="1"/>
  <c r="J225" i="12"/>
  <c r="K225" i="12" s="1"/>
  <c r="J281" i="12"/>
  <c r="K281" i="12" s="1"/>
  <c r="J329" i="12"/>
  <c r="K329" i="12" s="1"/>
  <c r="J545" i="12"/>
  <c r="K545" i="12" s="1"/>
  <c r="H520" i="12"/>
  <c r="J961" i="12"/>
  <c r="K961" i="12" s="1"/>
  <c r="H935" i="12"/>
  <c r="J929" i="12"/>
  <c r="K929" i="12" s="1"/>
  <c r="H915" i="12"/>
  <c r="J873" i="12"/>
  <c r="K873" i="12" s="1"/>
  <c r="H851" i="12"/>
  <c r="H827" i="12"/>
  <c r="H774" i="12"/>
  <c r="H710" i="12"/>
  <c r="H569" i="12"/>
  <c r="H367" i="12"/>
  <c r="H336" i="12"/>
  <c r="H243" i="12"/>
  <c r="H182" i="12"/>
  <c r="H59" i="12"/>
  <c r="J96" i="12"/>
  <c r="K96" i="12" s="1"/>
  <c r="J432" i="12"/>
  <c r="K432" i="12" s="1"/>
  <c r="H171" i="12"/>
  <c r="J687" i="12"/>
  <c r="K687" i="12" s="1"/>
  <c r="J553" i="12"/>
  <c r="K553" i="12" s="1"/>
  <c r="J168" i="12"/>
  <c r="K168" i="12" s="1"/>
  <c r="H885" i="12"/>
  <c r="H878" i="12"/>
  <c r="H864" i="12"/>
  <c r="J820" i="12"/>
  <c r="K820" i="12" s="1"/>
  <c r="H767" i="12"/>
  <c r="H742" i="12"/>
  <c r="H505" i="12"/>
  <c r="J468" i="12"/>
  <c r="K468" i="12" s="1"/>
  <c r="H448" i="12"/>
  <c r="H403" i="12"/>
  <c r="H323" i="12"/>
  <c r="H294" i="12"/>
  <c r="H248" i="12"/>
  <c r="H208" i="12"/>
  <c r="H119" i="12"/>
  <c r="J183" i="12"/>
  <c r="K183" i="12" s="1"/>
  <c r="J608" i="12"/>
  <c r="K608" i="12" s="1"/>
  <c r="H456" i="12"/>
  <c r="J264" i="12"/>
  <c r="K264" i="12" s="1"/>
  <c r="J424" i="12"/>
  <c r="K424" i="12" s="1"/>
  <c r="J977" i="12"/>
  <c r="K977" i="12" s="1"/>
  <c r="J772" i="12"/>
  <c r="K772" i="12" s="1"/>
  <c r="J320" i="12"/>
  <c r="K320" i="12" s="1"/>
  <c r="J761" i="12"/>
  <c r="K761" i="12" s="1"/>
  <c r="J913" i="12"/>
  <c r="K913" i="12" s="1"/>
  <c r="J494" i="12"/>
  <c r="K494" i="12" s="1"/>
  <c r="J215" i="12"/>
  <c r="K215" i="12" s="1"/>
  <c r="J871" i="12"/>
  <c r="K871" i="12" s="1"/>
  <c r="J65" i="12"/>
  <c r="K65" i="12" s="1"/>
  <c r="J175" i="12"/>
  <c r="K175" i="12" s="1"/>
  <c r="H158" i="12"/>
  <c r="J296" i="12"/>
  <c r="K296" i="12" s="1"/>
  <c r="J656" i="12"/>
  <c r="K656" i="12" s="1"/>
  <c r="H856" i="12"/>
  <c r="J680" i="12"/>
  <c r="K680" i="12" s="1"/>
  <c r="J952" i="12"/>
  <c r="K952" i="12" s="1"/>
  <c r="J876" i="12"/>
  <c r="K876" i="12" s="1"/>
  <c r="J700" i="12"/>
  <c r="K700" i="12" s="1"/>
  <c r="J808" i="12"/>
  <c r="K808" i="12" s="1"/>
  <c r="J238" i="12"/>
  <c r="K238" i="12" s="1"/>
  <c r="J103" i="12"/>
  <c r="K103" i="12" s="1"/>
  <c r="J567" i="12"/>
  <c r="K567" i="12" s="1"/>
  <c r="J64" i="12"/>
  <c r="K64" i="12" s="1"/>
  <c r="J480" i="12"/>
  <c r="K480" i="12" s="1"/>
  <c r="J271" i="12"/>
  <c r="K271" i="12" s="1"/>
  <c r="J9" i="12"/>
  <c r="K9" i="12" s="1"/>
  <c r="J201" i="12"/>
  <c r="K201" i="12" s="1"/>
  <c r="J383" i="12"/>
  <c r="K383" i="12" s="1"/>
  <c r="J360" i="12"/>
  <c r="K360" i="12" s="1"/>
  <c r="J832" i="12"/>
  <c r="K832" i="12" s="1"/>
  <c r="H949" i="12"/>
  <c r="J896" i="12"/>
  <c r="K896" i="12" s="1"/>
  <c r="J868" i="12"/>
  <c r="K868" i="12" s="1"/>
  <c r="J824" i="12"/>
  <c r="K824" i="12" s="1"/>
  <c r="H782" i="12"/>
  <c r="H726" i="12"/>
  <c r="J642" i="12"/>
  <c r="K642" i="12" s="1"/>
  <c r="H303" i="12"/>
  <c r="H278" i="12"/>
  <c r="J266" i="12"/>
  <c r="K266" i="12" s="1"/>
  <c r="H259" i="12"/>
  <c r="H211" i="12"/>
  <c r="H61" i="12"/>
  <c r="J921" i="12"/>
  <c r="K921" i="12" s="1"/>
  <c r="J844" i="12"/>
  <c r="K844" i="12" s="1"/>
  <c r="J780" i="12"/>
  <c r="K780" i="12" s="1"/>
  <c r="J716" i="12"/>
  <c r="K716" i="12" s="1"/>
  <c r="J604" i="12"/>
  <c r="K604" i="12" s="1"/>
  <c r="J588" i="12"/>
  <c r="K588" i="12" s="1"/>
  <c r="J572" i="12"/>
  <c r="K572" i="12" s="1"/>
  <c r="J540" i="12"/>
  <c r="K540" i="12" s="1"/>
  <c r="J524" i="12"/>
  <c r="K524" i="12" s="1"/>
  <c r="J492" i="12"/>
  <c r="K492" i="12" s="1"/>
  <c r="J476" i="12"/>
  <c r="K476" i="12" s="1"/>
  <c r="J460" i="12"/>
  <c r="K460" i="12" s="1"/>
  <c r="J396" i="12"/>
  <c r="K396" i="12" s="1"/>
  <c r="J380" i="12"/>
  <c r="K380" i="12" s="1"/>
  <c r="J364" i="12"/>
  <c r="K364" i="12" s="1"/>
  <c r="J332" i="12"/>
  <c r="K332" i="12" s="1"/>
  <c r="J316" i="12"/>
  <c r="K316" i="12" s="1"/>
  <c r="J300" i="12"/>
  <c r="K300" i="12" s="1"/>
  <c r="J284" i="12"/>
  <c r="K284" i="12" s="1"/>
  <c r="J252" i="12"/>
  <c r="K252" i="12" s="1"/>
  <c r="J220" i="12"/>
  <c r="K220" i="12" s="1"/>
  <c r="J204" i="12"/>
  <c r="K204" i="12" s="1"/>
  <c r="J194" i="12"/>
  <c r="K194" i="12" s="1"/>
  <c r="J156" i="12"/>
  <c r="K156" i="12" s="1"/>
  <c r="J132" i="12"/>
  <c r="K132" i="12" s="1"/>
  <c r="J100" i="12"/>
  <c r="K100" i="12" s="1"/>
  <c r="J496" i="12"/>
  <c r="K496" i="12" s="1"/>
  <c r="J337" i="12"/>
  <c r="K337" i="12" s="1"/>
  <c r="J973" i="12"/>
  <c r="K973" i="12" s="1"/>
  <c r="H973" i="12"/>
  <c r="J881" i="12"/>
  <c r="K881" i="12" s="1"/>
  <c r="H881" i="12"/>
  <c r="J795" i="12"/>
  <c r="K795" i="12" s="1"/>
  <c r="H795" i="12"/>
  <c r="J666" i="12"/>
  <c r="K666" i="12" s="1"/>
  <c r="J326" i="12"/>
  <c r="K326" i="12" s="1"/>
  <c r="H326" i="12"/>
  <c r="J292" i="12"/>
  <c r="K292" i="12" s="1"/>
  <c r="H292" i="12"/>
  <c r="J242" i="12"/>
  <c r="K242" i="12" s="1"/>
  <c r="J195" i="12"/>
  <c r="K195" i="12" s="1"/>
  <c r="H195" i="12"/>
  <c r="J737" i="12"/>
  <c r="K737" i="12" s="1"/>
  <c r="J793" i="12"/>
  <c r="K793" i="12" s="1"/>
  <c r="J954" i="12"/>
  <c r="K954" i="12" s="1"/>
  <c r="J924" i="12"/>
  <c r="H917" i="12"/>
  <c r="H911" i="12"/>
  <c r="H906" i="12"/>
  <c r="H899" i="12"/>
  <c r="H868" i="12"/>
  <c r="H831" i="12"/>
  <c r="H820" i="12"/>
  <c r="J788" i="12"/>
  <c r="K788" i="12" s="1"/>
  <c r="H747" i="12"/>
  <c r="H736" i="12"/>
  <c r="J736" i="12"/>
  <c r="K736" i="12" s="1"/>
  <c r="H717" i="12"/>
  <c r="H706" i="12"/>
  <c r="H700" i="12"/>
  <c r="H670" i="12"/>
  <c r="H642" i="12"/>
  <c r="J637" i="12"/>
  <c r="K637" i="12" s="1"/>
  <c r="J626" i="12"/>
  <c r="K626" i="12" s="1"/>
  <c r="H626" i="12"/>
  <c r="J596" i="12"/>
  <c r="K596" i="12" s="1"/>
  <c r="H596" i="12"/>
  <c r="J564" i="12"/>
  <c r="K564" i="12" s="1"/>
  <c r="H542" i="12"/>
  <c r="J404" i="12"/>
  <c r="K404" i="12" s="1"/>
  <c r="H404" i="12"/>
  <c r="J397" i="12"/>
  <c r="K397" i="12" s="1"/>
  <c r="H266" i="12"/>
  <c r="J162" i="12"/>
  <c r="K162" i="12" s="1"/>
  <c r="H162" i="12"/>
  <c r="H144" i="12"/>
  <c r="J378" i="12"/>
  <c r="K378" i="12" s="1"/>
  <c r="H378" i="12"/>
  <c r="J362" i="12"/>
  <c r="K362" i="12" s="1"/>
  <c r="H362" i="12"/>
  <c r="J125" i="12"/>
  <c r="K125" i="12" s="1"/>
  <c r="H125" i="12"/>
  <c r="J27" i="12"/>
  <c r="K27" i="12" s="1"/>
  <c r="H27" i="12"/>
  <c r="J489" i="12"/>
  <c r="K489" i="12" s="1"/>
  <c r="J809" i="12"/>
  <c r="K809" i="12" s="1"/>
  <c r="J891" i="12"/>
  <c r="K891" i="12" s="1"/>
  <c r="H891" i="12"/>
  <c r="J842" i="12"/>
  <c r="K842" i="12" s="1"/>
  <c r="J826" i="12"/>
  <c r="K826" i="12" s="1"/>
  <c r="J562" i="12"/>
  <c r="K562" i="12" s="1"/>
  <c r="H562" i="12"/>
  <c r="J342" i="12"/>
  <c r="K342" i="12" s="1"/>
  <c r="H342" i="12"/>
  <c r="J212" i="12"/>
  <c r="K212" i="12" s="1"/>
  <c r="H212" i="12"/>
  <c r="J537" i="12"/>
  <c r="K537" i="12" s="1"/>
  <c r="J647" i="12"/>
  <c r="K647" i="12" s="1"/>
  <c r="J607" i="12"/>
  <c r="K607" i="12" s="1"/>
  <c r="J912" i="12"/>
  <c r="K912" i="12" s="1"/>
  <c r="H928" i="12"/>
  <c r="J928" i="12"/>
  <c r="K928" i="12" s="1"/>
  <c r="J922" i="12"/>
  <c r="J897" i="12"/>
  <c r="K897" i="12" s="1"/>
  <c r="H897" i="12"/>
  <c r="J890" i="12"/>
  <c r="K890" i="12" s="1"/>
  <c r="H835" i="12"/>
  <c r="J733" i="12"/>
  <c r="K733" i="12" s="1"/>
  <c r="H733" i="12"/>
  <c r="J722" i="12"/>
  <c r="K722" i="12" s="1"/>
  <c r="J674" i="12"/>
  <c r="K674" i="12" s="1"/>
  <c r="J658" i="12"/>
  <c r="K658" i="12" s="1"/>
  <c r="H611" i="12"/>
  <c r="J605" i="12"/>
  <c r="K605" i="12" s="1"/>
  <c r="H605" i="12"/>
  <c r="J581" i="12"/>
  <c r="K581" i="12" s="1"/>
  <c r="J458" i="12"/>
  <c r="K458" i="12" s="1"/>
  <c r="H458" i="12"/>
  <c r="H421" i="12"/>
  <c r="H415" i="12"/>
  <c r="J402" i="12"/>
  <c r="K402" i="12" s="1"/>
  <c r="J388" i="12"/>
  <c r="K388" i="12" s="1"/>
  <c r="H388" i="12"/>
  <c r="J330" i="12"/>
  <c r="K330" i="12" s="1"/>
  <c r="H330" i="12"/>
  <c r="J191" i="12"/>
  <c r="K191" i="12" s="1"/>
  <c r="H191" i="12"/>
  <c r="J154" i="12"/>
  <c r="K154" i="12" s="1"/>
  <c r="H107" i="12"/>
  <c r="J659" i="12"/>
  <c r="K659" i="12" s="1"/>
  <c r="H659" i="12"/>
  <c r="J60" i="12"/>
  <c r="K60" i="12" s="1"/>
  <c r="H60" i="12"/>
  <c r="J121" i="12"/>
  <c r="K121" i="12" s="1"/>
  <c r="J853" i="12"/>
  <c r="K853" i="12" s="1"/>
  <c r="H853" i="12"/>
  <c r="H978" i="12"/>
  <c r="J48" i="12"/>
  <c r="K48" i="12" s="1"/>
  <c r="J81" i="12"/>
  <c r="K81" i="12" s="1"/>
  <c r="J777" i="12"/>
  <c r="K777" i="12" s="1"/>
  <c r="J671" i="12"/>
  <c r="K671" i="12" s="1"/>
  <c r="J940" i="12"/>
  <c r="K940" i="12" s="1"/>
  <c r="J884" i="12"/>
  <c r="K884" i="12" s="1"/>
  <c r="J858" i="12"/>
  <c r="K858" i="12" s="1"/>
  <c r="J852" i="12"/>
  <c r="K852" i="12" s="1"/>
  <c r="J811" i="12"/>
  <c r="K811" i="12" s="1"/>
  <c r="H811" i="12"/>
  <c r="J762" i="12"/>
  <c r="K762" i="12" s="1"/>
  <c r="H755" i="12"/>
  <c r="H678" i="12"/>
  <c r="J586" i="12"/>
  <c r="K586" i="12" s="1"/>
  <c r="H475" i="12"/>
  <c r="H470" i="12"/>
  <c r="H347" i="12"/>
  <c r="J340" i="12"/>
  <c r="K340" i="12" s="1"/>
  <c r="H340" i="12"/>
  <c r="J117" i="12"/>
  <c r="K117" i="12" s="1"/>
  <c r="H117" i="12"/>
  <c r="J51" i="12"/>
  <c r="K51" i="12" s="1"/>
  <c r="H51" i="12"/>
  <c r="J936" i="12"/>
  <c r="K936" i="12" s="1"/>
  <c r="H936" i="12"/>
  <c r="J675" i="12"/>
  <c r="K675" i="12" s="1"/>
  <c r="H675" i="12"/>
  <c r="J548" i="12"/>
  <c r="K548" i="12" s="1"/>
  <c r="H548" i="12"/>
  <c r="J391" i="12"/>
  <c r="K391" i="12" s="1"/>
  <c r="J874" i="12"/>
  <c r="K874" i="12" s="1"/>
  <c r="J836" i="12"/>
  <c r="K836" i="12" s="1"/>
  <c r="J757" i="12"/>
  <c r="K757" i="12" s="1"/>
  <c r="H757" i="12"/>
  <c r="J398" i="12"/>
  <c r="K398" i="12" s="1"/>
  <c r="J558" i="12"/>
  <c r="K558" i="12" s="1"/>
  <c r="J167" i="12"/>
  <c r="K167" i="12" s="1"/>
  <c r="J959" i="12"/>
  <c r="K959" i="12" s="1"/>
  <c r="J56" i="12"/>
  <c r="K56" i="12" s="1"/>
  <c r="J368" i="12"/>
  <c r="K368" i="12" s="1"/>
  <c r="J137" i="12"/>
  <c r="K137" i="12" s="1"/>
  <c r="J377" i="12"/>
  <c r="K377" i="12" s="1"/>
  <c r="J633" i="12"/>
  <c r="K633" i="12" s="1"/>
  <c r="J255" i="12"/>
  <c r="K255" i="12" s="1"/>
  <c r="J4" i="12"/>
  <c r="K4" i="12" s="1"/>
  <c r="J800" i="12"/>
  <c r="K800" i="12" s="1"/>
  <c r="J902" i="12"/>
  <c r="K902" i="12" s="1"/>
  <c r="H902" i="12"/>
  <c r="J804" i="12"/>
  <c r="K804" i="12" s="1"/>
  <c r="J738" i="12"/>
  <c r="K738" i="12" s="1"/>
  <c r="H738" i="12"/>
  <c r="J732" i="12"/>
  <c r="K732" i="12" s="1"/>
  <c r="J667" i="12"/>
  <c r="K667" i="12" s="1"/>
  <c r="H667" i="12"/>
  <c r="J438" i="12"/>
  <c r="K438" i="12" s="1"/>
  <c r="H438" i="12"/>
  <c r="J44" i="12"/>
  <c r="K44" i="12" s="1"/>
  <c r="J14" i="12"/>
  <c r="K14" i="12" s="1"/>
  <c r="J447" i="12"/>
  <c r="K447" i="12" s="1"/>
  <c r="J272" i="12"/>
  <c r="K272" i="12" s="1"/>
  <c r="J425" i="12"/>
  <c r="K425" i="12" s="1"/>
  <c r="J783" i="12"/>
  <c r="K783" i="12" s="1"/>
  <c r="J575" i="12"/>
  <c r="K575" i="12" s="1"/>
  <c r="H888" i="12"/>
  <c r="J888" i="12"/>
  <c r="K888" i="12" s="1"/>
  <c r="H876" i="12"/>
  <c r="J822" i="12"/>
  <c r="K822" i="12" s="1"/>
  <c r="H822" i="12"/>
  <c r="J778" i="12"/>
  <c r="K778" i="12" s="1"/>
  <c r="H772" i="12"/>
  <c r="H712" i="12"/>
  <c r="J712" i="12"/>
  <c r="K712" i="12" s="1"/>
  <c r="H707" i="12"/>
  <c r="H701" i="12"/>
  <c r="H696" i="12"/>
  <c r="J684" i="12"/>
  <c r="K684" i="12" s="1"/>
  <c r="H666" i="12"/>
  <c r="H627" i="12"/>
  <c r="H597" i="12"/>
  <c r="J346" i="12"/>
  <c r="K346" i="12" s="1"/>
  <c r="H346" i="12"/>
  <c r="J202" i="12"/>
  <c r="K202" i="12" s="1"/>
  <c r="J122" i="12"/>
  <c r="K122" i="12" s="1"/>
  <c r="J621" i="12"/>
  <c r="K621" i="12" s="1"/>
  <c r="J530" i="12"/>
  <c r="K530" i="12" s="1"/>
  <c r="J484" i="12"/>
  <c r="K484" i="12" s="1"/>
  <c r="J453" i="12"/>
  <c r="K453" i="12" s="1"/>
  <c r="J442" i="12"/>
  <c r="K442" i="12" s="1"/>
  <c r="J437" i="12"/>
  <c r="K437" i="12" s="1"/>
  <c r="J426" i="12"/>
  <c r="K426" i="12" s="1"/>
  <c r="J314" i="12"/>
  <c r="K314" i="12" s="1"/>
  <c r="J308" i="12"/>
  <c r="K308" i="12" s="1"/>
  <c r="J298" i="12"/>
  <c r="K298" i="12" s="1"/>
  <c r="J282" i="12"/>
  <c r="K282" i="12" s="1"/>
  <c r="J276" i="12"/>
  <c r="K276" i="12" s="1"/>
  <c r="J260" i="12"/>
  <c r="K260" i="12" s="1"/>
  <c r="J178" i="12"/>
  <c r="K178" i="12" s="1"/>
  <c r="J116" i="12"/>
  <c r="K116" i="12" s="1"/>
  <c r="J964" i="12"/>
  <c r="K964" i="12" s="1"/>
  <c r="J933" i="12"/>
  <c r="K933" i="12" s="1"/>
  <c r="J893" i="12"/>
  <c r="K893" i="12" s="1"/>
  <c r="H873" i="12"/>
  <c r="J861" i="12"/>
  <c r="K861" i="12" s="1"/>
  <c r="J845" i="12"/>
  <c r="K845" i="12" s="1"/>
  <c r="J797" i="12"/>
  <c r="K797" i="12" s="1"/>
  <c r="H791" i="12"/>
  <c r="J770" i="12"/>
  <c r="K770" i="12" s="1"/>
  <c r="J741" i="12"/>
  <c r="K741" i="12" s="1"/>
  <c r="J677" i="12"/>
  <c r="K677" i="12" s="1"/>
  <c r="J669" i="12"/>
  <c r="K669" i="12" s="1"/>
  <c r="J661" i="12"/>
  <c r="K661" i="12" s="1"/>
  <c r="J645" i="12"/>
  <c r="K645" i="12" s="1"/>
  <c r="H595" i="12"/>
  <c r="H534" i="12"/>
  <c r="J522" i="12"/>
  <c r="K522" i="12" s="1"/>
  <c r="J516" i="12"/>
  <c r="K516" i="12" s="1"/>
  <c r="H467" i="12"/>
  <c r="J452" i="12"/>
  <c r="K452" i="12" s="1"/>
  <c r="J436" i="12"/>
  <c r="K436" i="12" s="1"/>
  <c r="J386" i="12"/>
  <c r="K386" i="12" s="1"/>
  <c r="J356" i="12"/>
  <c r="K356" i="12" s="1"/>
  <c r="J218" i="12"/>
  <c r="K218" i="12" s="1"/>
  <c r="J170" i="12"/>
  <c r="K170" i="12" s="1"/>
  <c r="J148" i="12"/>
  <c r="K148" i="12" s="1"/>
  <c r="J130" i="12"/>
  <c r="K130" i="12" s="1"/>
  <c r="J92" i="12"/>
  <c r="K92" i="12" s="1"/>
  <c r="J953" i="12"/>
  <c r="K953" i="12" s="1"/>
  <c r="H937" i="12"/>
  <c r="J914" i="12"/>
  <c r="K914" i="12" s="1"/>
  <c r="J892" i="12"/>
  <c r="K892" i="12" s="1"/>
  <c r="H886" i="12"/>
  <c r="J882" i="12"/>
  <c r="K882" i="12" s="1"/>
  <c r="H838" i="12"/>
  <c r="J834" i="12"/>
  <c r="K834" i="12" s="1"/>
  <c r="J813" i="12"/>
  <c r="K813" i="12" s="1"/>
  <c r="J764" i="12"/>
  <c r="K764" i="12" s="1"/>
  <c r="H758" i="12"/>
  <c r="J754" i="12"/>
  <c r="K754" i="12" s="1"/>
  <c r="J730" i="12"/>
  <c r="K730" i="12" s="1"/>
  <c r="J709" i="12"/>
  <c r="K709" i="12" s="1"/>
  <c r="J650" i="12"/>
  <c r="K650" i="12" s="1"/>
  <c r="J613" i="12"/>
  <c r="K613" i="12" s="1"/>
  <c r="H539" i="12"/>
  <c r="J445" i="12"/>
  <c r="K445" i="12" s="1"/>
  <c r="J429" i="12"/>
  <c r="K429" i="12" s="1"/>
  <c r="H411" i="12"/>
  <c r="H379" i="12"/>
  <c r="J370" i="12"/>
  <c r="K370" i="12" s="1"/>
  <c r="H355" i="12"/>
  <c r="J301" i="12"/>
  <c r="K301" i="12" s="1"/>
  <c r="J290" i="12"/>
  <c r="K290" i="12" s="1"/>
  <c r="J274" i="12"/>
  <c r="K274" i="12" s="1"/>
  <c r="J269" i="12"/>
  <c r="K269" i="12" s="1"/>
  <c r="J258" i="12"/>
  <c r="K258" i="12" s="1"/>
  <c r="H251" i="12"/>
  <c r="J164" i="12"/>
  <c r="K164" i="12" s="1"/>
  <c r="J141" i="12"/>
  <c r="K141" i="12" s="1"/>
  <c r="J124" i="12"/>
  <c r="K124" i="12" s="1"/>
  <c r="J114" i="12"/>
  <c r="K114" i="12" s="1"/>
  <c r="J957" i="12"/>
  <c r="K957" i="12" s="1"/>
  <c r="J925" i="12"/>
  <c r="K925" i="12" s="1"/>
  <c r="J908" i="12"/>
  <c r="K908" i="12" s="1"/>
  <c r="J877" i="12"/>
  <c r="K877" i="12" s="1"/>
  <c r="J866" i="12"/>
  <c r="K866" i="12" s="1"/>
  <c r="J812" i="12"/>
  <c r="K812" i="12" s="1"/>
  <c r="J796" i="12"/>
  <c r="K796" i="12" s="1"/>
  <c r="J786" i="12"/>
  <c r="K786" i="12" s="1"/>
  <c r="J749" i="12"/>
  <c r="K749" i="12" s="1"/>
  <c r="J725" i="12"/>
  <c r="K725" i="12" s="1"/>
  <c r="J692" i="12"/>
  <c r="K692" i="12" s="1"/>
  <c r="J676" i="12"/>
  <c r="K676" i="12" s="1"/>
  <c r="J668" i="12"/>
  <c r="K668" i="12" s="1"/>
  <c r="J660" i="12"/>
  <c r="K660" i="12" s="1"/>
  <c r="J644" i="12"/>
  <c r="K644" i="12" s="1"/>
  <c r="J629" i="12"/>
  <c r="K629" i="12" s="1"/>
  <c r="J618" i="12"/>
  <c r="K618" i="12" s="1"/>
  <c r="J554" i="12"/>
  <c r="K554" i="12" s="1"/>
  <c r="J450" i="12"/>
  <c r="K450" i="12" s="1"/>
  <c r="J434" i="12"/>
  <c r="K434" i="12" s="1"/>
  <c r="J405" i="12"/>
  <c r="K405" i="12" s="1"/>
  <c r="J394" i="12"/>
  <c r="K394" i="12" s="1"/>
  <c r="J285" i="12"/>
  <c r="K285" i="12" s="1"/>
  <c r="J234" i="12"/>
  <c r="K234" i="12" s="1"/>
  <c r="J210" i="12"/>
  <c r="K210" i="12" s="1"/>
  <c r="J146" i="12"/>
  <c r="K146" i="12" s="1"/>
  <c r="J84" i="12"/>
  <c r="K84" i="12" s="1"/>
  <c r="J28" i="12"/>
  <c r="K28" i="12" s="1"/>
  <c r="J828" i="12"/>
  <c r="K828" i="12" s="1"/>
  <c r="J748" i="12"/>
  <c r="K748" i="12" s="1"/>
  <c r="J708" i="12"/>
  <c r="K708" i="12" s="1"/>
  <c r="J685" i="12"/>
  <c r="K685" i="12" s="1"/>
  <c r="J634" i="12"/>
  <c r="K634" i="12" s="1"/>
  <c r="J612" i="12"/>
  <c r="K612" i="12" s="1"/>
  <c r="J570" i="12"/>
  <c r="K570" i="12" s="1"/>
  <c r="J565" i="12"/>
  <c r="K565" i="12" s="1"/>
  <c r="J538" i="12"/>
  <c r="K538" i="12" s="1"/>
  <c r="J466" i="12"/>
  <c r="K466" i="12" s="1"/>
  <c r="J461" i="12"/>
  <c r="K461" i="12" s="1"/>
  <c r="J338" i="12"/>
  <c r="K338" i="12" s="1"/>
  <c r="J322" i="12"/>
  <c r="K322" i="12" s="1"/>
  <c r="J250" i="12"/>
  <c r="K250" i="12" s="1"/>
  <c r="J228" i="12"/>
  <c r="K228" i="12" s="1"/>
  <c r="J186" i="12"/>
  <c r="K186" i="12" s="1"/>
  <c r="J157" i="12"/>
  <c r="K157" i="12" s="1"/>
  <c r="J140" i="12"/>
  <c r="K140" i="12" s="1"/>
  <c r="J108" i="12"/>
  <c r="K108" i="12" s="1"/>
  <c r="J875" i="12"/>
  <c r="K875" i="12" s="1"/>
  <c r="H875" i="12"/>
  <c r="H824" i="12"/>
  <c r="H925" i="12"/>
  <c r="J905" i="12"/>
  <c r="K905" i="12" s="1"/>
  <c r="H905" i="12"/>
  <c r="H858" i="12"/>
  <c r="H770" i="12"/>
  <c r="J765" i="12"/>
  <c r="K765" i="12" s="1"/>
  <c r="H765" i="12"/>
  <c r="J598" i="12"/>
  <c r="K598" i="12" s="1"/>
  <c r="H598" i="12"/>
  <c r="J514" i="12"/>
  <c r="K514" i="12" s="1"/>
  <c r="H514" i="12"/>
  <c r="H434" i="12"/>
  <c r="H170" i="12"/>
  <c r="J319" i="12"/>
  <c r="K319" i="12" s="1"/>
  <c r="J361" i="12"/>
  <c r="K361" i="12" s="1"/>
  <c r="J909" i="12"/>
  <c r="K909" i="12" s="1"/>
  <c r="H909" i="12"/>
  <c r="H904" i="12"/>
  <c r="J904" i="12"/>
  <c r="K904" i="12" s="1"/>
  <c r="J883" i="12"/>
  <c r="H883" i="12"/>
  <c r="J837" i="12"/>
  <c r="K837" i="12" s="1"/>
  <c r="H837" i="12"/>
  <c r="J806" i="12"/>
  <c r="K806" i="12" s="1"/>
  <c r="H806" i="12"/>
  <c r="J718" i="12"/>
  <c r="K718" i="12" s="1"/>
  <c r="H718" i="12"/>
  <c r="J602" i="12"/>
  <c r="K602" i="12" s="1"/>
  <c r="H602" i="12"/>
  <c r="J531" i="12"/>
  <c r="K531" i="12" s="1"/>
  <c r="H531" i="12"/>
  <c r="J498" i="12"/>
  <c r="K498" i="12" s="1"/>
  <c r="H498" i="12"/>
  <c r="H12" i="12"/>
  <c r="J12" i="12"/>
  <c r="K12" i="12" s="1"/>
  <c r="J504" i="12"/>
  <c r="K504" i="12" s="1"/>
  <c r="H954" i="12"/>
  <c r="H929" i="12"/>
  <c r="H913" i="12"/>
  <c r="H779" i="12"/>
  <c r="J723" i="12"/>
  <c r="K723" i="12" s="1"/>
  <c r="H723" i="12"/>
  <c r="J454" i="12"/>
  <c r="K454" i="12" s="1"/>
  <c r="H454" i="12"/>
  <c r="J752" i="12"/>
  <c r="K752" i="12" s="1"/>
  <c r="J775" i="12"/>
  <c r="K775" i="12" s="1"/>
  <c r="J727" i="12"/>
  <c r="K727" i="12" s="1"/>
  <c r="H727" i="12"/>
  <c r="H652" i="12"/>
  <c r="J652" i="12"/>
  <c r="K652" i="12" s="1"/>
  <c r="J557" i="12"/>
  <c r="K557" i="12" s="1"/>
  <c r="H557" i="12"/>
  <c r="J546" i="12"/>
  <c r="K546" i="12" s="1"/>
  <c r="H546" i="12"/>
  <c r="J541" i="12"/>
  <c r="K541" i="12" s="1"/>
  <c r="H541" i="12"/>
  <c r="J459" i="12"/>
  <c r="K459" i="12" s="1"/>
  <c r="H459" i="12"/>
  <c r="J731" i="12"/>
  <c r="K731" i="12" s="1"/>
  <c r="H731" i="12"/>
  <c r="J682" i="12"/>
  <c r="K682" i="12" s="1"/>
  <c r="H682" i="12"/>
  <c r="J614" i="12"/>
  <c r="K614" i="12" s="1"/>
  <c r="H614" i="12"/>
  <c r="J573" i="12"/>
  <c r="K573" i="12" s="1"/>
  <c r="H573" i="12"/>
  <c r="J469" i="12"/>
  <c r="K469" i="12" s="1"/>
  <c r="H469" i="12"/>
  <c r="J963" i="12"/>
  <c r="K963" i="12" s="1"/>
  <c r="H963" i="12"/>
  <c r="J693" i="12"/>
  <c r="K693" i="12" s="1"/>
  <c r="H693" i="12"/>
  <c r="J619" i="12"/>
  <c r="K619" i="12" s="1"/>
  <c r="H619" i="12"/>
  <c r="J578" i="12"/>
  <c r="K578" i="12" s="1"/>
  <c r="H578" i="12"/>
  <c r="J420" i="12"/>
  <c r="K420" i="12" s="1"/>
  <c r="H420" i="12"/>
  <c r="J760" i="12"/>
  <c r="K760" i="12" s="1"/>
  <c r="H921" i="12"/>
  <c r="J854" i="12"/>
  <c r="K854" i="12" s="1"/>
  <c r="H854" i="12"/>
  <c r="J802" i="12"/>
  <c r="K802" i="12" s="1"/>
  <c r="H802" i="12"/>
  <c r="H797" i="12"/>
  <c r="H792" i="12"/>
  <c r="J792" i="12"/>
  <c r="K792" i="12" s="1"/>
  <c r="H748" i="12"/>
  <c r="H744" i="12"/>
  <c r="J744" i="12"/>
  <c r="K744" i="12" s="1"/>
  <c r="H739" i="12"/>
  <c r="J698" i="12"/>
  <c r="K698" i="12" s="1"/>
  <c r="H698" i="12"/>
  <c r="J630" i="12"/>
  <c r="K630" i="12" s="1"/>
  <c r="H630" i="12"/>
  <c r="J589" i="12"/>
  <c r="K589" i="12" s="1"/>
  <c r="H589" i="12"/>
  <c r="J583" i="12"/>
  <c r="K583" i="12" s="1"/>
  <c r="H583" i="12"/>
  <c r="H488" i="12"/>
  <c r="J488" i="12"/>
  <c r="K488" i="12" s="1"/>
  <c r="J324" i="12"/>
  <c r="K324" i="12" s="1"/>
  <c r="H324" i="12"/>
  <c r="H974" i="12"/>
  <c r="H957" i="12"/>
  <c r="H924" i="12"/>
  <c r="H920" i="12"/>
  <c r="H894" i="12"/>
  <c r="H890" i="12"/>
  <c r="H869" i="12"/>
  <c r="H861" i="12"/>
  <c r="J810" i="12"/>
  <c r="K810" i="12" s="1"/>
  <c r="H810" i="12"/>
  <c r="H805" i="12"/>
  <c r="J702" i="12"/>
  <c r="K702" i="12" s="1"/>
  <c r="H702" i="12"/>
  <c r="J686" i="12"/>
  <c r="K686" i="12" s="1"/>
  <c r="H686" i="12"/>
  <c r="J628" i="12"/>
  <c r="K628" i="12" s="1"/>
  <c r="H628" i="12"/>
  <c r="J587" i="12"/>
  <c r="K587" i="12" s="1"/>
  <c r="H587" i="12"/>
  <c r="J571" i="12"/>
  <c r="K571" i="12" s="1"/>
  <c r="H571" i="12"/>
  <c r="J555" i="12"/>
  <c r="K555" i="12" s="1"/>
  <c r="H555" i="12"/>
  <c r="J525" i="12"/>
  <c r="K525" i="12" s="1"/>
  <c r="H525" i="12"/>
  <c r="J502" i="12"/>
  <c r="K502" i="12" s="1"/>
  <c r="H502" i="12"/>
  <c r="J486" i="12"/>
  <c r="K486" i="12" s="1"/>
  <c r="H486" i="12"/>
  <c r="J389" i="12"/>
  <c r="K389" i="12" s="1"/>
  <c r="H389" i="12"/>
  <c r="J287" i="12"/>
  <c r="K287" i="12" s="1"/>
  <c r="H287" i="12"/>
  <c r="H282" i="12"/>
  <c r="J109" i="12"/>
  <c r="K109" i="12" s="1"/>
  <c r="H109" i="12"/>
  <c r="H91" i="12"/>
  <c r="J958" i="12"/>
  <c r="K958" i="12" s="1"/>
  <c r="J814" i="12"/>
  <c r="K814" i="12" s="1"/>
  <c r="H814" i="12"/>
  <c r="J773" i="12"/>
  <c r="K773" i="12" s="1"/>
  <c r="H773" i="12"/>
  <c r="J691" i="12"/>
  <c r="K691" i="12" s="1"/>
  <c r="H691" i="12"/>
  <c r="J413" i="12"/>
  <c r="K413" i="12" s="1"/>
  <c r="H413" i="12"/>
  <c r="J818" i="12"/>
  <c r="K818" i="12" s="1"/>
  <c r="H818" i="12"/>
  <c r="J715" i="12"/>
  <c r="K715" i="12" s="1"/>
  <c r="H715" i="12"/>
  <c r="J690" i="12"/>
  <c r="K690" i="12" s="1"/>
  <c r="H690" i="12"/>
  <c r="J549" i="12"/>
  <c r="K549" i="12" s="1"/>
  <c r="H549" i="12"/>
  <c r="J523" i="12"/>
  <c r="K523" i="12" s="1"/>
  <c r="H523" i="12"/>
  <c r="J506" i="12"/>
  <c r="K506" i="12" s="1"/>
  <c r="H506" i="12"/>
  <c r="J490" i="12"/>
  <c r="K490" i="12" s="1"/>
  <c r="H490" i="12"/>
  <c r="J422" i="12"/>
  <c r="K422" i="12" s="1"/>
  <c r="H422" i="12"/>
  <c r="H397" i="12"/>
  <c r="J306" i="12"/>
  <c r="K306" i="12" s="1"/>
  <c r="H306" i="12"/>
  <c r="H301" i="12"/>
  <c r="J291" i="12"/>
  <c r="K291" i="12" s="1"/>
  <c r="H291" i="12"/>
  <c r="J971" i="12"/>
  <c r="K971" i="12" s="1"/>
  <c r="J781" i="12"/>
  <c r="K781" i="12" s="1"/>
  <c r="H781" i="12"/>
  <c r="J695" i="12"/>
  <c r="K695" i="12" s="1"/>
  <c r="H695" i="12"/>
  <c r="J133" i="12"/>
  <c r="K133" i="12" s="1"/>
  <c r="H133" i="12"/>
  <c r="J970" i="12"/>
  <c r="K970" i="12" s="1"/>
  <c r="H934" i="12"/>
  <c r="H930" i="12"/>
  <c r="H926" i="12"/>
  <c r="H922" i="12"/>
  <c r="H918" i="12"/>
  <c r="H914" i="12"/>
  <c r="H901" i="12"/>
  <c r="H892" i="12"/>
  <c r="H867" i="12"/>
  <c r="H863" i="12"/>
  <c r="H859" i="12"/>
  <c r="H846" i="12"/>
  <c r="H842" i="12"/>
  <c r="H821" i="12"/>
  <c r="H812" i="12"/>
  <c r="H803" i="12"/>
  <c r="J794" i="12"/>
  <c r="K794" i="12" s="1"/>
  <c r="H794" i="12"/>
  <c r="H789" i="12"/>
  <c r="H771" i="12"/>
  <c r="H762" i="12"/>
  <c r="H709" i="12"/>
  <c r="J694" i="12"/>
  <c r="K694" i="12" s="1"/>
  <c r="H694" i="12"/>
  <c r="J653" i="12"/>
  <c r="K653" i="12" s="1"/>
  <c r="H653" i="12"/>
  <c r="H643" i="12"/>
  <c r="H635" i="12"/>
  <c r="J620" i="12"/>
  <c r="K620" i="12" s="1"/>
  <c r="H620" i="12"/>
  <c r="J579" i="12"/>
  <c r="K579" i="12" s="1"/>
  <c r="H579" i="12"/>
  <c r="J563" i="12"/>
  <c r="K563" i="12" s="1"/>
  <c r="H563" i="12"/>
  <c r="J532" i="12"/>
  <c r="K532" i="12" s="1"/>
  <c r="H532" i="12"/>
  <c r="H450" i="12"/>
  <c r="H445" i="12"/>
  <c r="J357" i="12"/>
  <c r="K357" i="12" s="1"/>
  <c r="H357" i="12"/>
  <c r="J315" i="12"/>
  <c r="K315" i="12" s="1"/>
  <c r="H315" i="12"/>
  <c r="H310" i="12"/>
  <c r="J947" i="12"/>
  <c r="K947" i="12" s="1"/>
  <c r="J740" i="12"/>
  <c r="K740" i="12" s="1"/>
  <c r="H740" i="12"/>
  <c r="J699" i="12"/>
  <c r="K699" i="12" s="1"/>
  <c r="H699" i="12"/>
  <c r="J474" i="12"/>
  <c r="K474" i="12" s="1"/>
  <c r="H474" i="12"/>
  <c r="J371" i="12"/>
  <c r="K371" i="12" s="1"/>
  <c r="H371" i="12"/>
  <c r="J149" i="12"/>
  <c r="K149" i="12" s="1"/>
  <c r="H149" i="12"/>
  <c r="J946" i="12"/>
  <c r="K946" i="12" s="1"/>
  <c r="J365" i="12"/>
  <c r="K365" i="12" s="1"/>
  <c r="H365" i="12"/>
  <c r="H309" i="12"/>
  <c r="H290" i="12"/>
  <c r="H276" i="12"/>
  <c r="J969" i="12"/>
  <c r="K969" i="12" s="1"/>
  <c r="J945" i="12"/>
  <c r="K945" i="12" s="1"/>
  <c r="J261" i="12"/>
  <c r="K261" i="12" s="1"/>
  <c r="H261" i="12"/>
  <c r="J245" i="12"/>
  <c r="K245" i="12" s="1"/>
  <c r="H245" i="12"/>
  <c r="J229" i="12"/>
  <c r="K229" i="12" s="1"/>
  <c r="H229" i="12"/>
  <c r="J196" i="12"/>
  <c r="K196" i="12" s="1"/>
  <c r="H196" i="12"/>
  <c r="J179" i="12"/>
  <c r="K179" i="12" s="1"/>
  <c r="H179" i="12"/>
  <c r="J101" i="12"/>
  <c r="K101" i="12" s="1"/>
  <c r="H101" i="12"/>
  <c r="J52" i="12"/>
  <c r="K52" i="12" s="1"/>
  <c r="H52" i="12"/>
  <c r="J3" i="12"/>
  <c r="K3" i="12" s="1"/>
  <c r="H3" i="12"/>
  <c r="J962" i="12"/>
  <c r="K962" i="12" s="1"/>
  <c r="J956" i="12"/>
  <c r="K956" i="12" s="1"/>
  <c r="J950" i="12"/>
  <c r="K950" i="12" s="1"/>
  <c r="J938" i="12"/>
  <c r="K938" i="12" s="1"/>
  <c r="J932" i="12"/>
  <c r="K932" i="12" s="1"/>
  <c r="J373" i="12"/>
  <c r="K373" i="12" s="1"/>
  <c r="H373" i="12"/>
  <c r="J955" i="12"/>
  <c r="K955" i="12" s="1"/>
  <c r="J931" i="12"/>
  <c r="K931" i="12" s="1"/>
  <c r="H654" i="12"/>
  <c r="H650" i="12"/>
  <c r="H629" i="12"/>
  <c r="H621" i="12"/>
  <c r="H564" i="12"/>
  <c r="H556" i="12"/>
  <c r="H547" i="12"/>
  <c r="H538" i="12"/>
  <c r="H515" i="12"/>
  <c r="H507" i="12"/>
  <c r="H499" i="12"/>
  <c r="H491" i="12"/>
  <c r="J443" i="12"/>
  <c r="K443" i="12" s="1"/>
  <c r="H443" i="12"/>
  <c r="J410" i="12"/>
  <c r="K410" i="12" s="1"/>
  <c r="H410" i="12"/>
  <c r="J966" i="12"/>
  <c r="K966" i="12" s="1"/>
  <c r="J942" i="12"/>
  <c r="K942" i="12" s="1"/>
  <c r="J533" i="12"/>
  <c r="K533" i="12" s="1"/>
  <c r="H533" i="12"/>
  <c r="J381" i="12"/>
  <c r="K381" i="12" s="1"/>
  <c r="H381" i="12"/>
  <c r="J349" i="12"/>
  <c r="K349" i="12" s="1"/>
  <c r="H349" i="12"/>
  <c r="J965" i="12"/>
  <c r="K965" i="12" s="1"/>
  <c r="J948" i="12"/>
  <c r="K948" i="12" s="1"/>
  <c r="J941" i="12"/>
  <c r="K941" i="12" s="1"/>
  <c r="J451" i="12"/>
  <c r="K451" i="12" s="1"/>
  <c r="H451" i="12"/>
  <c r="J418" i="12"/>
  <c r="K418" i="12" s="1"/>
  <c r="H418" i="12"/>
  <c r="J283" i="12"/>
  <c r="K283" i="12" s="1"/>
  <c r="H283" i="12"/>
  <c r="J253" i="12"/>
  <c r="K253" i="12" s="1"/>
  <c r="H253" i="12"/>
  <c r="J237" i="12"/>
  <c r="K237" i="12" s="1"/>
  <c r="H237" i="12"/>
  <c r="J221" i="12"/>
  <c r="K221" i="12" s="1"/>
  <c r="H221" i="12"/>
  <c r="J67" i="12"/>
  <c r="K67" i="12" s="1"/>
  <c r="H67" i="12"/>
  <c r="J37" i="12"/>
  <c r="K37" i="12" s="1"/>
  <c r="H37" i="12"/>
  <c r="J972" i="12"/>
  <c r="K972" i="12" s="1"/>
  <c r="J165" i="12"/>
  <c r="K165" i="12" s="1"/>
  <c r="J85" i="12"/>
  <c r="K85" i="12" s="1"/>
  <c r="J21" i="12"/>
  <c r="K21" i="12" s="1"/>
  <c r="J574" i="12"/>
  <c r="K574" i="12" s="1"/>
  <c r="J566" i="12"/>
  <c r="K566" i="12" s="1"/>
  <c r="J517" i="12"/>
  <c r="K517" i="12" s="1"/>
  <c r="J509" i="12"/>
  <c r="K509" i="12" s="1"/>
  <c r="J501" i="12"/>
  <c r="K501" i="12" s="1"/>
  <c r="J493" i="12"/>
  <c r="K493" i="12" s="1"/>
  <c r="J485" i="12"/>
  <c r="K485" i="12" s="1"/>
  <c r="J477" i="12"/>
  <c r="K477" i="12" s="1"/>
  <c r="H468" i="12"/>
  <c r="H435" i="12"/>
  <c r="H431" i="12"/>
  <c r="H402" i="12"/>
  <c r="H394" i="12"/>
  <c r="J374" i="12"/>
  <c r="K374" i="12" s="1"/>
  <c r="J358" i="12"/>
  <c r="K358" i="12" s="1"/>
  <c r="J325" i="12"/>
  <c r="K325" i="12" s="1"/>
  <c r="J317" i="12"/>
  <c r="K317" i="12" s="1"/>
  <c r="H308" i="12"/>
  <c r="H275" i="12"/>
  <c r="H267" i="12"/>
  <c r="H210" i="12"/>
  <c r="H202" i="12"/>
  <c r="J181" i="12"/>
  <c r="K181" i="12" s="1"/>
  <c r="J173" i="12"/>
  <c r="K173" i="12" s="1"/>
  <c r="H164" i="12"/>
  <c r="H99" i="12"/>
  <c r="H84" i="12"/>
  <c r="J45" i="12"/>
  <c r="K45" i="12" s="1"/>
  <c r="H35" i="12"/>
  <c r="J406" i="12"/>
  <c r="K406" i="12" s="1"/>
  <c r="J341" i="12"/>
  <c r="K341" i="12" s="1"/>
  <c r="J333" i="12"/>
  <c r="K333" i="12" s="1"/>
  <c r="H258" i="12"/>
  <c r="H250" i="12"/>
  <c r="H242" i="12"/>
  <c r="H234" i="12"/>
  <c r="H218" i="12"/>
  <c r="J214" i="12"/>
  <c r="K214" i="12" s="1"/>
  <c r="J189" i="12"/>
  <c r="K189" i="12" s="1"/>
  <c r="H147" i="12"/>
  <c r="H139" i="12"/>
  <c r="H131" i="12"/>
  <c r="J69" i="12"/>
  <c r="K69" i="12" s="1"/>
  <c r="J5" i="12"/>
  <c r="K5" i="12" s="1"/>
  <c r="J246" i="12"/>
  <c r="K246" i="12" s="1"/>
  <c r="J230" i="12"/>
  <c r="K230" i="12" s="1"/>
  <c r="J197" i="12"/>
  <c r="K197" i="12" s="1"/>
  <c r="H163" i="12"/>
  <c r="J93" i="12"/>
  <c r="K93" i="12" s="1"/>
  <c r="H83" i="12"/>
  <c r="J29" i="12"/>
  <c r="K29" i="12" s="1"/>
  <c r="H19" i="12"/>
  <c r="J213" i="12"/>
  <c r="K213" i="12" s="1"/>
  <c r="J205" i="12"/>
  <c r="K205" i="12" s="1"/>
  <c r="H154" i="12"/>
  <c r="H146" i="12"/>
  <c r="H138" i="12"/>
  <c r="H130" i="12"/>
  <c r="H122" i="12"/>
  <c r="H114" i="12"/>
  <c r="J102" i="12"/>
  <c r="K102" i="12" s="1"/>
  <c r="H92" i="12"/>
  <c r="J53" i="12"/>
  <c r="K53" i="12" s="1"/>
  <c r="H43" i="12"/>
  <c r="H28" i="12"/>
  <c r="J150" i="12"/>
  <c r="K150" i="12" s="1"/>
  <c r="J126" i="12"/>
  <c r="K126" i="12" s="1"/>
  <c r="J118" i="12"/>
  <c r="K118" i="12" s="1"/>
  <c r="J77" i="12"/>
  <c r="K77" i="12" s="1"/>
  <c r="J13" i="12"/>
  <c r="K13" i="12" s="1"/>
  <c r="AV88" i="4"/>
  <c r="J2" i="12"/>
  <c r="H900" i="12"/>
  <c r="J900" i="12"/>
  <c r="K900" i="12" s="1"/>
  <c r="J98" i="12"/>
  <c r="K98" i="12" s="1"/>
  <c r="H98" i="12"/>
  <c r="J94" i="12"/>
  <c r="H94" i="12"/>
  <c r="J90" i="12"/>
  <c r="H90" i="12"/>
  <c r="J86" i="12"/>
  <c r="K86" i="12" s="1"/>
  <c r="H86" i="12"/>
  <c r="J82" i="12"/>
  <c r="K82" i="12" s="1"/>
  <c r="H82" i="12"/>
  <c r="J74" i="12"/>
  <c r="K74" i="12" s="1"/>
  <c r="H74" i="12"/>
  <c r="J70" i="12"/>
  <c r="K70" i="12" s="1"/>
  <c r="H70" i="12"/>
  <c r="J66" i="12"/>
  <c r="K66" i="12" s="1"/>
  <c r="H66" i="12"/>
  <c r="J62" i="12"/>
  <c r="K62" i="12" s="1"/>
  <c r="H62" i="12"/>
  <c r="J58" i="12"/>
  <c r="K58" i="12" s="1"/>
  <c r="H58" i="12"/>
  <c r="J54" i="12"/>
  <c r="K54" i="12" s="1"/>
  <c r="H54" i="12"/>
  <c r="J42" i="12"/>
  <c r="K42" i="12" s="1"/>
  <c r="H42" i="12"/>
  <c r="J38" i="12"/>
  <c r="K38" i="12" s="1"/>
  <c r="H38" i="12"/>
  <c r="J34" i="12"/>
  <c r="K34" i="12" s="1"/>
  <c r="H34" i="12"/>
  <c r="J30" i="12"/>
  <c r="K30" i="12" s="1"/>
  <c r="H30" i="12"/>
  <c r="J26" i="12"/>
  <c r="K26" i="12" s="1"/>
  <c r="H26" i="12"/>
  <c r="J22" i="12"/>
  <c r="K22" i="12" s="1"/>
  <c r="H22" i="12"/>
  <c r="J18" i="12"/>
  <c r="K18" i="12" s="1"/>
  <c r="H18" i="12"/>
  <c r="J10" i="12"/>
  <c r="K10" i="12" s="1"/>
  <c r="H10" i="12"/>
  <c r="J6" i="12"/>
  <c r="K6" i="12" s="1"/>
  <c r="H6" i="12"/>
  <c r="J916" i="12"/>
  <c r="K916" i="12" s="1"/>
  <c r="J907" i="12"/>
  <c r="K907" i="12" s="1"/>
  <c r="J898" i="12"/>
  <c r="K898" i="12" s="1"/>
  <c r="J889" i="12"/>
  <c r="J880" i="12"/>
  <c r="K880" i="12" s="1"/>
  <c r="J870" i="12"/>
  <c r="K870" i="12" s="1"/>
  <c r="J860" i="12"/>
  <c r="K860" i="12" s="1"/>
  <c r="J850" i="12"/>
  <c r="K850" i="12" s="1"/>
  <c r="J839" i="12"/>
  <c r="K839" i="12" s="1"/>
  <c r="J829" i="12"/>
  <c r="K829" i="12" s="1"/>
  <c r="J819" i="12"/>
  <c r="K819" i="12" s="1"/>
  <c r="J787" i="12"/>
  <c r="K787" i="12" s="1"/>
  <c r="J766" i="12"/>
  <c r="K766" i="12" s="1"/>
  <c r="J756" i="12"/>
  <c r="K756" i="12" s="1"/>
  <c r="J746" i="12"/>
  <c r="K746" i="12" s="1"/>
  <c r="J735" i="12"/>
  <c r="K735" i="12" s="1"/>
  <c r="J724" i="12"/>
  <c r="K724" i="12" s="1"/>
  <c r="J714" i="12"/>
  <c r="K714" i="12" s="1"/>
  <c r="J703" i="12"/>
  <c r="K703" i="12" s="1"/>
  <c r="J683" i="12"/>
  <c r="K683" i="12" s="1"/>
  <c r="J662" i="12"/>
  <c r="K662" i="12" s="1"/>
  <c r="J651" i="12"/>
  <c r="K651" i="12" s="1"/>
  <c r="J638" i="12"/>
  <c r="K638" i="12" s="1"/>
  <c r="J623" i="12"/>
  <c r="K623" i="12" s="1"/>
  <c r="J610" i="12"/>
  <c r="K610" i="12" s="1"/>
  <c r="J594" i="12"/>
  <c r="K594" i="12" s="1"/>
  <c r="J580" i="12"/>
  <c r="K580" i="12" s="1"/>
  <c r="J550" i="12"/>
  <c r="K550" i="12" s="1"/>
  <c r="J536" i="12"/>
  <c r="K536" i="12" s="1"/>
  <c r="J518" i="12"/>
  <c r="K518" i="12" s="1"/>
  <c r="J500" i="12"/>
  <c r="K500" i="12" s="1"/>
  <c r="J482" i="12"/>
  <c r="K482" i="12" s="1"/>
  <c r="J463" i="12"/>
  <c r="K463" i="12" s="1"/>
  <c r="J427" i="12"/>
  <c r="K427" i="12" s="1"/>
  <c r="J390" i="12"/>
  <c r="K390" i="12" s="1"/>
  <c r="J372" i="12"/>
  <c r="K372" i="12" s="1"/>
  <c r="J354" i="12"/>
  <c r="K354" i="12" s="1"/>
  <c r="J335" i="12"/>
  <c r="K335" i="12" s="1"/>
  <c r="J299" i="12"/>
  <c r="K299" i="12" s="1"/>
  <c r="J262" i="12"/>
  <c r="K262" i="12" s="1"/>
  <c r="J244" i="12"/>
  <c r="K244" i="12" s="1"/>
  <c r="J226" i="12"/>
  <c r="K226" i="12" s="1"/>
  <c r="J219" i="12"/>
  <c r="K219" i="12" s="1"/>
  <c r="J207" i="12"/>
  <c r="K207" i="12" s="1"/>
  <c r="J203" i="12"/>
  <c r="K203" i="12" s="1"/>
  <c r="J187" i="12"/>
  <c r="J159" i="12"/>
  <c r="K159" i="12" s="1"/>
  <c r="J155" i="12"/>
  <c r="J134" i="12"/>
  <c r="K134" i="12" s="1"/>
  <c r="J106" i="12"/>
  <c r="K106" i="12" s="1"/>
  <c r="J76" i="12"/>
  <c r="K76" i="12" s="1"/>
  <c r="J50" i="12"/>
  <c r="K50" i="12" s="1"/>
  <c r="J20" i="12"/>
  <c r="K20" i="12" s="1"/>
  <c r="U88" i="4"/>
  <c r="CB88" i="4"/>
  <c r="AO88" i="4"/>
  <c r="O88" i="4"/>
  <c r="CA88" i="4"/>
  <c r="AN88" i="4"/>
  <c r="V88" i="4"/>
  <c r="N88" i="4"/>
  <c r="BZ88" i="4"/>
  <c r="AU88" i="4"/>
  <c r="AM88" i="4"/>
  <c r="M88" i="4"/>
  <c r="BY88" i="4"/>
  <c r="AT88" i="4"/>
  <c r="AL88" i="4"/>
  <c r="T88" i="4"/>
  <c r="L88" i="4"/>
  <c r="BX88" i="4"/>
  <c r="AS88" i="4"/>
  <c r="AK88" i="4"/>
  <c r="S88" i="4"/>
  <c r="K88" i="4"/>
  <c r="BW88" i="4"/>
  <c r="AR88" i="4"/>
  <c r="AJ88" i="4"/>
  <c r="R88" i="4"/>
  <c r="J88" i="4"/>
  <c r="BU88" i="4"/>
  <c r="AQ88" i="4"/>
  <c r="AI88" i="4"/>
  <c r="Q88" i="4"/>
  <c r="I88" i="4"/>
  <c r="H88" i="4"/>
  <c r="BT88" i="4"/>
  <c r="AP88" i="4"/>
  <c r="AH88" i="4"/>
  <c r="P88" i="4"/>
  <c r="I112" i="11" l="1"/>
  <c r="G112" i="11"/>
  <c r="P3" i="13"/>
  <c r="M3" i="13"/>
  <c r="M24" i="13"/>
  <c r="K3" i="13"/>
  <c r="K24" i="13"/>
  <c r="H30" i="18"/>
  <c r="F3" i="13"/>
  <c r="F24" i="13"/>
  <c r="I3" i="13"/>
  <c r="I24" i="13"/>
  <c r="D3" i="13"/>
  <c r="D20" i="13" s="1"/>
  <c r="D24" i="13"/>
  <c r="E3" i="13" a="1"/>
  <c r="L3" i="13" a="1"/>
  <c r="N3" i="13" a="1"/>
  <c r="G3" i="13" a="1"/>
  <c r="K867" i="12"/>
  <c r="J14" i="11"/>
  <c r="J2" i="11"/>
  <c r="J29" i="11"/>
  <c r="J22" i="11"/>
  <c r="K90" i="12"/>
  <c r="K924" i="12"/>
  <c r="K922" i="12"/>
  <c r="K883" i="12"/>
  <c r="K155" i="12"/>
  <c r="K187" i="12"/>
  <c r="K889" i="12"/>
  <c r="K94" i="12"/>
  <c r="K2" i="12"/>
  <c r="J112" i="11" l="1"/>
  <c r="L3" i="13"/>
  <c r="L20" i="13" s="1"/>
  <c r="L24" i="13"/>
  <c r="N3" i="13"/>
  <c r="N24" i="13"/>
  <c r="K20" i="13"/>
  <c r="K23" i="13"/>
  <c r="M20" i="13"/>
  <c r="M23" i="13"/>
  <c r="P20" i="13"/>
  <c r="P23" i="13"/>
  <c r="H3" i="13" a="1"/>
  <c r="H3" i="13" s="1"/>
  <c r="E3" i="13"/>
  <c r="E20" i="13" s="1"/>
  <c r="E24" i="13"/>
  <c r="I20" i="13"/>
  <c r="I23" i="13"/>
  <c r="G3" i="13"/>
  <c r="G24" i="13"/>
  <c r="F20" i="13"/>
  <c r="F23" i="13"/>
  <c r="D23" i="13"/>
  <c r="O3" i="13" a="1"/>
  <c r="L23" i="13" l="1"/>
  <c r="O3" i="13"/>
  <c r="O23" i="13" s="1"/>
  <c r="O24" i="13"/>
  <c r="N20" i="13"/>
  <c r="N23" i="13"/>
  <c r="H24" i="13"/>
  <c r="H20" i="13"/>
  <c r="H23" i="13"/>
  <c r="E23" i="13"/>
  <c r="G20" i="13"/>
  <c r="G23" i="13"/>
  <c r="Q24" i="13" l="1"/>
  <c r="Q23" i="13"/>
  <c r="O20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Intern</author>
  </authors>
  <commentList>
    <comment ref="P1897" authorId="0" shapeId="0" xr:uid="{831D43FE-BA2C-4478-ACC4-7AD60A7DDBEB}">
      <text>
        <r>
          <rPr>
            <sz val="11"/>
            <color theme="1"/>
            <rFont val="Calibri"/>
            <family val="2"/>
            <scheme val="minor"/>
          </rPr>
          <t xml:space="preserve">Intern: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Intern</author>
  </authors>
  <commentList>
    <comment ref="O1963" authorId="0" shapeId="0" xr:uid="{00BD3D85-D732-49A1-BD29-E7767B651A81}">
      <text>
        <r>
          <rPr>
            <sz val="11"/>
            <color theme="1"/>
            <rFont val="Calibri"/>
            <family val="2"/>
            <scheme val="minor"/>
          </rPr>
          <t xml:space="preserve">Intern: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<sst xmlns="http://schemas.openxmlformats.org/spreadsheetml/2006/main" count="31898" uniqueCount="4903">
  <si>
    <t>SN</t>
  </si>
  <si>
    <t>ITEM DESCRIPTION</t>
  </si>
  <si>
    <t>UoM</t>
  </si>
  <si>
    <t>QTY</t>
  </si>
  <si>
    <t>CABLE INFRASTRUCTURE</t>
  </si>
  <si>
    <t>m</t>
  </si>
  <si>
    <t>POPs</t>
  </si>
  <si>
    <t>unit</t>
  </si>
  <si>
    <t>CORE DEVICES</t>
  </si>
  <si>
    <t>CUSTOMER SITES</t>
  </si>
  <si>
    <t>ECG</t>
  </si>
  <si>
    <t>NEDCO</t>
  </si>
  <si>
    <t>AGE</t>
  </si>
  <si>
    <t>NUMBER OF POPs(qty)</t>
  </si>
  <si>
    <t>CPE</t>
  </si>
  <si>
    <t>MIKROTIK</t>
  </si>
  <si>
    <t>ONT</t>
  </si>
  <si>
    <t>Master Backhaul DISTANCE</t>
  </si>
  <si>
    <t>Master Metro DISTANCE</t>
  </si>
  <si>
    <t>Total</t>
  </si>
  <si>
    <t>TOTAL</t>
  </si>
  <si>
    <t>REGION</t>
  </si>
  <si>
    <t>ROUTERS</t>
  </si>
  <si>
    <t>OLTS</t>
  </si>
  <si>
    <t>SWITCHES</t>
  </si>
  <si>
    <t>SERVERS</t>
  </si>
  <si>
    <t xml:space="preserve">Mikrotik CCR1072-1G-8S+
</t>
  </si>
  <si>
    <t>Mikrotik CCR2216-1G-12XS-2XQ</t>
  </si>
  <si>
    <t>Mikrotik RB5009UG+S+</t>
  </si>
  <si>
    <t>Cisco ASR1001-X</t>
  </si>
  <si>
    <t>VSOL OLT</t>
  </si>
  <si>
    <t xml:space="preserve">Furukawa OLT LD3008
</t>
  </si>
  <si>
    <t>Furukawa FK-OLT-G2500_SFU</t>
  </si>
  <si>
    <t>Furukawa OLT LD3032</t>
  </si>
  <si>
    <t>Mikrotik CRS326-24S+2Q+</t>
  </si>
  <si>
    <t>Mikrotik CRS305-1G-4S+</t>
  </si>
  <si>
    <t>Mikrotik CRS328-4C-20S-4S+</t>
  </si>
  <si>
    <t>Mikrotik CRS317-1G-16S+</t>
  </si>
  <si>
    <t>Mikrotik CRS510-8XS-2XQ</t>
  </si>
  <si>
    <t>FS Campus Switch (S5860-20SQ)</t>
  </si>
  <si>
    <t>Cisco WS-C3850-24P</t>
  </si>
  <si>
    <t>PLANET MGSW-28240F 24G + 4 10G</t>
  </si>
  <si>
    <t>PLANET MGSW-24160F Managed Switch</t>
  </si>
  <si>
    <t>Raisecom Switch RAX721-A</t>
  </si>
  <si>
    <t>Raisecom Switch RAX711-C-R</t>
  </si>
  <si>
    <t>HP ProLiant DL380p Gen8</t>
  </si>
  <si>
    <t>Dell PowerEdge R730</t>
  </si>
  <si>
    <t xml:space="preserve">HP ProLiant DL360 G7 </t>
  </si>
  <si>
    <t>24Online Server</t>
  </si>
  <si>
    <t>ASHANTI</t>
  </si>
  <si>
    <t>CENTRAL</t>
  </si>
  <si>
    <t>EASTERN</t>
  </si>
  <si>
    <t>GREATER ACCRA</t>
  </si>
  <si>
    <t>VOLTA</t>
  </si>
  <si>
    <t>OTI</t>
  </si>
  <si>
    <t>WESTERN</t>
  </si>
  <si>
    <t>WESTERN NORTH</t>
  </si>
  <si>
    <t>BONO EAST</t>
  </si>
  <si>
    <t>AHAFO</t>
  </si>
  <si>
    <t>BRONG AHAFO</t>
  </si>
  <si>
    <t>SAVANNAH</t>
  </si>
  <si>
    <t>NORTHERN</t>
  </si>
  <si>
    <t>NORTH EAST</t>
  </si>
  <si>
    <t>UPPER EAST</t>
  </si>
  <si>
    <t>UPPER WEST</t>
  </si>
  <si>
    <t>TOTAL(ECG)</t>
  </si>
  <si>
    <t>TOTAL(NEDCO)</t>
  </si>
  <si>
    <t xml:space="preserve">METRO NETWORK </t>
  </si>
  <si>
    <t xml:space="preserve">BACKHAUL NETWORK </t>
  </si>
  <si>
    <t>Distance(m)</t>
  </si>
  <si>
    <t>Pole Brackets (pcs)</t>
  </si>
  <si>
    <t>Tension Clamps (pcs)</t>
  </si>
  <si>
    <t>Suspensions (pcs)</t>
  </si>
  <si>
    <t>Buckles (pcs)</t>
  </si>
  <si>
    <t>Steel Band (m)</t>
  </si>
  <si>
    <t>Closures (pcs)</t>
  </si>
  <si>
    <t>TERRITORY</t>
  </si>
  <si>
    <t>LOCATION</t>
  </si>
  <si>
    <t>COORDINATES</t>
  </si>
  <si>
    <t>POP TYPE</t>
  </si>
  <si>
    <t xml:space="preserve">cabinet </t>
  </si>
  <si>
    <t>ODF</t>
  </si>
  <si>
    <t>Power</t>
  </si>
  <si>
    <t>4u</t>
  </si>
  <si>
    <t>6u</t>
  </si>
  <si>
    <t>9u</t>
  </si>
  <si>
    <t>10u</t>
  </si>
  <si>
    <t>12u</t>
  </si>
  <si>
    <t>21u</t>
  </si>
  <si>
    <t>22u</t>
  </si>
  <si>
    <t>27u</t>
  </si>
  <si>
    <t>29u</t>
  </si>
  <si>
    <t>32u</t>
  </si>
  <si>
    <t>42u</t>
  </si>
  <si>
    <t xml:space="preserve">9core </t>
  </si>
  <si>
    <t>12core</t>
  </si>
  <si>
    <t>24core</t>
  </si>
  <si>
    <t>48core</t>
  </si>
  <si>
    <t>96core</t>
  </si>
  <si>
    <t>Mikrotik CRS504-8XS-2XQ</t>
  </si>
  <si>
    <t>10G(Simplex)</t>
  </si>
  <si>
    <t>10G(Duplex)</t>
  </si>
  <si>
    <t>GPON</t>
  </si>
  <si>
    <t>UPS</t>
  </si>
  <si>
    <t>Stabilizer</t>
  </si>
  <si>
    <t>battery bank</t>
  </si>
  <si>
    <t>Inverter</t>
  </si>
  <si>
    <t>AVR</t>
  </si>
  <si>
    <t>Solar</t>
  </si>
  <si>
    <t>Copper</t>
  </si>
  <si>
    <t>2km</t>
  </si>
  <si>
    <t>3km</t>
  </si>
  <si>
    <t>10km</t>
  </si>
  <si>
    <t>20km</t>
  </si>
  <si>
    <t>40km</t>
  </si>
  <si>
    <t>60km</t>
  </si>
  <si>
    <t>80km</t>
  </si>
  <si>
    <t>100km</t>
  </si>
  <si>
    <t>120km</t>
  </si>
  <si>
    <t>battery Containment</t>
  </si>
  <si>
    <t>100AH</t>
  </si>
  <si>
    <t>200AH</t>
  </si>
  <si>
    <t>5KVA</t>
  </si>
  <si>
    <t>3KVA</t>
  </si>
  <si>
    <t>OBUASI</t>
  </si>
  <si>
    <t xml:space="preserve">6.204062   -1.677247 </t>
  </si>
  <si>
    <t>Indoor</t>
  </si>
  <si>
    <t>KUMASI-ASANTEMAN</t>
  </si>
  <si>
    <t xml:space="preserve">6.708774   -1.627550 </t>
  </si>
  <si>
    <t>Outdoor</t>
  </si>
  <si>
    <t>KUBEASE</t>
  </si>
  <si>
    <t xml:space="preserve">6.675194   -1.380315 </t>
  </si>
  <si>
    <t>KUMASI-ROMANHILL</t>
  </si>
  <si>
    <t xml:space="preserve"> 6.696086 , -1.617477 </t>
  </si>
  <si>
    <t>BECHEM</t>
  </si>
  <si>
    <t>7.081587 -2.02320</t>
  </si>
  <si>
    <t>SUNYANI</t>
  </si>
  <si>
    <t>7.319474, -2.317673</t>
  </si>
  <si>
    <t>CAPE COAST ECG OFFICE</t>
  </si>
  <si>
    <t xml:space="preserve">5.117613   -1.244324 </t>
  </si>
  <si>
    <t>WINNEBA</t>
  </si>
  <si>
    <t xml:space="preserve">5.379158   -0.652166 </t>
  </si>
  <si>
    <t>SWEDRU</t>
  </si>
  <si>
    <t>5.535335 -0.692072</t>
  </si>
  <si>
    <t>MANKESSIM</t>
  </si>
  <si>
    <t>5.2725239 -0.993339</t>
  </si>
  <si>
    <t>ASSIN FOSU</t>
  </si>
  <si>
    <t>5.690891 -1.2767645</t>
  </si>
  <si>
    <t>ABURI</t>
  </si>
  <si>
    <t xml:space="preserve">5.873167   -0.157818 </t>
  </si>
  <si>
    <t>NKAWKAW</t>
  </si>
  <si>
    <t xml:space="preserve">6.538083   -0.758909 </t>
  </si>
  <si>
    <t>BUNSO</t>
  </si>
  <si>
    <t>6.293186, -0.472517</t>
  </si>
  <si>
    <t>ASAMANKESE</t>
  </si>
  <si>
    <t>5.857256 -0.661452</t>
  </si>
  <si>
    <t>AKIM ODA</t>
  </si>
  <si>
    <t>5.93694 -0.972932</t>
  </si>
  <si>
    <t>SUHUM</t>
  </si>
  <si>
    <t xml:space="preserve"> 6.027995 , -0.449935 </t>
  </si>
  <si>
    <t>KOFORIDUA</t>
  </si>
  <si>
    <t xml:space="preserve">6.091218   -0.258441 </t>
  </si>
  <si>
    <t>KONONGO</t>
  </si>
  <si>
    <t>6.624025 -1.2180472</t>
  </si>
  <si>
    <t>AKUSE</t>
  </si>
  <si>
    <t xml:space="preserve">6.097085  0.064292 </t>
  </si>
  <si>
    <t>CANTONMENT</t>
  </si>
  <si>
    <t xml:space="preserve">5.584144   -0.164072 </t>
  </si>
  <si>
    <t>MADINA</t>
  </si>
  <si>
    <t xml:space="preserve"> 5.677437   -0.167211 </t>
  </si>
  <si>
    <t>RACK AFRICA DC</t>
  </si>
  <si>
    <t xml:space="preserve">5.571390   -0.209692 </t>
  </si>
  <si>
    <t>McCARTHY</t>
  </si>
  <si>
    <t xml:space="preserve">5.563084   -0.299930 </t>
  </si>
  <si>
    <t>APOLONIA</t>
  </si>
  <si>
    <t>5.804244 -0.091288</t>
  </si>
  <si>
    <t>GIL CITY CAMPUS</t>
  </si>
  <si>
    <t xml:space="preserve"> 5.622542   -0.186943 </t>
  </si>
  <si>
    <t>TEMA FREEZONES</t>
  </si>
  <si>
    <t xml:space="preserve">5.693232   0.006872 </t>
  </si>
  <si>
    <t xml:space="preserve"> </t>
  </si>
  <si>
    <t>ETIX(ONIX DC)</t>
  </si>
  <si>
    <t xml:space="preserve"> 5.766104   -0.110246 </t>
  </si>
  <si>
    <t>GIJ DZORWULU</t>
  </si>
  <si>
    <t xml:space="preserve">5.622542   -0.186943 </t>
  </si>
  <si>
    <t>NUNGUA</t>
  </si>
  <si>
    <t xml:space="preserve">5.614282   -0.089064 </t>
  </si>
  <si>
    <t>AMASAMAN</t>
  </si>
  <si>
    <t xml:space="preserve">5.704165 , -0.300260 </t>
  </si>
  <si>
    <t>DAWHENYA</t>
  </si>
  <si>
    <t xml:space="preserve">5.757568    0.083992 </t>
  </si>
  <si>
    <t>DAWA</t>
  </si>
  <si>
    <t xml:space="preserve">5.869013    0.263467 </t>
  </si>
  <si>
    <t>AQUA SAFARI (ADA 1)</t>
  </si>
  <si>
    <t xml:space="preserve">5.824832    0.619369 </t>
  </si>
  <si>
    <t>ADA 2</t>
  </si>
  <si>
    <t xml:space="preserve">5.893987    0.503603 </t>
  </si>
  <si>
    <t>TINGA</t>
  </si>
  <si>
    <t>8.592593 -2.230888</t>
  </si>
  <si>
    <t>DIARI</t>
  </si>
  <si>
    <t>9.865745, -0.870686</t>
  </si>
  <si>
    <t>WALEWALE</t>
  </si>
  <si>
    <t>10.35291 -0.7975752</t>
  </si>
  <si>
    <t>BOLGA</t>
  </si>
  <si>
    <t>10.773969 -0.855456</t>
  </si>
  <si>
    <t>TAMALE</t>
  </si>
  <si>
    <t>9.417364, -0.860597</t>
  </si>
  <si>
    <t>SOGAKOPE</t>
  </si>
  <si>
    <t xml:space="preserve"> 5.997086   0.595473 </t>
  </si>
  <si>
    <t>AFLAO</t>
  </si>
  <si>
    <t xml:space="preserve">6.117796   1.190115 </t>
  </si>
  <si>
    <t>ZIOPE</t>
  </si>
  <si>
    <t>6.425261, 0.732761</t>
  </si>
  <si>
    <t>HO</t>
  </si>
  <si>
    <t>6.582267, 0.480364</t>
  </si>
  <si>
    <t>JUAPONG</t>
  </si>
  <si>
    <t>6.248250, 0.138992</t>
  </si>
  <si>
    <t>KPANDO</t>
  </si>
  <si>
    <t>6.992942, 0.291481</t>
  </si>
  <si>
    <t>HOHOE</t>
  </si>
  <si>
    <t>7.143814, 0.476975</t>
  </si>
  <si>
    <t>AKATSI</t>
  </si>
  <si>
    <t xml:space="preserve"> 6.127324    0.802253 </t>
  </si>
  <si>
    <t>TAKORADI TTI</t>
  </si>
  <si>
    <t xml:space="preserve">4.917494   -1.768088 </t>
  </si>
  <si>
    <t>BEPOSO</t>
  </si>
  <si>
    <t>5.124906, -1.611958</t>
  </si>
  <si>
    <t>NSUAEM</t>
  </si>
  <si>
    <t xml:space="preserve">5.004219   -2.027541 </t>
  </si>
  <si>
    <t>DUNKWA</t>
  </si>
  <si>
    <t>5.967208, -1.795603</t>
  </si>
  <si>
    <t>TARKWA</t>
  </si>
  <si>
    <t xml:space="preserve">5.311207   -1.992372 </t>
  </si>
  <si>
    <t>WASA AKROPONG</t>
  </si>
  <si>
    <t xml:space="preserve">5.776620   -2.093827 </t>
  </si>
  <si>
    <t>GRAND TOTAL</t>
  </si>
  <si>
    <t>Region</t>
  </si>
  <si>
    <t>Name of Line</t>
  </si>
  <si>
    <t xml:space="preserve">Coordinates A-End </t>
  </si>
  <si>
    <t>Coordinates B-End</t>
  </si>
  <si>
    <t>Fiber Count</t>
  </si>
  <si>
    <t>Distance (m)</t>
  </si>
  <si>
    <t>SFP(10gig) Distance(km)</t>
  </si>
  <si>
    <t>OPGW / UGFOC /ADSS Status</t>
  </si>
  <si>
    <t>Age</t>
  </si>
  <si>
    <t>Cost/Value</t>
  </si>
  <si>
    <t>Comment</t>
  </si>
  <si>
    <t>Status</t>
  </si>
  <si>
    <t>Passed  Commisioning Tests</t>
  </si>
  <si>
    <t xml:space="preserve">ECG </t>
  </si>
  <si>
    <t>Tema - Dawa</t>
  </si>
  <si>
    <t>5.693232, 0.006872</t>
  </si>
  <si>
    <t xml:space="preserve">  5.869013, 0.263467</t>
  </si>
  <si>
    <t xml:space="preserve">ADSS </t>
  </si>
  <si>
    <t>Active</t>
  </si>
  <si>
    <t>Dawa - Ada</t>
  </si>
  <si>
    <t>5.869013, 0.263467</t>
  </si>
  <si>
    <t xml:space="preserve"> 5.893987, 0.503603</t>
  </si>
  <si>
    <t>Ada - Sogakope</t>
  </si>
  <si>
    <t xml:space="preserve"> 5.893987 0.503603</t>
  </si>
  <si>
    <t>5.997086 0.595473</t>
  </si>
  <si>
    <t xml:space="preserve">Akuse-Tema </t>
  </si>
  <si>
    <t>6.097085, 0.064292</t>
  </si>
  <si>
    <t xml:space="preserve"> 5.693232, 0.006872</t>
  </si>
  <si>
    <t>Yes</t>
  </si>
  <si>
    <t>RackAfrica - Cantoment  (Sec)</t>
  </si>
  <si>
    <t>5.571440, -0.209714</t>
  </si>
  <si>
    <t>5.584144, -0.164072</t>
  </si>
  <si>
    <t>Cantoment - Tema</t>
  </si>
  <si>
    <t>Nungua - Cantoment</t>
  </si>
  <si>
    <t>5.614282 -0.089064</t>
  </si>
  <si>
    <t>Asanteman - Roman Hill (Sofoline Leg)</t>
  </si>
  <si>
    <t xml:space="preserve"> 5.704165, -0.300260</t>
  </si>
  <si>
    <t>6.696086, -1.617477</t>
  </si>
  <si>
    <t>Asanteman - Roman Hill (Serwaa Nyarko Leg)</t>
  </si>
  <si>
    <t>Akosombo- Akuse</t>
  </si>
  <si>
    <t>6.297273, 0.055737</t>
  </si>
  <si>
    <t>Tema - Prampram</t>
  </si>
  <si>
    <t>5.757568, 0.083992</t>
  </si>
  <si>
    <t xml:space="preserve">Etix - Madina </t>
  </si>
  <si>
    <t>5.766104  -0.110246</t>
  </si>
  <si>
    <t>5.677437 -0.167211</t>
  </si>
  <si>
    <t>Madina - GIJ</t>
  </si>
  <si>
    <t>5.622542  -0.186943</t>
  </si>
  <si>
    <t>Madina-Cantoment</t>
  </si>
  <si>
    <t>Madina - RackAfrica</t>
  </si>
  <si>
    <t>5.571440 -0.209714</t>
  </si>
  <si>
    <t>GIJ - Cantoment</t>
  </si>
  <si>
    <t>Kubease(Konongo)-Roman Hill</t>
  </si>
  <si>
    <t>6.675194,  -1.380315</t>
  </si>
  <si>
    <t>6.708774, -1.627550</t>
  </si>
  <si>
    <t>Asanteman - BroadSpectrum</t>
  </si>
  <si>
    <t>4.960283, -1.736001</t>
  </si>
  <si>
    <t>Winneba - McCarthy</t>
  </si>
  <si>
    <t>5.379158,  -0.652166</t>
  </si>
  <si>
    <t>5.563084,  -0.299930</t>
  </si>
  <si>
    <t>Amasaman- Suhum</t>
  </si>
  <si>
    <t>5.704165,-0.300260</t>
  </si>
  <si>
    <t>6.027995, -0.449935</t>
  </si>
  <si>
    <t>Suhum- Nkawkaw</t>
  </si>
  <si>
    <t>6.027995  -0.449935</t>
  </si>
  <si>
    <t>6.538083  -0.758909</t>
  </si>
  <si>
    <t>Nkawkaw - Kubease(Konongo)</t>
  </si>
  <si>
    <t>6.538083,  -0.758909</t>
  </si>
  <si>
    <t xml:space="preserve">Akuse - Etix </t>
  </si>
  <si>
    <t>5.766104,  -0.110246</t>
  </si>
  <si>
    <t>Madina - Aburi</t>
  </si>
  <si>
    <t>5.677437,  -0.167211</t>
  </si>
  <si>
    <t>5.873167,  -0.157818</t>
  </si>
  <si>
    <t xml:space="preserve">McCarthy - RackAfrica </t>
  </si>
  <si>
    <t>5.563084, -0.299930</t>
  </si>
  <si>
    <t>5.571440,  -0.209714</t>
  </si>
  <si>
    <t>RackAfrica - Cantoment (Prim)</t>
  </si>
  <si>
    <t xml:space="preserve">Etix - Tema </t>
  </si>
  <si>
    <t>Madina - Amasaman</t>
  </si>
  <si>
    <t>5.704159 -0.300296</t>
  </si>
  <si>
    <t>Cantoment - MCcarthy</t>
  </si>
  <si>
    <t>5.563084  -0.299930</t>
  </si>
  <si>
    <t>McCarthy - Madina</t>
  </si>
  <si>
    <t>5.677437  -0.167211</t>
  </si>
  <si>
    <t>Ho-Juapong</t>
  </si>
  <si>
    <t>6.571861 0.406850</t>
  </si>
  <si>
    <t>6.250124  0.137610</t>
  </si>
  <si>
    <t xml:space="preserve">Roman Hill - Obuasi </t>
  </si>
  <si>
    <t>6.204062, -1.677247</t>
  </si>
  <si>
    <t>CapeCoast-Winneba</t>
  </si>
  <si>
    <t>5.117613, -1.244324</t>
  </si>
  <si>
    <t>McCarthy - Amasaman</t>
  </si>
  <si>
    <t xml:space="preserve"> 5.704165,  -0.300260</t>
  </si>
  <si>
    <t>Cantonment-GIL</t>
  </si>
  <si>
    <t>Nungua - Tema</t>
  </si>
  <si>
    <t xml:space="preserve">  5.614282  -0.089064</t>
  </si>
  <si>
    <t>5.693232 0.006872</t>
  </si>
  <si>
    <t>Sogakope-Akatsi</t>
  </si>
  <si>
    <t>6.127324  0.802253</t>
  </si>
  <si>
    <t>Akatsi-Aflao</t>
  </si>
  <si>
    <t>6.127324 0.802253</t>
  </si>
  <si>
    <t>6.117796 1.190115</t>
  </si>
  <si>
    <t>Obuasi - Wasa Akropong</t>
  </si>
  <si>
    <t>6.204062 -1.677247</t>
  </si>
  <si>
    <t>5.311207 -1.992372</t>
  </si>
  <si>
    <t xml:space="preserve">Wasa Akropong - Tarkwa </t>
  </si>
  <si>
    <t>Tarkwa - Nsuaem</t>
  </si>
  <si>
    <t>5.004219 -2.027541</t>
  </si>
  <si>
    <t>Nsuaem - Takoradi</t>
  </si>
  <si>
    <t>4.917494 -1.768088</t>
  </si>
  <si>
    <t>Takoradi - Cape Coast</t>
  </si>
  <si>
    <t>5.117613 -1.244324</t>
  </si>
  <si>
    <t>Asanteman - Bechem (Mankranso)</t>
  </si>
  <si>
    <t>6.824089, -1.860989</t>
  </si>
  <si>
    <t>Asanteman (Mankranso) - Bechem</t>
  </si>
  <si>
    <t>7.081364, -2.023164</t>
  </si>
  <si>
    <t>Abofour - Kumasi ECG</t>
  </si>
  <si>
    <t>7.162217, -1.741411</t>
  </si>
  <si>
    <t>6.745728, -1.640628</t>
  </si>
  <si>
    <t xml:space="preserve">Abofour - Techiman </t>
  </si>
  <si>
    <t>7.589136, -1.919447</t>
  </si>
  <si>
    <t>Kumasi - Nkawie</t>
  </si>
  <si>
    <t>6.700425, -1.715144</t>
  </si>
  <si>
    <t>6.660014, -1.815706</t>
  </si>
  <si>
    <t>Nkawie - Bibiani</t>
  </si>
  <si>
    <t>6.460197, -2.318631</t>
  </si>
  <si>
    <t>CapeCoast-Assin Fosu</t>
  </si>
  <si>
    <t>5.690664, -1.276250</t>
  </si>
  <si>
    <t>Assin Fosu-Akim Oda</t>
  </si>
  <si>
    <t>5.926261, -0.982933</t>
  </si>
  <si>
    <t>Akim Oda-Swedru</t>
  </si>
  <si>
    <t>5.526178, -0.701050</t>
  </si>
  <si>
    <t>Swedru-Winneba</t>
  </si>
  <si>
    <t>Swedru-Asamankese</t>
  </si>
  <si>
    <t>5.863620, -0.664097</t>
  </si>
  <si>
    <t xml:space="preserve">Asamankese-Suhum </t>
  </si>
  <si>
    <t>6.049108, -0.459814</t>
  </si>
  <si>
    <t>GIL-RackAfrica</t>
  </si>
  <si>
    <t>5.571440  -0.209714</t>
  </si>
  <si>
    <t>Aflao - Ziope</t>
  </si>
  <si>
    <t xml:space="preserve"> 6.117796 1.190115</t>
  </si>
  <si>
    <t>Ziope - Ho</t>
  </si>
  <si>
    <t>Bibiani - Wiawso</t>
  </si>
  <si>
    <t>6.200100, -2.478589</t>
  </si>
  <si>
    <t>Wiawso - Juaboso</t>
  </si>
  <si>
    <t>6.342219, -2.821111</t>
  </si>
  <si>
    <t>Elubo - Awiebo</t>
  </si>
  <si>
    <t>5.289556, -2.772500</t>
  </si>
  <si>
    <t>5.035003, -2.440497</t>
  </si>
  <si>
    <t>Awiebo - AximJn</t>
  </si>
  <si>
    <t>4.932997, -1.977419</t>
  </si>
  <si>
    <t>Bechem- Sunyani</t>
  </si>
  <si>
    <t>7.316661, -2.302783</t>
  </si>
  <si>
    <t>Sunyani - Wenchi</t>
  </si>
  <si>
    <t>7.745303, -2.100225</t>
  </si>
  <si>
    <t>Wenchi - Bamboi</t>
  </si>
  <si>
    <t>8.164119, -2.033883</t>
  </si>
  <si>
    <t>Tamale - Diari</t>
  </si>
  <si>
    <t>9.865044, -0.870639</t>
  </si>
  <si>
    <t>Diari - Walewale</t>
  </si>
  <si>
    <t>10.337358, -0.799333</t>
  </si>
  <si>
    <t>Walewale - Bolgatanga</t>
  </si>
  <si>
    <t>10.791053, -0.857317</t>
  </si>
  <si>
    <t xml:space="preserve">Bolgatanga - Nakong </t>
  </si>
  <si>
    <t>10.820389, -1.416281</t>
  </si>
  <si>
    <t>Akosombo-Koforidua</t>
  </si>
  <si>
    <t>Koforidua-Aburi</t>
  </si>
  <si>
    <t>Bamboi-Tinga</t>
  </si>
  <si>
    <t>Tinga-Bole</t>
  </si>
  <si>
    <t>Bole-Sawla</t>
  </si>
  <si>
    <t>Sawla-Kumasa</t>
  </si>
  <si>
    <t>Kumasa-Wa</t>
  </si>
  <si>
    <t>Wa-Han</t>
  </si>
  <si>
    <t>Han-Tumu</t>
  </si>
  <si>
    <t>Tumu-Nakong</t>
  </si>
  <si>
    <t>Nakong-Bolga</t>
  </si>
  <si>
    <t>Sunyani-Berekum</t>
  </si>
  <si>
    <t>Abofour - Kumasi NEDCO</t>
  </si>
  <si>
    <t>7.162217, -1.741412</t>
  </si>
  <si>
    <t>6.745728, -1.640629</t>
  </si>
  <si>
    <t>Elubo - Enchi</t>
  </si>
  <si>
    <t>Bolgatanga - Bawku</t>
  </si>
  <si>
    <t>LEGEND:</t>
  </si>
  <si>
    <t>ODF:- Optical Distribution Frames</t>
  </si>
  <si>
    <r>
      <t>ADSS FOC:-</t>
    </r>
    <r>
      <rPr>
        <sz val="11"/>
        <color theme="1"/>
        <rFont val="Times New Roman"/>
        <family val="1"/>
      </rPr>
      <t xml:space="preserve"> All Dielectric Self Supporting Fibre Optic Cable</t>
    </r>
  </si>
  <si>
    <t>S/N</t>
  </si>
  <si>
    <t xml:space="preserve">Territory </t>
  </si>
  <si>
    <t>Central</t>
  </si>
  <si>
    <t>Eastern</t>
  </si>
  <si>
    <t>Greater Accra</t>
  </si>
  <si>
    <t>Inactive</t>
  </si>
  <si>
    <t>Volta</t>
  </si>
  <si>
    <t xml:space="preserve">Brong Ahafo </t>
  </si>
  <si>
    <t>Northern</t>
  </si>
  <si>
    <t>Cape Coast-Assin Fosu</t>
  </si>
  <si>
    <t>Asamankese-Suhum</t>
  </si>
  <si>
    <t>Brong Ahafo</t>
  </si>
  <si>
    <r>
      <rPr>
        <b/>
        <sz val="11"/>
        <color rgb="FF000000"/>
        <rFont val="Times New Roman"/>
        <family val="1"/>
      </rPr>
      <t>ODF:-</t>
    </r>
    <r>
      <rPr>
        <sz val="11"/>
        <color rgb="FF000000"/>
        <rFont val="Times New Roman"/>
        <family val="1"/>
      </rPr>
      <t xml:space="preserve"> Optical Distribution Frames</t>
    </r>
  </si>
  <si>
    <r>
      <rPr>
        <b/>
        <sz val="11"/>
        <color rgb="FF000000"/>
        <rFont val="Times New Roman"/>
        <family val="1"/>
      </rPr>
      <t>ADSS FOC:-</t>
    </r>
    <r>
      <rPr>
        <sz val="11"/>
        <color theme="1"/>
        <rFont val="Times New Roman"/>
        <family val="1"/>
      </rPr>
      <t xml:space="preserve"> All Dielectric Self Supporting Fibre Optic Cable</t>
    </r>
  </si>
  <si>
    <t>TERRITOY</t>
  </si>
  <si>
    <t>NAME OF LINE</t>
  </si>
  <si>
    <t xml:space="preserve">COORDINATES A-END </t>
  </si>
  <si>
    <t>COORDINATES B-END</t>
  </si>
  <si>
    <t>FIBER COUNT</t>
  </si>
  <si>
    <t>Drop Cable Distance (M)</t>
  </si>
  <si>
    <t>ADSS DISTANCE (M)</t>
  </si>
  <si>
    <t>1G SFP DISTANCE(KM)</t>
  </si>
  <si>
    <t>10G SFP DISTANCE(KM)</t>
  </si>
  <si>
    <t>OPGW / UGFOC /ADSS STATUS</t>
  </si>
  <si>
    <t>DATE</t>
  </si>
  <si>
    <t>MONTH</t>
  </si>
  <si>
    <t>COST/VALUE</t>
  </si>
  <si>
    <t>STATUS</t>
  </si>
  <si>
    <t>MANHYIA PALACE</t>
  </si>
  <si>
    <t>6.703436,-1.614345</t>
  </si>
  <si>
    <t>6.708775, -1.627550</t>
  </si>
  <si>
    <t>KUMASI</t>
  </si>
  <si>
    <t>ACTIVE</t>
  </si>
  <si>
    <t>PRINCE OF PEACE GIRLS</t>
  </si>
  <si>
    <t>6.69596,-1.64277</t>
  </si>
  <si>
    <t>N/A</t>
  </si>
  <si>
    <t>INACTIVE</t>
  </si>
  <si>
    <t>ST. LOUIS SENIOR HIGH, KUMASI</t>
  </si>
  <si>
    <t>6.695041,-1.545178</t>
  </si>
  <si>
    <t>ADVENTIST SENIOR HIGH, KUMASI</t>
  </si>
  <si>
    <t>6.70934,-1.632254</t>
  </si>
  <si>
    <t>AGRIC NZEMA SENIOR HIGH, KUMASI</t>
  </si>
  <si>
    <t>6.67339,-1.67716</t>
  </si>
  <si>
    <t>6.696086°, -1.617477°</t>
  </si>
  <si>
    <t>AL-AZARIYA ISLAMIC SNR. HIGH, KUMASI</t>
  </si>
  <si>
    <t>6.73497,-1.608583</t>
  </si>
  <si>
    <t>ANGLICAN SENIOR HIGH, KUMASI</t>
  </si>
  <si>
    <t>6.692,-1.60927</t>
  </si>
  <si>
    <t>ARMED FORCES SENIOR HIGH/TECH, KUMASI</t>
  </si>
  <si>
    <t>6.691597,-1.629728</t>
  </si>
  <si>
    <t>ASANTEMAN SENIOR HIGH</t>
  </si>
  <si>
    <t>6.708825,-1.627581</t>
  </si>
  <si>
    <t>ASOKORE MAMPONG MUNICIPAL</t>
  </si>
  <si>
    <t>6.7175,-1.56237</t>
  </si>
  <si>
    <t>ASOKORE</t>
  </si>
  <si>
    <t>EJISUMAN SENIOR HIGH</t>
  </si>
  <si>
    <t>6.728703,-1.475162</t>
  </si>
  <si>
    <t>EJISU</t>
  </si>
  <si>
    <t>ISLAMIC SENIOR HIGH, AMPABAME</t>
  </si>
  <si>
    <t>6.712857,-1.641135</t>
  </si>
  <si>
    <t>KNUST SENIOR HIGH</t>
  </si>
  <si>
    <t>6.689783,-1.54805</t>
  </si>
  <si>
    <t>KUMASI ACADEMY</t>
  </si>
  <si>
    <t>6.708456,-1.571091</t>
  </si>
  <si>
    <t>KUMASI GIRLS SENIOR HIGH</t>
  </si>
  <si>
    <t>6.72981,-1.6598</t>
  </si>
  <si>
    <t>KUMASI METROPOLITAN</t>
  </si>
  <si>
    <t>6.69353,-1.6061</t>
  </si>
  <si>
    <t>KUMASI SENIOR HIGH</t>
  </si>
  <si>
    <t>6.661687,-1.580517</t>
  </si>
  <si>
    <t>KUMASI SENIOR HIGH/TECH</t>
  </si>
  <si>
    <t>6.680871,-1.64376</t>
  </si>
  <si>
    <t>KUMASI TECH. INST.</t>
  </si>
  <si>
    <t>6.692897,-1.60442</t>
  </si>
  <si>
    <t>KUMASI WESLEY GIRLS HIGH SCH</t>
  </si>
  <si>
    <t>6.716689,-1.621433</t>
  </si>
  <si>
    <t>KWADASO MUNICIPAL</t>
  </si>
  <si>
    <t>6.690465,-1.649394</t>
  </si>
  <si>
    <t>KWADASO</t>
  </si>
  <si>
    <t>METHODIST TECHNICAL INSTITUTE</t>
  </si>
  <si>
    <t>6.691756,-1.654607</t>
  </si>
  <si>
    <t>OLD TAFO MUNICIPAL</t>
  </si>
  <si>
    <t>6.741541,-1.609891</t>
  </si>
  <si>
    <t>TAFO</t>
  </si>
  <si>
    <t>OPOKU WARE SENIOR HIGH</t>
  </si>
  <si>
    <t>6.66378,-1.64444</t>
  </si>
  <si>
    <t>OSEI KYERETWIE SENIOR HIGH</t>
  </si>
  <si>
    <t>6.742983,-1.61643</t>
  </si>
  <si>
    <t>PARKOSO COMM. SENIOR HIGH</t>
  </si>
  <si>
    <t>6.72455,-1.54072</t>
  </si>
  <si>
    <t>PENTECOST SENIOR HIGH, KUMASI</t>
  </si>
  <si>
    <t>6.744963,-1.641165</t>
  </si>
  <si>
    <t>PREMPEH COLLEGE</t>
  </si>
  <si>
    <t>6.70215,-1.646746</t>
  </si>
  <si>
    <t>SAKAFIA ISLAMIC SENIOR HIGH</t>
  </si>
  <si>
    <t>6.696023,-1.572285</t>
  </si>
  <si>
    <t>SERWAAH NYARKO GIRLS` SNR. HIGH</t>
  </si>
  <si>
    <t>6.708913,-1.608972</t>
  </si>
  <si>
    <t>SINAPI</t>
  </si>
  <si>
    <t>6.671366, -1.625616</t>
  </si>
  <si>
    <t>SUAME MUNICIPAL</t>
  </si>
  <si>
    <t>6.71665,-1.633491</t>
  </si>
  <si>
    <t>SUAME</t>
  </si>
  <si>
    <t>T. I. AHMADIYYA SENIOR HIGH, KUMASI</t>
  </si>
  <si>
    <t>6.681454,-1.607531</t>
  </si>
  <si>
    <t>TAWHEED SENIOR HIGH.</t>
  </si>
  <si>
    <t>6.698517,-1.6099</t>
  </si>
  <si>
    <t>UTHMANIYA SENIOR HIGH SCHOOL, TAFO</t>
  </si>
  <si>
    <t>6.722117,-1.613983</t>
  </si>
  <si>
    <t>YAA ASANTEWAA GIRLS SENIOR HIGH</t>
  </si>
  <si>
    <t>6.696597,-1.699888</t>
  </si>
  <si>
    <t>ACCESS BANK SUAME KUMASI</t>
  </si>
  <si>
    <t xml:space="preserve">  6.717906, -1.631029</t>
  </si>
  <si>
    <t>WINROCK KUMASI FUMESUA</t>
  </si>
  <si>
    <t>6.667737, -1.608531</t>
  </si>
  <si>
    <t>FUMESUA</t>
  </si>
  <si>
    <t>INTERNATIONAL COMMUNITY SCHOOL</t>
  </si>
  <si>
    <t>6.537139, -1.668662</t>
  </si>
  <si>
    <t>ST. HUBERT SEM/SENIOR HIGH, KUMASI</t>
  </si>
  <si>
    <t>6.660759,-1.650103</t>
  </si>
  <si>
    <t>ASOKWA MUNICIPAL</t>
  </si>
  <si>
    <t>6.673629,-1.602982</t>
  </si>
  <si>
    <t>ASOKWA</t>
  </si>
  <si>
    <t>CSRI, FUMASUA</t>
  </si>
  <si>
    <t>6.710169, -1.527967</t>
  </si>
  <si>
    <t>EJISU SENIOR HIGH/TECH</t>
  </si>
  <si>
    <t>6.717347,-1.468773</t>
  </si>
  <si>
    <t>KWAME NKRUMAH UNIVERSITY OF SCIENCE AND TECHNOLOGY (KNUST)</t>
  </si>
  <si>
    <t>6.682575, -1.575818</t>
  </si>
  <si>
    <t>6°41'12.91"N  1°32'44.65"W</t>
  </si>
  <si>
    <t>MAMPONG TECHNICAL COLLEGE OF EDUCATION, MAMPONG</t>
  </si>
  <si>
    <t>7.058352,-1.391405</t>
  </si>
  <si>
    <t>7° 3'31.71"N 1°24'0.03"W</t>
  </si>
  <si>
    <t>NURUL-AMEEN ISLAMIC SENIOR HIGH,ASEWASE</t>
  </si>
  <si>
    <t>6.699571, -1.604668</t>
  </si>
  <si>
    <t>PATASI,KUMASI</t>
  </si>
  <si>
    <t>6.677990, -1.643728</t>
  </si>
  <si>
    <t>PATASI</t>
  </si>
  <si>
    <t>ST. JOSEPH SEM/SENIOR HIGH,MAMPONG</t>
  </si>
  <si>
    <t>7.063162,-1.393507</t>
  </si>
  <si>
    <t>7° 3'31.58"N  1°23'59.75"W</t>
  </si>
  <si>
    <t>EJURA , MAMPONG</t>
  </si>
  <si>
    <t>ST. MONICA'S COLLAGE OF EDUCATION, MAMPNOG</t>
  </si>
  <si>
    <t>7.045417, -1.402720</t>
  </si>
  <si>
    <t>7° 3'32.45"N 1°23'59.79"W</t>
  </si>
  <si>
    <t>ST. MONICA'S SNR. HIGH SCHOOL,MAMPONG</t>
  </si>
  <si>
    <t>7.045590, -1.403880</t>
  </si>
  <si>
    <t>7° 3'32.45"N  1°23'59.79"W</t>
  </si>
  <si>
    <t>WESLEY COLLEGE OF EDUCATION, KUMASI</t>
  </si>
  <si>
    <t>6.712829,-1.62357</t>
  </si>
  <si>
    <t>INFO SOURCE  AT GYNASE NEAR KUMASI  HIGH SCH</t>
  </si>
  <si>
    <t>6.656707 -1.580620</t>
  </si>
  <si>
    <t>EFANEST KESSBEN CEO RESIDENCE  KUMASI</t>
  </si>
  <si>
    <t>6.683168, -1.632282</t>
  </si>
  <si>
    <t>ODENEHO KUMASI</t>
  </si>
  <si>
    <t>6.672321, -1.651491</t>
  </si>
  <si>
    <t>July</t>
  </si>
  <si>
    <t>LONGFORD ROYAL HOTEL</t>
  </si>
  <si>
    <t>6.727498, -1.581914</t>
  </si>
  <si>
    <t>ODENEHO   TSE ADDO    MAYFAIR</t>
  </si>
  <si>
    <t>5.610061, -0.141144</t>
  </si>
  <si>
    <t>TSE ADDO</t>
  </si>
  <si>
    <t>ABSA ASAFO BRANCH</t>
  </si>
  <si>
    <t>6.684504, -1.614025</t>
  </si>
  <si>
    <t xml:space="preserve">January </t>
  </si>
  <si>
    <t>ABSA KROFROM</t>
  </si>
  <si>
    <t>6.713413,-1.615592</t>
  </si>
  <si>
    <t>Krofrom</t>
  </si>
  <si>
    <t>ABSA KUMASI KPST MAIN AND PLC /PREMPEH</t>
  </si>
  <si>
    <t>6.689871,-1.622878</t>
  </si>
  <si>
    <t>ABSA SUAME MAGAZINE/ OLD SUAME</t>
  </si>
  <si>
    <t>6.728684,-1.63248</t>
  </si>
  <si>
    <t>ABSA TAFO</t>
  </si>
  <si>
    <t>6.739561,-1.611229</t>
  </si>
  <si>
    <t>ABSA TANOSO</t>
  </si>
  <si>
    <t>6.696178,-1.68193</t>
  </si>
  <si>
    <t>TANOSO</t>
  </si>
  <si>
    <t>ABSA BANTAMA</t>
  </si>
  <si>
    <t>642'23.50"N  138'10.85"W</t>
  </si>
  <si>
    <t>BANTAMA</t>
  </si>
  <si>
    <t>SAN_ERNEST CHEMIST_KUM_SANTASE</t>
  </si>
  <si>
    <t>640'15.41"N  138'16.08"W</t>
  </si>
  <si>
    <t>SANTASI</t>
  </si>
  <si>
    <t xml:space="preserve">December </t>
  </si>
  <si>
    <t>SPORT BETTING GROUP  KUMASI</t>
  </si>
  <si>
    <t xml:space="preserve">6.687589 -1.607350 </t>
  </si>
  <si>
    <t>ASANTEMAN - BROADSPECTRUM</t>
  </si>
  <si>
    <t>6.678250, -1.616044</t>
  </si>
  <si>
    <t>ASAFO BRANCH</t>
  </si>
  <si>
    <t>6.684504,-1.614025</t>
  </si>
  <si>
    <t>ODEHENO</t>
  </si>
  <si>
    <t>6.672321,-1.651491</t>
  </si>
  <si>
    <t>LANGFORD HOTEL</t>
  </si>
  <si>
    <t xml:space="preserve">  6.727498, -1.581914</t>
  </si>
  <si>
    <t>BOADI F TO KNUST</t>
  </si>
  <si>
    <t xml:space="preserve">  6.686874, -1.545754</t>
  </si>
  <si>
    <t>CROP RESEARCH INSTITUTE</t>
  </si>
  <si>
    <t>6.710169,-1.527967</t>
  </si>
  <si>
    <t>GOLDEN TULIP KUMASI</t>
  </si>
  <si>
    <t xml:space="preserve">  6.682457, -1.625554</t>
  </si>
  <si>
    <t>INTERNATIONAL COMMUNITY SCHOOL, AJAMESU</t>
  </si>
  <si>
    <t>6.537139,-1.668662</t>
  </si>
  <si>
    <t>JACKSON COMPLEX 2</t>
  </si>
  <si>
    <t>6.6891,-1.6352</t>
  </si>
  <si>
    <t>JACKSON EDUCATIONAL COMPLEX</t>
  </si>
  <si>
    <t>6.673182,-1.553365</t>
  </si>
  <si>
    <t>OFORIKROM MUNICIPAL</t>
  </si>
  <si>
    <t>6.688106,-1.594238</t>
  </si>
  <si>
    <t>OSEI TUTU SENIOR HIGH, AKROPONG</t>
  </si>
  <si>
    <t>6.738295,-1.722737</t>
  </si>
  <si>
    <t>ST. LOUIS COLLEGE OF EDUCATION,�KUMASI</t>
  </si>
  <si>
    <t>6.706729,-1.626197</t>
  </si>
  <si>
    <t>YAA ASANTEWA - ABSA MERGE</t>
  </si>
  <si>
    <t>6.697507, -1.699824</t>
  </si>
  <si>
    <t>NPRA (KUMASI)</t>
  </si>
  <si>
    <t>6.676436, -1.598133</t>
  </si>
  <si>
    <t>ADSS</t>
  </si>
  <si>
    <t>FAB MANHYIA</t>
  </si>
  <si>
    <t xml:space="preserve">  6.702893 -1.614202</t>
  </si>
  <si>
    <t>KUMARK</t>
  </si>
  <si>
    <t xml:space="preserve">  6.705527 -1.624199</t>
  </si>
  <si>
    <t>STARLIFE ADUM</t>
  </si>
  <si>
    <t>6.687942, -1.622314</t>
  </si>
  <si>
    <t>STARLIFE SANTASI</t>
  </si>
  <si>
    <t>6.670647, -1.636567</t>
  </si>
  <si>
    <t>IJM</t>
  </si>
  <si>
    <t>6.6362829,-1.627436280</t>
  </si>
  <si>
    <t>ABSA AHODWO</t>
  </si>
  <si>
    <t>6.659633, -1.620833</t>
  </si>
  <si>
    <t>FAR EAST KUMASI</t>
  </si>
  <si>
    <t xml:space="preserve"> 6.640591 -1.619362</t>
  </si>
  <si>
    <t xml:space="preserve">KATH </t>
  </si>
  <si>
    <t>6.697285 -1.629223</t>
  </si>
  <si>
    <t>CCTU MARKETING BLOCK</t>
  </si>
  <si>
    <t>5.153803,-1.279891</t>
  </si>
  <si>
    <t>5.117614, -1.244325</t>
  </si>
  <si>
    <t>CCTU OLD ADMIN</t>
  </si>
  <si>
    <t>5.153998,-1.279101</t>
  </si>
  <si>
    <t>UNIVERSITY PRACTICE SNR HIGH</t>
  </si>
  <si>
    <t>5 7'28.20"N 117'9.54"W</t>
  </si>
  <si>
    <t>STARLIFE CAPE</t>
  </si>
  <si>
    <t>5.108515, -1.241981</t>
  </si>
  <si>
    <t>ACADEMY OF CHRIST THE KING</t>
  </si>
  <si>
    <t>5.143912,-1.267679</t>
  </si>
  <si>
    <t>ADISADEL COLLEGE</t>
  </si>
  <si>
    <t>5.120179,-1.263701</t>
  </si>
  <si>
    <t>AGGREY MEMORIAL</t>
  </si>
  <si>
    <t>5.137239,-1.219545</t>
  </si>
  <si>
    <t>CAPE COAST METROPOLITAN</t>
  </si>
  <si>
    <t>5.173150, -1.298757</t>
  </si>
  <si>
    <t>CAPE COAST TECHNICAL</t>
  </si>
  <si>
    <t>5.1292,-1.277777</t>
  </si>
  <si>
    <t>GHANA NATIONAL COLLEGE</t>
  </si>
  <si>
    <t>5.12916,-1.228665</t>
  </si>
  <si>
    <t>MFANTSIPIM</t>
  </si>
  <si>
    <t>5.117875,-1.251197</t>
  </si>
  <si>
    <t>OUR LADY OF APOSTLES (OLA) COLLEGE OF EDUCATION</t>
  </si>
  <si>
    <t xml:space="preserve">  5.104197, -1.273949</t>
  </si>
  <si>
    <t>ST. AUGUSTINES COLLEGE</t>
  </si>
  <si>
    <t>5.102482, -1.263421</t>
  </si>
  <si>
    <t>UNIVERSITY OF CAPE COAST  (UCC) LAST MILE</t>
  </si>
  <si>
    <t>5.115815, -1.293491</t>
  </si>
  <si>
    <t>WESLEY GIRLS SHS</t>
  </si>
  <si>
    <t>5.142801,-1.279624</t>
  </si>
  <si>
    <t>UNIVERSITY OF EDUCATION, WINNEBA LAST MILE</t>
  </si>
  <si>
    <t>5.360979, -0.633509</t>
  </si>
  <si>
    <t>KASOA NORTH</t>
  </si>
  <si>
    <t>5.535266, -0.412451</t>
  </si>
  <si>
    <t>KASOA SOUTH</t>
  </si>
  <si>
    <t xml:space="preserve"> 5.533481, -0.425442</t>
  </si>
  <si>
    <t>HOLY CHILD COLLEGE OF EDUCATION, SEKONDI -TAKORADI</t>
  </si>
  <si>
    <t>4.935736,-1.74672</t>
  </si>
  <si>
    <t>ABSA CAPE COAST</t>
  </si>
  <si>
    <t xml:space="preserve"> 5 6'21.66"N  114'28.13"W</t>
  </si>
  <si>
    <t>KASOA 1 SOCCABET</t>
  </si>
  <si>
    <t xml:space="preserve">  5.535443, -0.420973</t>
  </si>
  <si>
    <t xml:space="preserve">B5 PLUS KASOA </t>
  </si>
  <si>
    <t>5.535496,-0.408833</t>
  </si>
  <si>
    <t>WINNEBA SUBSTATION TO UEW</t>
  </si>
  <si>
    <t>5.361383, -0.631297</t>
  </si>
  <si>
    <t>5.388139, -0.645250</t>
  </si>
  <si>
    <t>TEE POINT - WINNEBA DISTRICT</t>
  </si>
  <si>
    <t xml:space="preserve">  5.377854, -0.642034</t>
  </si>
  <si>
    <t>CAPE COAST EDUCATION OFFICE</t>
  </si>
  <si>
    <t xml:space="preserve">  5.107689, -1.247608</t>
  </si>
  <si>
    <t>D-LINK</t>
  </si>
  <si>
    <t>CCTU CLINIC</t>
  </si>
  <si>
    <t>5.153468,-1.278349</t>
  </si>
  <si>
    <t>CCTU NEW BLOCK</t>
  </si>
  <si>
    <t>5.153473,-1.279471</t>
  </si>
  <si>
    <t>CISCO/D-LINK</t>
  </si>
  <si>
    <t>CIVIL AND BUILDING DEPT</t>
  </si>
  <si>
    <t>5.154683,-1.279184</t>
  </si>
  <si>
    <t xml:space="preserve">CCTU - ELEC DEPARTMENT </t>
  </si>
  <si>
    <t xml:space="preserve">  5.154585, -1.278709</t>
  </si>
  <si>
    <t>ECG SUBSTATION - CAPECOAST</t>
  </si>
  <si>
    <t xml:space="preserve">  5.117852, -1.244636</t>
  </si>
  <si>
    <t>EFFUTU SENIOR HIGH/TECH</t>
  </si>
  <si>
    <t>5.203687,-1.323434</t>
  </si>
  <si>
    <t>HOLY CHILD</t>
  </si>
  <si>
    <t xml:space="preserve">  5.121464, -1.233710</t>
  </si>
  <si>
    <t>KASOA SOUTH FROM KASOA SS</t>
  </si>
  <si>
    <t xml:space="preserve">  5.533472, -0.425508</t>
  </si>
  <si>
    <t>MAIN ADMIN</t>
  </si>
  <si>
    <t>5.152822,-1.279142</t>
  </si>
  <si>
    <t>NEW AUDITORIUM</t>
  </si>
  <si>
    <t>5.152524,-1.278184</t>
  </si>
  <si>
    <t>NEW BLOCK-CCTU</t>
  </si>
  <si>
    <t xml:space="preserve">  5.153803, -1.279891</t>
  </si>
  <si>
    <t>SALTPOND SUBSTATION TO SALTPOND DIST OFF</t>
  </si>
  <si>
    <t xml:space="preserve">  5.201730, -1.066392</t>
  </si>
  <si>
    <t>UCC LASTMILE</t>
  </si>
  <si>
    <t>5.122527, -1.294850</t>
  </si>
  <si>
    <t>UCC  OLD DATA CENTER</t>
  </si>
  <si>
    <t>5.115815,-1.293491</t>
  </si>
  <si>
    <t>UCC  OLD SITE</t>
  </si>
  <si>
    <t>5.105474,-1.284439</t>
  </si>
  <si>
    <t>CCTU LIBRARY/NOC</t>
  </si>
  <si>
    <t>5.154429,-1.277909</t>
  </si>
  <si>
    <t xml:space="preserve">CCTU MECHANICAL DEPT </t>
  </si>
  <si>
    <t>5.154615,-1.279678</t>
  </si>
  <si>
    <t>CCTU STORES</t>
  </si>
  <si>
    <t>5.154903,-1.279538</t>
  </si>
  <si>
    <t>1XBET-CAPECOAST</t>
  </si>
  <si>
    <t>5.132246,-1.275613</t>
  </si>
  <si>
    <t>CCTU HOSTEL</t>
  </si>
  <si>
    <t>5.152661,-1.277477</t>
  </si>
  <si>
    <t>CISCO SW</t>
  </si>
  <si>
    <t>FAB SALTPOND</t>
  </si>
  <si>
    <t xml:space="preserve">  5.221992 -1.048042</t>
  </si>
  <si>
    <t>CONTRACTA APPARTMENT ROUTE</t>
  </si>
  <si>
    <t>6.070693, -0.016422</t>
  </si>
  <si>
    <t>6.097086, 0.064292</t>
  </si>
  <si>
    <t>NEW JUABEN NORTH MUNICIPAL</t>
  </si>
  <si>
    <t>6.109793,-0.26847</t>
  </si>
  <si>
    <t>6.091217, -0.258442</t>
  </si>
  <si>
    <t>NEW JUABEN SOUTH MUNICIPAL</t>
  </si>
  <si>
    <t>6.091217,-0.258581</t>
  </si>
  <si>
    <t>MT MARY COLLEGE OF EDUCATION   SOMANYA</t>
  </si>
  <si>
    <t xml:space="preserve"> 6.115379, -0.016027</t>
  </si>
  <si>
    <t>PEACE CORPS</t>
  </si>
  <si>
    <t>5.860886,-0.112213</t>
  </si>
  <si>
    <t>5.766103, -0.110247</t>
  </si>
  <si>
    <t>ABSA KOFORIDUA</t>
  </si>
  <si>
    <t>6.091491,-0.254451</t>
  </si>
  <si>
    <t>AKUSE METHODIST SENIOR HIGHTECH</t>
  </si>
  <si>
    <t>6.096118,  0.126056</t>
  </si>
  <si>
    <t xml:space="preserve">BUNSO ECG SUBSTATION </t>
  </si>
  <si>
    <t xml:space="preserve">  6.293208, -0.472493</t>
  </si>
  <si>
    <t>6.560342, -0.775453</t>
  </si>
  <si>
    <t>POPE JOHN SENIOR HIGH &amp; MIN.SEM. KOFORIDUA</t>
  </si>
  <si>
    <t xml:space="preserve"> 6.103800, -0.270236</t>
  </si>
  <si>
    <t>SUHUM  LAST MILE</t>
  </si>
  <si>
    <t>6.042690, -0.456022</t>
  </si>
  <si>
    <t>6.027995°, -0.449935°</t>
  </si>
  <si>
    <t>ABURI ( BENJAMIN )</t>
  </si>
  <si>
    <t>5.824820, -0.189100</t>
  </si>
  <si>
    <t>5.873167, -0.157817</t>
  </si>
  <si>
    <t xml:space="preserve">PEDUASE RESORT </t>
  </si>
  <si>
    <t>5.80831,-0.185957</t>
  </si>
  <si>
    <t>ROYAL SENCHI</t>
  </si>
  <si>
    <t>6.219123,  0.089116</t>
  </si>
  <si>
    <t>ALL NATION  KOFORIDUA MAIN CAMPUS</t>
  </si>
  <si>
    <t>6.109283, -0.302155</t>
  </si>
  <si>
    <t>STONE LODGE</t>
  </si>
  <si>
    <t>6 0'7.72"N  0 6'9.68"E</t>
  </si>
  <si>
    <t>KROSSOVA HOTEL</t>
  </si>
  <si>
    <t>611'52.09"N  0 4'3.61"E</t>
  </si>
  <si>
    <t>NEWMONT AKYEM(NEW ABRIEM)</t>
  </si>
  <si>
    <t>6.340631,-1.027382</t>
  </si>
  <si>
    <t>6.538083, -0.758908</t>
  </si>
  <si>
    <t>BENJAMIN SIAW</t>
  </si>
  <si>
    <t xml:space="preserve">  5.824820, -0.189100</t>
  </si>
  <si>
    <t>KOFORIDUA TECH. INST.</t>
  </si>
  <si>
    <t>6.112874,-0.284878</t>
  </si>
  <si>
    <t>AIRTELTIGO KOFORIDUA</t>
  </si>
  <si>
    <t>9.416223,-0.857376</t>
  </si>
  <si>
    <t>6.093553,  0.114530</t>
  </si>
  <si>
    <t>BUNSO TO KIBI DIST OFFICE</t>
  </si>
  <si>
    <t>6.158153, -0.559129</t>
  </si>
  <si>
    <t>6.158225, -0.559117</t>
  </si>
  <si>
    <t>MOUNT MARY COLLEGE OF EDUCATION</t>
  </si>
  <si>
    <t>6.115379,-0.016027</t>
  </si>
  <si>
    <t>SUHUM SUBSTATION TO SUHUM DIST OFF</t>
  </si>
  <si>
    <t xml:space="preserve">  6.040994, -0.442475</t>
  </si>
  <si>
    <t xml:space="preserve"> 6.027995°, -0.449935°</t>
  </si>
  <si>
    <t>NKAWKAW DIST OFF TO NKAWKAW SUBSTATION</t>
  </si>
  <si>
    <t xml:space="preserve">  6.556525, -0.780061</t>
  </si>
  <si>
    <t>6.560261, -0.775392</t>
  </si>
  <si>
    <t>ELECSET NETWORK</t>
  </si>
  <si>
    <t>5.98725,-0.087634</t>
  </si>
  <si>
    <t>VOLTIC GHANA LIMITED (ADIESO ROAD)</t>
  </si>
  <si>
    <t>5.820236,-0.378149</t>
  </si>
  <si>
    <t>5.704165°, -0.300260°</t>
  </si>
  <si>
    <t>NPRA (KOFORIDUA)</t>
  </si>
  <si>
    <t>6.078536, -0.269683</t>
  </si>
  <si>
    <t>ABSA NEW ABRIEM</t>
  </si>
  <si>
    <t>6.343878, -0.997808</t>
  </si>
  <si>
    <t>AKROPONG KWAYISIBEA HOTEL</t>
  </si>
  <si>
    <t>5.949549 -0.102871</t>
  </si>
  <si>
    <t>FREEDOTEL</t>
  </si>
  <si>
    <t>5.9006934,-0.1499885</t>
  </si>
  <si>
    <t>HENRY AMANKWAH</t>
  </si>
  <si>
    <t xml:space="preserve">  5.823353 -0.185328</t>
  </si>
  <si>
    <t>Koforidua Senior High/Tech</t>
  </si>
  <si>
    <t>6.076758, -0.259322</t>
  </si>
  <si>
    <t>AKUSE ROYAL LODGE</t>
  </si>
  <si>
    <t xml:space="preserve">  6.219519  0.089220</t>
  </si>
  <si>
    <t>ST. MARGARET MARY SNR.HIGH/TECH</t>
  </si>
  <si>
    <t xml:space="preserve">  5.560057, -0.269484</t>
  </si>
  <si>
    <t>ABLEKUMA CENTRAL MUNICIPAL</t>
  </si>
  <si>
    <t>5.553431,-0.240433</t>
  </si>
  <si>
    <t>ABLEKUMA NORTH MUNICIPAL</t>
  </si>
  <si>
    <t>5.58389,-0.2575</t>
  </si>
  <si>
    <t>5.563083, -0.299931</t>
  </si>
  <si>
    <t>ABLEKUMA WEST MUNICIPAL</t>
  </si>
  <si>
    <t>5.52762,-0.26354</t>
  </si>
  <si>
    <t>CIB</t>
  </si>
  <si>
    <t>5.561391,-0.192571</t>
  </si>
  <si>
    <t>DODOWA BRANCH LIBRARY</t>
  </si>
  <si>
    <t>5.881808,-0.102924</t>
  </si>
  <si>
    <t>HOLY TRINITY SENIOR HIGH</t>
  </si>
  <si>
    <t>5.541485,-0.205453</t>
  </si>
  <si>
    <t>5.556972, -0.207592</t>
  </si>
  <si>
    <t>IWMI</t>
  </si>
  <si>
    <t>5.597939,-0.18666</t>
  </si>
  <si>
    <t>IZONE</t>
  </si>
  <si>
    <t>5.573419,-0.169116</t>
  </si>
  <si>
    <t>MAINONE CLS</t>
  </si>
  <si>
    <t>5.58569,-0.090461</t>
  </si>
  <si>
    <t>5°35'59.88"N  0° 5'28.26"W</t>
  </si>
  <si>
    <t>NJOY HOTEL</t>
  </si>
  <si>
    <t>5.622171,-0.061958</t>
  </si>
  <si>
    <t>5.614283, -0.089064</t>
  </si>
  <si>
    <t>ROHI CHURCH</t>
  </si>
  <si>
    <t>5.722239,-0.041456</t>
  </si>
  <si>
    <t>SALVATION ARMY</t>
  </si>
  <si>
    <t>5.56669,-0.184772</t>
  </si>
  <si>
    <t>STAR STEEL</t>
  </si>
  <si>
    <t>5.744674,0.093017</t>
  </si>
  <si>
    <t>5.757569, 0.083992</t>
  </si>
  <si>
    <t>ADA EAST DISTRICT</t>
  </si>
  <si>
    <t>5.78417,0.63154</t>
  </si>
  <si>
    <t>5.824831, 0.619369</t>
  </si>
  <si>
    <t>ADA SENIOR HIGH</t>
  </si>
  <si>
    <t>5.802585,0.614658</t>
  </si>
  <si>
    <t>ADA SENIOR HIGH/TECHNICAL</t>
  </si>
  <si>
    <t>5.876376,0.365762</t>
  </si>
  <si>
    <t>ADA TECHNICAL INSTITUTE</t>
  </si>
  <si>
    <t>5.86369,0.59684</t>
  </si>
  <si>
    <t>ADENTAN MUNICIPAL</t>
  </si>
  <si>
    <t>5.69296,-0.16797</t>
  </si>
  <si>
    <t>5.677436, -0.167211</t>
  </si>
  <si>
    <t>HERBALIFE</t>
  </si>
  <si>
    <t>5.60204,-0.176057</t>
  </si>
  <si>
    <t>AYAWASO NORTH MUNICIPAL</t>
  </si>
  <si>
    <t>5.5911,-0.206127</t>
  </si>
  <si>
    <t>5.571389, -0.209692</t>
  </si>
  <si>
    <t>AYAWASO WEST MUNICIPAL</t>
  </si>
  <si>
    <t>5.612584,-0.221054</t>
  </si>
  <si>
    <t>5.622542, -0.186942</t>
  </si>
  <si>
    <t>WESLEY GRAMMAR SENIOR HIGH</t>
  </si>
  <si>
    <t>5.570264,-0.260421</t>
  </si>
  <si>
    <t>ACCRA TECH. TRG. CENTRE</t>
  </si>
  <si>
    <t>5.574279,-0.208871</t>
  </si>
  <si>
    <t>KPONE COMM. SENIOR HIGH</t>
  </si>
  <si>
    <t>5.71626,0.04366</t>
  </si>
  <si>
    <t>5.693233, 0.006872</t>
  </si>
  <si>
    <t>KPONE KATAMANSO MUNICIPAL</t>
  </si>
  <si>
    <t>5.702909,0.046066</t>
  </si>
  <si>
    <t>OKAIKWEI NORTH MUNICIPAL</t>
  </si>
  <si>
    <t>5.600428,-0.230919</t>
  </si>
  <si>
    <t>NGLESHIE AMANFROM SENIOR HIGH</t>
  </si>
  <si>
    <t>5.544433,-0.407234</t>
  </si>
  <si>
    <t>KORLE KLOTTEY MUNICIPAL</t>
  </si>
  <si>
    <t>5.55522,-0.18422</t>
  </si>
  <si>
    <t>CHRISTIAN METHODIST SENIOR HIGH</t>
  </si>
  <si>
    <t>5.544789,-0.331907</t>
  </si>
  <si>
    <t>GA SOUTH MUNICIPAL</t>
  </si>
  <si>
    <t>5.548853,-0.352284</t>
  </si>
  <si>
    <t>WEIJA GBAWE MUNICIPAL</t>
  </si>
  <si>
    <t>5.557807,-0.303341</t>
  </si>
  <si>
    <t>AIRPORT CHILDREN'S LIBRARY</t>
  </si>
  <si>
    <t>5.599483,-0.187815</t>
  </si>
  <si>
    <t>B5 PLUS PRAMPRAM</t>
  </si>
  <si>
    <t>5.79712,0.14677</t>
  </si>
  <si>
    <t>NINGO PRAMPRAM DISTRICT</t>
  </si>
  <si>
    <t xml:space="preserve"> 5.757077,  0.081953</t>
  </si>
  <si>
    <t>PRAMPRAM SENIOR HIGH</t>
  </si>
  <si>
    <t>5.74426,0.10693</t>
  </si>
  <si>
    <t>ADA COLLEGE OF EDUCATION</t>
  </si>
  <si>
    <t>5.780607,0.619977</t>
  </si>
  <si>
    <t>ADA WEST DISTRICT</t>
  </si>
  <si>
    <t>5.87921,0.361316</t>
  </si>
  <si>
    <t>B5 PLUS TEMA</t>
  </si>
  <si>
    <t>5.712236,0.018037</t>
  </si>
  <si>
    <t>OUR LADY OF MERCY SENIOR HIGH</t>
  </si>
  <si>
    <t>5.65023,-0.00832</t>
  </si>
  <si>
    <t>PRESBY SENIOR HIGH, TEMA</t>
  </si>
  <si>
    <t>5.663519,-0.030609</t>
  </si>
  <si>
    <t>TEMA BRANCH LIBRARY</t>
  </si>
  <si>
    <t>5.642297,-0.011072</t>
  </si>
  <si>
    <t>TEMA METROPOLITAN</t>
  </si>
  <si>
    <t>5.668922,-0.013123</t>
  </si>
  <si>
    <t>TEMA SENIOR HIGH</t>
  </si>
  <si>
    <t>5.63996,-0.01223</t>
  </si>
  <si>
    <t>TEMA TECH. INST.</t>
  </si>
  <si>
    <t>5.665567,-0.004895</t>
  </si>
  <si>
    <t>TEMA WEST MUNICIPAL</t>
  </si>
  <si>
    <t>5.63005,-0.01127</t>
  </si>
  <si>
    <t>TESHIE BRANCH LIBRARY</t>
  </si>
  <si>
    <t>5.57542,-0.110201</t>
  </si>
  <si>
    <t>GS PLAZA</t>
  </si>
  <si>
    <t>5.627341,-0.18067</t>
  </si>
  <si>
    <t>TANINK</t>
  </si>
  <si>
    <t>5.677882,-0.032809</t>
  </si>
  <si>
    <t>POLYTEX</t>
  </si>
  <si>
    <t>5.578796,-0.223986</t>
  </si>
  <si>
    <t>ORICA</t>
  </si>
  <si>
    <t>5.618368,-0.187351</t>
  </si>
  <si>
    <t>KOFI AGYAPONG</t>
  </si>
  <si>
    <t>5.767243,-0.134365</t>
  </si>
  <si>
    <t>ERIC ANSAH AWUAH</t>
  </si>
  <si>
    <t>5.770474,-0.127179</t>
  </si>
  <si>
    <t>SOLOMON AWUDU</t>
  </si>
  <si>
    <t>5.769626,-0.121244</t>
  </si>
  <si>
    <t>EDEM ASIGBI</t>
  </si>
  <si>
    <t>5.60909,-0.138305</t>
  </si>
  <si>
    <t>KWAME ANTWI</t>
  </si>
  <si>
    <t>5.766561,-0.132572</t>
  </si>
  <si>
    <t>JICA</t>
  </si>
  <si>
    <t>5.615208, -0.176611</t>
  </si>
  <si>
    <t xml:space="preserve">BELFAST OSU </t>
  </si>
  <si>
    <t>5.566356,-0.181406</t>
  </si>
  <si>
    <t>BERNARD K PI-BANSA</t>
  </si>
  <si>
    <t>5.726525, -0.003625</t>
  </si>
  <si>
    <t xml:space="preserve">SANCFIS TESANO - NSIA </t>
  </si>
  <si>
    <t>5.594737, -0.233271</t>
  </si>
  <si>
    <t>MINAH SHAH  GLO</t>
  </si>
  <si>
    <t>5.616411, -0.190261</t>
  </si>
  <si>
    <t xml:space="preserve">ADU ASANTE </t>
  </si>
  <si>
    <t>5.775203, -0.176775</t>
  </si>
  <si>
    <t>DZORWULU EARL BEAM BUILDING</t>
  </si>
  <si>
    <t>5.615788, -0.195239</t>
  </si>
  <si>
    <t>AFRIAM NETWORKS</t>
  </si>
  <si>
    <t>5.556856, -0.171039</t>
  </si>
  <si>
    <t>PROPERTY DATA BANK (NOW OMNIBSIC)</t>
  </si>
  <si>
    <t>5.728456,-0.134895</t>
  </si>
  <si>
    <t>SKYFOX</t>
  </si>
  <si>
    <t xml:space="preserve">  5.570576, -0.200787</t>
  </si>
  <si>
    <t>COMPU GHANA SPINTEX</t>
  </si>
  <si>
    <t>5.636444,-0.13038</t>
  </si>
  <si>
    <t>ISAG</t>
  </si>
  <si>
    <t>CONSHIP</t>
  </si>
  <si>
    <t>5.629322,-0.000042</t>
  </si>
  <si>
    <t>AMBERRY SUITES</t>
  </si>
  <si>
    <t xml:space="preserve"> 5.654753, -0.155909</t>
  </si>
  <si>
    <t>OFORI AMANFO</t>
  </si>
  <si>
    <t>5.770152,-0.128006</t>
  </si>
  <si>
    <t>SAMUEL DANQUAH</t>
  </si>
  <si>
    <t>5.770879,-0.123481</t>
  </si>
  <si>
    <t>DZATA CEMENT</t>
  </si>
  <si>
    <t>5.620935,-0.016607</t>
  </si>
  <si>
    <t>TEMA FUEL COMPANY</t>
  </si>
  <si>
    <t>5.670198,0.016005</t>
  </si>
  <si>
    <t>DANISH EMBASSY</t>
  </si>
  <si>
    <t>5.570943,-0.197115</t>
  </si>
  <si>
    <t>ERASMUS</t>
  </si>
  <si>
    <t>5.666985,-0.077785</t>
  </si>
  <si>
    <t>5.531133,-0.377462</t>
  </si>
  <si>
    <t>5.629224,-0.146505</t>
  </si>
  <si>
    <t>CROSSBY OSEI TUTU</t>
  </si>
  <si>
    <t>5.767085, -0.127204</t>
  </si>
  <si>
    <t>FLORENCE RESIDENCE</t>
  </si>
  <si>
    <t>5.568732,-0.209744</t>
  </si>
  <si>
    <t>BTS-OYARIFA 1</t>
  </si>
  <si>
    <t>5.776574, -0.178702</t>
  </si>
  <si>
    <t>BTS-OYARIFA 2</t>
  </si>
  <si>
    <t xml:space="preserve"> 5.776272, -0.178619</t>
  </si>
  <si>
    <t>BTS-OYARIFA 3</t>
  </si>
  <si>
    <t>5.776250, -0.178578</t>
  </si>
  <si>
    <t>BTS-OYARIFA 4</t>
  </si>
  <si>
    <t>5.776514, -0.178694</t>
  </si>
  <si>
    <t>BTS-OYARIFA 5</t>
  </si>
  <si>
    <t>5.777669, -0.180525</t>
  </si>
  <si>
    <t>BTS-OYARIFA 6</t>
  </si>
  <si>
    <t>5.774611, -0.179164</t>
  </si>
  <si>
    <t>SOCCABET POKUASE</t>
  </si>
  <si>
    <t>5.691656, -0.283931</t>
  </si>
  <si>
    <t>CPC</t>
  </si>
  <si>
    <t>5.654569,  0.004859</t>
  </si>
  <si>
    <t>ACCRA TECHNICAL UNIVERSITY - ACCRA</t>
  </si>
  <si>
    <t xml:space="preserve"> 5.554224, -0.205965</t>
  </si>
  <si>
    <t>ATJLF</t>
  </si>
  <si>
    <t>5.646835, -0.144849</t>
  </si>
  <si>
    <t>BAJ FREIGHT</t>
  </si>
  <si>
    <t xml:space="preserve"> 5.622039, -0.021410</t>
  </si>
  <si>
    <t>CIRRUS OIL</t>
  </si>
  <si>
    <t xml:space="preserve"> 5.619792, -0.179780</t>
  </si>
  <si>
    <t xml:space="preserve">DESIGN AND TECHNOLOGY INSTITUTE </t>
  </si>
  <si>
    <t xml:space="preserve"> 5.653073, -0.163319</t>
  </si>
  <si>
    <t>DESIGN AND TECHNOLOGY INSTITUTE (HOSTEL)</t>
  </si>
  <si>
    <t xml:space="preserve">  5.657517, -0.157442</t>
  </si>
  <si>
    <t>EARL BEAM REALITY</t>
  </si>
  <si>
    <t xml:space="preserve"> 5.615788, -0.195239</t>
  </si>
  <si>
    <t>EARL HIEGHTS SUITES (DZORWULU)</t>
  </si>
  <si>
    <t xml:space="preserve"> 5.617114, -0.192578</t>
  </si>
  <si>
    <t>ELDARK ENGINEERING GHANA LTD FTTH- WEIJA</t>
  </si>
  <si>
    <t>5.558175, -0.293317</t>
  </si>
  <si>
    <t>ELDARK ENGINEERING GHANA LTD FTTH -AIRPORT</t>
  </si>
  <si>
    <t>5.596672, -0.176133</t>
  </si>
  <si>
    <t>FAIRWAY WAREHOUSE MANET</t>
  </si>
  <si>
    <t>5.640315, -0.166504</t>
  </si>
  <si>
    <t>FAIRWAY SPINTEX</t>
  </si>
  <si>
    <t>5.633291 -0.133552</t>
  </si>
  <si>
    <t>ETIX</t>
  </si>
  <si>
    <t>5.766104, -0.110246</t>
  </si>
  <si>
    <t>GHANA INSTITUE OF JOURNALISM, ACCRA (GIJ)</t>
  </si>
  <si>
    <t>5.622553,-0.186945</t>
  </si>
  <si>
    <t>GIJ RECTOR</t>
  </si>
  <si>
    <t>5.656033, -0.131947</t>
  </si>
  <si>
    <t>GLO TEMA</t>
  </si>
  <si>
    <t xml:space="preserve">  5.627942, -0.148609</t>
  </si>
  <si>
    <t>GLOBACOM</t>
  </si>
  <si>
    <t>5.627942, -0.148609</t>
  </si>
  <si>
    <t>ICU, KOKOMLEMLE</t>
  </si>
  <si>
    <t>5.574216, -0.207447</t>
  </si>
  <si>
    <t>KORLE-BU  LAST MILE</t>
  </si>
  <si>
    <t xml:space="preserve"> 5.538741, -0.225540</t>
  </si>
  <si>
    <t>KWABENA RESIDENCE</t>
  </si>
  <si>
    <t>5.570536, -0.286960</t>
  </si>
  <si>
    <t>LAMBODRA</t>
  </si>
  <si>
    <t>5.637355, -0.104591</t>
  </si>
  <si>
    <t>LEGACY GIRLS</t>
  </si>
  <si>
    <t>6.097144,  0.064469</t>
  </si>
  <si>
    <t>5.623504 -0.264645</t>
  </si>
  <si>
    <t>METRO MASS</t>
  </si>
  <si>
    <t>5.564321, -0.231188</t>
  </si>
  <si>
    <t>NABPTEX</t>
  </si>
  <si>
    <t>NAFTI</t>
  </si>
  <si>
    <t>5.584064, -0.163429</t>
  </si>
  <si>
    <t>NITA/GIJ</t>
  </si>
  <si>
    <t>5.559317, -0.192472</t>
  </si>
  <si>
    <t>5.562789, -0.190889</t>
  </si>
  <si>
    <t>PROJECT OFFICE</t>
  </si>
  <si>
    <t xml:space="preserve"> 5.567040, -0.220183</t>
  </si>
  <si>
    <t>5.579717, -0.221336</t>
  </si>
  <si>
    <t>PROMASIDOR FTTH</t>
  </si>
  <si>
    <t>6.667356 -1.607507</t>
  </si>
  <si>
    <t>QUERIDA</t>
  </si>
  <si>
    <t>5.639179, -0.152983</t>
  </si>
  <si>
    <t>RADFORD UNIVERSITY</t>
  </si>
  <si>
    <t>5.637938,-0.171548</t>
  </si>
  <si>
    <t>RAINCOAT</t>
  </si>
  <si>
    <t xml:space="preserve"> 5.586053, -0.228667</t>
  </si>
  <si>
    <t xml:space="preserve">5.571389, -0.209692 </t>
  </si>
  <si>
    <t xml:space="preserve">REPUBLIC BANK </t>
  </si>
  <si>
    <t>5.569226,-0.193896</t>
  </si>
  <si>
    <t>REV. QUARSHIE RESIDENCE</t>
  </si>
  <si>
    <t xml:space="preserve">  5.669551, -0.170476</t>
  </si>
  <si>
    <t>SENTOPIA FTTH</t>
  </si>
  <si>
    <t>5.560372, -0.182539</t>
  </si>
  <si>
    <t xml:space="preserve">SYNCLINE SITE </t>
  </si>
  <si>
    <t>5.629472, -0.089703</t>
  </si>
  <si>
    <t>TANINK, KANDA</t>
  </si>
  <si>
    <t>5.677882, -0.032809</t>
  </si>
  <si>
    <t>TRACTAFRIC</t>
  </si>
  <si>
    <t>5.626212, -0.163303</t>
  </si>
  <si>
    <t>UNIVERSAL ENGINEERING SHOWROOM</t>
  </si>
  <si>
    <t xml:space="preserve"> 5.629307, -0.089296</t>
  </si>
  <si>
    <t>ACHIMOTA SCHOOL</t>
  </si>
  <si>
    <t>5.629415, -0.213175</t>
  </si>
  <si>
    <t>GHANA INSTITUTE OF  MANAGEMENT AND PUBLIC ADMINISTRATION (GIMPA)</t>
  </si>
  <si>
    <t xml:space="preserve"> 5.634966, -0.201269</t>
  </si>
  <si>
    <t>5.639872, -0.207156</t>
  </si>
  <si>
    <t>GHANA INSTITUE OF LANGUAGES, ACCRA (GIL)  ADABRAKA</t>
  </si>
  <si>
    <t xml:space="preserve">  5.556961, -0.207931</t>
  </si>
  <si>
    <t>CASABELA</t>
  </si>
  <si>
    <t>5.604395, -0.188644</t>
  </si>
  <si>
    <t>MR GRANDOLF</t>
  </si>
  <si>
    <t>5.599878, -0.180971</t>
  </si>
  <si>
    <t>AMASAMAN SENIOR HIGH</t>
  </si>
  <si>
    <t>5.690403, -0.292748</t>
  </si>
  <si>
    <t>AYAWASO CENTRAL MUNICIPAL</t>
  </si>
  <si>
    <t>5.690399, -0.292732</t>
  </si>
  <si>
    <t>ST. THOMAS AQUINAS SENIOR HIGH, CANTOMENTS</t>
  </si>
  <si>
    <t xml:space="preserve"> 5.573423, -0.178365</t>
  </si>
  <si>
    <t>GHANATA SENIOR HIGH</t>
  </si>
  <si>
    <t xml:space="preserve">  5.891104, -0.099361</t>
  </si>
  <si>
    <t xml:space="preserve">DZORWULU GPON </t>
  </si>
  <si>
    <t>5.614384, -0.190764</t>
  </si>
  <si>
    <t>FAFRAHA COMM. HIGH SCHOOL</t>
  </si>
  <si>
    <t>5.716944,-0.1605</t>
  </si>
  <si>
    <t>KANESHIE ABOSSEY OKAI GPON</t>
  </si>
  <si>
    <t xml:space="preserve"> 5.564220, -0.244912</t>
  </si>
  <si>
    <t>KROWOR MUNICIPAL</t>
  </si>
  <si>
    <t>5.607723, -0.086434</t>
  </si>
  <si>
    <t>KWABENYA COMM SENIOR HIGH</t>
  </si>
  <si>
    <t>5.666484, -0.236200</t>
  </si>
  <si>
    <t>WARA CLINIC</t>
  </si>
  <si>
    <t>5.570365, -0.166844</t>
  </si>
  <si>
    <t>PRESBY BOYS SENIOR HIGH, LEGON</t>
  </si>
  <si>
    <t>5.662462,-0.176124</t>
  </si>
  <si>
    <t>UNIVERSITY OF GHANA, LEGON (UG)</t>
  </si>
  <si>
    <t>5.650370, -0.186080</t>
  </si>
  <si>
    <t>UNIVERSITY OF PROFESSIONAL STUDIES ACCRA  (UPSA)</t>
  </si>
  <si>
    <t>5.661872, -0.165458</t>
  </si>
  <si>
    <t>PRESBY SENIOR HIGH, OSU</t>
  </si>
  <si>
    <t>5.555478,-0.18611</t>
  </si>
  <si>
    <t>REGIONAL MARITIME UNIVERSITY, ACCRA (RMU)</t>
  </si>
  <si>
    <t>5.608036, -0.063383</t>
  </si>
  <si>
    <t>DANSOMAN BRANCH LIBRARY</t>
  </si>
  <si>
    <t>5.558068,-0.271044</t>
  </si>
  <si>
    <t>FRAFRAHA BRANCH LIBRARY</t>
  </si>
  <si>
    <t>5.729740, -0.161700</t>
  </si>
  <si>
    <t>GEORGE PADMORE  LIBRARY</t>
  </si>
  <si>
    <t>GREATER ACCRA LIBRARY</t>
  </si>
  <si>
    <t>5.544904, -0.205493</t>
  </si>
  <si>
    <t>LATERBIOKOSHIE LIBRARY</t>
  </si>
  <si>
    <t>5.547127, -0.241804</t>
  </si>
  <si>
    <t>OSU CHILDREN'S LIBRARY</t>
  </si>
  <si>
    <t>5.553605, -0.176946</t>
  </si>
  <si>
    <t>ASHAIMAN SENOIR HIGH</t>
  </si>
  <si>
    <t xml:space="preserve">  5.696256, -0.018528</t>
  </si>
  <si>
    <t>NINGO SNR HIGH SCHOOL</t>
  </si>
  <si>
    <t>5.775350,  0.202730</t>
  </si>
  <si>
    <t>TEMA METH. DAY SENIOR HIGH</t>
  </si>
  <si>
    <t xml:space="preserve">  5.670421, -0.020572</t>
  </si>
  <si>
    <t>CASTLE BUILDERS    ( AIRPORT  ACCRA)</t>
  </si>
  <si>
    <t>5.613321,-0.1797</t>
  </si>
  <si>
    <t>SIDALCO COMPANY LIMITED   (TEMA OFF THE MOTORWAY)</t>
  </si>
  <si>
    <t xml:space="preserve">  5.639703, -0.129800</t>
  </si>
  <si>
    <t>UNIVERSAL ENG. ANNEX</t>
  </si>
  <si>
    <t xml:space="preserve">  5.629307, -0.089296</t>
  </si>
  <si>
    <t xml:space="preserve">EMIGO </t>
  </si>
  <si>
    <t xml:space="preserve">  5.712497, -0.196396</t>
  </si>
  <si>
    <t>POMONA OSU</t>
  </si>
  <si>
    <t>5.566913,-0.181758</t>
  </si>
  <si>
    <t>BAJ FREIHGT</t>
  </si>
  <si>
    <t>5.622039, -0.021410</t>
  </si>
  <si>
    <t>VERHAD TRANSPORT  (SANYO ROAD TEMA)</t>
  </si>
  <si>
    <t xml:space="preserve">  5.655428,  0.003677</t>
  </si>
  <si>
    <t>HAYDAR</t>
  </si>
  <si>
    <t xml:space="preserve"> 5.611441, -0.202381</t>
  </si>
  <si>
    <t>ANOWAH AFRIQUE   FREE ZONE</t>
  </si>
  <si>
    <t>5.692176,0.016193</t>
  </si>
  <si>
    <t>NUNGUA WAREHOUSE</t>
  </si>
  <si>
    <t>5.628605 -0.082553</t>
  </si>
  <si>
    <t>MR HAMMA'S RESIDENCE  (EAST AIRPORT  ACCRA)</t>
  </si>
  <si>
    <t>536'38.44"N 0 8'23.07"W</t>
  </si>
  <si>
    <t>MR. PHILIPS</t>
  </si>
  <si>
    <t>5.580155, -0.159270</t>
  </si>
  <si>
    <t>BISTRO22   - LABONE</t>
  </si>
  <si>
    <t>5.5716236, -0.1690995</t>
  </si>
  <si>
    <t>OAK VILLA</t>
  </si>
  <si>
    <t xml:space="preserve"> 5.739961, -0.200688</t>
  </si>
  <si>
    <t>SETHI BROTHERS</t>
  </si>
  <si>
    <t>5.690303, -0.004653</t>
  </si>
  <si>
    <t>DOLPHIN  KPESHIE</t>
  </si>
  <si>
    <t>5.541899, -0.203454</t>
  </si>
  <si>
    <t>GCB HQ ACCRA</t>
  </si>
  <si>
    <t>5.543638, -0.205357</t>
  </si>
  <si>
    <t>EFANEST HAATSO</t>
  </si>
  <si>
    <t xml:space="preserve">5.667911,  -0.193037     </t>
  </si>
  <si>
    <t>EFANEST AIRPORT</t>
  </si>
  <si>
    <t>5.604194, -0.184297</t>
  </si>
  <si>
    <t>REINFRED</t>
  </si>
  <si>
    <t>5.620375, -0.119986</t>
  </si>
  <si>
    <t>HILLS FERTILITY RESIDENCE</t>
  </si>
  <si>
    <t>5.543411, -0.360528</t>
  </si>
  <si>
    <t>GLOBACOM TEMA</t>
  </si>
  <si>
    <t>5.627942,-0.148609</t>
  </si>
  <si>
    <t>RISING SUN CEO RESIDENCE</t>
  </si>
  <si>
    <t xml:space="preserve">  5.540909, -0.351308</t>
  </si>
  <si>
    <t>MURSEL TEPE  LABONE</t>
  </si>
  <si>
    <t xml:space="preserve">  5.572285, -0.165804</t>
  </si>
  <si>
    <t>AHEP  DZORWULU</t>
  </si>
  <si>
    <t>5.611306, -0.204083</t>
  </si>
  <si>
    <t>PANDA  INVESTMENT  FTTH</t>
  </si>
  <si>
    <t>5.561240, -0.153425</t>
  </si>
  <si>
    <t>SULEYMANE  FTTH   DZORWULU</t>
  </si>
  <si>
    <t>5.610758, -0.199561</t>
  </si>
  <si>
    <t>AHMED DIALLO</t>
  </si>
  <si>
    <t>5.613772, -0.199806</t>
  </si>
  <si>
    <t>ADONAI  MINISTRIES   TEMA</t>
  </si>
  <si>
    <t xml:space="preserve">  5.574103, -0.145123</t>
  </si>
  <si>
    <t>LA VILLA BOUTIQUE  HOTEL  OSU</t>
  </si>
  <si>
    <t xml:space="preserve">  5.567424, -0.183486</t>
  </si>
  <si>
    <t>BURO  FTTH  OSU</t>
  </si>
  <si>
    <t>5.560943, -0.171755</t>
  </si>
  <si>
    <t>PIXEL STUDIO  MEMPASEM TOWNSHIP ACCRA  FTTH</t>
  </si>
  <si>
    <t>5.650378, -0.164272</t>
  </si>
  <si>
    <t>LAMBODRA    EAST AIRPORT</t>
  </si>
  <si>
    <t>5.599736, -0.180578</t>
  </si>
  <si>
    <t xml:space="preserve">LAMBODRA  GCM  </t>
  </si>
  <si>
    <t xml:space="preserve"> 5.566341, -0.202702</t>
  </si>
  <si>
    <t>AGS WORLDWIDE MOVERS  SPINTEX COCA-COLA</t>
  </si>
  <si>
    <t>5.645052,-0.11137</t>
  </si>
  <si>
    <t xml:space="preserve">ZONDA TECH LTD  OPP TEMA TT BROTHERS </t>
  </si>
  <si>
    <t>5.687316,-0.013172</t>
  </si>
  <si>
    <t>POLYPEX TEMA FREE ZONE</t>
  </si>
  <si>
    <t>5.688464, 0.019575</t>
  </si>
  <si>
    <t>EFUI TAMAKLOE  TSE-ADDO</t>
  </si>
  <si>
    <t>5.610900, -0.137464</t>
  </si>
  <si>
    <t>PEREZ CHAPEL INTERNATIONAL  DZORWULU</t>
  </si>
  <si>
    <t>5.606711,-0.208520</t>
  </si>
  <si>
    <t>GOIL ZONAL OFFICE</t>
  </si>
  <si>
    <t>5.557894, -0.225750</t>
  </si>
  <si>
    <t>CEPHAS  KONADU</t>
  </si>
  <si>
    <t>5.610058, -0.137733</t>
  </si>
  <si>
    <t>BENJAMINA  AIRPORT ACCRA</t>
  </si>
  <si>
    <t xml:space="preserve">  5.612352, -0.180797</t>
  </si>
  <si>
    <t>AMANFROM  SOCCABET</t>
  </si>
  <si>
    <t xml:space="preserve">  5.536011, -0.412667</t>
  </si>
  <si>
    <t>MAYBECK SERVICE  SPINTEX</t>
  </si>
  <si>
    <t>5.627311, -0.087317</t>
  </si>
  <si>
    <t>AYAWASO WEST MUNICIPAL  NEW SITE</t>
  </si>
  <si>
    <t>5.603844, -0.189528</t>
  </si>
  <si>
    <t>THE CREST GYM  TESHIE</t>
  </si>
  <si>
    <t>5.573201,-0.141724</t>
  </si>
  <si>
    <t>RANA MOTORS  SITE 1  TEMA</t>
  </si>
  <si>
    <t xml:space="preserve"> 5.658464, -0.002621</t>
  </si>
  <si>
    <t>RANA MOTORS- HQ, GRAPHIC ROAD</t>
  </si>
  <si>
    <t xml:space="preserve">  5.558135, -0.225220</t>
  </si>
  <si>
    <t>KWABENA AMEYAW-BADU</t>
  </si>
  <si>
    <t xml:space="preserve">  5.570536, -0.286960</t>
  </si>
  <si>
    <t xml:space="preserve">SIM GHANA  ACCRA </t>
  </si>
  <si>
    <t>5.604591,-0.203726</t>
  </si>
  <si>
    <t xml:space="preserve">HONEY SUCKLE </t>
  </si>
  <si>
    <t xml:space="preserve">  5.573915, -0.172767</t>
  </si>
  <si>
    <t>DD- NUNGUA</t>
  </si>
  <si>
    <t>5.596233, -0.085941</t>
  </si>
  <si>
    <t>STREAM STREET  EAST LEGON</t>
  </si>
  <si>
    <t>5.654944, -0.163236</t>
  </si>
  <si>
    <t>NET CLICK BROADBAND   CLOUDONE BAWALASHIE</t>
  </si>
  <si>
    <t>5.643072, -0.167036</t>
  </si>
  <si>
    <t>GCB TOWERS  NKRUMAH CIRCLE</t>
  </si>
  <si>
    <t>5.568194, -0.215511</t>
  </si>
  <si>
    <t>BELIEVERS HOUSE OF WORSHIP  SPINTEX</t>
  </si>
  <si>
    <t xml:space="preserve">  5.626123, -0.112686</t>
  </si>
  <si>
    <t>EDWIN  FTTH AMRAHIA</t>
  </si>
  <si>
    <t>5.770716,-0.129713</t>
  </si>
  <si>
    <t xml:space="preserve">  5.571430, -0.169518</t>
  </si>
  <si>
    <t>LAMBODRA XO TRADING SPINTEX</t>
  </si>
  <si>
    <t xml:space="preserve">  5.637355, -0.104591</t>
  </si>
  <si>
    <t>TUC  ADABRAKA</t>
  </si>
  <si>
    <t>5.555481, -0.204694</t>
  </si>
  <si>
    <t xml:space="preserve"> 5.630997, -0.167450</t>
  </si>
  <si>
    <t xml:space="preserve">HMD </t>
  </si>
  <si>
    <t>5.728347, 0.023756</t>
  </si>
  <si>
    <t>SAMUEL OFORI ATEFUA  AMRAHIA</t>
  </si>
  <si>
    <t>5.689009, -0.231136</t>
  </si>
  <si>
    <t>EVA MINTAH</t>
  </si>
  <si>
    <t>5.767198, -0.128886,</t>
  </si>
  <si>
    <t xml:space="preserve"> 5.801445, -0.127654</t>
  </si>
  <si>
    <t>ABSA ACHIMOTA AND PLC</t>
  </si>
  <si>
    <t>5.632424,-0.237747</t>
  </si>
  <si>
    <t>ABSA ASHIAMAN</t>
  </si>
  <si>
    <t>5.693588, -0.021963</t>
  </si>
  <si>
    <t>ABSA DANSOMAN</t>
  </si>
  <si>
    <t>5.557276,  5.557276</t>
  </si>
  <si>
    <t>ABSA DARKUMAN</t>
  </si>
  <si>
    <t>5.574014, -0.251372</t>
  </si>
  <si>
    <t>ABSA HAATSO</t>
  </si>
  <si>
    <t>5.573323, -0.250187</t>
  </si>
  <si>
    <t>ABSA KANESHIE NORTH INDUSTRIAL AREA (NIA)</t>
  </si>
  <si>
    <t>5.577767, -0.221711</t>
  </si>
  <si>
    <t>ABSA LEGON MAIN BRANCH</t>
  </si>
  <si>
    <t>5.654117,-0.179127</t>
  </si>
  <si>
    <t>ABSA LEGON UNIVERSITY BRANCH/ EXPRESS</t>
  </si>
  <si>
    <t>5.652694, -0.1863097</t>
  </si>
  <si>
    <t>ABSA MADINA</t>
  </si>
  <si>
    <t>5.677979, -0.167605</t>
  </si>
  <si>
    <t>ABSA TEMA MAIN</t>
  </si>
  <si>
    <t>5.646641,-0.000791</t>
  </si>
  <si>
    <t>CLEAVER HOUSE</t>
  </si>
  <si>
    <t xml:space="preserve">  5.558669, -0.204678</t>
  </si>
  <si>
    <t>B5  AGBOGBLOSHIE</t>
  </si>
  <si>
    <t xml:space="preserve">  5.557570, -0.228034</t>
  </si>
  <si>
    <t>B5  KATAMANTO</t>
  </si>
  <si>
    <t xml:space="preserve"> 5.546213, -0.211839</t>
  </si>
  <si>
    <t>MR SANJAY ASTHANA</t>
  </si>
  <si>
    <t>5.600458, -0.182061</t>
  </si>
  <si>
    <t>CANWEST  DZORWULU FTTH</t>
  </si>
  <si>
    <t xml:space="preserve">  5.613031, -0.189796</t>
  </si>
  <si>
    <t>ADJA  PANTANG</t>
  </si>
  <si>
    <t>5.719756, -0.231839</t>
  </si>
  <si>
    <t xml:space="preserve">PASS OSU </t>
  </si>
  <si>
    <t>5.566186, -0.183625</t>
  </si>
  <si>
    <t>OFORIWA  EAST AIRPORT</t>
  </si>
  <si>
    <t>5.628297, -0.141844</t>
  </si>
  <si>
    <t>5.609989, -0.178377</t>
  </si>
  <si>
    <t>MR. SAMUEL NIGEL EGIR-YAW / MR. ROSEMARY EGIR-YAW</t>
  </si>
  <si>
    <t>5.773708, -0.129097</t>
  </si>
  <si>
    <t>SAMUEL AGYEMAN</t>
  </si>
  <si>
    <t>5.769360, -0.133556</t>
  </si>
  <si>
    <t>MAYFAIR ESTATES SLR CONSULTING</t>
  </si>
  <si>
    <t>5.610934, -0.137470</t>
  </si>
  <si>
    <t>FRANCIS SMITH AMRAHIA</t>
  </si>
  <si>
    <t>5.773707, -0.129097</t>
  </si>
  <si>
    <t>KIA AIRPORT</t>
  </si>
  <si>
    <t>5.600503, -0.174142</t>
  </si>
  <si>
    <t>RAANAN FISH FEED PRAMPRAM</t>
  </si>
  <si>
    <t>5.740773,  0.101150</t>
  </si>
  <si>
    <t>SOCIETE GENERAL HQ ACCRA   SG-SSG</t>
  </si>
  <si>
    <t xml:space="preserve">  5.571914, -0.207881</t>
  </si>
  <si>
    <t>NAA OKAI VILLAS  OVERSEAS MD'S RESIDENCE</t>
  </si>
  <si>
    <t>5.598387,-0.188532</t>
  </si>
  <si>
    <t>OPEECLOUD BASE STATION</t>
  </si>
  <si>
    <t>5.622458, -0.117292</t>
  </si>
  <si>
    <t>HARESH RESIDENCE HYATT</t>
  </si>
  <si>
    <t>5.599669 -0.182185</t>
  </si>
  <si>
    <t>GERSON DZANDU</t>
  </si>
  <si>
    <t>5.765310, -0.128976,</t>
  </si>
  <si>
    <t>ZEN GARDEN LABONE</t>
  </si>
  <si>
    <t>5.566590, -0.174577</t>
  </si>
  <si>
    <t>KWESI'S RESIDENCE  LABONE</t>
  </si>
  <si>
    <t>5.566651,-0.174296</t>
  </si>
  <si>
    <t>NANA AMA NKUMIM</t>
  </si>
  <si>
    <t>5.773985, -0.128122,</t>
  </si>
  <si>
    <t xml:space="preserve">NANA KW OPOKU-MENSAH </t>
  </si>
  <si>
    <t>5.772907, -0.127493,</t>
  </si>
  <si>
    <t xml:space="preserve">SG-SSG  AIRPORT  </t>
  </si>
  <si>
    <t>5.602039, -0.176058</t>
  </si>
  <si>
    <t>AKSA ENERGY TEMA</t>
  </si>
  <si>
    <t>5.691336,0.025530</t>
  </si>
  <si>
    <t>JAPAN MOTORS KUMASI</t>
  </si>
  <si>
    <t>6.686423,-1.621675</t>
  </si>
  <si>
    <t>5.605623,-0.249783</t>
  </si>
  <si>
    <t>FARMERLINE T-OFF FROM PEREZ CHAPEL</t>
  </si>
  <si>
    <t>5.6031701, -0.2107737</t>
  </si>
  <si>
    <t>ECOBAND - GVA</t>
  </si>
  <si>
    <t>5.558022, -0.212103</t>
  </si>
  <si>
    <t>BLOOM BAR OSU</t>
  </si>
  <si>
    <t>5.557186, -0.180539</t>
  </si>
  <si>
    <t xml:space="preserve">LAWSON TORNYI POKUASE </t>
  </si>
  <si>
    <t>5.703456, -0.269319</t>
  </si>
  <si>
    <t>PALM OLIVE LE PIERRE OFFICE AIRPORT(COLGATE)</t>
  </si>
  <si>
    <t>5.612850, -0.176583</t>
  </si>
  <si>
    <t>FELIX OZIEGBE</t>
  </si>
  <si>
    <t>5.770475, -0.125636</t>
  </si>
  <si>
    <t xml:space="preserve">SPECTRUM OFFICE </t>
  </si>
  <si>
    <t>5.606395, -0.204942</t>
  </si>
  <si>
    <t>COMPU GHANA OSU</t>
  </si>
  <si>
    <t xml:space="preserve"> 5.560454, -0.182247</t>
  </si>
  <si>
    <t>KWAME TENKRON OYARIFA</t>
  </si>
  <si>
    <t>5.778233, -0.179014</t>
  </si>
  <si>
    <t>SAN_ ERNEST CHEMIST _RIVIERRA EAST LEGON</t>
  </si>
  <si>
    <t>5.638286, -0.143692</t>
  </si>
  <si>
    <t>SAN_ERNEST CHEMIST _TEMA FACTORY</t>
  </si>
  <si>
    <t>5.687703, 0.000550</t>
  </si>
  <si>
    <t>WEIJA FTTH BACKHAUL</t>
  </si>
  <si>
    <t>5.550533, -0.359614</t>
  </si>
  <si>
    <t>5.571947, -0.166806</t>
  </si>
  <si>
    <t>PETER MARFUL  AMRAHIA</t>
  </si>
  <si>
    <t>5.769461, -0.131164</t>
  </si>
  <si>
    <t>GHANA INTERNATIONAL SCHOOL</t>
  </si>
  <si>
    <t>5.580211, -0.177019</t>
  </si>
  <si>
    <t>REMIE GHANA LTD</t>
  </si>
  <si>
    <t>5.634939, -0.151797</t>
  </si>
  <si>
    <t>GHANA RED CROSS</t>
  </si>
  <si>
    <t>5.611235 -0.190015</t>
  </si>
  <si>
    <t>ROYAL SENCHI  ACCRA OFFICE</t>
  </si>
  <si>
    <t>5.613556, -0.180764</t>
  </si>
  <si>
    <t>KINGDOM EXIM DENOVO PLAZA</t>
  </si>
  <si>
    <t>5.661135,-0.017103</t>
  </si>
  <si>
    <t>AYA TOPTECH &amp; FABRICATIONS FTTH</t>
  </si>
  <si>
    <t>5.694061, 0.035022</t>
  </si>
  <si>
    <t>PATRICK OPPONG FTTH</t>
  </si>
  <si>
    <t>5.703639, -0.270169</t>
  </si>
  <si>
    <t>BARCODE</t>
  </si>
  <si>
    <t xml:space="preserve">  5.654753, -0.155909</t>
  </si>
  <si>
    <t>SAVIOUR AGBELETE</t>
  </si>
  <si>
    <t>5.767236,-0.127122</t>
  </si>
  <si>
    <t>CHEEZY PIZZA KASOA</t>
  </si>
  <si>
    <t>5.535778, -0.418633</t>
  </si>
  <si>
    <t>AFRICART  GRAPHIC ROAD KUBER INVESTMENT</t>
  </si>
  <si>
    <t>5.558292, -0.226689</t>
  </si>
  <si>
    <t xml:space="preserve">AYA DATA </t>
  </si>
  <si>
    <t>5.638608, -0.125078</t>
  </si>
  <si>
    <t>GRACE CITADEL CHURCH</t>
  </si>
  <si>
    <t>5.819267,-0.19482</t>
  </si>
  <si>
    <t>STAR STEEL EXTENSION</t>
  </si>
  <si>
    <t>5.744674,  0.093017</t>
  </si>
  <si>
    <t>TANINK GROUP HQ</t>
  </si>
  <si>
    <t xml:space="preserve">  5.677882,-0.032809</t>
  </si>
  <si>
    <t>SOCCABET - MANET</t>
  </si>
  <si>
    <t xml:space="preserve"> 5.637425,-0.126016</t>
  </si>
  <si>
    <t>DOLPHIN NNI</t>
  </si>
  <si>
    <t>5.541900, -0.203453</t>
  </si>
  <si>
    <t>SOCCABET- TSUIE BLEO</t>
  </si>
  <si>
    <t xml:space="preserve"> 5.604171, -0.114765</t>
  </si>
  <si>
    <t>GT BANK HQ</t>
  </si>
  <si>
    <t xml:space="preserve"> 5.559634, -0.198163</t>
  </si>
  <si>
    <t xml:space="preserve">5.556972, -0.207592 </t>
  </si>
  <si>
    <t>TEMA OIL TERMINAL</t>
  </si>
  <si>
    <t>5.689495,0.035325</t>
  </si>
  <si>
    <t>PORTER'S CITY</t>
  </si>
  <si>
    <t>5.743844, 0.089761</t>
  </si>
  <si>
    <t>BLUETOWN BTS- ASHAIMAN</t>
  </si>
  <si>
    <t>5.695591, -0.025771</t>
  </si>
  <si>
    <t>MAINONE CLS SECONDARY</t>
  </si>
  <si>
    <t>5.585689, -0.090461</t>
  </si>
  <si>
    <t>MAINONE DC APOLLONIA INDUSTRIAL PARK</t>
  </si>
  <si>
    <t>5.804056,-0.0913811</t>
  </si>
  <si>
    <t>KWAME DZOKOTO</t>
  </si>
  <si>
    <t xml:space="preserve">  5.761512, -0.138766</t>
  </si>
  <si>
    <t>AFRONATION FOC</t>
  </si>
  <si>
    <t xml:space="preserve">  5.547629, -0.190836</t>
  </si>
  <si>
    <t>5.553419, -0.183219</t>
  </si>
  <si>
    <t>IOM HQ</t>
  </si>
  <si>
    <t>5.611393, -0.183195</t>
  </si>
  <si>
    <t>5.6105442,-0.178849486</t>
  </si>
  <si>
    <t>STARLIFE MERIDIAN</t>
  </si>
  <si>
    <t>5.57321,-0.201918</t>
  </si>
  <si>
    <t>5.57463711,-0.2084593</t>
  </si>
  <si>
    <t>HERITAGE CHRISTIAN COLLEGE</t>
  </si>
  <si>
    <t>5.716062,-0.293307</t>
  </si>
  <si>
    <t>5.71611875,-0.293299</t>
  </si>
  <si>
    <t>WEIJA</t>
  </si>
  <si>
    <t>5.550451,-0.330206</t>
  </si>
  <si>
    <t>5.550294,-0.330884</t>
  </si>
  <si>
    <t>TUBA</t>
  </si>
  <si>
    <t>5.546488,-0.382155</t>
  </si>
  <si>
    <t>5.5484038,-0.3797977</t>
  </si>
  <si>
    <t>LIBERIA CAMP</t>
  </si>
  <si>
    <t>5.52171,-0.477342</t>
  </si>
  <si>
    <t>5.52169721,-0.478358</t>
  </si>
  <si>
    <t>5.513043,-0.512221</t>
  </si>
  <si>
    <t>5.51165798,-0.5157359</t>
  </si>
  <si>
    <t>5.501044,-0.534957</t>
  </si>
  <si>
    <t>5.501087088, -0.533976</t>
  </si>
  <si>
    <t>CROSBY</t>
  </si>
  <si>
    <t>5.768128,-0.325057</t>
  </si>
  <si>
    <t>5.768749660, -0.326053</t>
  </si>
  <si>
    <t>ROMAN RIDGE SCHOOL</t>
  </si>
  <si>
    <t>5.602595,-0.193007</t>
  </si>
  <si>
    <t>5.60258914, -0.19306013</t>
  </si>
  <si>
    <t>MARCEL</t>
  </si>
  <si>
    <t>5.779938,-0.127359</t>
  </si>
  <si>
    <t>5.78000871, -0.1273695</t>
  </si>
  <si>
    <t>SHERIFA</t>
  </si>
  <si>
    <t>5.773737,-0.122609</t>
  </si>
  <si>
    <t>5.77379387,-0.1226019</t>
  </si>
  <si>
    <t>GEORGE WIAFI</t>
  </si>
  <si>
    <t>5.764512,-0.143797</t>
  </si>
  <si>
    <t>5.76453320,-0.14379752</t>
  </si>
  <si>
    <t>CYRUS BAIDOO</t>
  </si>
  <si>
    <t>5.758537,-0.143141</t>
  </si>
  <si>
    <t>5.76144240, -0.142414069</t>
  </si>
  <si>
    <t>SOCCABET NYANYANO</t>
  </si>
  <si>
    <t>5.504712,-0.417662</t>
  </si>
  <si>
    <t>5.50262875,-0.4174514</t>
  </si>
  <si>
    <t>5.757954,0.050933</t>
  </si>
  <si>
    <t>5.76160927,0.05235645</t>
  </si>
  <si>
    <t>3D WIRELESS</t>
  </si>
  <si>
    <t>5.531916,-0.377965</t>
  </si>
  <si>
    <t>5.5319359,-0.3779746</t>
  </si>
  <si>
    <t>VALERA EXIM</t>
  </si>
  <si>
    <t>5.671274,-0.065946</t>
  </si>
  <si>
    <t>5.67134906, -0.066018</t>
  </si>
  <si>
    <t>PINNACLE OSU</t>
  </si>
  <si>
    <t>5.558232,-0.185355</t>
  </si>
  <si>
    <t>5.55829939,-0.18536208</t>
  </si>
  <si>
    <t>OMA 2ND LEG</t>
  </si>
  <si>
    <t>5.655721, -0.000122</t>
  </si>
  <si>
    <t>5.65574829,-0.00011133</t>
  </si>
  <si>
    <t>OMA 1ST LEG</t>
  </si>
  <si>
    <t>5.6557742,-9.8870016</t>
  </si>
  <si>
    <t>LEG 1 (GIJ POP) GODAC HOUSE</t>
  </si>
  <si>
    <t>5.647298,-0.162122</t>
  </si>
  <si>
    <t>5.64735232,-0.1622245</t>
  </si>
  <si>
    <t>LEG 2 (CAN POP)GODAC HOUSE</t>
  </si>
  <si>
    <t xml:space="preserve">  5.647298, -0.162122</t>
  </si>
  <si>
    <t>5.6507323,-0.16297500</t>
  </si>
  <si>
    <t>ESPORTS ACADEMY</t>
  </si>
  <si>
    <t>5.674237,-0.205419</t>
  </si>
  <si>
    <t>5.67046024,-0.2053678</t>
  </si>
  <si>
    <t>5.359187,-1.998185</t>
  </si>
  <si>
    <t>5.366728613,-1.999983</t>
  </si>
  <si>
    <t>AMANDI GUEST HOUSE</t>
  </si>
  <si>
    <t>5.311837,-1.990435</t>
  </si>
  <si>
    <t>5.31127619,-1.9923579</t>
  </si>
  <si>
    <t>AMANDI TARKWA</t>
  </si>
  <si>
    <t xml:space="preserve"> 5.350621, -1.961783</t>
  </si>
  <si>
    <t>5.35518341,-1.9574282</t>
  </si>
  <si>
    <t>AMANDI TARKWA 2</t>
  </si>
  <si>
    <t xml:space="preserve">  5.343241, -1.961976</t>
  </si>
  <si>
    <t>5.34900021,5.34900021</t>
  </si>
  <si>
    <t>CHRISTIANA</t>
  </si>
  <si>
    <t>5.735857,0.015935</t>
  </si>
  <si>
    <t>5.73448479,0.0159709</t>
  </si>
  <si>
    <t>5.666789,-0.131992</t>
  </si>
  <si>
    <t>5.65477645,-0.13149445</t>
  </si>
  <si>
    <t>FTS HQ</t>
  </si>
  <si>
    <t>5.61111,-0.177913</t>
  </si>
  <si>
    <t>5.6105413,-0.1788675</t>
  </si>
  <si>
    <t>MARLIN HOTEL</t>
  </si>
  <si>
    <t>5.442465,-0.446604</t>
  </si>
  <si>
    <t>5.53565756,-0.41839145</t>
  </si>
  <si>
    <t>INZAG NETX</t>
  </si>
  <si>
    <t>5.841838,0.022683</t>
  </si>
  <si>
    <t>5.84099603,0.02708176</t>
  </si>
  <si>
    <t>GPHA- AFRIX-SECOND LEG</t>
  </si>
  <si>
    <t xml:space="preserve">  5.634952,  0.004479</t>
  </si>
  <si>
    <t>5.63824564,-0.0013386</t>
  </si>
  <si>
    <t>GPHA- AFRIX-SECOND LEG THRUST BORING</t>
  </si>
  <si>
    <t>5.63491195,0.00458484</t>
  </si>
  <si>
    <t>GCB AKWAPIM MAMPONG</t>
  </si>
  <si>
    <t>5.915346,-0.138802</t>
  </si>
  <si>
    <t>5.87329868,-0.157805545</t>
  </si>
  <si>
    <t>PAPA'S PIZZA ROUTE</t>
  </si>
  <si>
    <t xml:space="preserve">  5.681231, -0.193135</t>
  </si>
  <si>
    <t>5.6674539,-0.204717832</t>
  </si>
  <si>
    <t xml:space="preserve">  5.762214,  0.084257</t>
  </si>
  <si>
    <t>5.755432951,0.085176154</t>
  </si>
  <si>
    <t>WEAVE GHANA LTD FIRST LEG</t>
  </si>
  <si>
    <t>5.648565,-0.102164</t>
  </si>
  <si>
    <t>5.65069193,-0.0962386</t>
  </si>
  <si>
    <t>EURACARE MD</t>
  </si>
  <si>
    <t>5.581895,-0.177584</t>
  </si>
  <si>
    <t>5.5859628,-0.17618372</t>
  </si>
  <si>
    <t>WEAVE GHANA LTD SECOND LEG</t>
  </si>
  <si>
    <t xml:space="preserve">  5.648565, -0.102164</t>
  </si>
  <si>
    <t>5.63744761,-0.10452758</t>
  </si>
  <si>
    <t>BLOSSOM ACADEMY</t>
  </si>
  <si>
    <t>5.676017,-0.241607</t>
  </si>
  <si>
    <t>5.6675692,-0.23504407</t>
  </si>
  <si>
    <t>SHERIFF MAHAMA</t>
  </si>
  <si>
    <t>5.656965, -0.210080</t>
  </si>
  <si>
    <t>5.66673019,-0.204619813</t>
  </si>
  <si>
    <t>SAMUEL'S RECIDENCE</t>
  </si>
  <si>
    <t>5.689009,-0.231136</t>
  </si>
  <si>
    <t>5.6758983,-0.24148788</t>
  </si>
  <si>
    <t>GPHA</t>
  </si>
  <si>
    <t>5.634952,0.004479</t>
  </si>
  <si>
    <t>5.644042007,0.012199275</t>
  </si>
  <si>
    <t>TMS</t>
  </si>
  <si>
    <t>5.637856,-0.156535</t>
  </si>
  <si>
    <t>5.64095922,-0.15782161</t>
  </si>
  <si>
    <t>5.638367,-0.240794</t>
  </si>
  <si>
    <t>5.63213322,-0.2382598</t>
  </si>
  <si>
    <t>ECG MD 2</t>
  </si>
  <si>
    <t>5.612514,-0.223629</t>
  </si>
  <si>
    <t>5.61196884,-0.22490102</t>
  </si>
  <si>
    <t>UNICOM PHARMACY KORLEBU</t>
  </si>
  <si>
    <t>5.535672,-0.227966</t>
  </si>
  <si>
    <t>5.53571688,-0.22798473</t>
  </si>
  <si>
    <t>SANCFIC GCB</t>
  </si>
  <si>
    <t>5.678188,0.023804</t>
  </si>
  <si>
    <t>5.67187745,0.0226835</t>
  </si>
  <si>
    <t>BELIEVERS CHURCH</t>
  </si>
  <si>
    <t>5.730115,-0.259237</t>
  </si>
  <si>
    <t>5.7042571,-0.2712677</t>
  </si>
  <si>
    <t>5.585616,-0.131326</t>
  </si>
  <si>
    <t>5.59635598,-0.1309393</t>
  </si>
  <si>
    <t>ECG MD'S HOUSE</t>
  </si>
  <si>
    <t>5.645506,-0.239199</t>
  </si>
  <si>
    <t>5.641063433,-0.23991282</t>
  </si>
  <si>
    <t>5.646835,-0.144849</t>
  </si>
  <si>
    <t>5.645118,0.008024</t>
  </si>
  <si>
    <t>UBUNTU APARTMENT</t>
  </si>
  <si>
    <t>5.585034,-0.181516</t>
  </si>
  <si>
    <t>VOLTA PLACE</t>
  </si>
  <si>
    <t>5.607651,-0.185525</t>
  </si>
  <si>
    <t>ADA POP 2</t>
  </si>
  <si>
    <t xml:space="preserve">  5.893987,  0.503603</t>
  </si>
  <si>
    <t>NEIGHBOURHOOD CONNET TO TESHIE MERGE</t>
  </si>
  <si>
    <t xml:space="preserve">  5.564289, -0.144126</t>
  </si>
  <si>
    <t>CRABBE CRABBE</t>
  </si>
  <si>
    <t>5.588572,-0.137383</t>
  </si>
  <si>
    <t>BLUECREST</t>
  </si>
  <si>
    <t>5.572836,-0.208508</t>
  </si>
  <si>
    <t>ABBAN &amp; ASSOCIATES</t>
  </si>
  <si>
    <t>5.562382,-0.166811</t>
  </si>
  <si>
    <t>LA PRESEC</t>
  </si>
  <si>
    <t>5.561775,-0.160686</t>
  </si>
  <si>
    <t>5.610908,-0.193343</t>
  </si>
  <si>
    <t>NOW AVAILABLE AFRICA</t>
  </si>
  <si>
    <t>5.572778,-0.175569</t>
  </si>
  <si>
    <t>ROK STUDIO</t>
  </si>
  <si>
    <t>5.574458,-0.172304</t>
  </si>
  <si>
    <t>EXON BACKBONE</t>
  </si>
  <si>
    <t xml:space="preserve">  5.542899, -0.371970</t>
  </si>
  <si>
    <t>HILLS FERTILITY HOSPITAL</t>
  </si>
  <si>
    <t>5.543606,-0.361943</t>
  </si>
  <si>
    <t>EDWARD ENTEE</t>
  </si>
  <si>
    <t>5.549916,-0.359695</t>
  </si>
  <si>
    <t>5.579049,-0.171433</t>
  </si>
  <si>
    <t>SONAPACK</t>
  </si>
  <si>
    <t>5.660234,0.010983</t>
  </si>
  <si>
    <t>UNICOM HQ MALAM</t>
  </si>
  <si>
    <t xml:space="preserve">  5.573952, -0.279100</t>
  </si>
  <si>
    <t>SOCCABET AGBOGBLOSHIE</t>
  </si>
  <si>
    <t>5.547126,-0.218004</t>
  </si>
  <si>
    <t>GT BANK</t>
  </si>
  <si>
    <t xml:space="preserve">  5.629224, -0.146505</t>
  </si>
  <si>
    <t>GT BANK AGBOGBLOSHIE</t>
  </si>
  <si>
    <t>5.559182,-0.229999</t>
  </si>
  <si>
    <t>AFFINITY GHANA</t>
  </si>
  <si>
    <t xml:space="preserve">  5.564906,  5.564906</t>
  </si>
  <si>
    <t>BLUETOWN SOMANYA</t>
  </si>
  <si>
    <t>6.076919,-0.016959</t>
  </si>
  <si>
    <t>SANFIX BASE</t>
  </si>
  <si>
    <t xml:space="preserve">  4.892303, -1.755916</t>
  </si>
  <si>
    <t>4.917494, -1.768089</t>
  </si>
  <si>
    <t>CHEZZY PIZZA(ASHAIMAN)</t>
  </si>
  <si>
    <t>5.692915,-0.021749</t>
  </si>
  <si>
    <t>5.601301,-0.192041</t>
  </si>
  <si>
    <t>AYAWASO  MUNICIPAL</t>
  </si>
  <si>
    <t xml:space="preserve">  5.603874, -0.189501</t>
  </si>
  <si>
    <t>SOCCABET MANET</t>
  </si>
  <si>
    <t xml:space="preserve">  5.637425, -0.126016</t>
  </si>
  <si>
    <t>TRACAFRIC</t>
  </si>
  <si>
    <t>5.626212,-0.163303</t>
  </si>
  <si>
    <t>B5 PLUS AGBOGBLOSHIE</t>
  </si>
  <si>
    <t>5.557570, -0.228034</t>
  </si>
  <si>
    <t>SAVIOUR</t>
  </si>
  <si>
    <t>5.767236, -0.127122</t>
  </si>
  <si>
    <t>EUGENE</t>
  </si>
  <si>
    <t>5.761932, -0.139150</t>
  </si>
  <si>
    <t>5.762237, -0.138076</t>
  </si>
  <si>
    <t>DORIS</t>
  </si>
  <si>
    <t>5.761931, -0.138537</t>
  </si>
  <si>
    <t>5.761517, -0.138764</t>
  </si>
  <si>
    <t>DENOVO PLAZA</t>
  </si>
  <si>
    <t>5.661135, -0.017103</t>
  </si>
  <si>
    <t>GLO CEO</t>
  </si>
  <si>
    <t>5.576127,-0.17501</t>
  </si>
  <si>
    <t>FAIRWAY EAST LEGON</t>
  </si>
  <si>
    <t>5.640315,-0.166504</t>
  </si>
  <si>
    <t>BORTEYMAN OLYMPIC STADIUM</t>
  </si>
  <si>
    <t>5.673298,-0.084982</t>
  </si>
  <si>
    <t>GC ROYAL HOTEL</t>
  </si>
  <si>
    <t>5.561401,-0.185233</t>
  </si>
  <si>
    <t>TEMA FISHING HARBOUR</t>
  </si>
  <si>
    <t>5.642855,0.015759</t>
  </si>
  <si>
    <t>TEMA J TO JUAPONG DIST OFFICE</t>
  </si>
  <si>
    <t>6.255944,  0.140945</t>
  </si>
  <si>
    <t>B5 KASOA</t>
  </si>
  <si>
    <t>5.535496, -0.408833</t>
  </si>
  <si>
    <t>ASSOCIATION INTERNATIONAL SCHOOL</t>
  </si>
  <si>
    <t>5.609989,-0.178377</t>
  </si>
  <si>
    <t>THE ELBERNARDS</t>
  </si>
  <si>
    <t>5.630997,-0.16745</t>
  </si>
  <si>
    <t>EDWIN</t>
  </si>
  <si>
    <t>5.770716, -0.129713</t>
  </si>
  <si>
    <t>GIJ RECTOR RESIDENCE</t>
  </si>
  <si>
    <t>5.628874,-0.171426</t>
  </si>
  <si>
    <t>HONEYSUCKLE</t>
  </si>
  <si>
    <t>5.568661,-0.184788</t>
  </si>
  <si>
    <t>DIMENSION DATA(NUNGUA)</t>
  </si>
  <si>
    <t>5.596233,-0.085941</t>
  </si>
  <si>
    <t>1X BET COMPANY</t>
  </si>
  <si>
    <t>5.570816,-0.285721</t>
  </si>
  <si>
    <t>SUNDA GHANA LTD</t>
  </si>
  <si>
    <t>5.579396,-0.268862</t>
  </si>
  <si>
    <t>ECG PRAMPRAM OFFICE - DAWHENYA</t>
  </si>
  <si>
    <t>5.710378, 0.110086</t>
  </si>
  <si>
    <t>5.759536, 0.055514</t>
  </si>
  <si>
    <t>ACCRA ACADEMY</t>
  </si>
  <si>
    <t>5.571762,-0.24383</t>
  </si>
  <si>
    <t>ACCRA GIRLS SENIOR HIGH</t>
  </si>
  <si>
    <t>5.597388,-0.193148</t>
  </si>
  <si>
    <t>ACCRA METROPOLITAN</t>
  </si>
  <si>
    <t xml:space="preserve">  5.551267, -0.205771</t>
  </si>
  <si>
    <t>ACCRA TO NSAWAM</t>
  </si>
  <si>
    <t>5.804147, -0.344648</t>
  </si>
  <si>
    <t>5.754886, -0.321467</t>
  </si>
  <si>
    <t>ACCRA WESLEY GIRLS HIGH</t>
  </si>
  <si>
    <t>5.567339,-0.230354</t>
  </si>
  <si>
    <t>ACHIMOTA SENIOR HIGH</t>
  </si>
  <si>
    <t>5.629415,-0.213175</t>
  </si>
  <si>
    <t>ADONAI CHURCH</t>
  </si>
  <si>
    <t>5.574103,-0.145123</t>
  </si>
  <si>
    <t>ADONAI INTERNATIONAL MINISTRIES</t>
  </si>
  <si>
    <t>5.665402,-0.035627</t>
  </si>
  <si>
    <t>OZONE OFFICE</t>
  </si>
  <si>
    <t>5.569011, -0.187156</t>
  </si>
  <si>
    <t>5.558172, -0.173342</t>
  </si>
  <si>
    <t>MAINONE DC APOLLONIA INDUSTRIAL PARK - SECOND LEG</t>
  </si>
  <si>
    <t>5.804056,-0.091381</t>
  </si>
  <si>
    <t>ASHAIMAN MUNICIPAL EDUCATION OFFICE</t>
  </si>
  <si>
    <t>5.692218, -0.025764</t>
  </si>
  <si>
    <t>ASHIAMAN SENIOR HIGH</t>
  </si>
  <si>
    <t>5.696256,-0.018528</t>
  </si>
  <si>
    <t>AVENOR - GTUC</t>
  </si>
  <si>
    <t>5.579575, -0.221342</t>
  </si>
  <si>
    <t>CHIEF OF STAFF RES</t>
  </si>
  <si>
    <t>5.637545,-0.16927</t>
  </si>
  <si>
    <t>BENJAMINE RESIDENCE</t>
  </si>
  <si>
    <t>5.612352,-0.180797</t>
  </si>
  <si>
    <t>BORTIANOR OFFICE FROM TORKUSE</t>
  </si>
  <si>
    <t>5.540666, -0.342490</t>
  </si>
  <si>
    <t>DATACOM ACCESS LINK</t>
  </si>
  <si>
    <t>5.711189,  0.010929</t>
  </si>
  <si>
    <t>DESIGN AND TECHNOLOGY INSTITUTE (DTI)</t>
  </si>
  <si>
    <t>5.653073,-0.163319</t>
  </si>
  <si>
    <t>DESIGN TECHNOLOGY INSTITUTE (HOSTEL)</t>
  </si>
  <si>
    <t>5.657517,-0.157442</t>
  </si>
  <si>
    <t>B5 PLUS KANTAMANTO</t>
  </si>
  <si>
    <t>5.546213,-0.211839</t>
  </si>
  <si>
    <t>DOLPHIN ACE CLS</t>
  </si>
  <si>
    <t>5.541899,-0.203454</t>
  </si>
  <si>
    <t>DPS INTERNATIONAL SCHOOL</t>
  </si>
  <si>
    <t>5.73413,0.014794</t>
  </si>
  <si>
    <t>DR SMART</t>
  </si>
  <si>
    <t>5.672266,  1.199655</t>
  </si>
  <si>
    <t>DZORWULU TO ACCRA METRO 1 MERGE</t>
  </si>
  <si>
    <t xml:space="preserve">  5.598843, -0.197797</t>
  </si>
  <si>
    <t>EARL HEIGHTS SUITES</t>
  </si>
  <si>
    <t>5.615788,-0.195239</t>
  </si>
  <si>
    <t>EARLBEAM REALTY</t>
  </si>
  <si>
    <t>5.617114,-0.192578</t>
  </si>
  <si>
    <t>ELLYES RESIDENCE</t>
  </si>
  <si>
    <t>5.621073,-0.022552</t>
  </si>
  <si>
    <t>EMMA AIDOO</t>
  </si>
  <si>
    <t>5.620142,-0.119305</t>
  </si>
  <si>
    <t>ETHICAL APPAREL</t>
  </si>
  <si>
    <t>5.626607,-0.130507</t>
  </si>
  <si>
    <t>ETHICAL APPAREL LABONE</t>
  </si>
  <si>
    <t>5.573339,-0.165817</t>
  </si>
  <si>
    <t>EAST LEGON HOTEL</t>
  </si>
  <si>
    <t>5.638474,-0.168096</t>
  </si>
  <si>
    <t>ETHICAL APPAREL WAREHOUSE</t>
  </si>
  <si>
    <t>5.628714,-0.144462</t>
  </si>
  <si>
    <t>FAIR TRADE OUTSOURCING</t>
  </si>
  <si>
    <t>5.562929, -0.214114</t>
  </si>
  <si>
    <t>FEDEX GHANA HEAD OFFICE</t>
  </si>
  <si>
    <t>5.618475,-0.18413</t>
  </si>
  <si>
    <t>FRAFRAHA COMM HIGH SCHOOL</t>
  </si>
  <si>
    <t>5.716944, -0.160500</t>
  </si>
  <si>
    <t>FRAFRAHA LIBRARY</t>
  </si>
  <si>
    <t>5.72974,-0.1617</t>
  </si>
  <si>
    <t>GA CENTRAL MUNICIPAL</t>
  </si>
  <si>
    <t>5.630712, -0.273951</t>
  </si>
  <si>
    <t>GEORGE OHENE RESIDENCE</t>
  </si>
  <si>
    <t>5.620222, -0.138726</t>
  </si>
  <si>
    <t>GEORGE PADMORE RESEARCH LIBRARY ON AFRICAN AFFAIRS</t>
  </si>
  <si>
    <t>5.557203,-0.197427</t>
  </si>
  <si>
    <t>GIL - PRAAD</t>
  </si>
  <si>
    <t>5.561074, -0.208528</t>
  </si>
  <si>
    <t>GIMPA SUBSTATION TO GIMPA</t>
  </si>
  <si>
    <t>5.997051,  0.595454</t>
  </si>
  <si>
    <t>5.997086, 0.595472</t>
  </si>
  <si>
    <t>GOLDEN TULIP ACCRA</t>
  </si>
  <si>
    <t>5.593732,-0.181475</t>
  </si>
  <si>
    <t>GREATER ACCRA REGIONAL LIBRARY</t>
  </si>
  <si>
    <t>5.544904,-0.205493</t>
  </si>
  <si>
    <t>GTBANK HEAD OFFICE (RIDGE)</t>
  </si>
  <si>
    <t>5.559634,-0.198163</t>
  </si>
  <si>
    <t>GTBANK SPINTEX ROAD</t>
  </si>
  <si>
    <t>5.629227,-0.146504</t>
  </si>
  <si>
    <t>5.611441,-0.202381</t>
  </si>
  <si>
    <t>KANESHIE SENIOR HIGH/TECH</t>
  </si>
  <si>
    <t>5.565013, -0.240436</t>
  </si>
  <si>
    <t>KING</t>
  </si>
  <si>
    <t>5.587015,-0.135931</t>
  </si>
  <si>
    <t>KORLE BU SITE</t>
  </si>
  <si>
    <t>5.538741,-0.22554</t>
  </si>
  <si>
    <t>KROBO DIST OFFICE</t>
  </si>
  <si>
    <t>6.101175, -0.024398</t>
  </si>
  <si>
    <t>ACCRA TECHNICAL UNIVERSITY(NSAWAM)</t>
  </si>
  <si>
    <t>5.789534, -0.280531</t>
  </si>
  <si>
    <t>KWABENYA SS - ACHIMOTA DISTRICT</t>
  </si>
  <si>
    <t>5.639137, -0.242185</t>
  </si>
  <si>
    <t>LA NKWANTANANG MADINA MUNICIPAL</t>
  </si>
  <si>
    <t>5.670679,-0.17054</t>
  </si>
  <si>
    <t>LAMBODORA GCM</t>
  </si>
  <si>
    <t>5.566341,-0.202702</t>
  </si>
  <si>
    <t>LATERBIOKORSHIE</t>
  </si>
  <si>
    <t>5.547127,-0.241804</t>
  </si>
  <si>
    <t>PLATINUM PLACE</t>
  </si>
  <si>
    <t>5.564129,-0.20223</t>
  </si>
  <si>
    <t>LEDZEKUKU</t>
  </si>
  <si>
    <t>5.591422, -0.098373</t>
  </si>
  <si>
    <t>MARANATHA</t>
  </si>
  <si>
    <t>5.614297,-0.089076</t>
  </si>
  <si>
    <t>MCCARTHY CELL SITE - KNET</t>
  </si>
  <si>
    <t>5.566716, -0.295375</t>
  </si>
  <si>
    <t>MCCARTHY TO CSQUARED MERGE</t>
  </si>
  <si>
    <t>5.556964, -0.301050</t>
  </si>
  <si>
    <t>METRO MASS TRANSIT</t>
  </si>
  <si>
    <t>5.564321,-0.231188</t>
  </si>
  <si>
    <t>MR GRANDOLPH</t>
  </si>
  <si>
    <t>5.599878,-0.180971</t>
  </si>
  <si>
    <t>MR HAMMOND</t>
  </si>
  <si>
    <t>5.610677,-0.139742</t>
  </si>
  <si>
    <t>MR SACKEY RESIDENCE</t>
  </si>
  <si>
    <t>5.570536,-0.28696</t>
  </si>
  <si>
    <t>5.644941,-0.170609</t>
  </si>
  <si>
    <t>NEIGBERHOOD CONNECT FINAL</t>
  </si>
  <si>
    <t>NATIONAL SECURITY COORDINATOR</t>
  </si>
  <si>
    <t>5.58091,-0.145368</t>
  </si>
  <si>
    <t>NUNGUA N TO REGIONAL MARITIME</t>
  </si>
  <si>
    <t>5.607933, -0.063308</t>
  </si>
  <si>
    <t>OFFICE OF THE SENIOR MINISTER(CIVIL SERVICE)</t>
  </si>
  <si>
    <t>5.552516,-0.19757</t>
  </si>
  <si>
    <t>OLD BARRIER</t>
  </si>
  <si>
    <t>5.552972, -0.325481</t>
  </si>
  <si>
    <t>OSU REGAL</t>
  </si>
  <si>
    <t>5.553605,-0.176946</t>
  </si>
  <si>
    <t>5.724931,-0.194921</t>
  </si>
  <si>
    <t>OZONE - SIDALCO</t>
  </si>
  <si>
    <t>5.639703,-0.1298</t>
  </si>
  <si>
    <t>OZONE AKATECH</t>
  </si>
  <si>
    <t>5.640397,-0.1451</t>
  </si>
  <si>
    <t>PANTANG HOSPITAL</t>
  </si>
  <si>
    <t>5.718106,-0.188136</t>
  </si>
  <si>
    <t>PIPE ANO</t>
  </si>
  <si>
    <t>4.91056,-1.770158</t>
  </si>
  <si>
    <t>PRESBY SENIOR HIGH, TESHIE</t>
  </si>
  <si>
    <t>5.575989,-0.107179</t>
  </si>
  <si>
    <t>PRESBY SENIOR HIGH,OSU</t>
  </si>
  <si>
    <t>5.555478, -0.186110</t>
  </si>
  <si>
    <t>PRESBY SHS TEMA</t>
  </si>
  <si>
    <t>5.658249, -0.008675</t>
  </si>
  <si>
    <t>PRESEC LEGON FEEDER</t>
  </si>
  <si>
    <t>5.662462, -0.176124</t>
  </si>
  <si>
    <t>5.553862,-0.180732</t>
  </si>
  <si>
    <t>PROJECTS OFFICE TO STATION D (AVENOR)</t>
  </si>
  <si>
    <t>5.579709, -0.221315</t>
  </si>
  <si>
    <t>5.567031, -0.220092</t>
  </si>
  <si>
    <t>SACRED HEART TECHNICAL INSTITUTE</t>
  </si>
  <si>
    <t>5.53549,-0.214081</t>
  </si>
  <si>
    <t>SHAI OSUDOKU HOSPITAL</t>
  </si>
  <si>
    <t>5.899275,-0.091807</t>
  </si>
  <si>
    <t>SOHO FRANCIS</t>
  </si>
  <si>
    <t>5.57859,-0.172701</t>
  </si>
  <si>
    <t>SOWUTUOM SS - ABLEKUMA DISTRICT</t>
  </si>
  <si>
    <t>5.621932, -0.300818</t>
  </si>
  <si>
    <t>SPECTRUM FIBRE POP(ACHIMOTA)</t>
  </si>
  <si>
    <t>5.606395,-0.204942</t>
  </si>
  <si>
    <t xml:space="preserve"> 5.677436, -0.167211</t>
  </si>
  <si>
    <t>5.573423,-0.178365</t>
  </si>
  <si>
    <t>ST.JOHN'S GRAMMAR SENIOR HIGH SCHOOL,</t>
  </si>
  <si>
    <t>5.560057,-0.269484</t>
  </si>
  <si>
    <t>5.753834,0.086092</t>
  </si>
  <si>
    <t>STATION L TO NAFTI</t>
  </si>
  <si>
    <t>5.584025, -0.163457</t>
  </si>
  <si>
    <t>MR. EDMUND AGYAPONG</t>
  </si>
  <si>
    <t>5.703485, -0.269528</t>
  </si>
  <si>
    <t>CCC , KANDA</t>
  </si>
  <si>
    <t>5.579404, -0.192581</t>
  </si>
  <si>
    <t>TEMA MANHEAN SENIOR HIGH/TECH</t>
  </si>
  <si>
    <t>5.661291,  0.026998</t>
  </si>
  <si>
    <t>TEMA METHODIST DAY SECONDARY SCHOOL</t>
  </si>
  <si>
    <t>5.670421,-0.020572</t>
  </si>
  <si>
    <t>TESHIE TECH. INSTITTUTE</t>
  </si>
  <si>
    <t>5.5738,-0.112101</t>
  </si>
  <si>
    <t>TIGO DATA CENTER TO OZONE</t>
  </si>
  <si>
    <t>5.558042, -0.205289</t>
  </si>
  <si>
    <t>TRELLIDOR</t>
  </si>
  <si>
    <t>5.64097,-0.117394</t>
  </si>
  <si>
    <t>UG - LEGON SUBSTATION</t>
  </si>
  <si>
    <t>5.651019, -0.186396</t>
  </si>
  <si>
    <t>UPSA - LEGON SUBSTATION</t>
  </si>
  <si>
    <t>5.661850, -0.165381</t>
  </si>
  <si>
    <t>WACS LINE 1</t>
  </si>
  <si>
    <t>5.55267,-0.168775</t>
  </si>
  <si>
    <t>WACS LINE 2</t>
  </si>
  <si>
    <t>5.552670, -0.168775</t>
  </si>
  <si>
    <t>WAEC R - GIJ</t>
  </si>
  <si>
    <t>5.562790, -0.190890</t>
  </si>
  <si>
    <t>5.563655°, -0.199582°</t>
  </si>
  <si>
    <t>WAEC R - NITA</t>
  </si>
  <si>
    <t>5.559186, -0.192587</t>
  </si>
  <si>
    <t xml:space="preserve"> 5.563655°, -0.199582°</t>
  </si>
  <si>
    <t>WAS FEEDER</t>
  </si>
  <si>
    <t>5.705846, -0.173554</t>
  </si>
  <si>
    <t>WESTHILLS</t>
  </si>
  <si>
    <t>5.544099, -0.344132</t>
  </si>
  <si>
    <t>VEHRAD TRANSPORT</t>
  </si>
  <si>
    <t>5.655428,0.003677</t>
  </si>
  <si>
    <t>CHEMU SHS</t>
  </si>
  <si>
    <t>5.658271, -0.008638</t>
  </si>
  <si>
    <t>OAK VILLA ESTATE</t>
  </si>
  <si>
    <t>5.739961,-0.200688</t>
  </si>
  <si>
    <t>RANA MOTORS (TEMA)</t>
  </si>
  <si>
    <t>5.658464,-0.002621</t>
  </si>
  <si>
    <t>AVNASH SOAP PLANT FREEZONE</t>
  </si>
  <si>
    <t>5.689097,0.017427</t>
  </si>
  <si>
    <t>POLYPET</t>
  </si>
  <si>
    <t>5.688465,0.019575</t>
  </si>
  <si>
    <t>KORLE KLOTTEY RELOCATION</t>
  </si>
  <si>
    <t>5.553859, -0.183175</t>
  </si>
  <si>
    <t>GIJ NEW CAMPUS</t>
  </si>
  <si>
    <t>5.622542, -0.186943</t>
  </si>
  <si>
    <t>JOE(GLO)</t>
  </si>
  <si>
    <t>5.61572,-0.190847</t>
  </si>
  <si>
    <t>ALIMA SUITS</t>
  </si>
  <si>
    <t>5.57143,-0.169518</t>
  </si>
  <si>
    <t>ASANSKA UNIVERSITY COLLEGE</t>
  </si>
  <si>
    <t>5.801445,-0.127654</t>
  </si>
  <si>
    <t>GCB HQ</t>
  </si>
  <si>
    <t>CIRRUS OIL SERVICES LTD</t>
  </si>
  <si>
    <t>5.619792,-0.17978</t>
  </si>
  <si>
    <t>GOIL BITUMEN PLANT</t>
  </si>
  <si>
    <t>5.650955,  0.011172</t>
  </si>
  <si>
    <t>KINGDOM EXIM GHANA LTD</t>
  </si>
  <si>
    <t>5.660906,0.008634</t>
  </si>
  <si>
    <t>ANGLOGOLD ASHANTI (PHU), TEMA, GHANA</t>
  </si>
  <si>
    <t xml:space="preserve"> 5.631912, -0.006896</t>
  </si>
  <si>
    <t>KASOA SOCCERBET</t>
  </si>
  <si>
    <t xml:space="preserve"> 5.535443, -0.420973</t>
  </si>
  <si>
    <t>HOUR OF GRACE</t>
  </si>
  <si>
    <t>5.648177,-0.055919</t>
  </si>
  <si>
    <t>COMPU GHANA WAREHOUSE</t>
  </si>
  <si>
    <t>5.619354,-0.113241</t>
  </si>
  <si>
    <t>5.567929,-0.206036</t>
  </si>
  <si>
    <t>RAJNI SUPERMARKET</t>
  </si>
  <si>
    <t>5.631047,-0.14169</t>
  </si>
  <si>
    <t>BROLLEN</t>
  </si>
  <si>
    <t>5.572329,-0.201435</t>
  </si>
  <si>
    <t>DANSOMAN 02</t>
  </si>
  <si>
    <t>5.557276,-0.26455</t>
  </si>
  <si>
    <t>BESTECH</t>
  </si>
  <si>
    <t>5.711999,-0.170023</t>
  </si>
  <si>
    <t>NESTLE - TEMA INDUSTRIAL AREA</t>
  </si>
  <si>
    <t>5.675597, -0.004245</t>
  </si>
  <si>
    <t>NICHOLAS PLAZA</t>
  </si>
  <si>
    <t>5.638,-0.000429</t>
  </si>
  <si>
    <t>5.630937,-0.17123</t>
  </si>
  <si>
    <t>ELEGANT HOMES</t>
  </si>
  <si>
    <t>5.758321, -0.105751</t>
  </si>
  <si>
    <t>INDORAMA</t>
  </si>
  <si>
    <t>5.650751, -0.094754</t>
  </si>
  <si>
    <t>TEMA FUEL COMPANY LEG 2</t>
  </si>
  <si>
    <t>5.670198,  0.016005</t>
  </si>
  <si>
    <t>IOM</t>
  </si>
  <si>
    <t>5.615499 -0.191203</t>
  </si>
  <si>
    <t>XENON</t>
  </si>
  <si>
    <t>5.674966,-0.008613</t>
  </si>
  <si>
    <t>GEORGE KOOMSON</t>
  </si>
  <si>
    <t>5.583842,-0.175762</t>
  </si>
  <si>
    <t>AMASAMAN MUNICIPAL</t>
  </si>
  <si>
    <t>5.704159,-0.300296</t>
  </si>
  <si>
    <t>5.605623, -0.249783</t>
  </si>
  <si>
    <t>CHEEZZY PIZZA</t>
  </si>
  <si>
    <t>5.535778,-0.418633</t>
  </si>
  <si>
    <t>AFRICAKART BUILDING SOLUTION</t>
  </si>
  <si>
    <t>5.558409,-0.226626</t>
  </si>
  <si>
    <t>DEBBIES RESCIDENCE</t>
  </si>
  <si>
    <t>5.627607,-0.170017</t>
  </si>
  <si>
    <t>GRACE CITADEL</t>
  </si>
  <si>
    <t>5.819267 -0.194820</t>
  </si>
  <si>
    <t>PETER OSEI</t>
  </si>
  <si>
    <t>5.822078,-0.194637</t>
  </si>
  <si>
    <t>AMIDU</t>
  </si>
  <si>
    <t>5.816304,-0.189756</t>
  </si>
  <si>
    <t>ROLAND</t>
  </si>
  <si>
    <t>5.817784,-0.19013</t>
  </si>
  <si>
    <t>SOCCABET TSUI BLEO</t>
  </si>
  <si>
    <t>5.604171,-0.114765</t>
  </si>
  <si>
    <t>GLO HEAD OFFICE</t>
  </si>
  <si>
    <t>RENEI CHEMIST</t>
  </si>
  <si>
    <t>5.54745,-0.209671</t>
  </si>
  <si>
    <t>ASKA ENERGY</t>
  </si>
  <si>
    <t>5.691336,0.02553</t>
  </si>
  <si>
    <t>ERNEST CHEMIST CANTOMENT</t>
  </si>
  <si>
    <t>5.581722,-0.165029</t>
  </si>
  <si>
    <t>BESTNET</t>
  </si>
  <si>
    <t>5.711999 -0.170023</t>
  </si>
  <si>
    <t>ELTON TAGOE</t>
  </si>
  <si>
    <t>5.764691, -0.175225</t>
  </si>
  <si>
    <t>KUDITEL</t>
  </si>
  <si>
    <t>5.609054,-0.189609</t>
  </si>
  <si>
    <t>DTRT</t>
  </si>
  <si>
    <t>5.553206,-0.213372</t>
  </si>
  <si>
    <t>GCB BANK AMASAMAN BRANCH</t>
  </si>
  <si>
    <t>5.698233,-0.292692</t>
  </si>
  <si>
    <t>MAHALI ASMAH</t>
  </si>
  <si>
    <t>5.724428,-0.153373</t>
  </si>
  <si>
    <t>WILLIAMS AGYAPONG</t>
  </si>
  <si>
    <t>5.543311,-0.355939</t>
  </si>
  <si>
    <t>RISINGSUN MONTESSORI SCHOOL</t>
  </si>
  <si>
    <t>5.540909,-0.351308</t>
  </si>
  <si>
    <t>VEROD VCM</t>
  </si>
  <si>
    <t>5.600051,-0.178382</t>
  </si>
  <si>
    <t>KIDS COTTAGE</t>
  </si>
  <si>
    <t>5.609789,-0.189808</t>
  </si>
  <si>
    <t>TOYOTA GHANA KPONE</t>
  </si>
  <si>
    <t>5.69009,0.042726</t>
  </si>
  <si>
    <t>GIL</t>
  </si>
  <si>
    <t>5.556959, -0.207921</t>
  </si>
  <si>
    <t>CIVIL SERVICE MERGE</t>
  </si>
  <si>
    <t>5.552516, -0.197570</t>
  </si>
  <si>
    <t>KP RESIDENCE</t>
  </si>
  <si>
    <t>5.53773,-0.358455</t>
  </si>
  <si>
    <t>BISMARK</t>
  </si>
  <si>
    <t>5.586059,-0.131582</t>
  </si>
  <si>
    <t>ECG MD'S PARTY PEOPLE</t>
  </si>
  <si>
    <t>5.652539,-0.225056</t>
  </si>
  <si>
    <t>TOYOTA GHANA KUMASI</t>
  </si>
  <si>
    <t>6.687080, -1.623172</t>
  </si>
  <si>
    <t>NIA IMPERIAL</t>
  </si>
  <si>
    <t>5.573346,-0.224078</t>
  </si>
  <si>
    <t>FAREAST-MERCANTILE-HQ</t>
  </si>
  <si>
    <t>5.625025,-0.147857</t>
  </si>
  <si>
    <t>FAREAST-MERCANTILE-WAREHOUSE</t>
  </si>
  <si>
    <t>5.644119,-0.109666</t>
  </si>
  <si>
    <t>RACKAFRICA - BARNES ROAD</t>
  </si>
  <si>
    <t>5.571390, -0.209692</t>
  </si>
  <si>
    <t>AT DF (OFANKOR)</t>
  </si>
  <si>
    <t>5.666252, -0.269670</t>
  </si>
  <si>
    <t>MARLVIN COURT</t>
  </si>
  <si>
    <t>5.631339,-0.122465</t>
  </si>
  <si>
    <t>VALERA EXIM LIMITED</t>
  </si>
  <si>
    <t>5.68282,0.031704</t>
  </si>
  <si>
    <t>ECG MD MAYFAIR ESTATE</t>
  </si>
  <si>
    <t>5.610176,-0.141208</t>
  </si>
  <si>
    <t>SOCIETY FOR AIDS</t>
  </si>
  <si>
    <t>5.663259,-0.124249</t>
  </si>
  <si>
    <t>SAMPSON ANIM</t>
  </si>
  <si>
    <t>5.640856,-0.243457</t>
  </si>
  <si>
    <t>OPEN DOOR ASSEMBLIES OF GOD</t>
  </si>
  <si>
    <t>5.570585, -0.250199</t>
  </si>
  <si>
    <t>PEREZ POP KPMG</t>
  </si>
  <si>
    <t>5.611064,-0.212554</t>
  </si>
  <si>
    <t>SIVOKO STRUTURES</t>
  </si>
  <si>
    <t>5.687648,0.04177</t>
  </si>
  <si>
    <t>STARLIFE TEMA</t>
  </si>
  <si>
    <t>5.638107, -0.000157</t>
  </si>
  <si>
    <t>CTVET</t>
  </si>
  <si>
    <t>5.63257,-0.17147</t>
  </si>
  <si>
    <t>East Legon</t>
  </si>
  <si>
    <t>STARLIFE ACHIMOTA</t>
  </si>
  <si>
    <t>5.631657,-0.237788</t>
  </si>
  <si>
    <t>STARLIFE HQ</t>
  </si>
  <si>
    <t>5.608277, -0.182010</t>
  </si>
  <si>
    <t>5.572613,-0.209158</t>
  </si>
  <si>
    <t>CHARLES RESIDENCE</t>
  </si>
  <si>
    <t>5.695538,-0.246348</t>
  </si>
  <si>
    <t>PETRA</t>
  </si>
  <si>
    <t>5.611892, -0.191300</t>
  </si>
  <si>
    <t>COMPU GHANA DZORWULU</t>
  </si>
  <si>
    <t>5.612023,-0.192178</t>
  </si>
  <si>
    <t>BRONX</t>
  </si>
  <si>
    <t>5.46835,-0.422085</t>
  </si>
  <si>
    <t>COMPU GH ACCRA MALL</t>
  </si>
  <si>
    <t>5.622733,-0.172791</t>
  </si>
  <si>
    <t>1XBET -ACCRA</t>
  </si>
  <si>
    <t>AVENOR ECG</t>
  </si>
  <si>
    <t>5.579662, -0.221359</t>
  </si>
  <si>
    <t>OYARIFA MALL</t>
  </si>
  <si>
    <t>5.776771,-0.180908</t>
  </si>
  <si>
    <t>BISTRO22 - LABONE</t>
  </si>
  <si>
    <t xml:space="preserve">  5.572237, -0.168975</t>
  </si>
  <si>
    <t xml:space="preserve">HEFRA </t>
  </si>
  <si>
    <t>5.55234,-0.196248</t>
  </si>
  <si>
    <t>ABSA KANESHIE(RELOCATED)</t>
  </si>
  <si>
    <t>5.565175, -0.224980</t>
  </si>
  <si>
    <t>KANESHIE ABOSSAY OKAI GPON</t>
  </si>
  <si>
    <t>5.564220, -0.244912</t>
  </si>
  <si>
    <t>KASI DANSOMAN</t>
  </si>
  <si>
    <t>5.534401,-0.2691</t>
  </si>
  <si>
    <t>OAKVIEW ESTATE F2</t>
  </si>
  <si>
    <t>5.762691,0.083032</t>
  </si>
  <si>
    <t>OAKVIEW ESTATE B2</t>
  </si>
  <si>
    <t>5.762729,0.083952</t>
  </si>
  <si>
    <t>OAKVIEW ESTATE C3</t>
  </si>
  <si>
    <t>5.762939,0.08375</t>
  </si>
  <si>
    <t>OAKVIEW ESTATE D3</t>
  </si>
  <si>
    <t>5.762815,0.083505</t>
  </si>
  <si>
    <t>OAKVIEW ESTATE E2</t>
  </si>
  <si>
    <t>5.762699,0.083312</t>
  </si>
  <si>
    <t>OAKVIEW ESTATE F1</t>
  </si>
  <si>
    <t>5.762691,  0.083032</t>
  </si>
  <si>
    <t>5.762691°,  0.083032°</t>
  </si>
  <si>
    <t>ABSA SME TRAINING SCH RIDGE BRANCH</t>
  </si>
  <si>
    <t>5.566248, -0.189661</t>
  </si>
  <si>
    <t xml:space="preserve">5.566248°, -0.189661°	</t>
  </si>
  <si>
    <t>SGSSB - HQ</t>
  </si>
  <si>
    <t>5.571914,-0.207881</t>
  </si>
  <si>
    <t>TERMINAL 3 AIRPORT</t>
  </si>
  <si>
    <t>5.608055,-0.170916</t>
  </si>
  <si>
    <t>5.623744, -0.188783</t>
  </si>
  <si>
    <t>APPLE 68 FM</t>
  </si>
  <si>
    <t>5.491820, -0.413165</t>
  </si>
  <si>
    <t>JAKE ABLOR</t>
  </si>
  <si>
    <t>5.772703, -0.173900</t>
  </si>
  <si>
    <t>MAA SANKOFA</t>
  </si>
  <si>
    <t>5.803561, -0.185061</t>
  </si>
  <si>
    <t>BRYTE FM</t>
  </si>
  <si>
    <t>5.860314, -0.166792</t>
  </si>
  <si>
    <t xml:space="preserve">BREEZ FM </t>
  </si>
  <si>
    <t>5.563248224382094, -0.2998688729239973</t>
  </si>
  <si>
    <t>FINNEX ENERGY</t>
  </si>
  <si>
    <t>5.640889, -0.167659</t>
  </si>
  <si>
    <t>GEOLOGICAL HQ</t>
  </si>
  <si>
    <t>5.558276, -0.202776</t>
  </si>
  <si>
    <t>ISAAC ANSAH</t>
  </si>
  <si>
    <t>5.6092,-0.19028</t>
  </si>
  <si>
    <t>ELEADES FROMETA</t>
  </si>
  <si>
    <t>5.631000, -0.122292</t>
  </si>
  <si>
    <t>GPMS</t>
  </si>
  <si>
    <t>5.697352, -0.000694</t>
  </si>
  <si>
    <t>DEEPERLIFE BIBLE CHURCH</t>
  </si>
  <si>
    <t>5.568497, -0.288569</t>
  </si>
  <si>
    <t>KALILU DAUDU</t>
  </si>
  <si>
    <t>5.797764, 0.621081</t>
  </si>
  <si>
    <t>BENJAMIN AKUFFO</t>
  </si>
  <si>
    <t>5.763843, -0.128030</t>
  </si>
  <si>
    <t>FRED KOJO DANSO</t>
  </si>
  <si>
    <t>5.754147, 0.082349</t>
  </si>
  <si>
    <t>GCB BANK PLC VISA</t>
  </si>
  <si>
    <t>5.6772281, -0.0242492</t>
  </si>
  <si>
    <t>FRIDUG</t>
  </si>
  <si>
    <t>5.630717, -0.140317</t>
  </si>
  <si>
    <t>TIZETI LAPAZ</t>
  </si>
  <si>
    <t>5.6012910, -0.256739</t>
  </si>
  <si>
    <t>TIZETI ADENTA</t>
  </si>
  <si>
    <t>5.718939130285, -0.16473871</t>
  </si>
  <si>
    <t>PRISCILLA METTLE</t>
  </si>
  <si>
    <t>5.561011, -0.260656</t>
  </si>
  <si>
    <t>CHRISTIAN OBU</t>
  </si>
  <si>
    <t>5.767553, -0.118478</t>
  </si>
  <si>
    <t>USEN</t>
  </si>
  <si>
    <t>5.584756, -0.166703</t>
  </si>
  <si>
    <t>DEEPERLIFE BIBLE TV-McCARTHY HILL</t>
  </si>
  <si>
    <t xml:space="preserve">  5.568497 -0.288570</t>
  </si>
  <si>
    <t>ROYAL HOUSE OIL DOME</t>
  </si>
  <si>
    <t>5.562692, -0.229842</t>
  </si>
  <si>
    <t>NPRA (TEMA)</t>
  </si>
  <si>
    <t>5.639114, 0.002281</t>
  </si>
  <si>
    <t>STAR ASSURANCE - ICON HOUSE</t>
  </si>
  <si>
    <t>5.599208, -0.177756</t>
  </si>
  <si>
    <t>MASTERCARD - VISA</t>
  </si>
  <si>
    <t xml:space="preserve"> 5.6772281, -0.0242492</t>
  </si>
  <si>
    <t>GEOLOGICAL ACHIMOTA</t>
  </si>
  <si>
    <t>5.640590, -0.206638</t>
  </si>
  <si>
    <t>SANFICS HQ</t>
  </si>
  <si>
    <t>5.682867, -0.016142</t>
  </si>
  <si>
    <t>ARCHIE DESIGN</t>
  </si>
  <si>
    <t>5.573300, -0.166417</t>
  </si>
  <si>
    <t>TIZETI SPINTEX</t>
  </si>
  <si>
    <t xml:space="preserve">  5.625361 -0.073292</t>
  </si>
  <si>
    <t>CNJ MEDICAL CENTER</t>
  </si>
  <si>
    <t xml:space="preserve">  5.624391 -0.069569</t>
  </si>
  <si>
    <t>CLOSAG HQ</t>
  </si>
  <si>
    <t xml:space="preserve">  5.550843 -0.196305</t>
  </si>
  <si>
    <t>ADENIA AIRPORT</t>
  </si>
  <si>
    <t xml:space="preserve">  5.599089 -0.180063</t>
  </si>
  <si>
    <t>YGT NETWORK</t>
  </si>
  <si>
    <t xml:space="preserve">  5.731782  0.038936</t>
  </si>
  <si>
    <t>SAIN GOBAIN</t>
  </si>
  <si>
    <t xml:space="preserve"> 5.635521 -0.132573</t>
  </si>
  <si>
    <t>LUCY NOLAN</t>
  </si>
  <si>
    <t xml:space="preserve">  5.823087 -0.185571</t>
  </si>
  <si>
    <t>ROMEO DZAREH DZAH</t>
  </si>
  <si>
    <t xml:space="preserve">  5.622819 -0.143425</t>
  </si>
  <si>
    <t>UTV</t>
  </si>
  <si>
    <t>5.599891 -0.224011</t>
  </si>
  <si>
    <t>GLASIC FG1</t>
  </si>
  <si>
    <t>5.687352, -0.005000</t>
  </si>
  <si>
    <t>GLASIC GL2</t>
  </si>
  <si>
    <t xml:space="preserve"> 5.687352, -0.005000</t>
  </si>
  <si>
    <t xml:space="preserve">  5.674651  0.022208</t>
  </si>
  <si>
    <t>PROPHET EL-SALI</t>
  </si>
  <si>
    <t xml:space="preserve">  5.765708 -0.127459</t>
  </si>
  <si>
    <t>FATOU THIAM</t>
  </si>
  <si>
    <t xml:space="preserve">  5.615067 -0.201909</t>
  </si>
  <si>
    <t>3 MEDIA NETWORKS</t>
  </si>
  <si>
    <t xml:space="preserve">  5.608748 -0.217593</t>
  </si>
  <si>
    <t>WIMAR AFRICA LTD C3</t>
  </si>
  <si>
    <t>5.622045 -0.017049</t>
  </si>
  <si>
    <t xml:space="preserve">PRIORITY INSURANCE </t>
  </si>
  <si>
    <t xml:space="preserve">  5.578285 -0.216987</t>
  </si>
  <si>
    <t>5.631745 -0.172481</t>
  </si>
  <si>
    <t>FABRIMETAL</t>
  </si>
  <si>
    <t xml:space="preserve">  5.817040  0.197045</t>
  </si>
  <si>
    <t>SG-SSG HQ</t>
  </si>
  <si>
    <t>5.571914 -0.207881</t>
  </si>
  <si>
    <t>KOREA EXIM</t>
  </si>
  <si>
    <t>5.628928, -0.177036</t>
  </si>
  <si>
    <t>GOLDHOUSE, KAWUKUDI</t>
  </si>
  <si>
    <t>5.596044, -0.188506</t>
  </si>
  <si>
    <t>IFC MD</t>
  </si>
  <si>
    <t>5.615971 -0.179382</t>
  </si>
  <si>
    <t>CHEMICO</t>
  </si>
  <si>
    <t>5.648600, 0.003847</t>
  </si>
  <si>
    <t>UNILEVER</t>
  </si>
  <si>
    <t>5.645418  0.008479</t>
  </si>
  <si>
    <t>Mawal HQ</t>
  </si>
  <si>
    <t>5.594287 -0.131624</t>
  </si>
  <si>
    <t>PERFECT STAT</t>
  </si>
  <si>
    <t>5.586311, -0.138039</t>
  </si>
  <si>
    <t>FREEDOTEL - LAPAZ</t>
  </si>
  <si>
    <t>5.605603-0.249791</t>
  </si>
  <si>
    <t>ASTERISK LIFE</t>
  </si>
  <si>
    <t>5.643674 -0.114208</t>
  </si>
  <si>
    <t>BLOW CHEM GROUP</t>
  </si>
  <si>
    <t>5.717984  0.018513</t>
  </si>
  <si>
    <t>COMPU GHANA NYNIBA NOKNOK</t>
  </si>
  <si>
    <t>5.560281 -0.171283</t>
  </si>
  <si>
    <t xml:space="preserve">COMPU GHANA SHOWROOM </t>
  </si>
  <si>
    <t>5.637041 -0.127639</t>
  </si>
  <si>
    <t>EQUIPMENT AFRICA</t>
  </si>
  <si>
    <t>5.762030  0.071131</t>
  </si>
  <si>
    <t xml:space="preserve">ETG </t>
  </si>
  <si>
    <t>5.705998  0.037253</t>
  </si>
  <si>
    <t xml:space="preserve">FAIRWAY LABONE </t>
  </si>
  <si>
    <t>5.573339 -0.165817</t>
  </si>
  <si>
    <t>FEELIN INSURANCE</t>
  </si>
  <si>
    <t>5.568339, -0.207892</t>
  </si>
  <si>
    <t>FURNART</t>
  </si>
  <si>
    <t>5.559500 -0.170070</t>
  </si>
  <si>
    <t>IBRAHIM BAAH RESIDENCE</t>
  </si>
  <si>
    <t xml:space="preserve"> 5.624246 -0.128680</t>
  </si>
  <si>
    <t>KATE COURT</t>
  </si>
  <si>
    <t xml:space="preserve"> 5.629862 -0.173196</t>
  </si>
  <si>
    <t>LEARNING HIVE</t>
  </si>
  <si>
    <t>5.613000 -0.202266</t>
  </si>
  <si>
    <t>OFORIWAA RESIDENCE</t>
  </si>
  <si>
    <t>5.628297 -0.141844</t>
  </si>
  <si>
    <t>POLISH</t>
  </si>
  <si>
    <t>5.572735 -0.174672</t>
  </si>
  <si>
    <t>ASHAIMAN VOCATIONAL</t>
  </si>
  <si>
    <t>5.718225, -0.047269</t>
  </si>
  <si>
    <t>KETA SENIOR HIGH/TECH</t>
  </si>
  <si>
    <t>5.883483,  0.983387</t>
  </si>
  <si>
    <t>5.877675, 0.981511</t>
  </si>
  <si>
    <t>UNIVERSITY OF ALLIED SCIENCE HO (UHAS)</t>
  </si>
  <si>
    <t>6.601369,  0.484786</t>
  </si>
  <si>
    <t>6.582650, 0.480183</t>
  </si>
  <si>
    <t>EFFANEST-SOGAKOPE</t>
  </si>
  <si>
    <t>GHANA SENIOR HIGH/TECH</t>
  </si>
  <si>
    <t>4.896583,-1.75077</t>
  </si>
  <si>
    <t>GREL</t>
  </si>
  <si>
    <t>4.883105,-1.751967</t>
  </si>
  <si>
    <t>TAKORADI SENIOR HIGH</t>
  </si>
  <si>
    <t>4.91946,-1.77382</t>
  </si>
  <si>
    <t>TAKORADI TECHNICAL UNIVERSITY</t>
  </si>
  <si>
    <t>4.909661, -1.755332</t>
  </si>
  <si>
    <t xml:space="preserve">CONTRACTA ITALIA  TAKOKRADI MARKECT CIRCLE </t>
  </si>
  <si>
    <t>4.897152, -1.760209</t>
  </si>
  <si>
    <t>FIJAI SENIOR HIGH</t>
  </si>
  <si>
    <t>4.93278,-1.7468</t>
  </si>
  <si>
    <t>BOMPEH SENIOR HIGH/TECH</t>
  </si>
  <si>
    <t>4.889873, -1.761250</t>
  </si>
  <si>
    <t>TAKORADI TECH. INST</t>
  </si>
  <si>
    <t>4.917608, -1.768042</t>
  </si>
  <si>
    <t>ABSA TAKORADI LIBERATION ROAD</t>
  </si>
  <si>
    <t>4.900903, -1.752844</t>
  </si>
  <si>
    <t xml:space="preserve">TAKORDI SKY FM  </t>
  </si>
  <si>
    <t>4.936186, -1.757675</t>
  </si>
  <si>
    <t>TAKORADI TULLOW OIL</t>
  </si>
  <si>
    <t>4.895619, -1.771789</t>
  </si>
  <si>
    <t>TAKORADI- MAINONE SKY</t>
  </si>
  <si>
    <t>4.936444, -1.757419</t>
  </si>
  <si>
    <t>FTS UNHCR</t>
  </si>
  <si>
    <t>4.923989, -1.789672</t>
  </si>
  <si>
    <t>CONTRACTA SEKONDI</t>
  </si>
  <si>
    <t>4.918344,-1.751531</t>
  </si>
  <si>
    <t>4.917299866,-1.76868715</t>
  </si>
  <si>
    <t>TAKWA - BAWDEA</t>
  </si>
  <si>
    <t>5.313427, -2.000212</t>
  </si>
  <si>
    <t>5.629181, -2.092061</t>
  </si>
  <si>
    <t>B5 TARKORADI</t>
  </si>
  <si>
    <t>4.907593, -1.779126</t>
  </si>
  <si>
    <t>CONTRACTA ITALIA MARKET</t>
  </si>
  <si>
    <t>4.897152,-1.760209</t>
  </si>
  <si>
    <t>4.941566, -1.748710</t>
  </si>
  <si>
    <t>SEKONDI TAKORADI METROPOLITAN</t>
  </si>
  <si>
    <t>4.902971,-1.75475</t>
  </si>
  <si>
    <t>CONTRACTA OFFICE</t>
  </si>
  <si>
    <t>6.053167,-0.008778</t>
  </si>
  <si>
    <t>TARKORADI GLO</t>
  </si>
  <si>
    <t>4.908770, -1.793463</t>
  </si>
  <si>
    <t>FAREAST-MERCANTILE TAKORADI</t>
  </si>
  <si>
    <t>4.904311,-1.791751</t>
  </si>
  <si>
    <t>KASI EXPRESS  TAKORADI  CTSL</t>
  </si>
  <si>
    <t>4.901432, -1.782530</t>
  </si>
  <si>
    <t>TECHNIP</t>
  </si>
  <si>
    <t>4.882536, -1.747575</t>
  </si>
  <si>
    <t>AMANDI APEMENYIM</t>
  </si>
  <si>
    <t xml:space="preserve">  4.932297 -1.977964</t>
  </si>
  <si>
    <t>4.999308, -2.024344</t>
  </si>
  <si>
    <t>TW MINES</t>
  </si>
  <si>
    <t xml:space="preserve"> 6.144586 -1.729389</t>
  </si>
  <si>
    <t>6.204592, -1.677794</t>
  </si>
  <si>
    <t>TW MINES RESIDENCE</t>
  </si>
  <si>
    <t xml:space="preserve"> 6.145653 -1.727870</t>
  </si>
  <si>
    <t>ANGLOGOLD TARKWA</t>
  </si>
  <si>
    <t xml:space="preserve"> 5.266315 -2.010335</t>
  </si>
  <si>
    <t>5.311208, -1.992372</t>
  </si>
  <si>
    <t>MELCOM TAKORADI</t>
  </si>
  <si>
    <t>4.889525,-1.761620</t>
  </si>
  <si>
    <t xml:space="preserve">FORESTRY COMMISSION-TAKORADI </t>
  </si>
  <si>
    <t>4.881231, -1.752181</t>
  </si>
  <si>
    <t>JAPAN MOTORS TAK</t>
  </si>
  <si>
    <t>4.903335 -1.759157</t>
  </si>
  <si>
    <t>ABSA TARKWA</t>
  </si>
  <si>
    <t>5.305614 -1.993252</t>
  </si>
  <si>
    <t>ABSA OBUASI</t>
  </si>
  <si>
    <t>6.204066 -1.677225</t>
  </si>
  <si>
    <t>ABSA TAKORADI HIGH STREET</t>
  </si>
  <si>
    <t>4.882300, -1.751058</t>
  </si>
  <si>
    <t>FAR EAST MERCANTILE - TAKORADI</t>
  </si>
  <si>
    <t>4.904134, -1.791824</t>
  </si>
  <si>
    <t xml:space="preserve">MONINET TAKORADI </t>
  </si>
  <si>
    <t>4.928161 -1.749186</t>
  </si>
  <si>
    <t>DABOASE GHANA WATER</t>
  </si>
  <si>
    <t>5.141233, -1.656314</t>
  </si>
  <si>
    <t>AGONA NKWANTA RES</t>
  </si>
  <si>
    <t>4.921614, -1.982608</t>
  </si>
  <si>
    <t>ABSA HO</t>
  </si>
  <si>
    <t xml:space="preserve">  6.611194  0.468948</t>
  </si>
  <si>
    <t>6.583016°  0.479933°</t>
  </si>
  <si>
    <t>ABSA HOHOE</t>
  </si>
  <si>
    <t>7.155030 0.479755</t>
  </si>
  <si>
    <t>7.143814°  0.476974°</t>
  </si>
  <si>
    <t xml:space="preserve"> ABURI MAMPONG(FREEDOTEL)</t>
  </si>
  <si>
    <t>5.900530 -0.149949</t>
  </si>
  <si>
    <t>5.873167° -0.157818°</t>
  </si>
  <si>
    <t>SCHLUMBERGER</t>
  </si>
  <si>
    <t>4.905271 -1.800478</t>
  </si>
  <si>
    <t>4.917494° -1.768088°</t>
  </si>
  <si>
    <t>ROOFING &amp; STEEL</t>
  </si>
  <si>
    <t>5.821806 0.198930</t>
  </si>
  <si>
    <t>5.869013° 0.263467°</t>
  </si>
  <si>
    <t>WILMAR AFRICA  FREE ZONE</t>
  </si>
  <si>
    <t>5.688462 0.012657</t>
  </si>
  <si>
    <t>5.693232° 0.006872°</t>
  </si>
  <si>
    <t>COMPU GHANA  SPINTEX</t>
  </si>
  <si>
    <t>5.636444 -0.130380</t>
  </si>
  <si>
    <t>5.614282° -0.089064°</t>
  </si>
  <si>
    <t>ADENIA</t>
  </si>
  <si>
    <t>5.599089 -0.180063</t>
  </si>
  <si>
    <t>5.622542° -0.186943°</t>
  </si>
  <si>
    <t>FREEDOTEL AMASAMAN1</t>
  </si>
  <si>
    <t>5.723362 -0.288985</t>
  </si>
  <si>
    <t xml:space="preserve">FREEDOTEL KUMASI </t>
  </si>
  <si>
    <t xml:space="preserve">  6.716556 -1.630016</t>
  </si>
  <si>
    <t>6.708812° -1.627639°</t>
  </si>
  <si>
    <t xml:space="preserve">UMO </t>
  </si>
  <si>
    <t>5.713706 -0.294656</t>
  </si>
  <si>
    <t>335 PLACE</t>
  </si>
  <si>
    <t>5.620713 -0.185240</t>
  </si>
  <si>
    <t xml:space="preserve">  5.622542° -0.186943°</t>
  </si>
  <si>
    <t>BREEZ FM</t>
  </si>
  <si>
    <t xml:space="preserve">  5.563084 -0.299930</t>
  </si>
  <si>
    <t>5.563084° -0.299930°</t>
  </si>
  <si>
    <t xml:space="preserve">PELIRENE ELORM RESIDENCE </t>
  </si>
  <si>
    <t xml:space="preserve">  5.770672 -0.126921</t>
  </si>
  <si>
    <t>5.766104° -0.110246°</t>
  </si>
  <si>
    <t xml:space="preserve">RENIE CHEMIST </t>
  </si>
  <si>
    <t>5.547490 -0.209632</t>
  </si>
  <si>
    <t xml:space="preserve">  5.571390° -0.209692°</t>
  </si>
  <si>
    <t xml:space="preserve">AMANDI APEMINYIM </t>
  </si>
  <si>
    <t>4.932297 -1.977964</t>
  </si>
  <si>
    <t>4.999309° -2.024345°</t>
  </si>
  <si>
    <t>GHANA FREE ZONE AUTHORITY - ACCRA HEAD OFFICE</t>
  </si>
  <si>
    <t>5.576696 -0.165139</t>
  </si>
  <si>
    <t>5.584144° -0.164072°</t>
  </si>
  <si>
    <t>GHANA FREE ZONE AUTHORITY - TEMA</t>
  </si>
  <si>
    <t>5.692765°  0.006971°</t>
  </si>
  <si>
    <t>5.692765° 0.006971°</t>
  </si>
  <si>
    <t>FAFAMESO COMPANY LTD</t>
  </si>
  <si>
    <t>5.578001 -0.172915</t>
  </si>
  <si>
    <t>MANET 1</t>
  </si>
  <si>
    <t>5.631507° -0.122441°</t>
  </si>
  <si>
    <r>
      <t>SANCFIS TEMA ROUNDABOUT</t>
    </r>
    <r>
      <rPr>
        <b/>
        <sz val="11"/>
        <color rgb="FF000000"/>
        <rFont val="Aptos"/>
        <family val="2"/>
      </rPr>
      <t xml:space="preserve"> </t>
    </r>
  </si>
  <si>
    <t>5.600075, -0.139594</t>
  </si>
  <si>
    <t>LUCY NOLAN (PAPAYE LODGE)</t>
  </si>
  <si>
    <t>5.823358, -0.185688</t>
  </si>
  <si>
    <t>PANEL 360 JULIANA</t>
  </si>
  <si>
    <t>6.094586, 0.096972</t>
  </si>
  <si>
    <t>ROCHE LEG ONE</t>
  </si>
  <si>
    <t>5.627853, -0.181844</t>
  </si>
  <si>
    <t>ROCHE LEG TWO</t>
  </si>
  <si>
    <t>UTV GHANA</t>
  </si>
  <si>
    <t>5.599892, -0.224011</t>
  </si>
  <si>
    <t>SMARTEX TIMBERLAND AND PLYWOOD (RADIO)</t>
  </si>
  <si>
    <t>5.610788° -2.566378°</t>
  </si>
  <si>
    <t xml:space="preserve">  5.584144° -0.164072°</t>
  </si>
  <si>
    <t>Microwave</t>
  </si>
  <si>
    <t>PELIRENE RICHARD VOLVOX</t>
  </si>
  <si>
    <t>5.757062, -0.145146</t>
  </si>
  <si>
    <t>PANEL 360 DANIEL AKATA - PORE</t>
  </si>
  <si>
    <t>5.931428, -0.129938</t>
  </si>
  <si>
    <t>GTBANK DATA CENTRE LEG 1</t>
  </si>
  <si>
    <t>5.684274° -0.136916°</t>
  </si>
  <si>
    <t>5.677437° -0.167211°</t>
  </si>
  <si>
    <t>GTBANK DATA CENTRE LEG 2</t>
  </si>
  <si>
    <t>BTS TELECOM HENRY AMANKWAH</t>
  </si>
  <si>
    <t>5.823131, -0.185399</t>
  </si>
  <si>
    <t>5.48052379, -0.565692</t>
  </si>
  <si>
    <t>5.379158, -0.652167</t>
  </si>
  <si>
    <t xml:space="preserve">AGRITOP </t>
  </si>
  <si>
    <t>5.7646713,-0.170554</t>
  </si>
  <si>
    <t>CUBE CONSULT WILLIAM</t>
  </si>
  <si>
    <t>5.748636° 0.034313°</t>
  </si>
  <si>
    <t>LETI ART</t>
  </si>
  <si>
    <t>5.691533, -0.169225</t>
  </si>
  <si>
    <t>THE DECADE UNIT 2</t>
  </si>
  <si>
    <t>5.600079° -0.139590°</t>
  </si>
  <si>
    <t>THE DECADE UNIT 3</t>
  </si>
  <si>
    <t>5.600099° -0.139570°</t>
  </si>
  <si>
    <t>THE DECADE UNIT 4</t>
  </si>
  <si>
    <t>5.600128° -0.139598°</t>
  </si>
  <si>
    <t>CUBE CONSULT TSE-ADDO</t>
  </si>
  <si>
    <t>5.600076° -0.139594°</t>
  </si>
  <si>
    <t xml:space="preserve">TRANSFORMATION </t>
  </si>
  <si>
    <t>5.650095°N 0.210143°W</t>
  </si>
  <si>
    <t>ECG KUMASI AIRPORT</t>
  </si>
  <si>
    <t>6.709005°-1.597170°</t>
  </si>
  <si>
    <t>ECG KUMASI ADUM</t>
  </si>
  <si>
    <t>6.690183° -1.623280°</t>
  </si>
  <si>
    <t>ECG PROJECT OFFICE</t>
  </si>
  <si>
    <t>5.567231, -0.219864</t>
  </si>
  <si>
    <t>2 * 10</t>
  </si>
  <si>
    <t>ECG LEGON DISTRICT OFFICE</t>
  </si>
  <si>
    <t>5.655213° -0.181018°</t>
  </si>
  <si>
    <t>NEPJEK LEG 1 (Buro)</t>
  </si>
  <si>
    <t>5.5609375, -0.1724562</t>
  </si>
  <si>
    <t>GLO-KNUST LEG 1</t>
  </si>
  <si>
    <t>6.675527° -1.568095°</t>
  </si>
  <si>
    <t>GLO-KNUST LEG 2</t>
  </si>
  <si>
    <t>6.675194° -1.380315°</t>
  </si>
  <si>
    <t>SOCCABET MADINA</t>
  </si>
  <si>
    <t>5.6793799 -0.1723550</t>
  </si>
  <si>
    <t>CARLCARE</t>
  </si>
  <si>
    <t>5.573725, -0.216711</t>
  </si>
  <si>
    <t>6.721094, -1.468794</t>
  </si>
  <si>
    <t>6.675194, -1.380314</t>
  </si>
  <si>
    <t>OAKVILLE ESTATE - E1</t>
  </si>
  <si>
    <t>5.762710° 0.083302°</t>
  </si>
  <si>
    <t>5.757568° 0.083992°</t>
  </si>
  <si>
    <t>OAKVILLE ESTATE - E3</t>
  </si>
  <si>
    <t>5.762693° 0.083021°</t>
  </si>
  <si>
    <t>MKOPAN ISON</t>
  </si>
  <si>
    <t>5.637852° 0.003162°</t>
  </si>
  <si>
    <t>SECOND CHANCE</t>
  </si>
  <si>
    <t>6.749245° -1.567537°</t>
  </si>
  <si>
    <t>AYO INTERMEDIARIES</t>
  </si>
  <si>
    <t>5.564987, -0.222878</t>
  </si>
  <si>
    <t>EMMANULE LARYEA</t>
  </si>
  <si>
    <t>5.55812970, -0.32669747</t>
  </si>
  <si>
    <t>CVS GHANA CENTER COMPANY LIMITED</t>
  </si>
  <si>
    <t>5.599207° -0.177756°</t>
  </si>
  <si>
    <t>CUBE CONSULT PETER RAHAN INTERNATIONAL SCHOOL</t>
  </si>
  <si>
    <t>5.747006° 0.035683°</t>
  </si>
  <si>
    <t xml:space="preserve">CUBE CONSULT MR JOHN </t>
  </si>
  <si>
    <t>5.748939° 0.036714°</t>
  </si>
  <si>
    <t>CUBE CONSULT BEN BROWN</t>
  </si>
  <si>
    <t>5.750560° 0.032633°</t>
  </si>
  <si>
    <t>5.693233, 0.006873</t>
  </si>
  <si>
    <t>CUBE CONSULT EDWARD ARTHUR</t>
  </si>
  <si>
    <t>5.751802° 0.032519°</t>
  </si>
  <si>
    <t>5.693233, 0.006874</t>
  </si>
  <si>
    <t>CUBE CONSULT ESTATE CHAIRMAN</t>
  </si>
  <si>
    <t>5.752596° 0.033289°</t>
  </si>
  <si>
    <t>5.693233, 0.006875</t>
  </si>
  <si>
    <t>CUBE CONSULT MR DEDGBIE</t>
  </si>
  <si>
    <t>5.754099° 0.034577°</t>
  </si>
  <si>
    <t>5.693233, 0.006876</t>
  </si>
  <si>
    <t>DATA VOICE &amp; POWER HQ, ADJIRINGANOR</t>
  </si>
  <si>
    <t>5.670196° -0.128834°</t>
  </si>
  <si>
    <t>BTS HQ, OYARIFA</t>
  </si>
  <si>
    <t xml:space="preserve">  5.766722° -0.179827°</t>
  </si>
  <si>
    <t>DANGOTE CEMENT</t>
  </si>
  <si>
    <t>4.998649148596176, -1.7254497310122108</t>
  </si>
  <si>
    <t>WAIKIKI JUNCTION MALL</t>
  </si>
  <si>
    <t>5.613500, -0.072100</t>
  </si>
  <si>
    <t xml:space="preserve">CUBE CONSULT DAWHENYA </t>
  </si>
  <si>
    <t>5.749639, 0.033536</t>
  </si>
  <si>
    <t>NEPJEK ( BURO LEG 2)</t>
  </si>
  <si>
    <t>B5 PLUS TAMALE</t>
  </si>
  <si>
    <t xml:space="preserve">  9.450259° -0.845861°</t>
  </si>
  <si>
    <t>9.417553° -0.860828°</t>
  </si>
  <si>
    <t>AMANDI GUEST HOUSE NSUTA</t>
  </si>
  <si>
    <t xml:space="preserve">  5.311837° -1.990435°</t>
  </si>
  <si>
    <t>5.311207° -1.992372°</t>
  </si>
  <si>
    <t>PROMASIDOR AIRPORT</t>
  </si>
  <si>
    <t xml:space="preserve">  5.610137° -0.184576°</t>
  </si>
  <si>
    <t>SHOPRITE TAKORADI MALL</t>
  </si>
  <si>
    <t>4.907145, -1.770146°</t>
  </si>
  <si>
    <t xml:space="preserve">  4.917494° -1.768088°</t>
  </si>
  <si>
    <t>HANSHENG GHANA</t>
  </si>
  <si>
    <t xml:space="preserve">  5.698879° -0.003593°</t>
  </si>
  <si>
    <t xml:space="preserve">  5.693232°  0.006872°</t>
  </si>
  <si>
    <t>GTVET HEADQUATERS</t>
  </si>
  <si>
    <t xml:space="preserve">5.645451, -0.170259
</t>
  </si>
  <si>
    <t>HUBTEL  ADENTA</t>
  </si>
  <si>
    <t>5.706137,-0.167496</t>
  </si>
  <si>
    <t xml:space="preserve">  5.677437° -0.167211°</t>
  </si>
  <si>
    <t>HUBTEL  MAAME SERWAA PLAZA</t>
  </si>
  <si>
    <t>5.667186,-0.208386</t>
  </si>
  <si>
    <t>HUBTEL  ZODIAK</t>
  </si>
  <si>
    <t>5.5597102, -02619022</t>
  </si>
  <si>
    <t xml:space="preserve">  5.563084° -0.299930°</t>
  </si>
  <si>
    <t>MULTIPRO PRIVATE LTD</t>
  </si>
  <si>
    <t>5.669028, -0.000500</t>
  </si>
  <si>
    <t>PENTECOAST CONVENTION CENTRE</t>
  </si>
  <si>
    <t xml:space="preserve">  5.464389°  5.464389°</t>
  </si>
  <si>
    <t xml:space="preserve">MACTECH COMPUTER  SERVICE </t>
  </si>
  <si>
    <t>6.001165, 0.599467</t>
  </si>
  <si>
    <t xml:space="preserve">  5.997086°  0.595473°</t>
  </si>
  <si>
    <t>DEVOPS GHANA LIMTED TENTRA</t>
  </si>
  <si>
    <t>5.643117, -0.244864</t>
  </si>
  <si>
    <t>PELIRENE JEAN MARCEL KONA KOFFI</t>
  </si>
  <si>
    <t>5.782379, -0.132590</t>
  </si>
  <si>
    <t xml:space="preserve">  5.766104° -0.110246°</t>
  </si>
  <si>
    <t>CUBE CONSULT HANNAH</t>
  </si>
  <si>
    <t>5.751103° 0.033106°</t>
  </si>
  <si>
    <t xml:space="preserve">CUBE CONSULT BERNARD </t>
  </si>
  <si>
    <t>5.751004° 0.031920°</t>
  </si>
  <si>
    <t xml:space="preserve"> CUBE CONSULT MR. DAMBILIA</t>
  </si>
  <si>
    <t xml:space="preserve"> 5.751670° 0.028805°</t>
  </si>
  <si>
    <t>CUBE CONSULT GOGOVI</t>
  </si>
  <si>
    <t xml:space="preserve"> 5.751776° 0.028631°</t>
  </si>
  <si>
    <t>CUBE CONSULT MR. FELIX  AMOAH</t>
  </si>
  <si>
    <t xml:space="preserve"> 5.752176 0.033484</t>
  </si>
  <si>
    <t>CUBE CONSULT MARRISON</t>
  </si>
  <si>
    <t xml:space="preserve"> 5.750942° 0.032585°</t>
  </si>
  <si>
    <t>CUBE CONSULT KWAME SACRATSO</t>
  </si>
  <si>
    <t xml:space="preserve"> 5.752080° 0.032575°</t>
  </si>
  <si>
    <t xml:space="preserve">CUBE CONSULT ISAAC </t>
  </si>
  <si>
    <t>5.736657° 0.028583°</t>
  </si>
  <si>
    <t xml:space="preserve">B FOSTER </t>
  </si>
  <si>
    <t xml:space="preserve">  6.094215° -0.260275°</t>
  </si>
  <si>
    <t xml:space="preserve">  6.091218° -0.258441°</t>
  </si>
  <si>
    <t>CUBE CONSULT GRATIFIED ENGINEERING CEO</t>
  </si>
  <si>
    <t>4.905742, -1.791255</t>
  </si>
  <si>
    <t>BTS TELECOM  JUDE RESIDENCE</t>
  </si>
  <si>
    <t xml:space="preserve">  5.776384° -0.179309°</t>
  </si>
  <si>
    <t>BOSCH SITE 1</t>
  </si>
  <si>
    <t>4.8970647, -1.7663818</t>
  </si>
  <si>
    <t>CUBE CONSULT ICGC CHRIST TEMPLE EAST</t>
  </si>
  <si>
    <t>5.581420,  -0.131659</t>
  </si>
  <si>
    <t xml:space="preserve">CUBE CONSULT WILLIE QUAME </t>
  </si>
  <si>
    <t>5.752683,-0.032069</t>
  </si>
  <si>
    <t>CUBE CONSULT MR MARTIN</t>
  </si>
  <si>
    <t xml:space="preserve">  5.752517° 0.030815°</t>
  </si>
  <si>
    <t>CUBE CONSULT MR EVANS</t>
  </si>
  <si>
    <t>5.753301° 0.031243°</t>
  </si>
  <si>
    <t xml:space="preserve">CUBE CONSULT MR ABRAHAM </t>
  </si>
  <si>
    <t>5.752863° 0.031545°</t>
  </si>
  <si>
    <t xml:space="preserve">CUBE CONSULT MR THEO </t>
  </si>
  <si>
    <t>5.753672° 0.031431°</t>
  </si>
  <si>
    <t>TAMALE BTS</t>
  </si>
  <si>
    <t>PELIRENE LIMTED FRANCIS NUAMAH</t>
  </si>
  <si>
    <t xml:space="preserve">COMPU GHANA  SPINTEX </t>
  </si>
  <si>
    <t xml:space="preserve">  5.636444° -0.130380°</t>
  </si>
  <si>
    <t>ECG AMASAMAN OFFICE</t>
  </si>
  <si>
    <t xml:space="preserve">  5.713706° -0.294656°</t>
  </si>
  <si>
    <t>5.704164, -0.300261</t>
  </si>
  <si>
    <t xml:space="preserve">COMPU GHANA WEST HILLS MALL </t>
  </si>
  <si>
    <t>RENIE CHEMIST WAREHOUSE</t>
  </si>
  <si>
    <t>5.547440, -0.209876</t>
  </si>
  <si>
    <t>TOYOTA NEW ABIREM</t>
  </si>
  <si>
    <t>PIL</t>
  </si>
  <si>
    <t>5.634952°  0.004479°</t>
  </si>
  <si>
    <t>SETSO A</t>
  </si>
  <si>
    <t xml:space="preserve">  5.716237° -0.049165°</t>
  </si>
  <si>
    <t>HUBTEL  MUSUKU STORES</t>
  </si>
  <si>
    <t>HUBTEL  RASTA ROAD</t>
  </si>
  <si>
    <t xml:space="preserve">  5.592290° -0.131302°</t>
  </si>
  <si>
    <t xml:space="preserve">HUBTEL  RIZ HOTEL JUNCTION </t>
  </si>
  <si>
    <t xml:space="preserve">  5.681382° -0.165970°</t>
  </si>
  <si>
    <t>RIDER IRON &amp; STEEL GHANA</t>
  </si>
  <si>
    <t>6.613677, -1.253768</t>
  </si>
  <si>
    <t>REDSTRIP SOLUTION</t>
  </si>
  <si>
    <t xml:space="preserve">  5.608722° -0.188467°</t>
  </si>
  <si>
    <t xml:space="preserve">HAROLD'S RESIDENCE </t>
  </si>
  <si>
    <t>5.471493, -0.423047</t>
  </si>
  <si>
    <t xml:space="preserve">SANCFIS ENI GHANA </t>
  </si>
  <si>
    <t xml:space="preserve">  5.561002° -0.203322°</t>
  </si>
  <si>
    <t>PELIRENE MR ANAFI</t>
  </si>
  <si>
    <t>5.773037, -0.122654</t>
  </si>
  <si>
    <t>ABII NATIONAL ADABRAKA</t>
  </si>
  <si>
    <t>5.56897, -0.21460</t>
  </si>
  <si>
    <t>FEVER RELIEVE FOUNDATION</t>
  </si>
  <si>
    <t>5.715299,-0.109228</t>
  </si>
  <si>
    <t>ICMPD</t>
  </si>
  <si>
    <t xml:space="preserve">MARK RESIDENCE </t>
  </si>
  <si>
    <t xml:space="preserve">  5.695054° -0.239794°</t>
  </si>
  <si>
    <t>ICGC CHRIST TEMPLE EAST</t>
  </si>
  <si>
    <t>5.581888, -0.132165</t>
  </si>
  <si>
    <t>CFAO KUMASI</t>
  </si>
  <si>
    <t>6.680997, -1.622264</t>
  </si>
  <si>
    <t xml:space="preserve">  6.708774° -1.627550°</t>
  </si>
  <si>
    <t xml:space="preserve">CFAO TAKORADI </t>
  </si>
  <si>
    <t>4.9033577, -1.764719</t>
  </si>
  <si>
    <t>SUNU ASSURANCE</t>
  </si>
  <si>
    <t>6.680125, -1.603937</t>
  </si>
  <si>
    <t>NATHANIEL PADI</t>
  </si>
  <si>
    <t>5.551308, -0.367353</t>
  </si>
  <si>
    <t>PELIRENE LIMITED EMMANUEL KOBBY KORTEY</t>
  </si>
  <si>
    <t>PELIRENE LIMITED SAMUEL AHADZI</t>
  </si>
  <si>
    <t>5.768626, -0.131057</t>
  </si>
  <si>
    <t>EMMANUEL TIEKU</t>
  </si>
  <si>
    <t>5.872817, -0.157719</t>
  </si>
  <si>
    <t>CUBE CONSULT PASTOR DEBRAH</t>
  </si>
  <si>
    <t>5.753524,-0.033934</t>
  </si>
  <si>
    <t>CUBE CONSULT MR SYLVESTER</t>
  </si>
  <si>
    <t>5.751865°,-0.031909°</t>
  </si>
  <si>
    <t>CUBE CONSULT PROF FRANCIS NII NUERTEY BOTCHWAY</t>
  </si>
  <si>
    <t xml:space="preserve">  5.725704 0.103733</t>
  </si>
  <si>
    <t>VIADADDI ENTERPRISE</t>
  </si>
  <si>
    <t>5.724102, -0.105811</t>
  </si>
  <si>
    <t xml:space="preserve">GAPTE AAYALOLO </t>
  </si>
  <si>
    <t>5.687107, -0.160520</t>
  </si>
  <si>
    <t>MINISTRY OF EMPLOYMENT  AND LABOUR</t>
  </si>
  <si>
    <t xml:space="preserve">  5.551837° -0.195915°</t>
  </si>
  <si>
    <t>FRANCIS DZATA</t>
  </si>
  <si>
    <t>JONAH BAHAMUS</t>
  </si>
  <si>
    <t>5.694694, -0.111361</t>
  </si>
  <si>
    <t>SUNDA KUMASI</t>
  </si>
  <si>
    <t>6.662050, -1.615784</t>
  </si>
  <si>
    <t>KAAF UNIVERSITY COLLEGE</t>
  </si>
  <si>
    <t>5.511008, -0.491806</t>
  </si>
  <si>
    <t xml:space="preserve">YOUTH EMPLOYMENT </t>
  </si>
  <si>
    <t>5.560358, -0.168456</t>
  </si>
  <si>
    <t>MAKOT SOLUTIONS GOSHEN</t>
  </si>
  <si>
    <t xml:space="preserve">  5.750705°  0.093967°</t>
  </si>
  <si>
    <t xml:space="preserve">  5.757568°  0.083992°</t>
  </si>
  <si>
    <t xml:space="preserve">NPA KOFORIDUA </t>
  </si>
  <si>
    <t xml:space="preserve">NPA TAKORADI </t>
  </si>
  <si>
    <t xml:space="preserve">4.9443933, -1.7255206
</t>
  </si>
  <si>
    <t xml:space="preserve">NPA KUMASI </t>
  </si>
  <si>
    <t xml:space="preserve">  6.687348° -1.629721°</t>
  </si>
  <si>
    <t>MAINONE CLS - GIL(DF CABLE)</t>
  </si>
  <si>
    <t>GHANA CHRISTIAN INT SCHOOL</t>
  </si>
  <si>
    <t>5.848919, -0.056258</t>
  </si>
  <si>
    <t>STANDARD CHARTERED BANK</t>
  </si>
  <si>
    <t>5.598878° -0.179671°</t>
  </si>
  <si>
    <t>FIDO CREDIT</t>
  </si>
  <si>
    <t>5.5708599,-0.1912669</t>
  </si>
  <si>
    <t>UGMC</t>
  </si>
  <si>
    <t xml:space="preserve">  5.632825° -0.185343°</t>
  </si>
  <si>
    <t>KEDA GHANA</t>
  </si>
  <si>
    <t xml:space="preserve">  4.987641° -1.657044°</t>
  </si>
  <si>
    <t>CUBE CONSULT PETER OPPONG</t>
  </si>
  <si>
    <t>5.753045°, 0.028576°</t>
  </si>
  <si>
    <t>ZOE SHOP</t>
  </si>
  <si>
    <t>5.996620, 0.5960656</t>
  </si>
  <si>
    <t>IOM KUMASI</t>
  </si>
  <si>
    <t>GT BANK TRAINING SCHOOOL</t>
  </si>
  <si>
    <t>ADA TRAINING COLLEGE</t>
  </si>
  <si>
    <t xml:space="preserve">MINISTRY OF FOREIGN AFFAIRS </t>
  </si>
  <si>
    <t>GEEMON TILLS RESORT</t>
  </si>
  <si>
    <t>GENSER ENERGY TAKORADI CORPORATE</t>
  </si>
  <si>
    <t>FREEDOTEL KLAGON POP</t>
  </si>
  <si>
    <t xml:space="preserve">  5.660844° -0.053724°</t>
  </si>
  <si>
    <t>HUBTEL NORTH KANESHIE</t>
  </si>
  <si>
    <t>ZTE</t>
  </si>
  <si>
    <t xml:space="preserve">  5.582534° -0.168090°</t>
  </si>
  <si>
    <t>NPA TAKORADI</t>
  </si>
  <si>
    <t xml:space="preserve">  4.944596° -1.725513°</t>
  </si>
  <si>
    <t xml:space="preserve">LG </t>
  </si>
  <si>
    <t xml:space="preserve">  5.637354° -0.104593°</t>
  </si>
  <si>
    <t xml:space="preserve">  6.106186° -0.269658°</t>
  </si>
  <si>
    <t>STANLEY ELIS</t>
  </si>
  <si>
    <t>SEDAN LANDBANK</t>
  </si>
  <si>
    <t>SETH KWEKU ANSAH</t>
  </si>
  <si>
    <t>NOW AVAILABLE RESIDENCE</t>
  </si>
  <si>
    <t xml:space="preserve">HO NETWORK </t>
  </si>
  <si>
    <t>CUBECONSULT THE GREENS ESTATE</t>
  </si>
  <si>
    <t>OPERATION SMILE</t>
  </si>
  <si>
    <t>BLOW CHEM TEMA</t>
  </si>
  <si>
    <t>BRITISH POWER HOUSE</t>
  </si>
  <si>
    <t>NETWORK INTERNATIONAL</t>
  </si>
  <si>
    <t>ELDARK ENGINEERING ELDARK@DON @</t>
  </si>
  <si>
    <t>ZANYA BUGRI</t>
  </si>
  <si>
    <t>MAMBODA BUGRI</t>
  </si>
  <si>
    <t>SEVN GHANA LIMITED</t>
  </si>
  <si>
    <t>OCADIA BAKERY &amp; CAFE</t>
  </si>
  <si>
    <t>GODSWAY SOSSOU</t>
  </si>
  <si>
    <t>BTS MAJ KPA ABANAH</t>
  </si>
  <si>
    <t>BTS MR DEVINE PUPLAMPU</t>
  </si>
  <si>
    <t>BTS ERNEST BEDZRA</t>
  </si>
  <si>
    <t>BTS JOHN MCCLEAN</t>
  </si>
  <si>
    <t>DHL TAMALE</t>
  </si>
  <si>
    <t>WAKIKI JUNCTION MALL</t>
  </si>
  <si>
    <t xml:space="preserve">GT BANK ASHALEY BOTWE RELOCATION </t>
  </si>
  <si>
    <t>MULTIPRO PRIVATE LIMITED</t>
  </si>
  <si>
    <t>EMMANUEL TEIKU</t>
  </si>
  <si>
    <t>NAVRONGO HEALTH RESEARCH CENTER</t>
  </si>
  <si>
    <t>QUANTUM OIL</t>
  </si>
  <si>
    <t>UHAS TRAVAGAH</t>
  </si>
  <si>
    <t>PRINCE UBADIRE</t>
  </si>
  <si>
    <t>GB FOOD</t>
  </si>
  <si>
    <t>GEEMOON COMPU GHANA</t>
  </si>
  <si>
    <t>FINNEY HOSPITAL</t>
  </si>
  <si>
    <t>PRMASIDOR HQ</t>
  </si>
  <si>
    <t>SDC CAPITAL</t>
  </si>
  <si>
    <t>SDC HEAD OFFICE</t>
  </si>
  <si>
    <t>GOIL CONFERENCE</t>
  </si>
  <si>
    <t>TBI</t>
  </si>
  <si>
    <t>GOIL KPONE</t>
  </si>
  <si>
    <t>JING GH</t>
  </si>
  <si>
    <t>HONDA PLACE</t>
  </si>
  <si>
    <t>ADVANS DARKUMAN</t>
  </si>
  <si>
    <t>ADVANCE MADINA</t>
  </si>
  <si>
    <t>ELIHO</t>
  </si>
  <si>
    <t xml:space="preserve">CHURCH OF PENTECOST </t>
  </si>
  <si>
    <t>CRAX SMD-BRANDON DAVID</t>
  </si>
  <si>
    <t xml:space="preserve">INDIAN HIGH COMMISSION </t>
  </si>
  <si>
    <t>GCB HQ SECOND LEG</t>
  </si>
  <si>
    <t>EMCEE CONNECT</t>
  </si>
  <si>
    <t>TRADEPASS</t>
  </si>
  <si>
    <t>M-KOPA KUMASI</t>
  </si>
  <si>
    <t>WEIJA POP</t>
  </si>
  <si>
    <t>MANYIA POP</t>
  </si>
  <si>
    <t>SUNYANI HIGH COURT</t>
  </si>
  <si>
    <t>STAR STEEL GHANA</t>
  </si>
  <si>
    <t>BIRIWA</t>
  </si>
  <si>
    <t>RADIO SAVANNAH</t>
  </si>
  <si>
    <t>KUNLE NUBI</t>
  </si>
  <si>
    <t>3D KWABENYA POP</t>
  </si>
  <si>
    <t>BTS MUSTPHA DAUDA</t>
  </si>
  <si>
    <t>BTS PASTOR ASARE</t>
  </si>
  <si>
    <t>AUXANO TECHNOLOGIES BLUE RESORT</t>
  </si>
  <si>
    <t>AUXANO TECHNOLOGIES ICAG</t>
  </si>
  <si>
    <t>VANNIADO</t>
  </si>
  <si>
    <t xml:space="preserve">E &amp; A BEACHFRONT </t>
  </si>
  <si>
    <t>BTS TELECOM MR SAMPSON</t>
  </si>
  <si>
    <t>BTS TELECOM SAMUEL FUAH</t>
  </si>
  <si>
    <t>BTS TELECOM ISAAC D24</t>
  </si>
  <si>
    <t>BTS MR TINO</t>
  </si>
  <si>
    <t xml:space="preserve">CUBECONSULT MR CHARLES </t>
  </si>
  <si>
    <t>BTS TELECOM MR OBIRI BOATENG</t>
  </si>
  <si>
    <t>BTS TELECOM PRINCE GYENING</t>
  </si>
  <si>
    <t>BTS TELECOM MILLICENT HOME</t>
  </si>
  <si>
    <t>BTS TELECOM OYARIFA POLICE STATION</t>
  </si>
  <si>
    <t>GT BANK MD RESIDENCE</t>
  </si>
  <si>
    <t>BTS TELECOM MALIK GARBA</t>
  </si>
  <si>
    <t>BTS TELECOM YAKUBU SAANI</t>
  </si>
  <si>
    <t>BTS TELECOM SAMUEL OSEI</t>
  </si>
  <si>
    <t>ABSA GUMANI</t>
  </si>
  <si>
    <t>JAPAN MOTORS TAMALE</t>
  </si>
  <si>
    <t>FAR EAST MERCANTILE - TAMALE</t>
  </si>
  <si>
    <t>TAMALE TEACHING HOSPITAL</t>
  </si>
  <si>
    <t>CARL TECH</t>
  </si>
  <si>
    <t>ABSA TAMALE</t>
  </si>
  <si>
    <t>STL NHIA</t>
  </si>
  <si>
    <t xml:space="preserve">TAMALE AIRPORT </t>
  </si>
  <si>
    <t>FREEDOTEL KWABENYA POP</t>
  </si>
  <si>
    <t xml:space="preserve">KWABENYA </t>
  </si>
  <si>
    <t xml:space="preserve">COMPU GHANA </t>
  </si>
  <si>
    <t>SPINTEX</t>
  </si>
  <si>
    <t>CITZEN KOFI</t>
  </si>
  <si>
    <t>OSU</t>
  </si>
  <si>
    <t>PELIRENE ELIKEM RESIDENCE 1</t>
  </si>
  <si>
    <t>AMRAHIA</t>
  </si>
  <si>
    <t xml:space="preserve">DVLA SUNYANI </t>
  </si>
  <si>
    <t>MECOY HQ</t>
  </si>
  <si>
    <t xml:space="preserve">CANTONMENT </t>
  </si>
  <si>
    <t xml:space="preserve">JANUARY </t>
  </si>
  <si>
    <t>BMG</t>
  </si>
  <si>
    <t>TEMA</t>
  </si>
  <si>
    <t>GSL HQ</t>
  </si>
  <si>
    <t>MECOY ADENTA</t>
  </si>
  <si>
    <t>ADENTA</t>
  </si>
  <si>
    <t>BROLL ACCRA MALL</t>
  </si>
  <si>
    <t>GOIL HQ</t>
  </si>
  <si>
    <t>ADABRAKA</t>
  </si>
  <si>
    <t>ADVANS ASHIAMAN</t>
  </si>
  <si>
    <t>ASHAIMAN</t>
  </si>
  <si>
    <t>ADVANS TESHIE</t>
  </si>
  <si>
    <t>TESHIE</t>
  </si>
  <si>
    <t>SAGEVEST</t>
  </si>
  <si>
    <t xml:space="preserve">ABELENKPE </t>
  </si>
  <si>
    <t>CSD TEMA</t>
  </si>
  <si>
    <t>GB FOOD 2</t>
  </si>
  <si>
    <t>PAUL BAIDOO CUDJOE</t>
  </si>
  <si>
    <t>OYIBI</t>
  </si>
  <si>
    <t>AZAR CHEMICAL INDUSTRY</t>
  </si>
  <si>
    <t>BANK OF GHANA</t>
  </si>
  <si>
    <t>TEMA OIL REFINERY</t>
  </si>
  <si>
    <t>ENYERIS GOVERNMENT HOSPTAIL</t>
  </si>
  <si>
    <t>ENYERISE</t>
  </si>
  <si>
    <t xml:space="preserve">CUBE CONSULT LAWYER AGBESHIE </t>
  </si>
  <si>
    <t>4TH RIDGE</t>
  </si>
  <si>
    <t>CAPECOAST</t>
  </si>
  <si>
    <t>APPLE TELECOM ANIWA NKWANTA</t>
  </si>
  <si>
    <t>ANIWA NKWANTA</t>
  </si>
  <si>
    <t>FREEDOTEL SHAI HILLS</t>
  </si>
  <si>
    <t>SHAI HILLS</t>
  </si>
  <si>
    <t xml:space="preserve">FEBRUARY </t>
  </si>
  <si>
    <t>PRINCE MENSAH</t>
  </si>
  <si>
    <t>JOHN AIDOO</t>
  </si>
  <si>
    <t xml:space="preserve">BORTIANOR </t>
  </si>
  <si>
    <t>HILLSIDE VILLAGE</t>
  </si>
  <si>
    <t>BEREKUSO</t>
  </si>
  <si>
    <t>SPRINGBOARD ROADSHOW</t>
  </si>
  <si>
    <t>EAST AIRPORT</t>
  </si>
  <si>
    <t>EDURK</t>
  </si>
  <si>
    <t>CRISBERRY</t>
  </si>
  <si>
    <t xml:space="preserve">SPINTEX </t>
  </si>
  <si>
    <t>FELAL VENTURES TARKWA</t>
  </si>
  <si>
    <t>KELMOS SOLUTIONS EUNICE OFORI</t>
  </si>
  <si>
    <t>MARKO STRUCTURES</t>
  </si>
  <si>
    <t>CANTOMENT SITE</t>
  </si>
  <si>
    <t>PELIRENE WILLIAM  DANSO ( MELODY KIDS )</t>
  </si>
  <si>
    <t>PELIRENE FRANCIS ATTAH</t>
  </si>
  <si>
    <t>SONRISE SENIOR HIGH</t>
  </si>
  <si>
    <t>CLEMENT SQUIRE</t>
  </si>
  <si>
    <t>SOCCABET MEDIE</t>
  </si>
  <si>
    <t>MEDIE</t>
  </si>
  <si>
    <t>LORRITA EDOH</t>
  </si>
  <si>
    <t>360 PANEL SAMUEL BOAFO</t>
  </si>
  <si>
    <t>BTS TELECOM NATURE BLEND HOSPITAL</t>
  </si>
  <si>
    <t>BTS TELECOM SELORM KPIKPI</t>
  </si>
  <si>
    <t>GEEMON I20 MOTORS AND TRADING 1</t>
  </si>
  <si>
    <t>GEEMON I2 MOTORS AND TRADING 20</t>
  </si>
  <si>
    <t>PAIG</t>
  </si>
  <si>
    <t>GIMPA</t>
  </si>
  <si>
    <t>CUBE CONSULT BORGA JOE</t>
  </si>
  <si>
    <t>EMILY VESTA MANTEY</t>
  </si>
  <si>
    <t>MAKOT SOLUTION NEW HOSTLE</t>
  </si>
  <si>
    <t>KELMOS SOLUTION LOUISA</t>
  </si>
  <si>
    <t>BTS TELECOM BARBRA AWANDI</t>
  </si>
  <si>
    <t>BTS TELECOM MR EMMANUEL</t>
  </si>
  <si>
    <t>BTS TELECOM LINUS SHANE</t>
  </si>
  <si>
    <t>ERNIMICH</t>
  </si>
  <si>
    <t>MAWAL TECHNOLOGY HQ ANNEX</t>
  </si>
  <si>
    <t>CUBECONSULT THOMAS APUDIGA</t>
  </si>
  <si>
    <t>CAL BANK HQ BUILDING</t>
  </si>
  <si>
    <t>LEKAN RESIDENCE</t>
  </si>
  <si>
    <t>VIVIAN BAIDOO</t>
  </si>
  <si>
    <t>CUBECONSULT MR RAPHAEL DARTEY</t>
  </si>
  <si>
    <t>CUBECONSULT CANDLELIGHT INT. SCHOOL</t>
  </si>
  <si>
    <t>DTI SECOND HOSTEL</t>
  </si>
  <si>
    <t>Western Beverages Limited</t>
  </si>
  <si>
    <t>Cyril Amave</t>
  </si>
  <si>
    <t>Tang Palace</t>
  </si>
  <si>
    <t>Theophilus Armah Attoh</t>
  </si>
  <si>
    <t>MR PRICE ACCRA MALL</t>
  </si>
  <si>
    <t>MR PRICE ACHIMOTA</t>
  </si>
  <si>
    <t>ACHIMOTA</t>
  </si>
  <si>
    <t xml:space="preserve">LOURDU PARIVALAN </t>
  </si>
  <si>
    <t>CUBECONSULT MAD. AKOSUA BRAGO</t>
  </si>
  <si>
    <t>WINFRED NII NARKU NOI</t>
  </si>
  <si>
    <t>GHANA HIGHWAYS KUMASI</t>
  </si>
  <si>
    <t>LDS DAWEHNYA</t>
  </si>
  <si>
    <t>DAWEHNYA</t>
  </si>
  <si>
    <t>KELMOS SOLUTIONS GEMTEC GROUP</t>
  </si>
  <si>
    <t>PRINTEX LIMITED</t>
  </si>
  <si>
    <t>CUBECONSULT MR. AMOAH JONATHAN</t>
  </si>
  <si>
    <t>KWAMENA QUANSAH</t>
  </si>
  <si>
    <t xml:space="preserve">INFOWAY </t>
  </si>
  <si>
    <t>BTS TELECOM RASHIDA GARBSON</t>
  </si>
  <si>
    <t>BTS TELECOM NANA YAW MANTEY TIEKU</t>
  </si>
  <si>
    <t>MICHAEL WUNI</t>
  </si>
  <si>
    <t>HISENSE SHOWROOM</t>
  </si>
  <si>
    <t>CUBECONSULT MR. FRANCIS</t>
  </si>
  <si>
    <t>CUBECONSULT MR. YAW SAIW</t>
  </si>
  <si>
    <t>ANU</t>
  </si>
  <si>
    <t>SCANIA</t>
  </si>
  <si>
    <t>ECG WESTLAND RESIDENCE</t>
  </si>
  <si>
    <t>GEEMON COMPU GHANA DZORWULU</t>
  </si>
  <si>
    <t>DZORWULU</t>
  </si>
  <si>
    <t>ALORA BEACH RESORT</t>
  </si>
  <si>
    <t>LA</t>
  </si>
  <si>
    <t>ARIMA FARMS</t>
  </si>
  <si>
    <t>CUBECONSULT PASSION HOME</t>
  </si>
  <si>
    <t>DTI 2</t>
  </si>
  <si>
    <t>FINEPACK INDUSTRIES LTD</t>
  </si>
  <si>
    <t>EBENEZER ACHEAMPONG</t>
  </si>
  <si>
    <t>ERNEST ODOTEI</t>
  </si>
  <si>
    <t>NUNGUA POP</t>
  </si>
  <si>
    <t>De Youngsters</t>
  </si>
  <si>
    <t>AKU MENSAH</t>
  </si>
  <si>
    <t>LDS NSAWAM</t>
  </si>
  <si>
    <t>AZAR CHEMICAL HQ</t>
  </si>
  <si>
    <t>5.638908, -0.124649</t>
  </si>
  <si>
    <t>GEPA CAPECOAST</t>
  </si>
  <si>
    <t xml:space="preserve">  5.117605° -1.229643°</t>
  </si>
  <si>
    <t xml:space="preserve">CAPECOAST </t>
  </si>
  <si>
    <t>GEPA TAKORADI</t>
  </si>
  <si>
    <t>TAKORADI</t>
  </si>
  <si>
    <t>GEORGE ASANTE</t>
  </si>
  <si>
    <t xml:space="preserve">  5.795819° -0.341399°</t>
  </si>
  <si>
    <t>ABDULKARIM DARKAZALLI</t>
  </si>
  <si>
    <t>5.625300, -0.160979</t>
  </si>
  <si>
    <t>MICHAEL MENSAH</t>
  </si>
  <si>
    <t>5.806960, -0.108505</t>
  </si>
  <si>
    <t>TAMER KADALEM</t>
  </si>
  <si>
    <t>5.6414827,-0.1547115</t>
  </si>
  <si>
    <t>NEW MSC SITE</t>
  </si>
  <si>
    <t>RELOCATED MSC SITE</t>
  </si>
  <si>
    <t>KENNY ROSE WIRELESS INTERNET</t>
  </si>
  <si>
    <t>QG CONSTRUCTION</t>
  </si>
  <si>
    <t>BTS TELECOM EMEFA ABGOTSE</t>
  </si>
  <si>
    <t>SHARMA</t>
  </si>
  <si>
    <t>ESTELLA W</t>
  </si>
  <si>
    <t>CUBECONSULT LORIANE GHANA</t>
  </si>
  <si>
    <t>BTS TELECOM ROBERT ADWINI</t>
  </si>
  <si>
    <t>BTS TELECOM FRANCIS MENSAH</t>
  </si>
  <si>
    <t>THE CHURCH OF PENTECOST HQ</t>
  </si>
  <si>
    <t xml:space="preserve">  5.563440° -0.149930°</t>
  </si>
  <si>
    <t>CUBECONSULT MR. SOLOMON MENSAH</t>
  </si>
  <si>
    <t>CUBECONSULT MADIS HOSTEL</t>
  </si>
  <si>
    <t>CUBECONSULT MR. SAM</t>
  </si>
  <si>
    <t>CUBECONSULT MR. ALBERT</t>
  </si>
  <si>
    <t>FLOUR MILLS GHANA LTD DUAL LINK</t>
  </si>
  <si>
    <t>PAUL QUASHIEGAH</t>
  </si>
  <si>
    <t>ARKSA ENERGY EJISU</t>
  </si>
  <si>
    <t>PONPA GBENZEY</t>
  </si>
  <si>
    <t xml:space="preserve">EJISU </t>
  </si>
  <si>
    <t>PROCUS GHANA</t>
  </si>
  <si>
    <t xml:space="preserve">  5.658433°  0.004127°</t>
  </si>
  <si>
    <t>GEEMON MAHWAAN ERIC</t>
  </si>
  <si>
    <t xml:space="preserve">BEST FLY TRAVEL </t>
  </si>
  <si>
    <t xml:space="preserve">  5.596238° -0.126322°</t>
  </si>
  <si>
    <t>DAVID JEBENS</t>
  </si>
  <si>
    <t>BREEZNET PETRA TRUST</t>
  </si>
  <si>
    <t>DE YOUNGSTERS ADENTA</t>
  </si>
  <si>
    <t xml:space="preserve">  5.703380° -0.148425°</t>
  </si>
  <si>
    <t xml:space="preserve">DE YOUNGSTERS ANNEX </t>
  </si>
  <si>
    <t xml:space="preserve">  5.577621° -0.213761°</t>
  </si>
  <si>
    <t>DE YOUNGSTERS KOKOMLEMLE</t>
  </si>
  <si>
    <t xml:space="preserve">  5.577765° -0.213927°</t>
  </si>
  <si>
    <t>KOKOMLEMLE</t>
  </si>
  <si>
    <t>DE YOUNGSTERS KOTOBABI</t>
  </si>
  <si>
    <t xml:space="preserve">  5.593191° -0.204134°</t>
  </si>
  <si>
    <t>KOTOBABI</t>
  </si>
  <si>
    <t>DE YOUNGSTERS TAIFA</t>
  </si>
  <si>
    <t xml:space="preserve">  5.660645° -0.253004°</t>
  </si>
  <si>
    <t>TAIFA</t>
  </si>
  <si>
    <t>JESSIE VILLA</t>
  </si>
  <si>
    <t xml:space="preserve">  5.599971° -0.137636°</t>
  </si>
  <si>
    <t>HD HYUNDAI</t>
  </si>
  <si>
    <t>5.5995847,-0.1785774</t>
  </si>
  <si>
    <t>CUBECONSULT GRATIFIED ENGINEERING APREMDO</t>
  </si>
  <si>
    <t>4.920949° -1.766463°</t>
  </si>
  <si>
    <t>CUBECONSULT GRATIFIED ENGINEERING EFFIEKUMA</t>
  </si>
  <si>
    <t>CUBECONSULT GRATIFIED ENGINEERING MARKET CIRCLE</t>
  </si>
  <si>
    <t>4.898904° -1.759496°</t>
  </si>
  <si>
    <t>CUBECONSULT GRATIFIED ENGINEERING  NEW SITE</t>
  </si>
  <si>
    <t>4.912115° -1.757122°</t>
  </si>
  <si>
    <t>KELMOS SOLUTION PETER LEE</t>
  </si>
  <si>
    <t xml:space="preserve">  5.622263° -0.132122°</t>
  </si>
  <si>
    <t>BTS TELECOM OYIBI OFFICE</t>
  </si>
  <si>
    <t xml:space="preserve">  5.807192° -0.109679°</t>
  </si>
  <si>
    <t>CUBECONSULT MR. OSEI FRIMPONG</t>
  </si>
  <si>
    <t xml:space="preserve">THE CHURCH OF PENTECOST </t>
  </si>
  <si>
    <t xml:space="preserve">  5.585712° -0.300879°</t>
  </si>
  <si>
    <t>VICTORY TSEY</t>
  </si>
  <si>
    <t>5.777845, -0.180090</t>
  </si>
  <si>
    <t>BTS TELECOM  TELLUS</t>
  </si>
  <si>
    <t>5.634028, -0.147413</t>
  </si>
  <si>
    <t>CUBECONSULT AFIA SERWAA</t>
  </si>
  <si>
    <t>GENESIS OUTSOURCING 2 LEGS</t>
  </si>
  <si>
    <t xml:space="preserve">  5.646832° -0.149968°</t>
  </si>
  <si>
    <t xml:space="preserve">NATIONAL COLLEGE OF DEFENCE </t>
  </si>
  <si>
    <t xml:space="preserve">  5.587442° -0.156175°</t>
  </si>
  <si>
    <t xml:space="preserve">GHANA CIVIL AVIATION AUTHORITY </t>
  </si>
  <si>
    <t xml:space="preserve">SUNYANI </t>
  </si>
  <si>
    <t>DVLA HAASTO</t>
  </si>
  <si>
    <t>5.677239° -0.213017°</t>
  </si>
  <si>
    <t>5.677437°-0.167211°</t>
  </si>
  <si>
    <t xml:space="preserve">HAATSO </t>
  </si>
  <si>
    <t>INTERNATIONAL SOS</t>
  </si>
  <si>
    <t xml:space="preserve"> 5.601301°-0.192041°</t>
  </si>
  <si>
    <t>5.571390°-0.209692°</t>
  </si>
  <si>
    <t>RIDGE</t>
  </si>
  <si>
    <t>LABADI POP</t>
  </si>
  <si>
    <t>KLIMOVIC HOSPITAL GHANA</t>
  </si>
  <si>
    <t>5.366419912681002, -0.6373165197170257</t>
  </si>
  <si>
    <t>5.377626° -0.642165°</t>
  </si>
  <si>
    <t>CHURCH OF PENTECOST</t>
  </si>
  <si>
    <t>5.546736° -0.192167°</t>
  </si>
  <si>
    <t>ERNEST TWENEBOAH KODUA</t>
  </si>
  <si>
    <t>5.5574293, -0.2317692</t>
  </si>
  <si>
    <t>PROCUS GHANA NEW WAREHOUSE</t>
  </si>
  <si>
    <t xml:space="preserve">  5.658439°  0.003843°</t>
  </si>
  <si>
    <t>5.693232°  0.006872°</t>
  </si>
  <si>
    <t>GENESIS GLOBAL OUTSOURCING PROTECTED</t>
  </si>
  <si>
    <t>5.647289, -0.149727</t>
  </si>
  <si>
    <t>BREEZENET NIC SCAN</t>
  </si>
  <si>
    <t xml:space="preserve"> 5.624347°-0.005440°</t>
  </si>
  <si>
    <t>DE YOUNGSTERS ACHIMOTA</t>
  </si>
  <si>
    <t>5.628635°-0.238326°</t>
  </si>
  <si>
    <t>5.622542°-0.186943°</t>
  </si>
  <si>
    <t xml:space="preserve">ESERVICE </t>
  </si>
  <si>
    <t xml:space="preserve"> 5.621240°-0.172537°</t>
  </si>
  <si>
    <t xml:space="preserve"> 5.622542°-0.186943°(gil)</t>
  </si>
  <si>
    <t>THE CHURCH OF PENTECOST</t>
  </si>
  <si>
    <t>DEVTRACO PALMERS GREEN</t>
  </si>
  <si>
    <t xml:space="preserve"> 5.607652°-0.186384°</t>
  </si>
  <si>
    <t xml:space="preserve">MR KYEKYEKU'S RESIDENCE </t>
  </si>
  <si>
    <t>5.627920, -0.129099</t>
  </si>
  <si>
    <t>CUBECONSULT MAD NAOMI</t>
  </si>
  <si>
    <t>GRATIFIED ENGINEERING COASTAL COMMERE</t>
  </si>
  <si>
    <t xml:space="preserve">USAID CANTONMENT </t>
  </si>
  <si>
    <t>CAPACOAST BTS</t>
  </si>
  <si>
    <t>GENERAL MAJOR'S RESIDENCE</t>
  </si>
  <si>
    <t>CUBECONSULT SKY LTD</t>
  </si>
  <si>
    <t>BTS TELECOM DERICK FRIMPONG</t>
  </si>
  <si>
    <t>BTS TELECOM KINGSLEY ASUMADU</t>
  </si>
  <si>
    <t>BTS TELECOM PEACE TETTEH</t>
  </si>
  <si>
    <t>ABSA KNUST</t>
  </si>
  <si>
    <t>KNUST</t>
  </si>
  <si>
    <t>CUBECONSULT KWASI OPPONG</t>
  </si>
  <si>
    <t>GCB ABURI OFF SITE ATM</t>
  </si>
  <si>
    <t>5.849364° -0.173687°</t>
  </si>
  <si>
    <t>GCB SEGE ATM</t>
  </si>
  <si>
    <t>5.875454°  0.362785°</t>
  </si>
  <si>
    <t>5.872089°0.345102°</t>
  </si>
  <si>
    <t>SEGE</t>
  </si>
  <si>
    <t>KELMOS SOLUTIONS ESTHER ACHAMPONG</t>
  </si>
  <si>
    <t>5.709131, -0.266527</t>
  </si>
  <si>
    <t>5.703433°-0.299328°</t>
  </si>
  <si>
    <t>KELMOS SOLUTIONS TREVO</t>
  </si>
  <si>
    <t>KELMOS SOLUTIONS CANDACE MICKENS</t>
  </si>
  <si>
    <t>KANVILI</t>
  </si>
  <si>
    <t>RATCH TAMALE</t>
  </si>
  <si>
    <t xml:space="preserve">KELMOS SOLUTION NAANA KUMI OHENE </t>
  </si>
  <si>
    <t>5.711265, -0.268147</t>
  </si>
  <si>
    <t>KELMOS SOULTIONS OSAYANDE ABU</t>
  </si>
  <si>
    <t>GHANA CIVIL AVIATION KUMASI</t>
  </si>
  <si>
    <t>6.708774°-1.627550°</t>
  </si>
  <si>
    <t>CITY PAINTS SUPPLY</t>
  </si>
  <si>
    <t>5.554480° -0.208510°</t>
  </si>
  <si>
    <t>5.556980°-0.207605°</t>
  </si>
  <si>
    <t>RCB ANUM</t>
  </si>
  <si>
    <t>5°52'41.9"N 0°06'04.7"W</t>
  </si>
  <si>
    <t>5.803979°-0.091288°</t>
  </si>
  <si>
    <t>ASOKWA, OFF PROF ACHEAMPONG STREET</t>
  </si>
  <si>
    <t>6.671326, -1.592043   </t>
  </si>
  <si>
    <t>6.696086°-1.617477°</t>
  </si>
  <si>
    <t>INTERNATIONAL SOS PROTECTED</t>
  </si>
  <si>
    <t>5.60132411599609, -0.19200130474966548</t>
  </si>
  <si>
    <t xml:space="preserve">KELMOS SOLUTION A1 DIESEL AFRICA </t>
  </si>
  <si>
    <t>5.630739, -0.150646</t>
  </si>
  <si>
    <t>CUBECONSULT GRATIFIED ENGINEERING KOJOKROM</t>
  </si>
  <si>
    <t xml:space="preserve">TAKORADI </t>
  </si>
  <si>
    <t xml:space="preserve">KELMOS SOLUTION FRANCIS MARTISON POKUASE HEIGHTS </t>
  </si>
  <si>
    <t>POKUASE</t>
  </si>
  <si>
    <t>OSEI KWAME</t>
  </si>
  <si>
    <t xml:space="preserve"> 5.633788° -0.170857°</t>
  </si>
  <si>
    <t>SEATEC OFFICE</t>
  </si>
  <si>
    <t>ORACLE GHANA PROTECTED</t>
  </si>
  <si>
    <t>5.620917, -0.185206</t>
  </si>
  <si>
    <t>FATHER DICKSON</t>
  </si>
  <si>
    <t>EAST LEGON</t>
  </si>
  <si>
    <t>KENNEDY'S RESIDENCE</t>
  </si>
  <si>
    <t>LC- PAPA'S PIZAA</t>
  </si>
  <si>
    <t>HAATSO</t>
  </si>
  <si>
    <t>DEVTRACO GROUP OFFICE</t>
  </si>
  <si>
    <t>SAFETY MARINE</t>
  </si>
  <si>
    <t>HYDEN GHANA</t>
  </si>
  <si>
    <t>NANA KWAMENA CARTER</t>
  </si>
  <si>
    <t>ROBERT AGYAPONG</t>
  </si>
  <si>
    <t>DEVTRACO GROUP OFFICE ANNEX</t>
  </si>
  <si>
    <t>DE-YOUNGSTERS RESIDENCE</t>
  </si>
  <si>
    <t>DE-YOUNGSTERS RESIDENCE KOTOBABI</t>
  </si>
  <si>
    <t>KOTBABI</t>
  </si>
  <si>
    <t>BURMA CAMP - ABURI</t>
  </si>
  <si>
    <t>DANIEL ADANUTOR</t>
  </si>
  <si>
    <t>CHURCH OF PENTECOST SPINTEX MISSION HOUSE</t>
  </si>
  <si>
    <t>CHURCH OF PENTECOST TEBIBIANOR MISSION HOUSE</t>
  </si>
  <si>
    <t>TEBIBIANOR</t>
  </si>
  <si>
    <t>GODWIN ARMAH</t>
  </si>
  <si>
    <t>SCHLUMBERGER EMERALD HOUSE TWO LEGS</t>
  </si>
  <si>
    <t>SCHLUMBERGER APREMDO TWO LEGS</t>
  </si>
  <si>
    <t>BRITISH COUNCIL</t>
  </si>
  <si>
    <t>M-KOPA TAKORADI</t>
  </si>
  <si>
    <t>GEEMON SOLUTIONS RAJWANI SOUAD</t>
  </si>
  <si>
    <t>GEEMON SOLUTIONS ELECTRO ELECTRONICS</t>
  </si>
  <si>
    <t>GT BANK ABELENKPE</t>
  </si>
  <si>
    <t>ABELENKPE</t>
  </si>
  <si>
    <t>PANEL 360 JULIANA RESIDENCE</t>
  </si>
  <si>
    <t xml:space="preserve">DEVTRACO GROUP LIMITED </t>
  </si>
  <si>
    <t>SAMUEL JASPER BAIDOO</t>
  </si>
  <si>
    <t>IKICK CUBECONSULT  BAHAMUS LTD</t>
  </si>
  <si>
    <t>GCB PRESBY TRAINING COLLEGE, AKROPONG ATM</t>
  </si>
  <si>
    <t>GCB KNUST_BRUNEI ATM</t>
  </si>
  <si>
    <t>GCB KNUST REPUBLIC HALL ATM</t>
  </si>
  <si>
    <t>GCB TRUMA CENTER WINNEBA ATM</t>
  </si>
  <si>
    <t>GCB CAPE COAST REGIONAL HOSPITAL</t>
  </si>
  <si>
    <t>EXOTIC PROPERTIES</t>
  </si>
  <si>
    <t>MR GHALLEY</t>
  </si>
  <si>
    <t xml:space="preserve">RAJ APARTMENT </t>
  </si>
  <si>
    <t>TABORAH BACKHAUL SECOND LEG</t>
  </si>
  <si>
    <t>Taborah</t>
  </si>
  <si>
    <t>DHL TAKORADI</t>
  </si>
  <si>
    <t>COMMUNITY HEALTH NURSING SCHOOL</t>
  </si>
  <si>
    <t>AMPOMA HOUSE</t>
  </si>
  <si>
    <t>KELMOS SOLUTIONS THOMAS APPIAGYEI</t>
  </si>
  <si>
    <t>EXHALE LOUNGE</t>
  </si>
  <si>
    <t>CUBECONSULT MR. PAUL ADONGO</t>
  </si>
  <si>
    <t>CUBECONSULT MAD. JOYCE FRIMPONG</t>
  </si>
  <si>
    <t>FERRO FABRIK LTD</t>
  </si>
  <si>
    <t xml:space="preserve">CROSS CONNECT FAMILY HEALTH SERVICE </t>
  </si>
  <si>
    <t>PARADISE 91</t>
  </si>
  <si>
    <t>ACCRA</t>
  </si>
  <si>
    <t>ULTRANET TELECOM</t>
  </si>
  <si>
    <t>SIKA CHEMICAL</t>
  </si>
  <si>
    <t>GRAND OYEEMAN</t>
  </si>
  <si>
    <t>SUNDA</t>
  </si>
  <si>
    <t>G4 SECURITY</t>
  </si>
  <si>
    <t>VANSTEIN AFRICA LTD</t>
  </si>
  <si>
    <t>PTBL OFFICE</t>
  </si>
  <si>
    <t xml:space="preserve">ECHO HOUSE </t>
  </si>
  <si>
    <t>UHAS</t>
  </si>
  <si>
    <t>CHURCH OF PENTECOST CHURCH PAST LARYEA, RESIDENCE</t>
  </si>
  <si>
    <t>CUBECONSULT DR. ELVIS AHIAHONU</t>
  </si>
  <si>
    <t>KELMOS SOLUTIONS KELMOS - NAROUMA MART</t>
  </si>
  <si>
    <t>BTS TELECOM EAST LEGON WEMBLY 1</t>
  </si>
  <si>
    <t>BTS TELECOM EAST LEGON WEMBLY 2</t>
  </si>
  <si>
    <t>ADA DISTRICT OFFICE </t>
  </si>
  <si>
    <t>JOSEPH ANSONG</t>
  </si>
  <si>
    <t>JUBAILI</t>
  </si>
  <si>
    <t>HELOISE TOWERS ADENTA</t>
  </si>
  <si>
    <t>CLEAVER HOUSE (Standard Heights)</t>
  </si>
  <si>
    <t>M-KOPA SUNYANI</t>
  </si>
  <si>
    <t>MINIPLAST LIMITED</t>
  </si>
  <si>
    <t>BTS TELECOM JOSEPH KWAMIN FIADOR</t>
  </si>
  <si>
    <t>BTS TELECOM AMANDA ASANTE</t>
  </si>
  <si>
    <t>CUBECONSULT EVANS OPPONG</t>
  </si>
  <si>
    <t>ZUZO COMPANY LIMITED</t>
  </si>
  <si>
    <t>BTS TELECOM DANIEL OBENG AFRAM</t>
  </si>
  <si>
    <t>UMAT</t>
  </si>
  <si>
    <t>Schlumberger Beach Road two legs</t>
  </si>
  <si>
    <t xml:space="preserve">VRA Nungua </t>
  </si>
  <si>
    <t>VRA Akosombo</t>
  </si>
  <si>
    <t>AKOSOMBO</t>
  </si>
  <si>
    <t>Gcb Winneba Camp Atm</t>
  </si>
  <si>
    <t>Gcb Ucc Science Faculty</t>
  </si>
  <si>
    <t>Power Plant</t>
  </si>
  <si>
    <t>Acces Bank Afienya Branch</t>
  </si>
  <si>
    <t xml:space="preserve">AFIENYA </t>
  </si>
  <si>
    <t>Paul Feng Phones&amp; Accessories</t>
  </si>
  <si>
    <t>Kelmos Solutions Fred Amegashie</t>
  </si>
  <si>
    <t>Kelmos Solutions Francisca Adjabeng</t>
  </si>
  <si>
    <t>Kelmos Solutions Henry Quartey</t>
  </si>
  <si>
    <t>Kelmos Solutions Fiona Sackey</t>
  </si>
  <si>
    <t>US Embassy</t>
  </si>
  <si>
    <t>Jubaili Kumasi Bekwai</t>
  </si>
  <si>
    <t>Heloise Towers Baatsona</t>
  </si>
  <si>
    <t>BAATSONA</t>
  </si>
  <si>
    <t>Enchi College Of Education</t>
  </si>
  <si>
    <t>ENCHI</t>
  </si>
  <si>
    <t>AECI Bogoso</t>
  </si>
  <si>
    <t>BOGOSO</t>
  </si>
  <si>
    <t>Ho BTS</t>
  </si>
  <si>
    <t>Davon Yawo Dodji</t>
  </si>
  <si>
    <t>Vanstein Africa Tema</t>
  </si>
  <si>
    <t>M-Kopa Tamale</t>
  </si>
  <si>
    <t>Africa Zone Trading</t>
  </si>
  <si>
    <t>Georgina Aryeh</t>
  </si>
  <si>
    <t xml:space="preserve">CCBA Voltic Kumasi </t>
  </si>
  <si>
    <t>Weija Broadcasting</t>
  </si>
  <si>
    <t>Breeze FM McCarthy</t>
  </si>
  <si>
    <t xml:space="preserve">MCCARTHY </t>
  </si>
  <si>
    <t xml:space="preserve">Smart Village System
</t>
  </si>
  <si>
    <t>Gold Recovery</t>
  </si>
  <si>
    <t>Kenneth Nii Adjin- Tettey</t>
  </si>
  <si>
    <t>Maione POP Tema to MainOne CLS</t>
  </si>
  <si>
    <t>Ernest Chemist Konongo</t>
  </si>
  <si>
    <t xml:space="preserve">KONONGO </t>
  </si>
  <si>
    <t>Ghana Maritime Authority new Office</t>
  </si>
  <si>
    <t>7th Dimension Diambwila Francia Eldrige</t>
  </si>
  <si>
    <t>KOA Impact</t>
  </si>
  <si>
    <t>Markot Solutions NV Commodities Ghana Limited</t>
  </si>
  <si>
    <t>Solaris</t>
  </si>
  <si>
    <t>Nick Hotel</t>
  </si>
  <si>
    <t>Joseph Ansah</t>
  </si>
  <si>
    <t>Cadbury</t>
  </si>
  <si>
    <t>ARD Inc (Water Aid Ghana</t>
  </si>
  <si>
    <t>Believers Worship Center (relocation)</t>
  </si>
  <si>
    <t>Kanor Resdence</t>
  </si>
  <si>
    <t>Access Bank Obuasi</t>
  </si>
  <si>
    <t>Radwan Sbayti</t>
  </si>
  <si>
    <t xml:space="preserve">GES </t>
  </si>
  <si>
    <t>Makot Solutions Kenneth Osei</t>
  </si>
  <si>
    <t xml:space="preserve">B5 Plus relocation </t>
  </si>
  <si>
    <t xml:space="preserve">William Danso </t>
  </si>
  <si>
    <t>Cynthia Ntony- Mensah</t>
  </si>
  <si>
    <t>Ghana Maritime Authority Old  Office</t>
  </si>
  <si>
    <t>Ghana Maritime Authority Tema Office</t>
  </si>
  <si>
    <t>ECG DENU DISTRICT OFFICE</t>
  </si>
  <si>
    <t>ECG AKATSI DISTRICT OFFICE</t>
  </si>
  <si>
    <t>Prampram Cell Site</t>
  </si>
  <si>
    <t>DVNS- Party Tree</t>
  </si>
  <si>
    <t>Kelmos Solution Osarfo Marfo</t>
  </si>
  <si>
    <t>BTS Telecom Jerry Gad TDC</t>
  </si>
  <si>
    <t>Jacob Kartey Kanor</t>
  </si>
  <si>
    <t>Geemon It Solutions Omar Mohammed</t>
  </si>
  <si>
    <t>AgriCare</t>
  </si>
  <si>
    <t>B5 Plus Limited- Santasi</t>
  </si>
  <si>
    <t>COP Pent. 07</t>
  </si>
  <si>
    <t>COP Pent. 08</t>
  </si>
  <si>
    <t>AMIC Medical Diagnostic
Center</t>
  </si>
  <si>
    <t>Landmark Homes</t>
  </si>
  <si>
    <t>Rachel Awuah</t>
  </si>
  <si>
    <t>Ubuntu Apartment 15</t>
  </si>
  <si>
    <t>Ubuntu Apartment 16</t>
  </si>
  <si>
    <t>Ubuntu Apartment 17</t>
  </si>
  <si>
    <t>BTS Telecom Richard Tetteh - Xclusive Mix Plus</t>
  </si>
  <si>
    <t>Melcom Telcom</t>
  </si>
  <si>
    <t>Kibi College Of Education</t>
  </si>
  <si>
    <t>KIBI</t>
  </si>
  <si>
    <t>Lou Ralph Hotel</t>
  </si>
  <si>
    <t>Kwaaning Asante Hostel</t>
  </si>
  <si>
    <t>Samira Hostel</t>
  </si>
  <si>
    <t>Ofori Amando Hostel</t>
  </si>
  <si>
    <t>Kwaku Boateng Hostel</t>
  </si>
  <si>
    <t>Gym City Hostel</t>
  </si>
  <si>
    <t xml:space="preserve">Cubeconsult Vidaddi Enterprise </t>
  </si>
  <si>
    <t>Grand Oyeeman M- Floor</t>
  </si>
  <si>
    <t>BTS Telecom Olivia Koranteng Akesse A3a</t>
  </si>
  <si>
    <t>Mr Pagyar Residence</t>
  </si>
  <si>
    <t>Rolland Addo</t>
  </si>
  <si>
    <t>Madam Kafui</t>
  </si>
  <si>
    <t>Johnson Kofi Amezuke</t>
  </si>
  <si>
    <t>B5 Plus Limited- Afrancho</t>
  </si>
  <si>
    <t>GHQ DFC</t>
  </si>
  <si>
    <t>Nexans Kabel Metal Gh Ltd</t>
  </si>
  <si>
    <t>Kevin Basah</t>
  </si>
  <si>
    <t>BTS Telecom TDC Francis Derby Awuku</t>
  </si>
  <si>
    <t>Haavad Leslie Quarmyne</t>
  </si>
  <si>
    <t>Haavad Fati Abubakar</t>
  </si>
  <si>
    <t>BTS Telecom TDC Cornelius Nuworsuu</t>
  </si>
  <si>
    <t>Haavad Monica Adjei</t>
  </si>
  <si>
    <t>BTS Telecom TelecomOyibi Enclave  Telecom Abam Botchway</t>
  </si>
  <si>
    <t>BTS Telecom Oyibi Enclave  Maxwel Obuobi</t>
  </si>
  <si>
    <t>BTS Telecom  Oyibi Enclave Charles Amoh</t>
  </si>
  <si>
    <t>BTS Telecom TDC Simmons Yussif Kewura</t>
  </si>
  <si>
    <t>Haavad  Richard Darko</t>
  </si>
  <si>
    <t>Haavad  Omar L Sherif</t>
  </si>
  <si>
    <t>Haavad Augustine Airadion Agbakuto</t>
  </si>
  <si>
    <t>Haavad  Mawuli Dogli</t>
  </si>
  <si>
    <t>Haavad  Mohammed Shaibu Suad</t>
  </si>
  <si>
    <t>Haavad  Michael Sarsah</t>
  </si>
  <si>
    <t>Haavad  Christopher Afu</t>
  </si>
  <si>
    <t>Haavad  Elizabeth Karikari</t>
  </si>
  <si>
    <t>Haavad  Jonathan Amezio</t>
  </si>
  <si>
    <t>Haavad  Emmanuel Larbi Asiedu</t>
  </si>
  <si>
    <t>Haavad Mohammed Tufeiru</t>
  </si>
  <si>
    <t>Haavad George Effisah</t>
  </si>
  <si>
    <t>BTS Telelcom Oyibi Enclave GraceAfuah Odurah</t>
  </si>
  <si>
    <t>BTS Telelcom Oyibi Enclave Richard Tetteh Buckson</t>
  </si>
  <si>
    <t>Haavad Tengey Yao</t>
  </si>
  <si>
    <t>Haavad John Yeboah</t>
  </si>
  <si>
    <t>Cube Consult Gratfied Greens Fields</t>
  </si>
  <si>
    <t>Haavad Eedund Akabutu</t>
  </si>
  <si>
    <t>Haavad Beatrice Gyaduaa Larbi</t>
  </si>
  <si>
    <t>Haavad Kofi Adade Debrah</t>
  </si>
  <si>
    <t>COP Church Pent South LA</t>
  </si>
  <si>
    <t>Haavad-Dennis-Osei-Hwere</t>
  </si>
  <si>
    <t>BTS Telelcom TDC William Adjei</t>
  </si>
  <si>
    <t>Haavad Dr Esi</t>
  </si>
  <si>
    <t>East Legon POP</t>
  </si>
  <si>
    <t>Echo Roman Hill</t>
  </si>
  <si>
    <t xml:space="preserve"> Goil Sunyani</t>
  </si>
  <si>
    <t>DVLA Winneba</t>
  </si>
  <si>
    <t>DVLA Akatsi</t>
  </si>
  <si>
    <t>Kofi Selormey, Kpeshie</t>
  </si>
  <si>
    <t>B5 Plus Limited- Magazine</t>
  </si>
  <si>
    <t>VSOL 1RD</t>
  </si>
  <si>
    <t>Shoprite West Hills mall</t>
  </si>
  <si>
    <t>QG Construction UK Limited</t>
  </si>
  <si>
    <t>Circle</t>
  </si>
  <si>
    <t>MTN TTQ DC – Gulf House Shiashi</t>
  </si>
  <si>
    <t>Gold Heart Micro Credit Services</t>
  </si>
  <si>
    <t>Ransford Mills</t>
  </si>
  <si>
    <t>Cube Consult – Gratified Kojokrom Relocation</t>
  </si>
  <si>
    <t xml:space="preserve">AT BOG </t>
  </si>
  <si>
    <t>SGL Residence</t>
  </si>
  <si>
    <t>Effanest Prampram</t>
  </si>
  <si>
    <t>St. Karol School</t>
  </si>
  <si>
    <t>National College of Defense Relocation</t>
  </si>
  <si>
    <t>OmniBSIC Sunyani</t>
  </si>
  <si>
    <t>OmniBSIC Tamale</t>
  </si>
  <si>
    <t>OmniBSIC Takoradi</t>
  </si>
  <si>
    <t>OmniBSIC Amakom</t>
  </si>
  <si>
    <t>Amandi Takoradi</t>
  </si>
  <si>
    <t>Vivian Tanikie Residence</t>
  </si>
  <si>
    <t>Simon Tovor Fise</t>
  </si>
  <si>
    <t>Pastor Benjamin</t>
  </si>
  <si>
    <t>Mahama Kondo</t>
  </si>
  <si>
    <t>Henry Tabiri</t>
  </si>
  <si>
    <t>Cecelia Residence</t>
  </si>
  <si>
    <t>TS11 John David Otoo</t>
  </si>
  <si>
    <t>Spintex</t>
  </si>
  <si>
    <t>Bloomingdale Medical Center</t>
  </si>
  <si>
    <t>Prof Hammond</t>
  </si>
  <si>
    <t>Geemon Solution Electroland Gh Ltd</t>
  </si>
  <si>
    <t>Geemon Solution Electroland Gh Ltd Spintex</t>
  </si>
  <si>
    <t>Rami El Ashkar</t>
  </si>
  <si>
    <t>Unihead Group</t>
  </si>
  <si>
    <t>Latter Day Saints</t>
  </si>
  <si>
    <t>Raphael K.M. Afordoanyi</t>
  </si>
  <si>
    <t>Chief of Staff Residence</t>
  </si>
  <si>
    <t>Stanbic Incubator</t>
  </si>
  <si>
    <t>Airport</t>
  </si>
  <si>
    <t>Mr Martey</t>
  </si>
  <si>
    <t>Mr Nana Sarfo</t>
  </si>
  <si>
    <t>Mr Ceceil</t>
  </si>
  <si>
    <t>Henry</t>
  </si>
  <si>
    <t>Jinesh Viradia</t>
  </si>
  <si>
    <t>Peter Onyekwere</t>
  </si>
  <si>
    <t>Khalid Residence</t>
  </si>
  <si>
    <t>Samuel Addai Amoako</t>
  </si>
  <si>
    <t>Sudan Embassy</t>
  </si>
  <si>
    <t>TS11 Nunn Abubakar</t>
  </si>
  <si>
    <t>Kofi Afrifa</t>
  </si>
  <si>
    <t>ICS</t>
  </si>
  <si>
    <t>Bentsi Enchill Letsa &amp; Ankomah – Law firm</t>
  </si>
  <si>
    <t>Ghana Shippers Authority HQ</t>
  </si>
  <si>
    <t>Ghana Shippers Authority Tamale</t>
  </si>
  <si>
    <t>Tamale</t>
  </si>
  <si>
    <t>Ghana Shippers Authority Tema</t>
  </si>
  <si>
    <t>Tema</t>
  </si>
  <si>
    <t>Alexis Ozone</t>
  </si>
  <si>
    <t>Westrafo</t>
  </si>
  <si>
    <t>AT Ghana Milife SIP</t>
  </si>
  <si>
    <t>Edem Home Complimentary</t>
  </si>
  <si>
    <t>BTS Telecom Spencer Doku</t>
  </si>
  <si>
    <t>BTS Telecom Asante Yaw Richmond Oyibi Enclave</t>
  </si>
  <si>
    <t>Geemon Solutions Mohammed Tha</t>
  </si>
  <si>
    <t xml:space="preserve">Cantonments </t>
  </si>
  <si>
    <t>Geemon Solutions Lidice Clinic Ltd</t>
  </si>
  <si>
    <t>BTS TDC Ebenezer Dankwah Owusu</t>
  </si>
  <si>
    <t>BTS OYIBI Nii Applerh Doku</t>
  </si>
  <si>
    <t>Paulo Adjei Okpoti</t>
  </si>
  <si>
    <t>BTS Telecom Oyibi Eric Boateng</t>
  </si>
  <si>
    <t>Joshua Menson Adjei</t>
  </si>
  <si>
    <t>Abengoa Water Ghana</t>
  </si>
  <si>
    <t>Winfred Lartey Relocation</t>
  </si>
  <si>
    <t>Otondo</t>
  </si>
  <si>
    <t>Ibrahim Residence</t>
  </si>
  <si>
    <t>GPHA Imani Hospitail</t>
  </si>
  <si>
    <t>Best Point Savings Tamale</t>
  </si>
  <si>
    <t xml:space="preserve">Best Point Savings Sunyani </t>
  </si>
  <si>
    <t>LDS Winneba</t>
  </si>
  <si>
    <t>Winneba</t>
  </si>
  <si>
    <t>Bills Auto Klinic</t>
  </si>
  <si>
    <t>Adna Ezzeddine Office</t>
  </si>
  <si>
    <t>MainOne Airport Office</t>
  </si>
  <si>
    <t xml:space="preserve">Dzorwulu </t>
  </si>
  <si>
    <t>Pappy's Residence</t>
  </si>
  <si>
    <t xml:space="preserve">Derrick Antwi Ayim </t>
  </si>
  <si>
    <t>Oyarifa</t>
  </si>
  <si>
    <t xml:space="preserve">Kamyab Company Limited  </t>
  </si>
  <si>
    <t xml:space="preserve">BTS Telecom Sonia Fouad Chaban </t>
  </si>
  <si>
    <t xml:space="preserve">Spintex </t>
  </si>
  <si>
    <t xml:space="preserve">BTS Telecom Ronalle Deen Nyarkoh </t>
  </si>
  <si>
    <t>KAIPTC</t>
  </si>
  <si>
    <t>MEDIA CONVERTER&amp; UBIQUITY EDGE</t>
  </si>
  <si>
    <t>Ladder Financial Systems HQ</t>
  </si>
  <si>
    <t>George Asare</t>
  </si>
  <si>
    <t>Samuel Amertefio</t>
  </si>
  <si>
    <t>Emmanuel Yaw Alornyor</t>
  </si>
  <si>
    <t>BTS Telecom Richmond Asante</t>
  </si>
  <si>
    <t>BTS Telecom John Bosco Aba</t>
  </si>
  <si>
    <t>TS11 Kofi Hene Asare</t>
  </si>
  <si>
    <t>State Housing Company Ltd</t>
  </si>
  <si>
    <t>BTS Telecom Arctech Technology</t>
  </si>
  <si>
    <t>Sawtel Cantonment Ex</t>
  </si>
  <si>
    <t>Tax Appeals Board</t>
  </si>
  <si>
    <t>Christabel Naa Nsiah (Haavad)</t>
  </si>
  <si>
    <t>Dr Rixon O'Neill Campbell (Haavad)</t>
  </si>
  <si>
    <t>Geemon Solutions Platinum Impex 2</t>
  </si>
  <si>
    <t>BTS Telecom Fitz-albert Agbodo</t>
  </si>
  <si>
    <t>Makot Solutions Afua Ottie Arhin</t>
  </si>
  <si>
    <t>Zeiss Telecom Limited</t>
  </si>
  <si>
    <t>Scania Relocation</t>
  </si>
  <si>
    <t>Richfields Estate</t>
  </si>
  <si>
    <t>Geemon Solution Mrs Darko</t>
  </si>
  <si>
    <t>Edify - Lily Roses</t>
  </si>
  <si>
    <t>BTS Telecom - Blessed Generation Chapel Internation</t>
  </si>
  <si>
    <t>University Of Ghana IPT</t>
  </si>
  <si>
    <t>Legon</t>
  </si>
  <si>
    <t>UG City Campus</t>
  </si>
  <si>
    <t>Accra</t>
  </si>
  <si>
    <t>UG Korle BU</t>
  </si>
  <si>
    <t>Korle Bu</t>
  </si>
  <si>
    <t>BTS Telecom Mrs Clifannalee Oteng</t>
  </si>
  <si>
    <t>BTS Telecom Vincent Kwaku Agbenyo</t>
  </si>
  <si>
    <t>BTS Telecom Elizabeth Afrakoma</t>
  </si>
  <si>
    <t>BTS Telecom TDC Saeed Bancie</t>
  </si>
  <si>
    <t>BTS Telecom TDC Georgina Aidoo</t>
  </si>
  <si>
    <t>Obiri Boateng</t>
  </si>
  <si>
    <t>Major Alfred Azu</t>
  </si>
  <si>
    <t>Credit Union Training Center</t>
  </si>
  <si>
    <t>Francis Quartey Spintex</t>
  </si>
  <si>
    <t>Classic Continental Global Ltd</t>
  </si>
  <si>
    <t>Africa Zone Trading Limited Motorway</t>
  </si>
  <si>
    <t>DVLA  Hohoe</t>
  </si>
  <si>
    <t>Hohohoe</t>
  </si>
  <si>
    <t xml:space="preserve"> DOSH HQ,Dansoman</t>
  </si>
  <si>
    <t>Dansoman</t>
  </si>
  <si>
    <t xml:space="preserve">Samrtinfraco Takoradi Technical University </t>
  </si>
  <si>
    <t>Takoradi</t>
  </si>
  <si>
    <t>Augustine Airadion Agbakotu (Shop)</t>
  </si>
  <si>
    <t>TS11 Nour Taleb</t>
  </si>
  <si>
    <t>A-Z Solutions</t>
  </si>
  <si>
    <t>Roman Ridge</t>
  </si>
  <si>
    <t>Ridge</t>
  </si>
  <si>
    <t>Denu</t>
  </si>
  <si>
    <t>Accra Technical University</t>
  </si>
  <si>
    <t>DHL Head Office</t>
  </si>
  <si>
    <t>USAID</t>
  </si>
  <si>
    <t>Cantonments</t>
  </si>
  <si>
    <t xml:space="preserve">Geemon Soluttion Michael Abou Zeid </t>
  </si>
  <si>
    <t>COP 1</t>
  </si>
  <si>
    <t>La</t>
  </si>
  <si>
    <t>COP 2</t>
  </si>
  <si>
    <t>COP 3</t>
  </si>
  <si>
    <t>COP 4</t>
  </si>
  <si>
    <t>COP 5</t>
  </si>
  <si>
    <t>Advans HQ</t>
  </si>
  <si>
    <t>Cantoment ATC Site</t>
  </si>
  <si>
    <t>Cantonment</t>
  </si>
  <si>
    <t>BTS - Richard Ameyaw Wiafe</t>
  </si>
  <si>
    <t>TTI ICT Department</t>
  </si>
  <si>
    <t>Daniel Wilson</t>
  </si>
  <si>
    <t>Pantang</t>
  </si>
  <si>
    <t>COP Secretary Residence</t>
  </si>
  <si>
    <t>VSOL 2DAC</t>
  </si>
  <si>
    <t>Geemon Solution Yakubu Braimah</t>
  </si>
  <si>
    <t>Teshie</t>
  </si>
  <si>
    <t>Felicia Polley</t>
  </si>
  <si>
    <t>Zimbabwe Ambasador Residence</t>
  </si>
  <si>
    <t>Edify Lily Roses</t>
  </si>
  <si>
    <t>Geemon Solution Electroland Court 3</t>
  </si>
  <si>
    <t>Ishmael Sowah Patterson</t>
  </si>
  <si>
    <t>Nissi Security Office</t>
  </si>
  <si>
    <t>Kaneshie</t>
  </si>
  <si>
    <t>Richfield Estate</t>
  </si>
  <si>
    <t>East Legon Hills</t>
  </si>
  <si>
    <t>Five House 1</t>
  </si>
  <si>
    <t>Five House 2</t>
  </si>
  <si>
    <t>Five House 4</t>
  </si>
  <si>
    <t>Five House 5</t>
  </si>
  <si>
    <t>Harrison Kwame Tetteh</t>
  </si>
  <si>
    <t>Quansah Residence</t>
  </si>
  <si>
    <t>Osei Dirk Agyemang</t>
  </si>
  <si>
    <t>Yerry John Teye Gawey</t>
  </si>
  <si>
    <t>3D Afienya POP</t>
  </si>
  <si>
    <t>Afienya</t>
  </si>
  <si>
    <t>BTS SEIDI SITAFA</t>
  </si>
  <si>
    <t>HAAVAD ADU OWUSU</t>
  </si>
  <si>
    <t>BTS-MARRIAN-ANETA-CALDWELL-PARKER</t>
  </si>
  <si>
    <t>MOSES ATOBRAH</t>
  </si>
  <si>
    <t>Aburi</t>
  </si>
  <si>
    <t>FBN</t>
  </si>
  <si>
    <t>E-cube USAID 3</t>
  </si>
  <si>
    <t>Jubaili Agrotec</t>
  </si>
  <si>
    <t>Sport Betting</t>
  </si>
  <si>
    <t>Airport Office</t>
  </si>
  <si>
    <t>LMI Cement Plant</t>
  </si>
  <si>
    <t xml:space="preserve">Shoprite Westhills </t>
  </si>
  <si>
    <t>Weija</t>
  </si>
  <si>
    <t>GPHA IMAH Hosptail</t>
  </si>
  <si>
    <t>Dabala SawTel 1</t>
  </si>
  <si>
    <t>Dabala SawTel 2</t>
  </si>
  <si>
    <t>Tema To Takoradi</t>
  </si>
  <si>
    <t>B5 Plus Prampram 2nd Internet</t>
  </si>
  <si>
    <t>Prampram</t>
  </si>
  <si>
    <t>COP Pastor Frank</t>
  </si>
  <si>
    <t>Geemon Solution Electroland Flat 2</t>
  </si>
  <si>
    <t>Geemon Solution Electroland Flat 4</t>
  </si>
  <si>
    <t>Geemon Solution Electroland Flat 5</t>
  </si>
  <si>
    <t>GIJ PRO VC Residence Relocation</t>
  </si>
  <si>
    <t>Pokuase</t>
  </si>
  <si>
    <t xml:space="preserve">Edify Beautiful Beginnings </t>
  </si>
  <si>
    <t>Sakumono</t>
  </si>
  <si>
    <t>Makot Solution Kemi Residence</t>
  </si>
  <si>
    <t>Glagon</t>
  </si>
  <si>
    <t>Adenta</t>
  </si>
  <si>
    <t>Geemon Solution William</t>
  </si>
  <si>
    <t>Geemon Solution Ahmed</t>
  </si>
  <si>
    <t>Geemon Solution Zag</t>
  </si>
  <si>
    <t>Aflao Customs Sawtel 1</t>
  </si>
  <si>
    <t>Aflao</t>
  </si>
  <si>
    <t>Aflao Customs Sawtel 2</t>
  </si>
  <si>
    <t>ICS Kumasi</t>
  </si>
  <si>
    <t>Kumasi</t>
  </si>
  <si>
    <t>Shippers Authority Kumasi</t>
  </si>
  <si>
    <t>Tema DVLA Sawtel 1</t>
  </si>
  <si>
    <t>Nelson Ressidence</t>
  </si>
  <si>
    <t>Abokobi</t>
  </si>
  <si>
    <t>Nungua</t>
  </si>
  <si>
    <t>ADVANS TAFO</t>
  </si>
  <si>
    <t>Cosco Shipping</t>
  </si>
  <si>
    <t>SI-BEACH</t>
  </si>
  <si>
    <t>FEBRUARY</t>
  </si>
  <si>
    <t>BTS BTS TELECOM MEGAHOUSE</t>
  </si>
  <si>
    <t>DOME</t>
  </si>
  <si>
    <t>TS11  THEOPHILUS TETTEH</t>
  </si>
  <si>
    <t>CENPOWER</t>
  </si>
  <si>
    <t>SAWTEL 2 HO TSC</t>
  </si>
  <si>
    <t>A-Z DEPARTMENT STORE LABONE</t>
  </si>
  <si>
    <t>LABONE</t>
  </si>
  <si>
    <t>PALACE MALL LABONE</t>
  </si>
  <si>
    <t>CAPECOAST  GHANA POST SAWTEL 2</t>
  </si>
  <si>
    <t>CAPECOST</t>
  </si>
  <si>
    <t>GRA CAPECOAST SOUTH SAWTEL 2</t>
  </si>
  <si>
    <t>HO CUSTOMS SAWTEL 1</t>
  </si>
  <si>
    <t>PIZZAMAN LABONE</t>
  </si>
  <si>
    <t>BURGER KING LABONE</t>
  </si>
  <si>
    <t>DOMINION UNIVERSITY</t>
  </si>
  <si>
    <t>TTU</t>
  </si>
  <si>
    <t>SHIPPERS AUTHORITY TAKORADI</t>
  </si>
  <si>
    <t>PVC MAWUSI RESIDENCE</t>
  </si>
  <si>
    <t>PRAMPRAM</t>
  </si>
  <si>
    <t>FIVE HOUSE 3</t>
  </si>
  <si>
    <t>EVANS OBIRI APPIAH</t>
  </si>
  <si>
    <t>Maalejor</t>
  </si>
  <si>
    <t>HAAVAD DANIEL BADU</t>
  </si>
  <si>
    <t>BUSH CANTEEN DENU</t>
  </si>
  <si>
    <t>TS11 PRINCE FOSU</t>
  </si>
  <si>
    <t>GEEMON ELECTROLAND FLAT B2</t>
  </si>
  <si>
    <t>MADAM LOUSI</t>
  </si>
  <si>
    <t>SAWTEL 1 KPONGLO</t>
  </si>
  <si>
    <t>SAWTEL 2 KPONGLO</t>
  </si>
  <si>
    <t>NA</t>
  </si>
  <si>
    <t>SAWTEL 2 ACHIMOTA GRA TSC</t>
  </si>
  <si>
    <t>Achimota</t>
  </si>
  <si>
    <t>SAWTEL 2 NORTH KANESHIE AREA OFFICE</t>
  </si>
  <si>
    <t>SAWTEL 2 NORTH KANESHIE TSC</t>
  </si>
  <si>
    <t>SAWTEL 1 PLATON GAS</t>
  </si>
  <si>
    <t>AMANDI ATC</t>
  </si>
  <si>
    <t>AIRPORT</t>
  </si>
  <si>
    <t>SAWTEL 2 GRA NUNGUA TSC</t>
  </si>
  <si>
    <t>SAWTEL 2 GRA ACCRA SOUTH AREA OFFICE</t>
  </si>
  <si>
    <t>NPRA EMPORIUM</t>
  </si>
  <si>
    <t>DHL TAKORADI BEACH ROAD</t>
  </si>
  <si>
    <t xml:space="preserve">CALVARY PRESBY </t>
  </si>
  <si>
    <t>Sawtel GNAT Heights</t>
  </si>
  <si>
    <t>Sport Betting Kumasi</t>
  </si>
  <si>
    <t>Assin Fosu Sawtel 2</t>
  </si>
  <si>
    <t>Assin Fosu</t>
  </si>
  <si>
    <t>GRA CAPE NORTH SAWTEL 2</t>
  </si>
  <si>
    <t>GRA TAKORADI COLLECTION OFFICE SAWTEL 2</t>
  </si>
  <si>
    <t>GRA TAKORADI AREA OFFICE SAWTEL 2</t>
  </si>
  <si>
    <t>GIZ</t>
  </si>
  <si>
    <t>SAWTEL 1 DVLA HAATSO</t>
  </si>
  <si>
    <t>GOMDAH CHAMBERS</t>
  </si>
  <si>
    <t>SPORTS BETING SUNYANI</t>
  </si>
  <si>
    <t>BLUE SKIES AMASAMAN</t>
  </si>
  <si>
    <t>SAWTEL 2 SUNYANI COLLECTION</t>
  </si>
  <si>
    <t>A-Z DEPARTMENT STORE SPINTEX</t>
  </si>
  <si>
    <t>BURGER KING TEMA C12</t>
  </si>
  <si>
    <t>GOIL TAMALE</t>
  </si>
  <si>
    <t>GUNTER FREY SCH</t>
  </si>
  <si>
    <t>BORTIANOR</t>
  </si>
  <si>
    <t>PALACE MALL SPINTEX</t>
  </si>
  <si>
    <t>SAWTEL 2 WEIJA TSC</t>
  </si>
  <si>
    <t>LDS Aflao</t>
  </si>
  <si>
    <t>EDIFY BAMBINO SCHOOL</t>
  </si>
  <si>
    <t xml:space="preserve"> DOMINIC AGBO SENA</t>
  </si>
  <si>
    <t>JOEL ODURO</t>
  </si>
  <si>
    <t>PAPAS PIZZA NORTH LEGON</t>
  </si>
  <si>
    <t>SAWTEL 1 GH LINK TEMA</t>
  </si>
  <si>
    <t>ACARES MEDICAL CENTRE</t>
  </si>
  <si>
    <t>LAKE SIDE</t>
  </si>
  <si>
    <t>SAWTEL 1 ACCRA POST OFFICE</t>
  </si>
  <si>
    <t>SAWTEL 2 GRA ACCRA EAST AREA OFFICE TEMA</t>
  </si>
  <si>
    <t>SAWTEL 2 GRA AKATSI SUB OFFICE</t>
  </si>
  <si>
    <t>SAWTEL 2 GRA TAK COLLECTION OFFICE</t>
  </si>
  <si>
    <t>NOV GAS &amp; OIL</t>
  </si>
  <si>
    <t xml:space="preserve">CTVET </t>
  </si>
  <si>
    <t>GCTU RACK AFRICA</t>
  </si>
  <si>
    <t>TESANO</t>
  </si>
  <si>
    <t>SDC</t>
  </si>
  <si>
    <t>ALISA HOTEL</t>
  </si>
  <si>
    <t>GOLD HEART MICRO CREDIT</t>
  </si>
  <si>
    <t>JIFIS INTERNATIONAL SCHOOL</t>
  </si>
  <si>
    <t>NABIL MAKRAM BASBOUS</t>
  </si>
  <si>
    <t>ABACHINGSA CHARLOTTE ABAWIKADILLA</t>
  </si>
  <si>
    <t>PIWC NUNGUA GRACELAND</t>
  </si>
  <si>
    <t>PIWC PENSUS OFFICE</t>
  </si>
  <si>
    <t>SPORTBETTING ADABRAKA</t>
  </si>
  <si>
    <t>MARCH</t>
  </si>
  <si>
    <t>ADVANS SUHUM</t>
  </si>
  <si>
    <t>WATER WORKS AKOSOMBO</t>
  </si>
  <si>
    <t>Furukawa 21W</t>
  </si>
  <si>
    <t>DODI LOUNGE AKOSOMBO</t>
  </si>
  <si>
    <t>VOLTA HOTEL AKOSOMBO</t>
  </si>
  <si>
    <t>ADVANS KOFORIDUA</t>
  </si>
  <si>
    <t>PIZZAMAN C25</t>
  </si>
  <si>
    <t>DAWEHYNA</t>
  </si>
  <si>
    <t>VRA NUNGUA TO AKOSOMBO</t>
  </si>
  <si>
    <t>KARIM KHALID</t>
  </si>
  <si>
    <t>PIZZAMAN LA PALMWINE</t>
  </si>
  <si>
    <t>SAWTEL 2 GRA ADENTA TSC</t>
  </si>
  <si>
    <t>PALACE MALL</t>
  </si>
  <si>
    <t>PLUSS 33 HOTEL</t>
  </si>
  <si>
    <t>SAKUMONO</t>
  </si>
  <si>
    <t>ULTRANET</t>
  </si>
  <si>
    <t>MAKOT SOLUTION STAR STEEL</t>
  </si>
  <si>
    <t>GEEMON ELECROLAND APARTMENT 7 FLAT 3B</t>
  </si>
  <si>
    <t>PIZZAMAN-LASHIBI</t>
  </si>
  <si>
    <t>LASHIBI</t>
  </si>
  <si>
    <t>SAWTEL 2 ACCRA COLLECTION OFFICE JAMES TOWN</t>
  </si>
  <si>
    <t>JAMEES TOWN</t>
  </si>
  <si>
    <t>SAWTEL 1 ACCRA COLLECTION OFFICE JAMES TOWN</t>
  </si>
  <si>
    <t>SAWTEL 2 KIA LAB</t>
  </si>
  <si>
    <t>SAWTEL RESIDENCE EAST LEGON</t>
  </si>
  <si>
    <t>SAWTEL 2 ADUM TSC</t>
  </si>
  <si>
    <t>ADUM</t>
  </si>
  <si>
    <t>SAWTEL 2 SPINTEX TSC</t>
  </si>
  <si>
    <t>TOYOTA LEGON</t>
  </si>
  <si>
    <t>LEGON</t>
  </si>
  <si>
    <t>COP MOUNT ZION</t>
  </si>
  <si>
    <t>LORDS FAVOR CHAPLE</t>
  </si>
  <si>
    <t>TS11 AHMID</t>
  </si>
  <si>
    <t>PELERINE GRACE AWUKU BEKOE</t>
  </si>
  <si>
    <t>Amrahia</t>
  </si>
  <si>
    <t>PELERINE FRANCIS KWAME</t>
  </si>
  <si>
    <t>PELIRINE CHARITY ADAMS</t>
  </si>
  <si>
    <t>PIZZAMAN Legon DRIVE THRU</t>
  </si>
  <si>
    <t>SAWTEL 2 KOFORIDUA TSC</t>
  </si>
  <si>
    <t>Koforidua</t>
  </si>
  <si>
    <t>SAGLEME</t>
  </si>
  <si>
    <t>Sagleme</t>
  </si>
  <si>
    <t>SAWTEL 2 KWESIMINTIN TSC</t>
  </si>
  <si>
    <t>Kwesimintin</t>
  </si>
  <si>
    <t xml:space="preserve">PIZZAMAN COMMUNITY 7 </t>
  </si>
  <si>
    <t>Tema Comm.7</t>
  </si>
  <si>
    <t>AMI KORKOR</t>
  </si>
  <si>
    <t>Tse Addo</t>
  </si>
  <si>
    <t>LDS AKIM ODA</t>
  </si>
  <si>
    <t>Akim Oda</t>
  </si>
  <si>
    <t>PIZZAMAN COMMUNITY 10</t>
  </si>
  <si>
    <t>Tema Comm. 10</t>
  </si>
  <si>
    <t>PIZZAMAN ADENTA</t>
  </si>
  <si>
    <t>SAWTEL-2-ACCRA-CENTRAL-AREA-OFFICE</t>
  </si>
  <si>
    <t>Mb3 Hostel</t>
  </si>
  <si>
    <t>Pizzaman East Legon</t>
  </si>
  <si>
    <t>Sawtel 2 Platinum Towers</t>
  </si>
  <si>
    <t>Abossey Okai</t>
  </si>
  <si>
    <t>Pizzaman Spintex</t>
  </si>
  <si>
    <t>Pizzaman Amrahia</t>
  </si>
  <si>
    <t>Skyline Quarry</t>
  </si>
  <si>
    <t>Dear Pharmacy</t>
  </si>
  <si>
    <t>Pizzaman Kotobabi</t>
  </si>
  <si>
    <t xml:space="preserve"> Kotobabi</t>
  </si>
  <si>
    <t>Advans Sunyani</t>
  </si>
  <si>
    <t>Sunyani</t>
  </si>
  <si>
    <t>Pizzaman Tesano</t>
  </si>
  <si>
    <t>Tesano</t>
  </si>
  <si>
    <t>Advans Tamale</t>
  </si>
  <si>
    <t>Sawtel 2 Gra Tarkwa Tsc</t>
  </si>
  <si>
    <t>Tarkwa</t>
  </si>
  <si>
    <t>Advans Ho</t>
  </si>
  <si>
    <t>Ho</t>
  </si>
  <si>
    <t>Omnibsic Mastercard Knust</t>
  </si>
  <si>
    <t>Eric Asuako Appiah</t>
  </si>
  <si>
    <t>Akporman</t>
  </si>
  <si>
    <t>Anthony Tetteh-Nnihene</t>
  </si>
  <si>
    <t>Ayizanga Raphael-Aloa</t>
  </si>
  <si>
    <t>Francis Okyere</t>
  </si>
  <si>
    <t>Bright-Boateng</t>
  </si>
  <si>
    <t>Richard Koranteng</t>
  </si>
  <si>
    <t>Philip-Darko</t>
  </si>
  <si>
    <t>Nathaniel Ebo-Yawson</t>
  </si>
  <si>
    <t>Prosper Danquah</t>
  </si>
  <si>
    <t>Marvellous Ahva</t>
  </si>
  <si>
    <t>Duah Omane Agyekum</t>
  </si>
  <si>
    <t>Abraham Kwesi Oppong</t>
  </si>
  <si>
    <t>Richard Kofi Nimo Donkor</t>
  </si>
  <si>
    <t>Electroland Court 8</t>
  </si>
  <si>
    <t>Evans Residence</t>
  </si>
  <si>
    <t>Theophilus Kekeli Agbenyezi</t>
  </si>
  <si>
    <t>Jonathan Aquah</t>
  </si>
  <si>
    <t>Sandra Anyinsah</t>
  </si>
  <si>
    <t xml:space="preserve">Sawtel Adenta Residence </t>
  </si>
  <si>
    <t>Eva Asare</t>
  </si>
  <si>
    <t>APRIL</t>
  </si>
  <si>
    <t>Widama Pharmacy</t>
  </si>
  <si>
    <t>Ashaiman</t>
  </si>
  <si>
    <t>Sawtel 1 Accra North Circle Post Office</t>
  </si>
  <si>
    <t>Sawtel 2 Accra North Circle Post Office</t>
  </si>
  <si>
    <t>Procurement</t>
  </si>
  <si>
    <t>Akosombo</t>
  </si>
  <si>
    <t>Security Post</t>
  </si>
  <si>
    <t>Maritime Services Unit</t>
  </si>
  <si>
    <t>Volta Lake Transport</t>
  </si>
  <si>
    <t>Maritime Club</t>
  </si>
  <si>
    <t>AIS School</t>
  </si>
  <si>
    <t>Burger King East Legon</t>
  </si>
  <si>
    <t>Pleasant Medical</t>
  </si>
  <si>
    <t>Gabriel Nadab Johnson</t>
  </si>
  <si>
    <t>Sawtel 1 Dvla Kumasi Airport</t>
  </si>
  <si>
    <t>Sawtel 2 Dvla Kumasi Airport</t>
  </si>
  <si>
    <t>Advans Mankessim</t>
  </si>
  <si>
    <t>Mankesim</t>
  </si>
  <si>
    <t>GIZ East Legon</t>
  </si>
  <si>
    <t>Theophilus Kekeli Agbenyezi Quist Town</t>
  </si>
  <si>
    <t>Korkor Quist Town</t>
  </si>
  <si>
    <t>Pelirene Miraiam Kombat</t>
  </si>
  <si>
    <t>TS11 Marcus Agyarko</t>
  </si>
  <si>
    <t>BTS Telelcom Georgina Abban</t>
  </si>
  <si>
    <t xml:space="preserve"> Sennayah Victor  Quist Town</t>
  </si>
  <si>
    <t>MAY</t>
  </si>
  <si>
    <t>JIFIS INTERNATIONAL</t>
  </si>
  <si>
    <t>B5PLUS SUAME</t>
  </si>
  <si>
    <t>Suame</t>
  </si>
  <si>
    <t>ELICAN SCHOOL</t>
  </si>
  <si>
    <t>UPSA</t>
  </si>
  <si>
    <t>ANTOINETTE BAKER</t>
  </si>
  <si>
    <t>East legon</t>
  </si>
  <si>
    <t>SAWTEL 1 FEDEX</t>
  </si>
  <si>
    <t>Airport Residential Area</t>
  </si>
  <si>
    <t>CTVET-ANNEX-TUDU</t>
  </si>
  <si>
    <t>Tudu</t>
  </si>
  <si>
    <t>VFS KUMASI</t>
  </si>
  <si>
    <t>CCI ACCRA</t>
  </si>
  <si>
    <t xml:space="preserve">North Dzorwulu </t>
  </si>
  <si>
    <t>UBA TANOSO KUMASI</t>
  </si>
  <si>
    <t>HEIDELBERG MATERIAL NORTH DZORWULU</t>
  </si>
  <si>
    <t>Dzorwulu</t>
  </si>
  <si>
    <t>SAWTEL 2 GRA ASHAIMAN TSC</t>
  </si>
  <si>
    <t>LDS ASHAIMAN</t>
  </si>
  <si>
    <t>VANSTEIN AFRICA SPINTEX</t>
  </si>
  <si>
    <t>MECOY TAMALE</t>
  </si>
  <si>
    <t>Echo TAMALE OFFICE</t>
  </si>
  <si>
    <t>SAWTEL 2 REVENUE TOWERS SOC</t>
  </si>
  <si>
    <t>Osu</t>
  </si>
  <si>
    <t>SAWTEL 2 REVENUE TOWERS FORENSICS LAB</t>
  </si>
  <si>
    <t>SAWTEL 2 REVENUE TOWERS</t>
  </si>
  <si>
    <t>UTV SHIPPERS HOUSE</t>
  </si>
  <si>
    <t>DBS INDUSTRIES LTD KUMASI</t>
  </si>
  <si>
    <t xml:space="preserve">LISTER HOSPITAL </t>
  </si>
  <si>
    <t>Airport Hills</t>
  </si>
  <si>
    <t>ATC KUMASI</t>
  </si>
  <si>
    <t>ERNEST CHEMIST AFIENYA</t>
  </si>
  <si>
    <t>WESLEY COLLEGE OF EDUCATION KUMASI</t>
  </si>
  <si>
    <t>VANSTEIN AFRICA ADABRAKA</t>
  </si>
  <si>
    <t>Adabraka</t>
  </si>
  <si>
    <t>EMMLINK TECHNOLOGIES</t>
  </si>
  <si>
    <t>Kasoa</t>
  </si>
  <si>
    <t>VINCENT YAO ADZOGAH</t>
  </si>
  <si>
    <t>YORNNIE-AHIATAKU</t>
  </si>
  <si>
    <t>WISDOM NYAVOR</t>
  </si>
  <si>
    <t>QUIST TOWN ANASTASIA AFRIYIE DUAH</t>
  </si>
  <si>
    <t xml:space="preserve"> PCC -GOMOA HOMEPASS </t>
  </si>
  <si>
    <t xml:space="preserve">  PCC -GOMOA  A.T NARTEY BLOCK</t>
  </si>
  <si>
    <t xml:space="preserve"> PCC -GOMOA STEPHEN HENRY BLOCK </t>
  </si>
  <si>
    <t xml:space="preserve"> PCC -GOMOA JAMES KWEKU GYIMAH </t>
  </si>
  <si>
    <t xml:space="preserve"> PCC -GOMOA BART PLANG BLOCK </t>
  </si>
  <si>
    <t xml:space="preserve"> PCC -GOMOA GEORGE A WOOD BLOCK </t>
  </si>
  <si>
    <t xml:space="preserve"> PCC -GOMOA PATRICK ESIAMAH BLOCK </t>
  </si>
  <si>
    <t xml:space="preserve"> PCC -GOMOA NEW BLOCK</t>
  </si>
  <si>
    <t xml:space="preserve"> PCC -GOMOA 5000 AUDITORIUM</t>
  </si>
  <si>
    <t>SAWTEL 1 REVENUE TOWERS AEOI</t>
  </si>
  <si>
    <t>SAWTEL 2 GRA OSU TSC</t>
  </si>
  <si>
    <t>SAWTEL 2 GRA DUNKWA TSC</t>
  </si>
  <si>
    <t>Dunkwa</t>
  </si>
  <si>
    <t>SAWTEL 2 GRA MATAHEKO TSC</t>
  </si>
  <si>
    <t>Mataheko</t>
  </si>
  <si>
    <t>PIZZAMAN LAKESIDE</t>
  </si>
  <si>
    <t>Lakeside</t>
  </si>
  <si>
    <t>DICKSON DICKSON BREW AMANING</t>
  </si>
  <si>
    <t>Dawyenya</t>
  </si>
  <si>
    <t>ALI GOMDAH</t>
  </si>
  <si>
    <t>Kissieman</t>
  </si>
  <si>
    <t>24 hour Economy</t>
  </si>
  <si>
    <t>GEEMON ALI FARTHAT</t>
  </si>
  <si>
    <t>CCI 2ND LINK NORTH DZORWULU</t>
  </si>
  <si>
    <t>PELIRENE NII TETTEY</t>
  </si>
  <si>
    <t>Tantra Hill</t>
  </si>
  <si>
    <t>NII TACKIE</t>
  </si>
  <si>
    <t>Kwabenya</t>
  </si>
  <si>
    <t>AMOANI DEBRAH</t>
  </si>
  <si>
    <t>KOFI OSEI AMPARBENG</t>
  </si>
  <si>
    <t>GEEMON ELECTROLAND FLAT A1</t>
  </si>
  <si>
    <t>GEEMON ELECTROLAND FLAT A2</t>
  </si>
  <si>
    <t>GEEMON  ELECTROLAND FLAT 5B</t>
  </si>
  <si>
    <t>NANA AKUA AMOAFOA</t>
  </si>
  <si>
    <t>Adjiringanor </t>
  </si>
  <si>
    <t>BACKHAUL</t>
  </si>
  <si>
    <t>METRO</t>
  </si>
  <si>
    <t xml:space="preserve">REGION </t>
  </si>
  <si>
    <t xml:space="preserve">DSITANCE </t>
  </si>
  <si>
    <t>POLES UTILIZED</t>
  </si>
  <si>
    <t>New Poles</t>
  </si>
  <si>
    <t>EXISTING POLES</t>
  </si>
  <si>
    <t xml:space="preserve"> Distance (m) </t>
  </si>
  <si>
    <t> </t>
  </si>
  <si>
    <t>ADSS FOC:- All Dielectric Self Supporting Fibre Optic Cable</t>
  </si>
  <si>
    <t>Territory</t>
  </si>
  <si>
    <t>Dropcable distance (m)</t>
  </si>
  <si>
    <t>ADSS distance (m)</t>
  </si>
  <si>
    <t>Deadends</t>
  </si>
  <si>
    <t xml:space="preserve">IKLICK-ITSM-SOLUTION </t>
  </si>
  <si>
    <t xml:space="preserve">OZONE CREST APARTMENT </t>
  </si>
  <si>
    <t>OZONE AGYEMANG BUDU</t>
  </si>
  <si>
    <t>OZONE GOIL GAS</t>
  </si>
  <si>
    <t>OZONE-WIDAMA PHARMACY 2</t>
  </si>
  <si>
    <t>SAMUEL ADU TWUM</t>
  </si>
  <si>
    <t>ECOBAND - Multichoice – Jozil Broz Tito Ave</t>
  </si>
  <si>
    <t>GI-KACE-CIC-SOMANYA</t>
  </si>
  <si>
    <t>COLI-PIZZAMAN-LAPAZ</t>
  </si>
  <si>
    <t>SAWTEL-2-LEGON-TSC</t>
  </si>
  <si>
    <t>SAWTEL-2-SHIPPERS HOUSE</t>
  </si>
  <si>
    <t xml:space="preserve">SAWTEL-GRA-ADABRAKA TSC </t>
  </si>
  <si>
    <t>SAWTEL-VAT-HOUSE</t>
  </si>
  <si>
    <t xml:space="preserve">MAXINET WINNERS CHAPEL </t>
  </si>
  <si>
    <t>SAWTEL-2-POST OFFICE-TSC</t>
  </si>
  <si>
    <t>SAWTEL-2- Customs HQ</t>
  </si>
  <si>
    <t>SAWTEL-2 MOF GEO-GOV</t>
  </si>
  <si>
    <t>SAWTEL-2-GRA Head office</t>
  </si>
  <si>
    <t>SAWTEL-2-Head Office Annex</t>
  </si>
  <si>
    <t>OZONE NOKNOK</t>
  </si>
  <si>
    <t>EFFANEST-SUNYANI</t>
  </si>
  <si>
    <t xml:space="preserve">SAWTEL-2-ADABRAKA-TSC </t>
  </si>
  <si>
    <t xml:space="preserve">EMMLINK TECHNOLOGY-KASOA-2ND LEG </t>
  </si>
  <si>
    <t>ECHO-GSL-TEMA</t>
  </si>
  <si>
    <t>DD-FISHERIRES COMMISSION</t>
  </si>
  <si>
    <t>IKLICK -GEEMON -TBT</t>
  </si>
  <si>
    <t xml:space="preserve">ECOBAND-ENTERPRISE COMPUTING </t>
  </si>
  <si>
    <t xml:space="preserve">SAWTEL-2-SUNYANI-DVLA </t>
  </si>
  <si>
    <t xml:space="preserve">OZONE SAWER NANOR </t>
  </si>
  <si>
    <t>MAXINET PAPAS PIZZA</t>
  </si>
  <si>
    <t>SAWTEL-2-TEMA -TSC-2</t>
  </si>
  <si>
    <t>SAWTEL-2-TEMA -TSC-1</t>
  </si>
  <si>
    <t>SAWTEL-2-GRA-NEW DC</t>
  </si>
  <si>
    <t>IKLICK-TS11-SAMUEL-MAINOO</t>
  </si>
  <si>
    <t>ECHO-MSC</t>
  </si>
  <si>
    <t>AT-KUIPERS GH</t>
  </si>
  <si>
    <t>OZONE ALIDU NASSER</t>
  </si>
  <si>
    <t>OZONE-ICU</t>
  </si>
  <si>
    <t xml:space="preserve">OZONE-IGTE </t>
  </si>
  <si>
    <t>IKLICK-BTS-STELLA GOMADO</t>
  </si>
  <si>
    <t>IKLICK-BTS-FERDNARD GODZO ASAMOAH</t>
  </si>
  <si>
    <t>OZONE MAGVILYN</t>
  </si>
  <si>
    <t>OZONE INVESTCORP</t>
  </si>
  <si>
    <t xml:space="preserve">IKLICK-KINGSLEY DESTINY </t>
  </si>
  <si>
    <t>IKLICK-HAAVAD-KWAKU-ASAMOAH-ACHEAMPONG</t>
  </si>
  <si>
    <t>IKLICK SAMUEL ADU TWUM</t>
  </si>
  <si>
    <t>IKLICK DESMOND HAMMOND</t>
  </si>
  <si>
    <t>IKLICK HOLIDAY INN</t>
  </si>
  <si>
    <t>COLI-BURGER KING ACCRA MALL</t>
  </si>
  <si>
    <t xml:space="preserve">COLI PIZZAMAN DOME </t>
  </si>
  <si>
    <t xml:space="preserve">ECOBAND JOHNSON &amp; JOHNSON </t>
  </si>
  <si>
    <t>AFRIX AUSTRIAN EMBASSY 2ND LEG(ONT LEG)</t>
  </si>
  <si>
    <t>AFRIX AUSTRIAN EMBASSY 1ST LEG(MTK LEG)</t>
  </si>
  <si>
    <t>IKLICK-ZULAIHA-ABDUL-HAMID</t>
  </si>
  <si>
    <t xml:space="preserve">SAWTEL-2-NOW-KOFORIDAR CHECKPOINT </t>
  </si>
  <si>
    <t xml:space="preserve">SAWTEL-2-GRA- SUAME AREA AUDIX ANNEX </t>
  </si>
  <si>
    <t>COLI PIZZAMAN MILE 7</t>
  </si>
  <si>
    <t>SAWTEL-2-GRA- SUAME TAX PAYER CENTER</t>
  </si>
  <si>
    <t>SAWTEL-2-WENCHI-SUB-OFFICE</t>
  </si>
  <si>
    <t xml:space="preserve">SAWTEL-2-WENCHI-CUSTOMS-DVLA </t>
  </si>
  <si>
    <t xml:space="preserve">SAWTEL-2-WENCHI TAINSO OUTPOST </t>
  </si>
  <si>
    <t>IKLICK PRINCE NTOW</t>
  </si>
  <si>
    <t xml:space="preserve">SAWTEL-2-SUNYANI-AREA OFFICE </t>
  </si>
  <si>
    <t>IKICK-MICHAEL-NYAMPONG</t>
  </si>
  <si>
    <t xml:space="preserve">IKLICK-BTS-YVETTE MILLS </t>
  </si>
  <si>
    <t>IKLICK-BREAD BOUTIQUE</t>
  </si>
  <si>
    <t xml:space="preserve">IKICK-M&amp;J CITY OFFICE </t>
  </si>
  <si>
    <t>IKICK-SEIDIM SITAFA</t>
  </si>
  <si>
    <t xml:space="preserve">SAWTEL WEIJA RESIDENCE </t>
  </si>
  <si>
    <t>IKLICK-GT BANK (OGBOJO ATM)</t>
  </si>
  <si>
    <t>IKLICK-ALBERT LAWEH TETTEH</t>
  </si>
  <si>
    <t xml:space="preserve">IKLICK SENCHI AKUSE RESIDENCE </t>
  </si>
  <si>
    <t>FG&amp;B TECH OFFICE EMERALD HOUSE</t>
  </si>
  <si>
    <t>SAWTEL-1-DVLA ADENTA</t>
  </si>
  <si>
    <t>IKLICK EMMANUEL GATOR</t>
  </si>
  <si>
    <t>IKLICK CASA SOLUTION</t>
  </si>
  <si>
    <t>COLI PIZZAMAN ASHAIMAN</t>
  </si>
  <si>
    <t>SAWTEL-2-KUMASI COLLECTION(KUMASI-CUSTOMS-MAIN)</t>
  </si>
  <si>
    <t>IKLICK-KWABENA-ASARE-ADJEI</t>
  </si>
  <si>
    <t>IKLICK-OPOKU-PRINCE</t>
  </si>
  <si>
    <t>IKLICK-BENJAMIN A.K NYATAFE</t>
  </si>
  <si>
    <t>IKLICK-GT BANK (OYARIFA ATM)</t>
  </si>
  <si>
    <t xml:space="preserve">IKLICK-TS 11-IZUCHUKWU CHUKUANI </t>
  </si>
  <si>
    <t>MAXINET DONEWELL INSURANCE-OSU</t>
  </si>
  <si>
    <t>ECHO-BROLL-WEST HILLS MALL</t>
  </si>
  <si>
    <t>OZONE-TRAZZACO-SPRINGS</t>
  </si>
  <si>
    <t>OZONE-FIVE HOUSES_HSE 3 RELOCATION</t>
  </si>
  <si>
    <t>AT-ISON BPO</t>
  </si>
  <si>
    <t xml:space="preserve">OZONE MARGARET'S RESIDENCE </t>
  </si>
  <si>
    <t>IKLICK ESTHER MPRAH</t>
  </si>
  <si>
    <t>IKLICK-BRIGHT-KWESI-FIADJOE</t>
  </si>
  <si>
    <t>IKLICK-JOSEPH-DODZI</t>
  </si>
  <si>
    <t>KNUST-TAMALE</t>
  </si>
  <si>
    <t>IKLICK BENARD OHKORLI</t>
  </si>
  <si>
    <t>IKLICK-EFANEST-NATIONAL-BANKING COLLEGE</t>
  </si>
  <si>
    <t>IKLICK-B5 PLUS -KODIE</t>
  </si>
  <si>
    <t>IKLICK-GIC INVESTMENT</t>
  </si>
  <si>
    <t>DDS-LDS-SWEDRU-MAIN</t>
  </si>
  <si>
    <t xml:space="preserve">SAWTEL-2-MTN-SAKAMAN-DATACENTER </t>
  </si>
  <si>
    <t xml:space="preserve">OZONE-HENSAP-HOTEL </t>
  </si>
  <si>
    <t>MAXINET DONEWELL INSURANCE-TEMA</t>
  </si>
  <si>
    <t xml:space="preserve">ECHO-ELECTROLAND-GHANA </t>
  </si>
  <si>
    <t xml:space="preserve">IKLICK-ASARE BEDIAKO DOREEN </t>
  </si>
  <si>
    <t>IKLICK-DOUGLAS-NOVIHOHO</t>
  </si>
  <si>
    <t xml:space="preserve">DDS-LDS-SWEDRU-ABOSO </t>
  </si>
  <si>
    <t>MAXINET-DONEWELL-INSURANCE -TAFO</t>
  </si>
  <si>
    <t>OZONE -NOKNOK SPINTEX</t>
  </si>
  <si>
    <t>DDS-OMNIBSIC-WEIJA</t>
  </si>
  <si>
    <t xml:space="preserve">OZONE RESTORE PRAYER PARTNER </t>
  </si>
  <si>
    <t xml:space="preserve">DDS-OMNNIBSIC-NORTH INDUSTRIAL AREA </t>
  </si>
  <si>
    <t>DDS-OMNNIBSIC-ADABRAKA</t>
  </si>
  <si>
    <t>IKLICK-KWASI-PREMPEH</t>
  </si>
  <si>
    <t xml:space="preserve">DDS-OMNNIBSIC-NIMA </t>
  </si>
  <si>
    <t>OZONE-FUTURE-SPACE</t>
  </si>
  <si>
    <t xml:space="preserve">MAXINET -DONEWELL INSURANCE </t>
  </si>
  <si>
    <t xml:space="preserve">ECOBAND OSIRIS TRADING </t>
  </si>
  <si>
    <t>DDS-OMNNIBSIC-ACCRA CENTRAL</t>
  </si>
  <si>
    <t>IKLICK-JOHN AIDOO 2</t>
  </si>
  <si>
    <t>IKLICK-BTS-NANA-AMA-OT-DARKOWA</t>
  </si>
  <si>
    <t>DDS-OMNNIBSIC-TEMA</t>
  </si>
  <si>
    <t>ECHO-ADVANS-TAKORADI</t>
  </si>
  <si>
    <t>DDS-LDS-KASOA</t>
  </si>
  <si>
    <t xml:space="preserve">ECOBAND-SONOTECH </t>
  </si>
  <si>
    <t>MAXINET-DONEWELL-INSURANCE -TAKORADI</t>
  </si>
  <si>
    <t xml:space="preserve">IKLICK COP TESHIE MISSION HOUSE </t>
  </si>
  <si>
    <t>IKLICK-PIWC-SAKUMONO</t>
  </si>
  <si>
    <t>MAXINET-DONEWELL-INSURANCE -HO</t>
  </si>
  <si>
    <t>OZONE DZIGBORDI RESIDENCE</t>
  </si>
  <si>
    <t xml:space="preserve">OZONE BWOODIN </t>
  </si>
  <si>
    <t xml:space="preserve">ECHO-SDC-FINANCE OFFICE </t>
  </si>
  <si>
    <t>PTBL-DOREEN CAROL ANNING GYEBI</t>
  </si>
  <si>
    <t>MAXINET-DONEWELL-INSURANCE -TAMALE</t>
  </si>
  <si>
    <t>IKLICK-QUIST TOWN-ERNEST BOAKYE</t>
  </si>
  <si>
    <t>MAXINET-DONEWELL-INSURANCE -KUMASI</t>
  </si>
  <si>
    <t>IKLICK -GARIBA- HARUNA</t>
  </si>
  <si>
    <t xml:space="preserve">IKLICK-BTS-PHILLIP ANYAN OBENG </t>
  </si>
  <si>
    <t>IKLICK-CUBE CONSULT-BRIDGET AKU AGBEY</t>
  </si>
  <si>
    <t>IKLICK-PENTECOST MISSION HOUSE</t>
  </si>
  <si>
    <t xml:space="preserve">DATACOM MOHINANI - NORTH INDUSTRIAL </t>
  </si>
  <si>
    <t>FG&amp;B -TRINITY THEOLOGICAL SEMINAR</t>
  </si>
  <si>
    <t>IKLICK-COL-EMMANUEL NYANTE</t>
  </si>
  <si>
    <t xml:space="preserve">ECHO-METROHM CENTRAL AFRICA </t>
  </si>
  <si>
    <t>ECHO-BAYPORT-AIRPORT</t>
  </si>
  <si>
    <t>ECHO-BROLL-KUMASI CITY MALL</t>
  </si>
  <si>
    <t xml:space="preserve">COP SAKUMONO AREA MISSION HOUSE </t>
  </si>
  <si>
    <t>DDS-OMNIBSIC-TEMA</t>
  </si>
  <si>
    <t>SMARTINFRACO-SLTF</t>
  </si>
  <si>
    <t>IKLICK PHYLIS GROBI</t>
  </si>
  <si>
    <t>FG&amp;B -LANSFIELD-DZORWULU</t>
  </si>
  <si>
    <t>IKLICK-TS 11-SHEILA BANSAH</t>
  </si>
  <si>
    <t>IKLICK-TS 11-AKOSUA DARKO</t>
  </si>
  <si>
    <t xml:space="preserve">IKLICK-TS 11-KEITH TOOMER </t>
  </si>
  <si>
    <t xml:space="preserve">DIRECTORATE OF INFORMATION TECHNOLOGY </t>
  </si>
  <si>
    <t>IKLICK PAMELA QUASHIGAH</t>
  </si>
  <si>
    <t>ECOBAND-INTERNATIONAL SOS</t>
  </si>
  <si>
    <t xml:space="preserve">IKLICK- CHOICE INTERNATIONAL </t>
  </si>
  <si>
    <t xml:space="preserve">IKLICK ULTIMATE HOSTEL </t>
  </si>
  <si>
    <t>IKLICK-QUIST TOWN-ISHMAEL AWUKU</t>
  </si>
  <si>
    <t xml:space="preserve">IKLICK-EVER FRUITFUL CHURCH </t>
  </si>
  <si>
    <t>ECHO-BAYPORT-KOKOMLEMLE</t>
  </si>
  <si>
    <t>IKLICK-RITA MENSAH</t>
  </si>
  <si>
    <t xml:space="preserve">ECHO-CAPITAL PLACE </t>
  </si>
  <si>
    <t>IKLICK-CITY OF CONSECRATION</t>
  </si>
  <si>
    <t>IKLICK-BTS-JOSHUA ADOM</t>
  </si>
  <si>
    <t>IKLICK-BENJAMIN DANSO</t>
  </si>
  <si>
    <t>SAWTEL-1-SOGA-CUSTOMS</t>
  </si>
  <si>
    <t>ECOBAND APEX TRUSTEE LTD</t>
  </si>
  <si>
    <t xml:space="preserve">IKLICK-APPOLONIA CITY </t>
  </si>
  <si>
    <t xml:space="preserve">HO POST OFFICE </t>
  </si>
  <si>
    <t xml:space="preserve">IKLICK ISHAMEL HANSON </t>
  </si>
  <si>
    <t>IKLICK SUDAN EMBASSY-RESIDENCE</t>
  </si>
  <si>
    <t>NEDCO-WA AREA OFFICE</t>
  </si>
  <si>
    <t>NEDCO-TAMALE AREA OFFICE</t>
  </si>
  <si>
    <t>ECHO - ADVANS -ABUAKWA</t>
  </si>
  <si>
    <t>IKLICK REGINALD QUARCOO</t>
  </si>
  <si>
    <t>IKLICK TEDDY ANTWI</t>
  </si>
  <si>
    <t>ECHO-CMC-COCOA HOUSE</t>
  </si>
  <si>
    <t>IKLICK KWADWO ANNING</t>
  </si>
  <si>
    <t>IKLICK NANA YAA AGYAPONG</t>
  </si>
  <si>
    <t>IKLICK EVELYN MOSES</t>
  </si>
  <si>
    <t>IKLICK WILLIAM GAINEE</t>
  </si>
  <si>
    <t xml:space="preserve">ECHO-COCOA HOUSE </t>
  </si>
  <si>
    <t xml:space="preserve">NEDCO-SAWLA AREA OFFICE </t>
  </si>
  <si>
    <t xml:space="preserve">OZONE PALACE MALL </t>
  </si>
  <si>
    <t xml:space="preserve">OZONE JONATHAN KUMAH </t>
  </si>
  <si>
    <t>IKLICK SYLVESTER OPOKU DUODU</t>
  </si>
  <si>
    <t xml:space="preserve">IKLICK GEEMON OLIVER KLOTZ </t>
  </si>
  <si>
    <t xml:space="preserve">IKLICK RAYMOND COFFIE MENSAH </t>
  </si>
  <si>
    <t xml:space="preserve">DDS-ECL-DATA CENTER </t>
  </si>
  <si>
    <t xml:space="preserve">IBRAHIM A.B AHMED </t>
  </si>
  <si>
    <t>IKLICK - JOSEPH DARKO</t>
  </si>
  <si>
    <t xml:space="preserve">IKLICK -YAW OWUSU ASIEDU </t>
  </si>
  <si>
    <t xml:space="preserve">AFRIX-KNET </t>
  </si>
  <si>
    <t>IKLICK SAMUEL ADDO</t>
  </si>
  <si>
    <t xml:space="preserve">GT BANK EXECUTIVE STAFF RESIDENCE </t>
  </si>
  <si>
    <t>IKLICK GRACE AGYARKO</t>
  </si>
  <si>
    <t>MONINET-AGYAN</t>
  </si>
  <si>
    <t>CSQ-SANDVIK-KUMASI</t>
  </si>
  <si>
    <t>IKLICK -KELVIN B TORTO</t>
  </si>
  <si>
    <t>IKLICK-STEPHEN ASARE</t>
  </si>
  <si>
    <t>IKLICK-ANDREWS DARKO</t>
  </si>
  <si>
    <t>IKLICK-RAZAK NUWORTI</t>
  </si>
  <si>
    <t xml:space="preserve">IKLICK OBED SOWAH </t>
  </si>
  <si>
    <t>IKLICK-BTS-ODUM NANA KWAW AGYEI</t>
  </si>
  <si>
    <t>IKLICK BTS- ALFRED OKYERE</t>
  </si>
  <si>
    <t xml:space="preserve">IKLICK -RICHARD ASANTE </t>
  </si>
  <si>
    <t>IKLICK - AFRO BEE</t>
  </si>
  <si>
    <t>ECG-AHINSAN</t>
  </si>
  <si>
    <t xml:space="preserve">KOFI ANNAN CENTRE OF EXCELLENCE </t>
  </si>
  <si>
    <t xml:space="preserve">IKLICK ALI JAFFAL </t>
  </si>
  <si>
    <t>IKLICK-EURACARE-AMERICAN HOUSE</t>
  </si>
  <si>
    <t xml:space="preserve">IKLICK-EURACARE-LABONE </t>
  </si>
  <si>
    <t>IKLICK-BTS -BRIDGET ASANTE ADDAI</t>
  </si>
  <si>
    <t xml:space="preserve">IKLICK-BTS-RASHID ALHASSAN </t>
  </si>
  <si>
    <t>IKLICK-EURACARE-ADJIRINGANOR</t>
  </si>
  <si>
    <t xml:space="preserve">GHAZA HOSTELS </t>
  </si>
  <si>
    <t xml:space="preserve">DDS-AMERICAN AUTO </t>
  </si>
  <si>
    <t xml:space="preserve">IKLICK-PELIRENE-JULIANA AKROFI ADDO </t>
  </si>
  <si>
    <t xml:space="preserve">IKLICK-PELIRENE-GEORGE KWEKU SIRIPI </t>
  </si>
  <si>
    <t xml:space="preserve">SANCFIS ENTRANCE UNIVERSITY </t>
  </si>
  <si>
    <t>IKLICK- PELIRENE SHADRACH MENSAH</t>
  </si>
  <si>
    <t xml:space="preserve">IKLICK-YASAMEEN ALJIBOURY </t>
  </si>
  <si>
    <t>IKLICK-BTS SOKU JOSEPH BOAMAH</t>
  </si>
  <si>
    <t>MAINONE HUBTEL AHODWO</t>
  </si>
  <si>
    <t>MAXINET PHILLIPS GHANA</t>
  </si>
  <si>
    <t>AFRIX - TULLOW GHANA</t>
  </si>
  <si>
    <t xml:space="preserve">AFRIX CBC-TECH INTERNATIONAL </t>
  </si>
  <si>
    <t>IKLICK-BTS SARKODIE SETH</t>
  </si>
  <si>
    <t>OZONE SSNIT GUEST HOUSE</t>
  </si>
  <si>
    <t xml:space="preserve">SANCFIS ML KUMASI </t>
  </si>
  <si>
    <t>ECHO-GIZ-WA</t>
  </si>
  <si>
    <t>IKLICK-EMMANUEL OPPONG</t>
  </si>
  <si>
    <t xml:space="preserve">IKLICK ISAAC SARKOH </t>
  </si>
  <si>
    <t>IKLICK -SAMUEL ATEFUA-RELOCATION</t>
  </si>
  <si>
    <t>NEDCo-SAVELUGU SERVICE CENTER</t>
  </si>
  <si>
    <t>IKLICK PRINCE-TEIMAN</t>
  </si>
  <si>
    <t xml:space="preserve">IKLICK -CUBE CONSULT-NANA TONY APPIAH </t>
  </si>
  <si>
    <t xml:space="preserve">IKLICK ETORNAM FLATS </t>
  </si>
  <si>
    <t>TELEDATA MILLICOM-TEMA</t>
  </si>
  <si>
    <t xml:space="preserve">IKLICK-BTS-FELICIA YEBOAH DAFEAMAKPOR </t>
  </si>
  <si>
    <t>IKLICK STEPHEN AWARRE</t>
  </si>
  <si>
    <t xml:space="preserve">IKLICK-ECG BOARD CHAIR </t>
  </si>
  <si>
    <t xml:space="preserve">IKLICK-OBENG MENSAH </t>
  </si>
  <si>
    <t>IKLICK-MARK OPOKU</t>
  </si>
  <si>
    <t>ECHO-SYNLAB</t>
  </si>
  <si>
    <t xml:space="preserve">IKLICK- FALIDA ABDUL SAMAD </t>
  </si>
  <si>
    <t xml:space="preserve">IKLICK-TS11-AHMED IBRAHIM GHANNAM </t>
  </si>
  <si>
    <t>IKLICK -KOBE KPEGLO</t>
  </si>
  <si>
    <t xml:space="preserve">OZONE ARRAY BAR &amp; RESTAURANT </t>
  </si>
  <si>
    <t xml:space="preserve">IKLICK STEPHEN SAI SCHANDORF </t>
  </si>
  <si>
    <t xml:space="preserve">IKLICK- EUNICE BOAFO APENTENG </t>
  </si>
  <si>
    <t xml:space="preserve">IKLICK-GLOBAL POLY </t>
  </si>
  <si>
    <t>SAWTEL-2-MOF-DC-KUMASI</t>
  </si>
  <si>
    <t>ECG-EJISU</t>
  </si>
  <si>
    <t>IKLICK-BTS-ALBERT AGBESHIE</t>
  </si>
  <si>
    <t>IKLICK-BTS-AARON QUARCOO</t>
  </si>
  <si>
    <t>IKLICK-DENNIS OSEI</t>
  </si>
  <si>
    <t>IKLICK DIAMOND WODABA</t>
  </si>
  <si>
    <t>SAWTEL-1-DVLA-BOLE</t>
  </si>
  <si>
    <t xml:space="preserve">ECHO-CMC-TEMA </t>
  </si>
  <si>
    <t xml:space="preserve">SAWTEL- BOLGA-BOST </t>
  </si>
  <si>
    <t>IKLICK -MC BAUCHEMIE</t>
  </si>
  <si>
    <t xml:space="preserve">IKLICK LEGON EV STATION </t>
  </si>
  <si>
    <t xml:space="preserve">LEVEL-3-3D WIRELESS PLUS-KLAGON </t>
  </si>
  <si>
    <t xml:space="preserve">ECHO-BAYPORT TAKORADI </t>
  </si>
  <si>
    <t xml:space="preserve">IKLICK -SEAEX -IES - EPA-AMASAMAN </t>
  </si>
  <si>
    <t>IKLICK-HAAVAD-BENJAMIN NYATEFE</t>
  </si>
  <si>
    <t>IKLICK-MICHAEL-ANANG</t>
  </si>
  <si>
    <t>OZONE TCHETCHE ANNEX 1</t>
  </si>
  <si>
    <t>OZONE TCHETCHE ANNEX 2</t>
  </si>
  <si>
    <t>OZONE TCHETCHE ANNEX 3</t>
  </si>
  <si>
    <t>OZONE TCHETCHE ANNEX 4</t>
  </si>
  <si>
    <t xml:space="preserve">ECHO-BAYPORT- TAMALE </t>
  </si>
  <si>
    <t>SAWTEL-MOF-2ND LEG</t>
  </si>
  <si>
    <t xml:space="preserve">IKLICK - IGUMA KELLY </t>
  </si>
  <si>
    <t>STL-OMNIBSIC -TARKWA</t>
  </si>
  <si>
    <t xml:space="preserve">DDS-OMNIBSIC-ABOSSEY OKAI </t>
  </si>
  <si>
    <t xml:space="preserve">DDS-OMNIBSIC-ABELEMKPE </t>
  </si>
  <si>
    <t xml:space="preserve">OZONE -FUTURE SPACE RELOCATION </t>
  </si>
  <si>
    <t>OZONE ANTOINETTE</t>
  </si>
  <si>
    <t>DDS-OMNIBSIC -KOKOMLEMLE</t>
  </si>
  <si>
    <t>IKLICK-BTS-JEFFERY KOFI APPIAH</t>
  </si>
  <si>
    <t>IKLICK-RICHARD HOGREY JNR</t>
  </si>
  <si>
    <t xml:space="preserve">IKLICK -DIANA DEBRAH ASANTE </t>
  </si>
  <si>
    <t xml:space="preserve">OZONE -DODO </t>
  </si>
  <si>
    <t xml:space="preserve">STL-OMNIBSIC -KOFORIDUA </t>
  </si>
  <si>
    <t>AFRIX-IPSOS</t>
  </si>
  <si>
    <t>AFRIX-ROYAL SENCHI</t>
  </si>
  <si>
    <t>DDS-CFAO-TARKWA</t>
  </si>
  <si>
    <t xml:space="preserve">IKICK -STATE MAN PHARMACY </t>
  </si>
  <si>
    <t>DDS-OMNIBSIC -MADINA</t>
  </si>
  <si>
    <t xml:space="preserve">ECHO-EUROPEAN UNION </t>
  </si>
  <si>
    <t xml:space="preserve">OZONE -LAWRENCE OSEI </t>
  </si>
  <si>
    <t>ECOBAND MALAYSIAN HIGH COMMISSION</t>
  </si>
  <si>
    <t xml:space="preserve">IKLICK-KELVIN WILLIAMS </t>
  </si>
  <si>
    <t xml:space="preserve">IKLICK AHMED MOHAMMED (OFFICE) </t>
  </si>
  <si>
    <t>IKLICK-TS 11-MRS EUNICE BOAFO</t>
  </si>
  <si>
    <t xml:space="preserve">IKLICK - NEURONEXAI LTD </t>
  </si>
  <si>
    <t xml:space="preserve">IKLICK-ACCRA RIDGE CHURCH </t>
  </si>
  <si>
    <t>IKLICK GT-BANK TESHIE</t>
  </si>
  <si>
    <t xml:space="preserve">IKLICK-BTS-JOHNSON SANOOP </t>
  </si>
  <si>
    <t>ECONNECTA -NPRA-HO</t>
  </si>
  <si>
    <t>IKLICK- FREDDY FREJUS</t>
  </si>
  <si>
    <t xml:space="preserve">IKLICK VANSTEIN EAST LEGON </t>
  </si>
  <si>
    <t>DDS-OMNIBSIC -ADUM PREMPEH BRANCH</t>
  </si>
  <si>
    <t>IKLICK KLM -AIRPORT</t>
  </si>
  <si>
    <t>DDS-CFAO-TAMALE</t>
  </si>
  <si>
    <t>ECONNECTA -NPRA-SUNYANI</t>
  </si>
  <si>
    <t>OZONE- MOTHER'S TV</t>
  </si>
  <si>
    <t>IKLICK-NETPORT-ACCRA MALL-UPGRADE</t>
  </si>
  <si>
    <t xml:space="preserve">MAXINET-DONEWELL INSURANCE- 2ND LEG </t>
  </si>
  <si>
    <t xml:space="preserve">IKLICK-OSMAN ZAKARI </t>
  </si>
  <si>
    <t xml:space="preserve">IKLICK BENJAMIN SOWAH </t>
  </si>
  <si>
    <t xml:space="preserve">IKLICK-BTS-DAVID INYENE HUNDEYIN </t>
  </si>
  <si>
    <t>IKLICK-KHALID IBRAHIM</t>
  </si>
  <si>
    <t>IKLICK- RAPHAEL-ADJETEY</t>
  </si>
  <si>
    <t xml:space="preserve">DDS-DANGOTE-TAKORADI </t>
  </si>
  <si>
    <t xml:space="preserve">IKLICK - WILHELM LESLIE DOUGAN </t>
  </si>
  <si>
    <t xml:space="preserve">SANCFIS-SECOND CHANCE -ASANKARE </t>
  </si>
  <si>
    <t xml:space="preserve">Juapong </t>
  </si>
  <si>
    <t>Nyanyano</t>
  </si>
  <si>
    <t>Dawhenya</t>
  </si>
  <si>
    <t xml:space="preserve">Tema </t>
  </si>
  <si>
    <t xml:space="preserve">Nungua </t>
  </si>
  <si>
    <t xml:space="preserve">Somanya </t>
  </si>
  <si>
    <t>Lapaz</t>
  </si>
  <si>
    <t xml:space="preserve">Ridge </t>
  </si>
  <si>
    <t xml:space="preserve">Adabraka </t>
  </si>
  <si>
    <t>Kokomlemle</t>
  </si>
  <si>
    <t xml:space="preserve">North Kaneshie </t>
  </si>
  <si>
    <t>Tema C1</t>
  </si>
  <si>
    <t xml:space="preserve">Accra </t>
  </si>
  <si>
    <t xml:space="preserve">Osu </t>
  </si>
  <si>
    <t>Tema C25</t>
  </si>
  <si>
    <t>Tema C9</t>
  </si>
  <si>
    <t xml:space="preserve">Ministries </t>
  </si>
  <si>
    <t xml:space="preserve">Christian Village </t>
  </si>
  <si>
    <t>Oyibi</t>
  </si>
  <si>
    <t>Darkuman</t>
  </si>
  <si>
    <t xml:space="preserve">Airport </t>
  </si>
  <si>
    <t>Tetteh Quarshie</t>
  </si>
  <si>
    <t>Dome</t>
  </si>
  <si>
    <t xml:space="preserve">Quist - Pobiman </t>
  </si>
  <si>
    <t xml:space="preserve">Mile 7 </t>
  </si>
  <si>
    <t>Wenchi</t>
  </si>
  <si>
    <t xml:space="preserve">Amrahia </t>
  </si>
  <si>
    <t>Madina</t>
  </si>
  <si>
    <t xml:space="preserve">Weija </t>
  </si>
  <si>
    <t>Obgojo</t>
  </si>
  <si>
    <t xml:space="preserve">Akuse </t>
  </si>
  <si>
    <t xml:space="preserve">Roman Ridge </t>
  </si>
  <si>
    <t>Westland</t>
  </si>
  <si>
    <t>Mainland</t>
  </si>
  <si>
    <t>Amasaman</t>
  </si>
  <si>
    <t>Borteyman</t>
  </si>
  <si>
    <t>Haavad-Oyibi</t>
  </si>
  <si>
    <t xml:space="preserve">Kodie </t>
  </si>
  <si>
    <t>Swedru</t>
  </si>
  <si>
    <t>Sakaman</t>
  </si>
  <si>
    <t>Burma Camp</t>
  </si>
  <si>
    <t>Tafo</t>
  </si>
  <si>
    <t>Avenor</t>
  </si>
  <si>
    <t xml:space="preserve">North Industrial </t>
  </si>
  <si>
    <t>Lakeside Estate</t>
  </si>
  <si>
    <t>Nima</t>
  </si>
  <si>
    <t xml:space="preserve">Adjiringanor </t>
  </si>
  <si>
    <t>Accra central</t>
  </si>
  <si>
    <t>Tema comm 26</t>
  </si>
  <si>
    <t>Takoadi</t>
  </si>
  <si>
    <t xml:space="preserve">Teshie </t>
  </si>
  <si>
    <t>Baatsona</t>
  </si>
  <si>
    <t>Dodowa</t>
  </si>
  <si>
    <t>Adum</t>
  </si>
  <si>
    <t>Tema Comm 25</t>
  </si>
  <si>
    <t>Teshie-Nungua</t>
  </si>
  <si>
    <t xml:space="preserve">Legon </t>
  </si>
  <si>
    <t>Asokwa</t>
  </si>
  <si>
    <t xml:space="preserve">Pokuase </t>
  </si>
  <si>
    <t xml:space="preserve">Knust </t>
  </si>
  <si>
    <t xml:space="preserve">Achimota </t>
  </si>
  <si>
    <t xml:space="preserve">Sogakope </t>
  </si>
  <si>
    <t xml:space="preserve">Appolonia </t>
  </si>
  <si>
    <t>Wa</t>
  </si>
  <si>
    <t>Abuakwa</t>
  </si>
  <si>
    <t>Daban</t>
  </si>
  <si>
    <t>Sawla</t>
  </si>
  <si>
    <t xml:space="preserve">Adenta </t>
  </si>
  <si>
    <t xml:space="preserve">Kwabenya </t>
  </si>
  <si>
    <t>Tema comm 3</t>
  </si>
  <si>
    <t>Axim</t>
  </si>
  <si>
    <t>Ajamesu</t>
  </si>
  <si>
    <t>Ahinsan</t>
  </si>
  <si>
    <t xml:space="preserve">Manet -Spintex </t>
  </si>
  <si>
    <t xml:space="preserve">American House </t>
  </si>
  <si>
    <t>Labone</t>
  </si>
  <si>
    <t>Kentinkrono</t>
  </si>
  <si>
    <t>Teiman</t>
  </si>
  <si>
    <t>Ahodwo</t>
  </si>
  <si>
    <t xml:space="preserve">Kpone </t>
  </si>
  <si>
    <t>Tema c25</t>
  </si>
  <si>
    <t xml:space="preserve">Oyibi </t>
  </si>
  <si>
    <t>Tema comm 24</t>
  </si>
  <si>
    <t>Haatso</t>
  </si>
  <si>
    <t xml:space="preserve">Bole </t>
  </si>
  <si>
    <t xml:space="preserve">Bolga </t>
  </si>
  <si>
    <t>Klagon</t>
  </si>
  <si>
    <t>Santase</t>
  </si>
  <si>
    <t>Abelemkpe</t>
  </si>
  <si>
    <t>Tema comm 10</t>
  </si>
  <si>
    <t xml:space="preserve">Pantang </t>
  </si>
  <si>
    <t xml:space="preserve">Koforidua </t>
  </si>
  <si>
    <t xml:space="preserve">Asylum Down </t>
  </si>
  <si>
    <t xml:space="preserve">Airport residential </t>
  </si>
  <si>
    <t>Hohoe</t>
  </si>
  <si>
    <t>Tema comm 25</t>
  </si>
  <si>
    <t>Pobiman</t>
  </si>
  <si>
    <t>Kasoa Tollbooth</t>
  </si>
  <si>
    <t>Asankare</t>
  </si>
  <si>
    <t xml:space="preserve">VSOL 1RD </t>
  </si>
  <si>
    <t xml:space="preserve">Media Converter </t>
  </si>
  <si>
    <t xml:space="preserve">VSOL 2DAC </t>
  </si>
  <si>
    <t>JUN</t>
  </si>
  <si>
    <t>SEP</t>
  </si>
  <si>
    <t>JUL</t>
  </si>
  <si>
    <t>AUG</t>
  </si>
  <si>
    <t>OCT</t>
  </si>
  <si>
    <t>NOV</t>
  </si>
  <si>
    <t>DEC</t>
  </si>
  <si>
    <t>UBIQUITY</t>
  </si>
  <si>
    <t>SAVANNA</t>
  </si>
  <si>
    <t>Maccarthy Hills</t>
  </si>
  <si>
    <t>Tema TDC</t>
  </si>
  <si>
    <t>BONO</t>
  </si>
  <si>
    <t>Tanoso - Kwanfinfin</t>
  </si>
  <si>
    <t>Kwanfinfin - Bibiano</t>
  </si>
  <si>
    <t>Dorma Ahenkro - Goaso</t>
  </si>
  <si>
    <t>Ho - Peki</t>
  </si>
  <si>
    <t>Peki - Kpando</t>
  </si>
  <si>
    <t>Kpando - Hohoe</t>
  </si>
  <si>
    <t>Akosombo - Ho</t>
  </si>
  <si>
    <t>Hohoe - Kedjebi</t>
  </si>
  <si>
    <t>Kedjebi - Nkwanta</t>
  </si>
  <si>
    <t>Nkwanta - Kpassa</t>
  </si>
  <si>
    <t>Yendi - Gushegu</t>
  </si>
  <si>
    <t>Berekum - Dormaa Ahenkro</t>
  </si>
  <si>
    <t>KASOA</t>
  </si>
  <si>
    <t>SALTPOND</t>
  </si>
  <si>
    <t>AKUSE DATACENTER(48F)(VRA)</t>
  </si>
  <si>
    <t>KANESHIE</t>
  </si>
  <si>
    <t>BONSU</t>
  </si>
  <si>
    <t>ABOSSEY OKAI</t>
  </si>
  <si>
    <t>PANTANG</t>
  </si>
  <si>
    <t>APOLLONIA</t>
  </si>
  <si>
    <t>NSAWAM</t>
  </si>
  <si>
    <t>PRAMPRA,</t>
  </si>
  <si>
    <t>ASHALEY BOSTWE</t>
  </si>
  <si>
    <t>DANSOMAN</t>
  </si>
  <si>
    <t>AVENOR</t>
  </si>
  <si>
    <t>OFANKOR</t>
  </si>
  <si>
    <t>CANTONMENTS</t>
  </si>
  <si>
    <t>ABLEKUMA</t>
  </si>
  <si>
    <t>CONTONMENT</t>
  </si>
  <si>
    <t>MCCARTHY</t>
  </si>
  <si>
    <t>KWABENYA</t>
  </si>
  <si>
    <t>KROBO</t>
  </si>
  <si>
    <t>RING ROAD</t>
  </si>
  <si>
    <t>Total New Poles</t>
  </si>
  <si>
    <t>9m Poles</t>
  </si>
  <si>
    <t>11m Poles</t>
  </si>
  <si>
    <t>Coordinates 1</t>
  </si>
  <si>
    <t>Coordinate 1</t>
  </si>
  <si>
    <t>Coordinate 2</t>
  </si>
  <si>
    <t>Coordinate 3</t>
  </si>
  <si>
    <t>Coordinate 4</t>
  </si>
  <si>
    <t>Coordinate 5</t>
  </si>
  <si>
    <t>Coordinate 6</t>
  </si>
  <si>
    <t>Coordinate 7</t>
  </si>
  <si>
    <t>Coordinate 8</t>
  </si>
  <si>
    <t>Coordinate 9</t>
  </si>
  <si>
    <t>Coordinate 10</t>
  </si>
  <si>
    <t>Coordinate 11</t>
  </si>
  <si>
    <t>Coordinate 12</t>
  </si>
  <si>
    <t>Coordinate 13</t>
  </si>
  <si>
    <t>Coordinate 14</t>
  </si>
  <si>
    <t>Coordinate 15</t>
  </si>
  <si>
    <t>Coordinate 16</t>
  </si>
  <si>
    <t>Coordinate 17</t>
  </si>
  <si>
    <t>Coordinate 18</t>
  </si>
  <si>
    <t>Coordinate 19</t>
  </si>
  <si>
    <t>Coordinate 20</t>
  </si>
  <si>
    <t>Coordinate 21</t>
  </si>
  <si>
    <t>Coordinate 22</t>
  </si>
  <si>
    <t>Coordinate 23</t>
  </si>
  <si>
    <t>Coordinate 24</t>
  </si>
  <si>
    <t>Coordinate 25</t>
  </si>
  <si>
    <t>Coordinate 26</t>
  </si>
  <si>
    <t>Coordinate 27</t>
  </si>
  <si>
    <t>Coordinate 28</t>
  </si>
  <si>
    <t>Coordinate 29</t>
  </si>
  <si>
    <t>Coordinate 30</t>
  </si>
  <si>
    <t>Coordinate 31</t>
  </si>
  <si>
    <t>Coordinate 32</t>
  </si>
  <si>
    <t>Coordinate 33</t>
  </si>
  <si>
    <t>Coordinate 34</t>
  </si>
  <si>
    <t>Coordinate 35</t>
  </si>
  <si>
    <t>Coordinate 36</t>
  </si>
  <si>
    <t>Coordinate 37</t>
  </si>
  <si>
    <t>Coordinate 38</t>
  </si>
  <si>
    <t>Coordinate 39</t>
  </si>
  <si>
    <t>Coordinate 40</t>
  </si>
  <si>
    <t>Coordinate 41</t>
  </si>
  <si>
    <t>Coordinate 42</t>
  </si>
  <si>
    <t>Coordinate 43</t>
  </si>
  <si>
    <t>Coordinate 44</t>
  </si>
  <si>
    <t>Coordinate 45</t>
  </si>
  <si>
    <t>Coordinate 46</t>
  </si>
  <si>
    <t>Coordinate 47</t>
  </si>
  <si>
    <t>Coordinate 48</t>
  </si>
  <si>
    <t>Coordinate 49</t>
  </si>
  <si>
    <t>Coordinate 50</t>
  </si>
  <si>
    <t>Coordinate 51</t>
  </si>
  <si>
    <t>Coordinate 52</t>
  </si>
  <si>
    <t>Coordinate 53</t>
  </si>
  <si>
    <t>Coordinate 54</t>
  </si>
  <si>
    <t>Coordinate 55</t>
  </si>
  <si>
    <t>Coordinate 56</t>
  </si>
  <si>
    <t>Coordinate 57</t>
  </si>
  <si>
    <t>Coordinate 58</t>
  </si>
  <si>
    <t>Coordinate 59</t>
  </si>
  <si>
    <t>Coordinate 60</t>
  </si>
  <si>
    <t>Coordinate 61</t>
  </si>
  <si>
    <t>Coordinate 62</t>
  </si>
  <si>
    <t>Coordinate 63</t>
  </si>
  <si>
    <t>Coordinate 64</t>
  </si>
  <si>
    <t>Coordinate 65</t>
  </si>
  <si>
    <t>Coordinate 66</t>
  </si>
  <si>
    <t>Coordinate 67</t>
  </si>
  <si>
    <t>Coordinate 68</t>
  </si>
  <si>
    <t>5.627933, -0.006011</t>
  </si>
  <si>
    <t>5.627644, -0.006528</t>
  </si>
  <si>
    <t>5.627317, -0.007192</t>
  </si>
  <si>
    <t>5.627000, -0.007783</t>
  </si>
  <si>
    <t>5.626547, -0.008639</t>
  </si>
  <si>
    <t>5.626333, -0.009011</t>
  </si>
  <si>
    <t>5.626089, -0.008892</t>
  </si>
  <si>
    <t>5.625856, -0.008767</t>
  </si>
  <si>
    <t>Edify Flobar Academy</t>
  </si>
  <si>
    <t>Agbogba</t>
  </si>
  <si>
    <t>Spectrum Internet Academic City Leg 1</t>
  </si>
  <si>
    <t>5.677544, -0.211467</t>
  </si>
  <si>
    <t>5.682039, -0.210333</t>
  </si>
  <si>
    <t>5.687417, -0.210139</t>
  </si>
  <si>
    <t>5.687742, -0.210158</t>
  </si>
  <si>
    <t>5.688197, -0.210147</t>
  </si>
  <si>
    <t>5.689317, -0.210119</t>
  </si>
  <si>
    <t>Atlantic Quarry and Concreate - Porto CabinLAN  Extension</t>
  </si>
  <si>
    <t>5.745311, 0.034453</t>
  </si>
  <si>
    <t>5.745528, 0.034119</t>
  </si>
  <si>
    <t>5.745733, 0.033811</t>
  </si>
  <si>
    <t>5.746331, 0.033306</t>
  </si>
  <si>
    <t xml:space="preserve">Ozone Skyline Quarry </t>
  </si>
  <si>
    <t>5.789522, 0.110639</t>
  </si>
  <si>
    <t>5.795389, 0.107722</t>
  </si>
  <si>
    <t>5.811167, 0.097156</t>
  </si>
  <si>
    <t>5.810811, 0.096108</t>
  </si>
  <si>
    <t>5.563475, -0.202628</t>
  </si>
  <si>
    <t>5.563114, -0.202736</t>
  </si>
  <si>
    <t>5.562814, -0.202511</t>
  </si>
  <si>
    <t>5.562631, -0.201503</t>
  </si>
  <si>
    <t>5.562778, -0.201500</t>
  </si>
  <si>
    <t>Echo GIZ  Governance And Peace Center</t>
  </si>
  <si>
    <t>5.682617, -0.037361</t>
  </si>
  <si>
    <t>5.667928, 0.011114</t>
  </si>
  <si>
    <t>5.642694, 0.015311</t>
  </si>
  <si>
    <t>5.642606, 0.015092</t>
  </si>
  <si>
    <t>5.642011, 0.015392</t>
  </si>
  <si>
    <t>5.641444, 0.015731</t>
  </si>
  <si>
    <t>5.640833, 0.016111</t>
  </si>
  <si>
    <t>5.630297, -0.025192</t>
  </si>
  <si>
    <t>Quist Town Feeder and Home Pass</t>
  </si>
  <si>
    <t>5.720528, -0.218517</t>
  </si>
  <si>
    <t>5.717342, -0.217589</t>
  </si>
  <si>
    <t>5.721669, -0.221836</t>
  </si>
  <si>
    <t>7.127453841 0.460639464</t>
  </si>
  <si>
    <t>7.11892027 0.457614612</t>
  </si>
  <si>
    <t>7.117936565 0.457327167</t>
  </si>
  <si>
    <t>7.116745216 0.397182516</t>
  </si>
  <si>
    <t>7.12328244 0.383894176</t>
  </si>
  <si>
    <t>7.120654849 0.377286797</t>
  </si>
  <si>
    <t>7.119892429 0.369125367</t>
  </si>
  <si>
    <t>7.118337966 0.349855828</t>
  </si>
  <si>
    <t>7.10565377 0.352257886</t>
  </si>
  <si>
    <t>7.098720143 0.352496167</t>
  </si>
  <si>
    <t>7.078010938 0.350948814</t>
  </si>
  <si>
    <t>7.028946165 0.327710888</t>
  </si>
  <si>
    <t>7.0213348 0.321522636</t>
  </si>
  <si>
    <t>7.009451182 0.315408656</t>
  </si>
  <si>
    <t>6.99768156 0.300073337</t>
  </si>
  <si>
    <t>6.929069475 0.284538597</t>
  </si>
  <si>
    <t>6.928427223 0.284439682</t>
  </si>
  <si>
    <t>6.829180827 0.327001558</t>
  </si>
  <si>
    <t>6.816312001 0.332140085</t>
  </si>
  <si>
    <t>6.787985943 0.344667657</t>
  </si>
  <si>
    <t>6.707923704 0.333549962</t>
  </si>
  <si>
    <t>6.692233332 0.334132866</t>
  </si>
  <si>
    <t>6.646309267 0.299103734</t>
  </si>
  <si>
    <t>6.639624446 0.298710795</t>
  </si>
  <si>
    <t>6.630709987 0.310475287</t>
  </si>
  <si>
    <t>6.628624338 0.31180485</t>
  </si>
  <si>
    <t>6.536888287 0.232185238</t>
  </si>
  <si>
    <t>6.529608394 0.226444305</t>
  </si>
  <si>
    <t>6.49446821 0.202173238</t>
  </si>
  <si>
    <t>6.4922789 0.201166522</t>
  </si>
  <si>
    <t>6.490782482 0.200499385</t>
  </si>
  <si>
    <t>6.484025046 0.197252163</t>
  </si>
  <si>
    <t>6.415000647 0.172556982</t>
  </si>
  <si>
    <t>6.434579169 0.170683932</t>
  </si>
  <si>
    <t>6.467696726 0.187373723</t>
  </si>
  <si>
    <t>6.468908428 0.188127796</t>
  </si>
  <si>
    <t>6.469490654 0.188481645</t>
  </si>
  <si>
    <t>6.470792589 0.189317306</t>
  </si>
  <si>
    <t>6.472280769 0.190275183</t>
  </si>
  <si>
    <t>6.473261371 0.190813624</t>
  </si>
  <si>
    <t>6.473671511 0.19105651</t>
  </si>
  <si>
    <t>6.476968939 0.193172288</t>
  </si>
  <si>
    <t>6.478386233 0.193943558</t>
  </si>
  <si>
    <t>6.479669761 0.194819003</t>
  </si>
  <si>
    <t>6.481064792 0.195725596</t>
  </si>
  <si>
    <t>6.482380948 0.196421226</t>
  </si>
  <si>
    <t>6.483236925 0.196850992</t>
  </si>
  <si>
    <t>6.485167087 0.197865138</t>
  </si>
  <si>
    <t>6.485869199 0.198200633</t>
  </si>
  <si>
    <t>6.487830764 0.199078058</t>
  </si>
  <si>
    <t>6.48892094 0.199638229</t>
  </si>
  <si>
    <t>6.490325825 0.200293193</t>
  </si>
  <si>
    <t>7.118424, 0.361965</t>
  </si>
  <si>
    <t>7.119843, 0.369127</t>
  </si>
  <si>
    <t>7.120701, 0.377258</t>
  </si>
  <si>
    <t>7.123268, 0.383892</t>
  </si>
  <si>
    <t>7.118310, 0.349901</t>
  </si>
  <si>
    <t>6.528107, 0.225380</t>
  </si>
  <si>
    <t>6.528488, 0.225678</t>
  </si>
  <si>
    <t>New 11m Poles</t>
  </si>
  <si>
    <t>New 9m Poles</t>
  </si>
  <si>
    <t>Coordinates 2</t>
  </si>
  <si>
    <t>Coordinates 3</t>
  </si>
  <si>
    <t>Coordinates 4</t>
  </si>
  <si>
    <t>Coordinates 5</t>
  </si>
  <si>
    <t>Coordinates 6</t>
  </si>
  <si>
    <t>Coordinates 7</t>
  </si>
  <si>
    <t>Coordinates 8</t>
  </si>
  <si>
    <t>Coordinates 9</t>
  </si>
  <si>
    <t>Coordinates 10</t>
  </si>
  <si>
    <t>Coordinates 11</t>
  </si>
  <si>
    <t>Coordinates 12</t>
  </si>
  <si>
    <t>Coordinates 13</t>
  </si>
  <si>
    <t>Coordinates 14</t>
  </si>
  <si>
    <t>Coordinates 15</t>
  </si>
  <si>
    <t>Coordinates 16</t>
  </si>
  <si>
    <t>Coordinates 17</t>
  </si>
  <si>
    <t>Coordinates 18</t>
  </si>
  <si>
    <t>Coordinates 19</t>
  </si>
  <si>
    <t>Coordinates 20</t>
  </si>
  <si>
    <t>Coordinates 21</t>
  </si>
  <si>
    <t>Coordinates 22</t>
  </si>
  <si>
    <t>Coordinates 23</t>
  </si>
  <si>
    <t>Coordinates 24</t>
  </si>
  <si>
    <t>Coordinates 25</t>
  </si>
  <si>
    <t>Coordinates 26</t>
  </si>
  <si>
    <t>Coordinates 27</t>
  </si>
  <si>
    <t>Coordinates 28</t>
  </si>
  <si>
    <t>Coordinates 29</t>
  </si>
  <si>
    <t>Coordinates 30</t>
  </si>
  <si>
    <t>Coordinates 31</t>
  </si>
  <si>
    <t>Coordinates 32</t>
  </si>
  <si>
    <t>Coordinates 33</t>
  </si>
  <si>
    <t>Coordinates 34</t>
  </si>
  <si>
    <t>Coordinates 35</t>
  </si>
  <si>
    <t>Coordinates 36</t>
  </si>
  <si>
    <t>Coordinates 37</t>
  </si>
  <si>
    <t>Coordinates 38</t>
  </si>
  <si>
    <t>Coordinates 39</t>
  </si>
  <si>
    <t>Coordinates 40</t>
  </si>
  <si>
    <t>Coordinates 41</t>
  </si>
  <si>
    <t>Coordinates 42</t>
  </si>
  <si>
    <t>Coordinates 43</t>
  </si>
  <si>
    <t>Coordinates 44</t>
  </si>
  <si>
    <t>Coordinates 45</t>
  </si>
  <si>
    <t>Coordinates 46</t>
  </si>
  <si>
    <t>Coordinates 47</t>
  </si>
  <si>
    <t>Coordinates 48</t>
  </si>
  <si>
    <t>Coordinates 49</t>
  </si>
  <si>
    <t>Coordinates 50</t>
  </si>
  <si>
    <t>Coordinates 51</t>
  </si>
  <si>
    <t>Coordinates 52</t>
  </si>
  <si>
    <t>Coordinates 53</t>
  </si>
  <si>
    <t>Coordinates 54</t>
  </si>
  <si>
    <t>Coordinates 55</t>
  </si>
  <si>
    <t>Coordinates 56</t>
  </si>
  <si>
    <t>Coordinates 57</t>
  </si>
  <si>
    <t>Coordinates 58</t>
  </si>
  <si>
    <t>Coordinates 59</t>
  </si>
  <si>
    <t>Coordinates 60</t>
  </si>
  <si>
    <t>Coordinates 61</t>
  </si>
  <si>
    <t>Coordinates 62</t>
  </si>
  <si>
    <t>Coordinates 63</t>
  </si>
  <si>
    <t>Coordinates 64</t>
  </si>
  <si>
    <t>Coordinates 65</t>
  </si>
  <si>
    <t>Coordinates 66</t>
  </si>
  <si>
    <t>Coordinates 67</t>
  </si>
  <si>
    <t>Coordinates 68</t>
  </si>
  <si>
    <t>Coordinates 69</t>
  </si>
  <si>
    <t>Coordinates 70</t>
  </si>
  <si>
    <t>Coordinates 71</t>
  </si>
  <si>
    <t>Coordinates 72</t>
  </si>
  <si>
    <t>Coordinates 73</t>
  </si>
  <si>
    <t>Coordinates 74</t>
  </si>
  <si>
    <t>Coordinates 75</t>
  </si>
  <si>
    <t>5.514958, -0.697531</t>
  </si>
  <si>
    <t>5.711897, 0.040580</t>
  </si>
  <si>
    <t>5.577394, -0.277411</t>
  </si>
  <si>
    <t>5.538450, -0.683483</t>
  </si>
  <si>
    <t>5.540100, -0.683783</t>
  </si>
  <si>
    <t>5.538167, -0.683600</t>
  </si>
  <si>
    <t>5.538183, -0.683600</t>
  </si>
  <si>
    <t>5.66124,-0.015975</t>
  </si>
  <si>
    <t>Master Power - DTRT</t>
  </si>
  <si>
    <t>5.661152,-0.015456</t>
  </si>
  <si>
    <t>5.65845,-0.012037</t>
  </si>
  <si>
    <t>5.660142,-0.014942</t>
  </si>
  <si>
    <t>5.659233,-0.009982</t>
  </si>
  <si>
    <t>5.659578,-0.009647</t>
  </si>
  <si>
    <t>5.645064, -0.096683</t>
  </si>
  <si>
    <t>Furukawa</t>
  </si>
  <si>
    <t>AHODWO</t>
  </si>
  <si>
    <t>OFORIKROM</t>
  </si>
  <si>
    <t>KPONE</t>
  </si>
  <si>
    <t xml:space="preserve">AMANFROM </t>
  </si>
  <si>
    <t>BORTEYMAN</t>
  </si>
  <si>
    <t>MANET</t>
  </si>
  <si>
    <t>KOKOMLELE</t>
  </si>
  <si>
    <t>INDUSTRIAL AREA</t>
  </si>
  <si>
    <t>FRAFRAHA</t>
  </si>
  <si>
    <t>LATERBIOKOSHIE</t>
  </si>
  <si>
    <t>KPESHIE</t>
  </si>
  <si>
    <t>TESSHIE BUSH ROAD</t>
  </si>
  <si>
    <t>PRAMPRA</t>
  </si>
  <si>
    <t xml:space="preserve"> ASHALEY BOTWE</t>
  </si>
  <si>
    <t>DARKUMAN</t>
  </si>
  <si>
    <t>OYARIFA</t>
  </si>
  <si>
    <t>BEKWAI</t>
  </si>
  <si>
    <t>Best Point Savings Swedru</t>
  </si>
  <si>
    <t>AYI MENSAH</t>
  </si>
  <si>
    <t>DENU</t>
  </si>
  <si>
    <t>NEWTOWN</t>
  </si>
  <si>
    <t>NEW LEGON</t>
  </si>
  <si>
    <t>ABEKA</t>
  </si>
  <si>
    <t>ASHONGMAN</t>
  </si>
  <si>
    <t>WESTLANDS</t>
  </si>
  <si>
    <t>JAMES TOWN</t>
  </si>
  <si>
    <t>NIMA</t>
  </si>
  <si>
    <t>Geemon Solutions Platinum Impex 1</t>
  </si>
  <si>
    <t>BOUNDRY ROAD</t>
  </si>
  <si>
    <t>CIRCLE</t>
  </si>
  <si>
    <t>APREMDO</t>
  </si>
  <si>
    <t>EFFIEKUMA</t>
  </si>
  <si>
    <t>MAALEJOR</t>
  </si>
  <si>
    <t>KISSIEMAN</t>
  </si>
  <si>
    <t>MAYERA</t>
  </si>
  <si>
    <t>MILE 11</t>
  </si>
  <si>
    <t>NORTH LEGON</t>
  </si>
  <si>
    <t>BURMA CAMP</t>
  </si>
  <si>
    <t>SHIASHI</t>
  </si>
  <si>
    <t>EAST LEGON HILLS</t>
  </si>
  <si>
    <t>KLAGON</t>
  </si>
  <si>
    <t>AGBOGBLOSHIE</t>
  </si>
  <si>
    <t>STL Omni Bank</t>
  </si>
  <si>
    <t>Krunon</t>
  </si>
  <si>
    <t>PANTANG OAK VILLA</t>
  </si>
  <si>
    <t>NEW TOWN</t>
  </si>
  <si>
    <t>GBAWE</t>
  </si>
  <si>
    <t>DODOWA</t>
  </si>
  <si>
    <t>ADA</t>
  </si>
  <si>
    <t>MAGAZINE</t>
  </si>
  <si>
    <t>AFIENYA</t>
  </si>
  <si>
    <t>SUHENSO</t>
  </si>
  <si>
    <t>BEST POINT SAVIINGS AND LOANS</t>
  </si>
  <si>
    <t>NEW ABREM</t>
  </si>
  <si>
    <t>NSUTA</t>
  </si>
  <si>
    <t xml:space="preserve">AKWAPIM </t>
  </si>
  <si>
    <t>AKROPONG</t>
  </si>
  <si>
    <t>AMANOKROM</t>
  </si>
  <si>
    <t>ELECSET NETWORK BAAH OFOSU OFFEI</t>
  </si>
  <si>
    <t>AWUTU BEREKUM</t>
  </si>
  <si>
    <t>SOCCABET WEIJA</t>
  </si>
  <si>
    <t>SOCCABET TUBA</t>
  </si>
  <si>
    <t>SOCCABET LIBERIA CAMP</t>
  </si>
  <si>
    <t>SOCCABET AWUTU BREKU</t>
  </si>
  <si>
    <t>SOCCABET AKOTI JUNCTION</t>
  </si>
  <si>
    <t>AKOTI</t>
  </si>
  <si>
    <t>NYANYANO</t>
  </si>
  <si>
    <t xml:space="preserve"> ROGER &amp; MAAMLE CASTLE</t>
  </si>
  <si>
    <t>AMANDI WORKSHOP 2</t>
  </si>
  <si>
    <t>GOMOAH</t>
  </si>
  <si>
    <t>KATAMANTO</t>
  </si>
  <si>
    <t>MATAHEKO</t>
  </si>
  <si>
    <t>STAR ASSURANCE (KOKOMLEMLE)</t>
  </si>
  <si>
    <t>ASONGMAN ESTATE</t>
  </si>
  <si>
    <t>TEIMAN</t>
  </si>
  <si>
    <t>ORGANIZATION OF AFRICA TRADE UNION</t>
  </si>
  <si>
    <t>LAPAZ</t>
  </si>
  <si>
    <t>WESTERN ROD</t>
  </si>
  <si>
    <t>ABELEMKPE</t>
  </si>
  <si>
    <t>CARPRICE</t>
  </si>
  <si>
    <t>TOMREIK HOTEL</t>
  </si>
  <si>
    <t>ACCRA-AFLAO</t>
  </si>
  <si>
    <t>TSOPOLI</t>
  </si>
  <si>
    <t>NORTH INDUSTRIAL AREA</t>
  </si>
  <si>
    <t>OKPONGLO</t>
  </si>
  <si>
    <t>GOMOAH FETTEH</t>
  </si>
  <si>
    <t>DANFA</t>
  </si>
  <si>
    <t>FETTEH KAKRABA</t>
  </si>
  <si>
    <t xml:space="preserve">ASONGMAN </t>
  </si>
  <si>
    <t>SHIASHIE</t>
  </si>
  <si>
    <t>NYANIBA</t>
  </si>
  <si>
    <t>DAABAYIN</t>
  </si>
  <si>
    <t>SAMREBOI</t>
  </si>
  <si>
    <t>GUMANI</t>
  </si>
  <si>
    <t>NAVRONGO</t>
  </si>
  <si>
    <t>APEMINYIM</t>
  </si>
  <si>
    <t xml:space="preserve"> APEMENYIM</t>
  </si>
  <si>
    <t>DABOASE#</t>
  </si>
  <si>
    <t>AGONA NKWANTA</t>
  </si>
  <si>
    <t>SEKONDI</t>
  </si>
  <si>
    <t>ADISEO</t>
  </si>
  <si>
    <t>TSUIBLEO</t>
  </si>
  <si>
    <t>MAERSK  CFO</t>
  </si>
  <si>
    <t>AKWAPIM MAMPONG</t>
  </si>
  <si>
    <t>FIJAI</t>
  </si>
  <si>
    <t>BOMPEH</t>
  </si>
  <si>
    <t>KORLEBU</t>
  </si>
  <si>
    <t>SOMANYA</t>
  </si>
  <si>
    <t>KAWUKUDI</t>
  </si>
  <si>
    <t>EFFUTU</t>
  </si>
  <si>
    <t>JUABEN</t>
  </si>
  <si>
    <t>PEDUASE</t>
  </si>
  <si>
    <t>ASUOGYAMAN</t>
  </si>
  <si>
    <t>KETA</t>
  </si>
  <si>
    <t>BROADSPECTRUM - PORTER'S</t>
  </si>
  <si>
    <t>NINGO</t>
  </si>
  <si>
    <t>STRATCOM</t>
  </si>
  <si>
    <t>BC EDUCATION</t>
  </si>
  <si>
    <t>KANDA</t>
  </si>
  <si>
    <t>BAWALASHIE</t>
  </si>
  <si>
    <t>GRAPHIC ROAD</t>
  </si>
  <si>
    <t>MALAM</t>
  </si>
  <si>
    <t>ERNEST CHEMIST LABONE</t>
  </si>
  <si>
    <t>OAK VILLA BACKBONE</t>
  </si>
  <si>
    <t>ASYLUMN DOWN</t>
  </si>
  <si>
    <t>NORTH KANESHIE</t>
  </si>
  <si>
    <t>APLAKU</t>
  </si>
  <si>
    <t xml:space="preserve">ASANSKA UNIVERSITY </t>
  </si>
  <si>
    <t>OKPOI GONO</t>
  </si>
  <si>
    <t>MOKOLA</t>
  </si>
  <si>
    <t>WEST LEGON</t>
  </si>
  <si>
    <t>ST. THOMAS AQUINAS SENIOR HIGH</t>
  </si>
  <si>
    <t>STAR STEEL HOSTEL</t>
  </si>
  <si>
    <t>SOUTH LA</t>
  </si>
  <si>
    <t>RINGWAY</t>
  </si>
  <si>
    <t>PRESTIGE SUITE</t>
  </si>
  <si>
    <t>AYIKUMA</t>
  </si>
  <si>
    <t>ACCRA CENTRAL</t>
  </si>
  <si>
    <t>GALILEA</t>
  </si>
  <si>
    <t xml:space="preserve">AIS FEEDER </t>
  </si>
  <si>
    <t>TIZETI KASOA</t>
  </si>
  <si>
    <t>GT BANK ABOSSEY OKAI BRANCH</t>
  </si>
  <si>
    <t xml:space="preserve">MAXINET </t>
  </si>
  <si>
    <t>ALIMA SUITS FTTH</t>
  </si>
  <si>
    <t xml:space="preserve">WAIKIKI ACHIMOTA </t>
  </si>
  <si>
    <t>ATJLF-GIJ RECTOR HOUSE</t>
  </si>
  <si>
    <t>UPFIELD FOODS</t>
  </si>
  <si>
    <t>HAYDAR RESIDENCE</t>
  </si>
  <si>
    <t>ROBERT RESIDENCE</t>
  </si>
  <si>
    <t>ABELEMLPE</t>
  </si>
  <si>
    <t xml:space="preserve">DOME </t>
  </si>
  <si>
    <t>KELVIN OCTOGEN</t>
  </si>
  <si>
    <t>NBC ISURANCE</t>
  </si>
  <si>
    <t>STL OFFICE</t>
  </si>
  <si>
    <t>SAMAUEL  SEDDOH</t>
  </si>
  <si>
    <t>AIRPORT HILLS</t>
  </si>
  <si>
    <t>FELICIA AYEH RESIDENCE</t>
  </si>
  <si>
    <t>SOWUTOUM</t>
  </si>
  <si>
    <t>AWUDOME</t>
  </si>
  <si>
    <t>ACCRA MARINE DRIVE</t>
  </si>
  <si>
    <t>ECHO-ELECTROLAND-GHANA TEMA</t>
  </si>
  <si>
    <t>THE ELBERNARDS RELOCATION</t>
  </si>
  <si>
    <t>DIGITAL ARENA CTVET</t>
  </si>
  <si>
    <t>GPHA Head office COM 2</t>
  </si>
  <si>
    <t>GPHA Head Office COM 1</t>
  </si>
  <si>
    <t>FREEDOTEL AYIMENSAH</t>
  </si>
  <si>
    <t>THE DECADE FEEDER</t>
  </si>
  <si>
    <t>NERVE TECHNOLOGY GHANA MAKE A DIFFERENCE</t>
  </si>
  <si>
    <t>KWAME DZOGOTO RELOCATION</t>
  </si>
  <si>
    <t xml:space="preserve"> ADSS DISTANCE (M) </t>
  </si>
  <si>
    <t>DROP DISTANCE (M)</t>
  </si>
  <si>
    <t>INFOWAY - YAMO COLLEGE OF HEALTH</t>
  </si>
  <si>
    <t>3D WIRELESS OYIBI SITE</t>
  </si>
  <si>
    <t>LC ADMIRAL</t>
  </si>
  <si>
    <t>ECG Denu</t>
  </si>
  <si>
    <t>30AP24</t>
  </si>
  <si>
    <t>Cubeconsult Ghacem</t>
  </si>
  <si>
    <t>Spectrum Internet  Melcom</t>
  </si>
  <si>
    <t>Abengoa Water second leg</t>
  </si>
  <si>
    <t>Sonapack second leg</t>
  </si>
  <si>
    <t>BTS Telecom Oyibi Eclave  Nii Lantey  Badu</t>
  </si>
  <si>
    <t xml:space="preserve">MAME WATER </t>
  </si>
  <si>
    <t>3D Ayi Mensah</t>
  </si>
  <si>
    <t>FREEDOTEL POP</t>
  </si>
  <si>
    <t>Sawtel-1-Kumasi Bost</t>
  </si>
  <si>
    <t>Sawtel-1-Tema Shed 10</t>
  </si>
  <si>
    <t>Burger King Lakeside</t>
  </si>
  <si>
    <t>ECG Kpeve Regional Office</t>
  </si>
  <si>
    <t>Yaw Koranteng</t>
  </si>
  <si>
    <t>Basilikos</t>
  </si>
  <si>
    <t>National Petroleum Authority</t>
  </si>
  <si>
    <t>Sawtel-1-DVLA Anfoega</t>
  </si>
  <si>
    <t>William Addo</t>
  </si>
  <si>
    <t>Emmanuel Offei</t>
  </si>
  <si>
    <t>Christian Sottie</t>
  </si>
  <si>
    <t>Center Point Mall (Office)</t>
  </si>
  <si>
    <t>Bts -Constance Turkson</t>
  </si>
  <si>
    <t>International Ultimate Power Ministries</t>
  </si>
  <si>
    <t>Hope project</t>
  </si>
  <si>
    <t>Cube-Consult Priscilla Ackah</t>
  </si>
  <si>
    <t>Alex Akorli</t>
  </si>
  <si>
    <t>Rev. Saviour Gawugah</t>
  </si>
  <si>
    <t>Pelirene Gad Oppong Asare</t>
  </si>
  <si>
    <t>Haavad Yaw Oduro Boateng</t>
  </si>
  <si>
    <t>Pelirene - Patric Kuti</t>
  </si>
  <si>
    <t>Gad Oppong Asare</t>
  </si>
  <si>
    <t xml:space="preserve">ONIX DC </t>
  </si>
  <si>
    <t>ME2NET</t>
  </si>
  <si>
    <t>Amic Dialysis Center</t>
  </si>
  <si>
    <t>Sawtel-1-Boarding seat harbour</t>
  </si>
  <si>
    <t>GT BANK AHODWO</t>
  </si>
  <si>
    <t>Kings Premier Hotel</t>
  </si>
  <si>
    <t>BTS Telecom TDC Paulina Egyire</t>
  </si>
  <si>
    <t>Falida Abdul Samad</t>
  </si>
  <si>
    <t>Anukem Benaiah Okwukwe</t>
  </si>
  <si>
    <t>Dr. Emmanuel Takyi</t>
  </si>
  <si>
    <t>Suleman Suberu Residence</t>
  </si>
  <si>
    <t>Sawtel-1-Kumasi Amakom Customs</t>
  </si>
  <si>
    <t>ECG Kpando Regional Office</t>
  </si>
  <si>
    <t>ECG Axim/Essiama  Regional Offices</t>
  </si>
  <si>
    <t>Preepez</t>
  </si>
  <si>
    <t>BTS Telecom - Paulina Agyire</t>
  </si>
  <si>
    <t>UAE Residence</t>
  </si>
  <si>
    <t>Remote ICU</t>
  </si>
  <si>
    <t xml:space="preserve">International Justice Mission Relocation </t>
  </si>
  <si>
    <t xml:space="preserve">Gabsab IT </t>
  </si>
  <si>
    <t>Enock Yaovi Sosu</t>
  </si>
  <si>
    <t>BTS Telecom - Benaiah Okwukwe Ankem</t>
  </si>
  <si>
    <t>Frederick Adjei Obedekah</t>
  </si>
  <si>
    <t>Thomas Ennison Duncan</t>
  </si>
  <si>
    <t>Azia Bilal</t>
  </si>
  <si>
    <t>Bishop Esiri</t>
  </si>
  <si>
    <t>Pentecost University VC Residence</t>
  </si>
  <si>
    <t>Gold Microfinance Oyarifa</t>
  </si>
  <si>
    <t>Eyram Adwoa Tsalah</t>
  </si>
  <si>
    <t>Pelirene - Eleanor Saah</t>
  </si>
  <si>
    <t>Pelirene - Kofi Agyarko-Kwarteng</t>
  </si>
  <si>
    <t>Iklick - Ansah Lartey</t>
  </si>
  <si>
    <t>Echo - GSL - Tema Port</t>
  </si>
  <si>
    <t>Fred Adjei Obedekah</t>
  </si>
  <si>
    <t>Sawtel 1 Customs</t>
  </si>
  <si>
    <t>ICU Remote</t>
  </si>
  <si>
    <t>Gold Micro Finance</t>
  </si>
  <si>
    <t>Dolphin- UAE Residence</t>
  </si>
  <si>
    <t xml:space="preserve">Iklick - Addo Alvin Kudoryi </t>
  </si>
  <si>
    <t>Iklick - Vida Caffe Center Point Mall</t>
  </si>
  <si>
    <t>Iklick - Makot Old Hostel</t>
  </si>
  <si>
    <t>Michael Allan Mba</t>
  </si>
  <si>
    <t xml:space="preserve">Francis Mawuko Nyavor </t>
  </si>
  <si>
    <t>ECG   Kpando District office</t>
  </si>
  <si>
    <t>Prince Osei</t>
  </si>
  <si>
    <t>Center point Mall Apartment Hall</t>
  </si>
  <si>
    <t xml:space="preserve"> Center point Mall Apartment Bedroom</t>
  </si>
  <si>
    <t xml:space="preserve"> Center point Mall Owner's Office</t>
  </si>
  <si>
    <t>Iklick - Legacy Girls College Second Leg</t>
  </si>
  <si>
    <t>Iklick - Esther Samoa Opoku</t>
  </si>
  <si>
    <t>AMAKOM</t>
  </si>
  <si>
    <t>Kpeve</t>
  </si>
  <si>
    <t>Anfoega</t>
  </si>
  <si>
    <t>Asylum down</t>
  </si>
  <si>
    <t xml:space="preserve">East legon </t>
  </si>
  <si>
    <t>Atomic Junnction</t>
  </si>
  <si>
    <t>Apkorman</t>
  </si>
  <si>
    <t>East Airport</t>
  </si>
  <si>
    <t>Amakom</t>
  </si>
  <si>
    <t>Kpando</t>
  </si>
  <si>
    <t xml:space="preserve">Axim/Essiama </t>
  </si>
  <si>
    <t>Haavad</t>
  </si>
  <si>
    <t>Ashaley Botwe</t>
  </si>
  <si>
    <t>Ofankor</t>
  </si>
  <si>
    <t>Haasto</t>
  </si>
  <si>
    <t>Ashongman</t>
  </si>
  <si>
    <t>MTK</t>
  </si>
  <si>
    <t>MKT</t>
  </si>
  <si>
    <t xml:space="preserve">MKT </t>
  </si>
  <si>
    <t>Atomic</t>
  </si>
  <si>
    <t>Center point Mall Apartment Bedroom</t>
  </si>
  <si>
    <t>Legacy Girls College - Akuse</t>
  </si>
  <si>
    <t>Akuse</t>
  </si>
  <si>
    <t>Esther Safoa Opoku - Ashongman</t>
  </si>
  <si>
    <t>Oak View</t>
  </si>
  <si>
    <t xml:space="preserve">Prampram </t>
  </si>
  <si>
    <t>TS11 - Prince fosu</t>
  </si>
  <si>
    <t xml:space="preserve">Abokobi </t>
  </si>
  <si>
    <t xml:space="preserve">Vogue Center point Mall </t>
  </si>
  <si>
    <t>Philip Elsali</t>
  </si>
  <si>
    <t>Essi Prisca Dzissah</t>
  </si>
  <si>
    <t>Samuel Asare</t>
  </si>
  <si>
    <t>Okponglo</t>
  </si>
  <si>
    <t>Cadbury Ghana</t>
  </si>
  <si>
    <t>Tema Com.25</t>
  </si>
  <si>
    <t>Leven Beauty Store Neuronex</t>
  </si>
  <si>
    <t>CMC</t>
  </si>
  <si>
    <t>Bwoodin</t>
  </si>
  <si>
    <t>East legon Hills</t>
  </si>
  <si>
    <t>Nii Sekoh Sackey</t>
  </si>
  <si>
    <t>Medie</t>
  </si>
  <si>
    <t>BTS-Joseph Kwaku Boadu</t>
  </si>
  <si>
    <t>Germon- George Crabbe</t>
  </si>
  <si>
    <t>Neuronex - Latex Form - Center Point Mall</t>
  </si>
  <si>
    <t>Atomic Juction</t>
  </si>
  <si>
    <t>Pelirene Augustine</t>
  </si>
  <si>
    <t>Micmat COP</t>
  </si>
  <si>
    <t>Intsiful Kofi Poku</t>
  </si>
  <si>
    <t>AFRIX US Embassy</t>
  </si>
  <si>
    <t>E SAT Gideon Satti</t>
  </si>
  <si>
    <t>Jumia POC</t>
  </si>
  <si>
    <t>COP Onyame Tease Worship Center</t>
  </si>
  <si>
    <t>BTS Telecom Moses Kofi Missinovi</t>
  </si>
  <si>
    <t>Pizzaman Center point Mall</t>
  </si>
  <si>
    <t>GT Bank 2nd Leg</t>
  </si>
  <si>
    <t>Anthony Tetteh   Quist Town</t>
  </si>
  <si>
    <t>CCL Hemor LTD</t>
  </si>
  <si>
    <t>Neuronex Kenkey King Center Point Mall</t>
  </si>
  <si>
    <t>Dr Mrs Nunoo   Quist Town</t>
  </si>
  <si>
    <t>ASA Bekwai</t>
  </si>
  <si>
    <t>Golden Exotics HQ</t>
  </si>
  <si>
    <t>Golden Exotics</t>
  </si>
  <si>
    <t>Stanbic Height</t>
  </si>
  <si>
    <t>Central University</t>
  </si>
  <si>
    <t>Dalald Steel Industrial</t>
  </si>
  <si>
    <t>E-SAT William Kofi Awuye</t>
  </si>
  <si>
    <t>Accra New Town</t>
  </si>
  <si>
    <t>Tema Com.26</t>
  </si>
  <si>
    <t>Atomic Junction</t>
  </si>
  <si>
    <t xml:space="preserve">Bekwai </t>
  </si>
  <si>
    <t>Asutsure</t>
  </si>
  <si>
    <t>MEDIA CONVERTER</t>
  </si>
  <si>
    <t>Tamale Base Station</t>
  </si>
  <si>
    <t>Kpassa - Bimbilla</t>
  </si>
  <si>
    <t>Bimbilla - Yendi</t>
  </si>
  <si>
    <t>TAMALE BASE STATION</t>
  </si>
  <si>
    <t>Sawtel-1 Bechem DVLA</t>
  </si>
  <si>
    <t>Jumia Ghana</t>
  </si>
  <si>
    <t>Golden Exotics - Warehouse</t>
  </si>
  <si>
    <t xml:space="preserve">  ICGC Jesus Temple</t>
  </si>
  <si>
    <t>Mr. Price Accra Mall</t>
  </si>
  <si>
    <t>Mr. Price Achimota Mall</t>
  </si>
  <si>
    <t>Methodist College of Education</t>
  </si>
  <si>
    <t>Abraham Bello</t>
  </si>
  <si>
    <t>The Big Blue Resort</t>
  </si>
  <si>
    <t>Bismark Offei</t>
  </si>
  <si>
    <t>Wendel Residence</t>
  </si>
  <si>
    <t>NHIA CPC (Relocation)</t>
  </si>
  <si>
    <t>One Million Coders La CIC</t>
  </si>
  <si>
    <t>One Million Coders Darkuman</t>
  </si>
  <si>
    <t>One Million Coders Teshie</t>
  </si>
  <si>
    <t xml:space="preserve">Opportunity International - Disaster Recovery site </t>
  </si>
  <si>
    <t>TS11 Steven Ages</t>
  </si>
  <si>
    <t>One Million Coders Osu</t>
  </si>
  <si>
    <t>Tema Oil Teminal</t>
  </si>
  <si>
    <t xml:space="preserve">Barbara gifty Amaning </t>
  </si>
  <si>
    <t>Bechem</t>
  </si>
  <si>
    <t>Accra Mall</t>
  </si>
  <si>
    <t>Achimota Mall</t>
  </si>
  <si>
    <t>Oda</t>
  </si>
  <si>
    <t>Gomoah Fetteh</t>
  </si>
  <si>
    <t>Tuba junction</t>
  </si>
  <si>
    <t>Somanya</t>
  </si>
  <si>
    <t>Opportunity International HQ - Somanya</t>
  </si>
  <si>
    <t>Iklick - Opportunity International - Tema</t>
  </si>
  <si>
    <t>VSOL 2RD</t>
  </si>
  <si>
    <t>NHIA CPC - Kumasi (Relocation)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</si>
</sst>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[$-409]m/d/yy\ h:mm\ AM/PM;@"/>
    <numFmt numFmtId="167" formatCode="[$-409]dd\-mmm\-yy;@"/>
  </numFmts>
  <fonts count="35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rgb="FF444444"/>
      <name val="Times New Roman"/>
      <family val="1"/>
    </font>
    <font>
      <sz val="12"/>
      <color rgb="FF000000"/>
      <name val="Times New Roman"/>
      <family val="1"/>
    </font>
    <font>
      <b/>
      <sz val="1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b/>
      <sz val="11"/>
      <name val="Aptos"/>
      <family val="2"/>
    </font>
    <font>
      <sz val="11"/>
      <color theme="1"/>
      <name val="Aptos"/>
      <family val="2"/>
    </font>
    <font>
      <sz val="11"/>
      <name val="Aptos"/>
      <family val="2"/>
    </font>
    <font>
      <sz val="11"/>
      <color rgb="FF444444"/>
      <name val="Aptos"/>
      <family val="2"/>
    </font>
    <font>
      <sz val="11"/>
      <color rgb="FFFF0000"/>
      <name val="Aptos"/>
      <family val="2"/>
    </font>
    <font>
      <b/>
      <sz val="11"/>
      <color rgb="FF202124"/>
      <name val="Aptos"/>
      <family val="2"/>
    </font>
    <font>
      <sz val="11"/>
      <color rgb="FF222222"/>
      <name val="Aptos"/>
      <family val="2"/>
    </font>
    <font>
      <sz val="12"/>
      <color rgb="FF000000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0"/>
      <color theme="1"/>
      <name val="Century Gothic"/>
      <family val="2"/>
    </font>
    <font>
      <sz val="10"/>
      <color rgb="FF000000"/>
      <name val="Century Gothic"/>
      <family val="2"/>
    </font>
    <font>
      <sz val="10"/>
      <color rgb="FF000000"/>
      <name val="Aptos"/>
      <family val="2"/>
    </font>
    <font>
      <sz val="12"/>
      <color theme="1"/>
      <name val="Times New Roman"/>
      <family val="1"/>
    </font>
    <font>
      <sz val="12"/>
      <name val="Times New Roman"/>
      <family val="1"/>
    </font>
    <font>
      <sz val="9"/>
      <color rgb="FF000000"/>
      <name val="Aptos Display"/>
      <family val="2"/>
    </font>
    <font>
      <sz val="9"/>
      <color rgb="FF000000"/>
      <name val="Aptos Display"/>
    </font>
  </fonts>
  <fills count="2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theme="5" tint="0.39994506668294322"/>
      </patternFill>
    </fill>
    <fill>
      <patternFill patternType="solid">
        <fgColor theme="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5F8F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rgb="FFC0E6F5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44B3E1"/>
      </bottom>
      <diagonal/>
    </border>
  </borders>
  <cellStyleXfs count="8">
    <xf numFmtId="0" fontId="0" fillId="0" borderId="0"/>
    <xf numFmtId="0" fontId="1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4" fillId="0" borderId="0"/>
    <xf numFmtId="164" fontId="2" fillId="0" borderId="0" applyFont="0" applyFill="0" applyBorder="0" applyAlignment="0" applyProtection="0"/>
  </cellStyleXfs>
  <cellXfs count="405">
    <xf numFmtId="0" fontId="0" fillId="0" borderId="0" xfId="0"/>
    <xf numFmtId="0" fontId="6" fillId="23" borderId="1" xfId="0" applyFont="1" applyFill="1" applyBorder="1"/>
    <xf numFmtId="165" fontId="6" fillId="23" borderId="1" xfId="7" applyNumberFormat="1" applyFont="1" applyFill="1" applyBorder="1"/>
    <xf numFmtId="0" fontId="7" fillId="0" borderId="0" xfId="0" applyFont="1"/>
    <xf numFmtId="0" fontId="7" fillId="0" borderId="1" xfId="0" applyFont="1" applyBorder="1"/>
    <xf numFmtId="165" fontId="7" fillId="0" borderId="1" xfId="7" applyNumberFormat="1" applyFont="1" applyBorder="1"/>
    <xf numFmtId="165" fontId="7" fillId="0" borderId="0" xfId="7" applyNumberFormat="1" applyFont="1"/>
    <xf numFmtId="0" fontId="6" fillId="8" borderId="1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21" borderId="10" xfId="0" applyFont="1" applyFill="1" applyBorder="1" applyAlignment="1">
      <alignment horizontal="left" vertical="center" wrapText="1"/>
    </xf>
    <xf numFmtId="0" fontId="7" fillId="7" borderId="10" xfId="0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horizontal="left" vertical="center" wrapText="1"/>
    </xf>
    <xf numFmtId="0" fontId="7" fillId="22" borderId="10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165" fontId="7" fillId="0" borderId="1" xfId="7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/>
    </xf>
    <xf numFmtId="165" fontId="7" fillId="0" borderId="1" xfId="7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165" fontId="6" fillId="8" borderId="1" xfId="7" applyNumberFormat="1" applyFont="1" applyFill="1" applyBorder="1" applyAlignment="1">
      <alignment horizontal="center" vertical="center"/>
    </xf>
    <xf numFmtId="165" fontId="7" fillId="0" borderId="0" xfId="0" applyNumberFormat="1" applyFont="1"/>
    <xf numFmtId="165" fontId="6" fillId="13" borderId="1" xfId="7" applyNumberFormat="1" applyFont="1" applyFill="1" applyBorder="1" applyAlignment="1">
      <alignment vertical="center" wrapText="1"/>
    </xf>
    <xf numFmtId="165" fontId="8" fillId="13" borderId="1" xfId="7" applyNumberFormat="1" applyFont="1" applyFill="1" applyBorder="1" applyAlignment="1">
      <alignment vertical="center" wrapText="1"/>
    </xf>
    <xf numFmtId="165" fontId="9" fillId="13" borderId="1" xfId="7" applyNumberFormat="1" applyFont="1" applyFill="1" applyBorder="1" applyAlignment="1">
      <alignment vertical="center" wrapText="1"/>
    </xf>
    <xf numFmtId="165" fontId="6" fillId="5" borderId="1" xfId="7" applyNumberFormat="1" applyFont="1" applyFill="1" applyBorder="1" applyAlignment="1">
      <alignment vertical="center" wrapText="1"/>
    </xf>
    <xf numFmtId="165" fontId="8" fillId="5" borderId="1" xfId="7" applyNumberFormat="1" applyFont="1" applyFill="1" applyBorder="1" applyAlignment="1">
      <alignment vertical="center" wrapText="1"/>
    </xf>
    <xf numFmtId="165" fontId="9" fillId="5" borderId="1" xfId="7" applyNumberFormat="1" applyFont="1" applyFill="1" applyBorder="1" applyAlignment="1">
      <alignment vertical="center" wrapText="1"/>
    </xf>
    <xf numFmtId="165" fontId="6" fillId="0" borderId="1" xfId="7" applyNumberFormat="1" applyFont="1" applyFill="1" applyBorder="1" applyAlignment="1">
      <alignment horizontal="left"/>
    </xf>
    <xf numFmtId="165" fontId="7" fillId="0" borderId="1" xfId="7" applyNumberFormat="1" applyFont="1" applyFill="1" applyBorder="1" applyAlignment="1">
      <alignment horizontal="left"/>
    </xf>
    <xf numFmtId="165" fontId="7" fillId="0" borderId="1" xfId="7" applyNumberFormat="1" applyFont="1" applyFill="1" applyBorder="1" applyAlignment="1">
      <alignment horizontal="center"/>
    </xf>
    <xf numFmtId="165" fontId="6" fillId="0" borderId="1" xfId="7" applyNumberFormat="1" applyFont="1" applyBorder="1" applyAlignment="1">
      <alignment horizontal="left"/>
    </xf>
    <xf numFmtId="165" fontId="7" fillId="0" borderId="1" xfId="7" applyNumberFormat="1" applyFont="1" applyBorder="1" applyAlignment="1">
      <alignment horizontal="left"/>
    </xf>
    <xf numFmtId="165" fontId="6" fillId="8" borderId="1" xfId="7" applyNumberFormat="1" applyFont="1" applyFill="1" applyBorder="1" applyAlignment="1">
      <alignment horizontal="center"/>
    </xf>
    <xf numFmtId="165" fontId="6" fillId="0" borderId="0" xfId="7" applyNumberFormat="1" applyFont="1" applyAlignment="1">
      <alignment horizontal="left"/>
    </xf>
    <xf numFmtId="165" fontId="7" fillId="0" borderId="0" xfId="7" applyNumberFormat="1" applyFont="1" applyAlignment="1">
      <alignment horizontal="left"/>
    </xf>
    <xf numFmtId="0" fontId="7" fillId="11" borderId="9" xfId="0" applyFont="1" applyFill="1" applyBorder="1" applyAlignment="1">
      <alignment horizontal="left" vertical="center"/>
    </xf>
    <xf numFmtId="0" fontId="7" fillId="6" borderId="9" xfId="0" applyFont="1" applyFill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4" borderId="9" xfId="0" applyFont="1" applyFill="1" applyBorder="1" applyAlignment="1">
      <alignment horizontal="left"/>
    </xf>
    <xf numFmtId="0" fontId="7" fillId="5" borderId="9" xfId="0" applyFont="1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18" borderId="9" xfId="0" applyFont="1" applyFill="1" applyBorder="1"/>
    <xf numFmtId="0" fontId="7" fillId="9" borderId="9" xfId="0" applyFont="1" applyFill="1" applyBorder="1" applyAlignment="1">
      <alignment horizontal="left"/>
    </xf>
    <xf numFmtId="0" fontId="7" fillId="16" borderId="9" xfId="0" applyFont="1" applyFill="1" applyBorder="1" applyAlignment="1">
      <alignment horizontal="left"/>
    </xf>
    <xf numFmtId="0" fontId="7" fillId="19" borderId="9" xfId="0" applyFont="1" applyFill="1" applyBorder="1" applyAlignment="1">
      <alignment horizontal="left"/>
    </xf>
    <xf numFmtId="0" fontId="7" fillId="17" borderId="9" xfId="0" applyFont="1" applyFill="1" applyBorder="1" applyAlignment="1">
      <alignment horizontal="left"/>
    </xf>
    <xf numFmtId="0" fontId="7" fillId="18" borderId="9" xfId="0" applyFont="1" applyFill="1" applyBorder="1" applyAlignment="1">
      <alignment horizontal="left"/>
    </xf>
    <xf numFmtId="0" fontId="7" fillId="12" borderId="9" xfId="0" applyFont="1" applyFill="1" applyBorder="1" applyAlignment="1">
      <alignment horizontal="left"/>
    </xf>
    <xf numFmtId="0" fontId="6" fillId="12" borderId="9" xfId="0" applyFont="1" applyFill="1" applyBorder="1" applyAlignment="1">
      <alignment horizontal="left"/>
    </xf>
    <xf numFmtId="0" fontId="8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165" fontId="9" fillId="0" borderId="1" xfId="7" applyNumberFormat="1" applyFont="1" applyFill="1" applyBorder="1" applyAlignment="1">
      <alignment horizontal="center" vertical="center"/>
    </xf>
    <xf numFmtId="0" fontId="8" fillId="0" borderId="0" xfId="2" applyFont="1" applyAlignment="1">
      <alignment horizontal="right" vertical="center" wrapText="1"/>
    </xf>
    <xf numFmtId="0" fontId="10" fillId="0" borderId="0" xfId="2" applyFont="1"/>
    <xf numFmtId="0" fontId="10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0" fillId="0" borderId="1" xfId="2" applyFont="1" applyBorder="1" applyAlignment="1">
      <alignment horizontal="left" vertical="center"/>
    </xf>
    <xf numFmtId="165" fontId="11" fillId="0" borderId="7" xfId="7" applyNumberFormat="1" applyFont="1" applyFill="1" applyBorder="1" applyAlignment="1">
      <alignment vertical="center"/>
    </xf>
    <xf numFmtId="0" fontId="11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165" fontId="10" fillId="0" borderId="1" xfId="7" applyNumberFormat="1" applyFont="1" applyFill="1" applyBorder="1" applyAlignment="1">
      <alignment vertical="center"/>
    </xf>
    <xf numFmtId="0" fontId="10" fillId="0" borderId="1" xfId="0" applyFont="1" applyBorder="1" applyAlignment="1">
      <alignment horizontal="right" vertical="center"/>
    </xf>
    <xf numFmtId="0" fontId="10" fillId="0" borderId="2" xfId="2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0" borderId="1" xfId="2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0" fillId="0" borderId="4" xfId="2" applyFont="1" applyBorder="1" applyAlignment="1">
      <alignment horizontal="center" vertical="center"/>
    </xf>
    <xf numFmtId="165" fontId="10" fillId="0" borderId="7" xfId="7" applyNumberFormat="1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2" xfId="3" applyFont="1" applyBorder="1" applyAlignment="1">
      <alignment vertical="center"/>
    </xf>
    <xf numFmtId="0" fontId="10" fillId="0" borderId="1" xfId="2" applyFont="1" applyBorder="1" applyAlignment="1">
      <alignment horizontal="right" vertical="center"/>
    </xf>
    <xf numFmtId="0" fontId="12" fillId="0" borderId="1" xfId="0" applyFont="1" applyBorder="1" applyAlignment="1">
      <alignment vertical="center" wrapText="1"/>
    </xf>
    <xf numFmtId="0" fontId="10" fillId="0" borderId="9" xfId="2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0" fillId="0" borderId="9" xfId="2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0" fillId="0" borderId="7" xfId="0" applyFont="1" applyBorder="1" applyAlignment="1">
      <alignment vertical="center"/>
    </xf>
    <xf numFmtId="0" fontId="10" fillId="0" borderId="7" xfId="2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0" fillId="0" borderId="0" xfId="2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6" xfId="0" applyFont="1" applyBorder="1" applyAlignment="1">
      <alignment horizontal="right" vertical="center"/>
    </xf>
    <xf numFmtId="0" fontId="10" fillId="0" borderId="4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165" fontId="11" fillId="0" borderId="1" xfId="7" applyNumberFormat="1" applyFont="1" applyFill="1" applyBorder="1" applyAlignment="1">
      <alignment vertical="center"/>
    </xf>
    <xf numFmtId="0" fontId="7" fillId="0" borderId="1" xfId="3" applyFont="1" applyBorder="1" applyAlignment="1">
      <alignment vertical="center"/>
    </xf>
    <xf numFmtId="0" fontId="7" fillId="0" borderId="2" xfId="3" applyFont="1" applyBorder="1" applyAlignment="1">
      <alignment vertical="center" wrapText="1"/>
    </xf>
    <xf numFmtId="0" fontId="7" fillId="0" borderId="1" xfId="3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165" fontId="11" fillId="0" borderId="5" xfId="7" applyNumberFormat="1" applyFont="1" applyFill="1" applyBorder="1" applyAlignment="1">
      <alignment vertical="center"/>
    </xf>
    <xf numFmtId="0" fontId="10" fillId="0" borderId="6" xfId="2" applyFont="1" applyBorder="1" applyAlignment="1">
      <alignment horizontal="right" vertical="center"/>
    </xf>
    <xf numFmtId="165" fontId="11" fillId="0" borderId="6" xfId="7" applyNumberFormat="1" applyFont="1" applyFill="1" applyBorder="1" applyAlignment="1">
      <alignment vertical="center"/>
    </xf>
    <xf numFmtId="0" fontId="11" fillId="0" borderId="6" xfId="0" applyFont="1" applyBorder="1" applyAlignment="1">
      <alignment horizontal="right" vertical="center"/>
    </xf>
    <xf numFmtId="0" fontId="7" fillId="0" borderId="1" xfId="3" applyFont="1" applyBorder="1"/>
    <xf numFmtId="165" fontId="10" fillId="0" borderId="1" xfId="7" applyNumberFormat="1" applyFont="1" applyFill="1" applyBorder="1" applyAlignment="1">
      <alignment horizontal="center" vertical="center"/>
    </xf>
    <xf numFmtId="0" fontId="10" fillId="0" borderId="1" xfId="2" applyFont="1" applyBorder="1"/>
    <xf numFmtId="165" fontId="10" fillId="0" borderId="1" xfId="7" applyNumberFormat="1" applyFont="1" applyFill="1" applyBorder="1"/>
    <xf numFmtId="0" fontId="10" fillId="0" borderId="1" xfId="2" applyFont="1" applyBorder="1" applyAlignment="1">
      <alignment horizontal="right"/>
    </xf>
    <xf numFmtId="0" fontId="10" fillId="0" borderId="1" xfId="2" applyFont="1" applyBorder="1" applyAlignment="1">
      <alignment horizontal="center"/>
    </xf>
    <xf numFmtId="0" fontId="10" fillId="0" borderId="7" xfId="0" applyFont="1" applyBorder="1"/>
    <xf numFmtId="0" fontId="10" fillId="0" borderId="6" xfId="2" applyFont="1" applyBorder="1" applyAlignment="1">
      <alignment horizontal="center" vertical="center"/>
    </xf>
    <xf numFmtId="0" fontId="10" fillId="0" borderId="1" xfId="0" applyFont="1" applyBorder="1"/>
    <xf numFmtId="0" fontId="10" fillId="0" borderId="19" xfId="0" applyFont="1" applyBorder="1" applyAlignment="1">
      <alignment wrapText="1"/>
    </xf>
    <xf numFmtId="165" fontId="14" fillId="0" borderId="1" xfId="7" applyNumberFormat="1" applyFont="1" applyFill="1" applyBorder="1" applyAlignment="1">
      <alignment horizontal="center" vertical="center"/>
    </xf>
    <xf numFmtId="0" fontId="7" fillId="0" borderId="1" xfId="4" applyFont="1" applyBorder="1"/>
    <xf numFmtId="165" fontId="14" fillId="0" borderId="0" xfId="7" applyNumberFormat="1" applyFont="1" applyFill="1"/>
    <xf numFmtId="0" fontId="10" fillId="0" borderId="0" xfId="2" applyFont="1" applyAlignment="1">
      <alignment horizontal="right"/>
    </xf>
    <xf numFmtId="0" fontId="10" fillId="0" borderId="0" xfId="2" applyFont="1" applyAlignment="1">
      <alignment horizontal="center"/>
    </xf>
    <xf numFmtId="0" fontId="7" fillId="0" borderId="4" xfId="3" applyFont="1" applyBorder="1" applyAlignment="1">
      <alignment wrapText="1"/>
    </xf>
    <xf numFmtId="0" fontId="7" fillId="0" borderId="1" xfId="3" applyFont="1" applyBorder="1" applyAlignment="1">
      <alignment wrapText="1"/>
    </xf>
    <xf numFmtId="0" fontId="10" fillId="0" borderId="1" xfId="2" applyFont="1" applyBorder="1" applyAlignment="1">
      <alignment vertical="center" wrapText="1"/>
    </xf>
    <xf numFmtId="0" fontId="10" fillId="0" borderId="1" xfId="2" applyFont="1" applyBorder="1" applyAlignment="1">
      <alignment wrapText="1"/>
    </xf>
    <xf numFmtId="0" fontId="10" fillId="3" borderId="0" xfId="2" applyFont="1" applyFill="1"/>
    <xf numFmtId="165" fontId="14" fillId="0" borderId="0" xfId="7" applyNumberFormat="1" applyFont="1"/>
    <xf numFmtId="165" fontId="8" fillId="0" borderId="1" xfId="7" applyNumberFormat="1" applyFont="1" applyFill="1" applyBorder="1" applyAlignment="1">
      <alignment horizontal="center" vertical="center"/>
    </xf>
    <xf numFmtId="165" fontId="10" fillId="0" borderId="0" xfId="7" applyNumberFormat="1" applyFont="1" applyFill="1"/>
    <xf numFmtId="165" fontId="10" fillId="0" borderId="0" xfId="7" applyNumberFormat="1" applyFont="1"/>
    <xf numFmtId="165" fontId="9" fillId="0" borderId="1" xfId="7" applyNumberFormat="1" applyFont="1" applyFill="1" applyBorder="1" applyAlignment="1">
      <alignment horizontal="center" vertical="center" wrapText="1"/>
    </xf>
    <xf numFmtId="165" fontId="8" fillId="0" borderId="1" xfId="7" applyNumberFormat="1" applyFont="1" applyFill="1" applyBorder="1" applyAlignment="1">
      <alignment horizontal="center" vertical="center" wrapText="1"/>
    </xf>
    <xf numFmtId="165" fontId="8" fillId="0" borderId="0" xfId="7" applyNumberFormat="1" applyFont="1" applyFill="1" applyAlignment="1">
      <alignment horizontal="right" vertical="center" wrapText="1"/>
    </xf>
    <xf numFmtId="0" fontId="10" fillId="0" borderId="0" xfId="2" applyFont="1" applyAlignment="1">
      <alignment wrapText="1"/>
    </xf>
    <xf numFmtId="165" fontId="10" fillId="0" borderId="1" xfId="7" applyNumberFormat="1" applyFont="1" applyFill="1" applyBorder="1" applyAlignment="1">
      <alignment horizontal="left" vertical="center"/>
    </xf>
    <xf numFmtId="165" fontId="11" fillId="0" borderId="1" xfId="7" applyNumberFormat="1" applyFont="1" applyFill="1" applyBorder="1"/>
    <xf numFmtId="165" fontId="11" fillId="0" borderId="1" xfId="7" applyNumberFormat="1" applyFont="1" applyFill="1" applyBorder="1" applyAlignment="1">
      <alignment horizontal="right"/>
    </xf>
    <xf numFmtId="0" fontId="11" fillId="0" borderId="1" xfId="0" applyFont="1" applyBorder="1"/>
    <xf numFmtId="165" fontId="10" fillId="0" borderId="1" xfId="7" applyNumberFormat="1" applyFont="1" applyFill="1" applyBorder="1" applyAlignment="1">
      <alignment horizontal="right" vertical="center"/>
    </xf>
    <xf numFmtId="0" fontId="6" fillId="0" borderId="1" xfId="3" applyFont="1" applyBorder="1" applyAlignment="1">
      <alignment wrapText="1"/>
    </xf>
    <xf numFmtId="0" fontId="8" fillId="0" borderId="0" xfId="2" applyFont="1"/>
    <xf numFmtId="165" fontId="14" fillId="0" borderId="1" xfId="7" applyNumberFormat="1" applyFont="1" applyFill="1" applyBorder="1"/>
    <xf numFmtId="165" fontId="10" fillId="0" borderId="1" xfId="7" applyNumberFormat="1" applyFont="1" applyFill="1" applyBorder="1" applyAlignment="1">
      <alignment horizontal="right"/>
    </xf>
    <xf numFmtId="165" fontId="10" fillId="0" borderId="0" xfId="7" applyNumberFormat="1" applyFont="1" applyFill="1" applyAlignment="1">
      <alignment horizontal="right"/>
    </xf>
    <xf numFmtId="0" fontId="8" fillId="0" borderId="1" xfId="2" applyFont="1" applyBorder="1" applyAlignment="1">
      <alignment vertical="center" wrapText="1"/>
    </xf>
    <xf numFmtId="165" fontId="10" fillId="3" borderId="0" xfId="7" applyNumberFormat="1" applyFont="1" applyFill="1"/>
    <xf numFmtId="165" fontId="10" fillId="0" borderId="0" xfId="7" applyNumberFormat="1" applyFont="1" applyAlignment="1">
      <alignment horizontal="right"/>
    </xf>
    <xf numFmtId="165" fontId="10" fillId="0" borderId="0" xfId="7" applyNumberFormat="1" applyFont="1" applyFill="1" applyAlignment="1">
      <alignment horizontal="center" vertical="center"/>
    </xf>
    <xf numFmtId="0" fontId="10" fillId="14" borderId="0" xfId="2" applyFont="1" applyFill="1" applyAlignment="1">
      <alignment horizontal="left" vertical="center"/>
    </xf>
    <xf numFmtId="0" fontId="10" fillId="0" borderId="0" xfId="0" applyFont="1"/>
    <xf numFmtId="0" fontId="10" fillId="0" borderId="9" xfId="2" applyFont="1" applyBorder="1"/>
    <xf numFmtId="0" fontId="11" fillId="0" borderId="0" xfId="2" applyFont="1" applyAlignment="1">
      <alignment horizontal="left" vertical="center"/>
    </xf>
    <xf numFmtId="0" fontId="11" fillId="0" borderId="9" xfId="2" applyFont="1" applyBorder="1" applyAlignment="1">
      <alignment horizontal="left" vertical="center"/>
    </xf>
    <xf numFmtId="0" fontId="8" fillId="0" borderId="9" xfId="2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/>
    </xf>
    <xf numFmtId="0" fontId="10" fillId="0" borderId="6" xfId="2" applyFont="1" applyBorder="1" applyAlignment="1">
      <alignment horizontal="left" vertical="center"/>
    </xf>
    <xf numFmtId="0" fontId="10" fillId="0" borderId="13" xfId="0" applyFont="1" applyBorder="1"/>
    <xf numFmtId="0" fontId="10" fillId="0" borderId="20" xfId="0" applyFont="1" applyBorder="1"/>
    <xf numFmtId="0" fontId="10" fillId="0" borderId="16" xfId="0" applyFont="1" applyBorder="1"/>
    <xf numFmtId="0" fontId="10" fillId="0" borderId="12" xfId="0" applyFont="1" applyBorder="1"/>
    <xf numFmtId="0" fontId="8" fillId="0" borderId="9" xfId="2" applyFont="1" applyBorder="1" applyAlignment="1">
      <alignment horizontal="center" vertical="center" wrapText="1"/>
    </xf>
    <xf numFmtId="0" fontId="8" fillId="0" borderId="9" xfId="2" applyFont="1" applyBorder="1" applyAlignment="1">
      <alignment vertical="center" wrapText="1"/>
    </xf>
    <xf numFmtId="165" fontId="8" fillId="0" borderId="9" xfId="7" applyNumberFormat="1" applyFont="1" applyFill="1" applyBorder="1" applyAlignment="1">
      <alignment horizontal="center" vertical="center" wrapText="1"/>
    </xf>
    <xf numFmtId="165" fontId="9" fillId="0" borderId="9" xfId="7" applyNumberFormat="1" applyFont="1" applyFill="1" applyBorder="1" applyAlignment="1">
      <alignment horizontal="center" vertical="center" wrapText="1"/>
    </xf>
    <xf numFmtId="165" fontId="8" fillId="0" borderId="9" xfId="7" applyNumberFormat="1" applyFont="1" applyFill="1" applyBorder="1" applyAlignment="1">
      <alignment horizontal="right" vertical="center" wrapText="1"/>
    </xf>
    <xf numFmtId="165" fontId="10" fillId="0" borderId="9" xfId="7" applyNumberFormat="1" applyFont="1" applyFill="1" applyBorder="1" applyAlignment="1">
      <alignment horizontal="center" vertical="center"/>
    </xf>
    <xf numFmtId="165" fontId="10" fillId="0" borderId="9" xfId="7" applyNumberFormat="1" applyFont="1" applyFill="1" applyBorder="1"/>
    <xf numFmtId="165" fontId="10" fillId="0" borderId="9" xfId="7" applyNumberFormat="1" applyFont="1" applyFill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/>
    </xf>
    <xf numFmtId="165" fontId="10" fillId="0" borderId="1" xfId="7" applyNumberFormat="1" applyFont="1" applyFill="1" applyBorder="1" applyAlignment="1"/>
    <xf numFmtId="0" fontId="10" fillId="0" borderId="0" xfId="2" applyFont="1" applyAlignment="1">
      <alignment horizontal="left"/>
    </xf>
    <xf numFmtId="0" fontId="11" fillId="0" borderId="0" xfId="2" applyFont="1"/>
    <xf numFmtId="0" fontId="6" fillId="5" borderId="1" xfId="0" applyFont="1" applyFill="1" applyBorder="1"/>
    <xf numFmtId="165" fontId="6" fillId="5" borderId="1" xfId="7" applyNumberFormat="1" applyFont="1" applyFill="1" applyBorder="1"/>
    <xf numFmtId="0" fontId="6" fillId="2" borderId="1" xfId="0" applyFont="1" applyFill="1" applyBorder="1"/>
    <xf numFmtId="165" fontId="6" fillId="2" borderId="1" xfId="7" applyNumberFormat="1" applyFont="1" applyFill="1" applyBorder="1"/>
    <xf numFmtId="0" fontId="6" fillId="8" borderId="0" xfId="0" applyFont="1" applyFill="1" applyAlignment="1">
      <alignment horizontal="center" vertical="center" wrapText="1"/>
    </xf>
    <xf numFmtId="0" fontId="7" fillId="0" borderId="0" xfId="3" applyFont="1" applyAlignment="1">
      <alignment vertical="center"/>
    </xf>
    <xf numFmtId="0" fontId="10" fillId="0" borderId="8" xfId="2" applyFont="1" applyBorder="1" applyAlignment="1">
      <alignment vertical="center"/>
    </xf>
    <xf numFmtId="0" fontId="7" fillId="0" borderId="8" xfId="3" applyFont="1" applyBorder="1" applyAlignment="1">
      <alignment vertical="center" wrapText="1"/>
    </xf>
    <xf numFmtId="0" fontId="10" fillId="0" borderId="3" xfId="0" applyFont="1" applyBorder="1" applyAlignment="1">
      <alignment vertical="center"/>
    </xf>
    <xf numFmtId="0" fontId="7" fillId="0" borderId="4" xfId="3" applyFont="1" applyBorder="1" applyAlignment="1">
      <alignment vertical="center" wrapText="1"/>
    </xf>
    <xf numFmtId="0" fontId="11" fillId="0" borderId="8" xfId="0" applyFont="1" applyBorder="1" applyAlignment="1">
      <alignment vertical="center"/>
    </xf>
    <xf numFmtId="0" fontId="10" fillId="0" borderId="7" xfId="0" applyFont="1" applyBorder="1" applyAlignment="1">
      <alignment wrapText="1"/>
    </xf>
    <xf numFmtId="0" fontId="7" fillId="0" borderId="19" xfId="3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0" fillId="0" borderId="13" xfId="2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2" applyFont="1" applyAlignment="1">
      <alignment vertical="center"/>
    </xf>
    <xf numFmtId="0" fontId="10" fillId="0" borderId="7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165" fontId="10" fillId="0" borderId="5" xfId="7" applyNumberFormat="1" applyFont="1" applyFill="1" applyBorder="1" applyAlignment="1">
      <alignment vertical="center"/>
    </xf>
    <xf numFmtId="0" fontId="10" fillId="0" borderId="0" xfId="2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0" fillId="0" borderId="11" xfId="2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0" fillId="0" borderId="0" xfId="2" applyFont="1" applyAlignment="1">
      <alignment horizontal="center" vertical="center" wrapText="1"/>
    </xf>
    <xf numFmtId="164" fontId="7" fillId="0" borderId="1" xfId="7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0" fillId="0" borderId="10" xfId="2" applyFont="1" applyBorder="1"/>
    <xf numFmtId="0" fontId="8" fillId="0" borderId="1" xfId="0" applyFont="1" applyBorder="1"/>
    <xf numFmtId="0" fontId="8" fillId="0" borderId="4" xfId="0" applyFont="1" applyBorder="1"/>
    <xf numFmtId="0" fontId="8" fillId="0" borderId="4" xfId="0" applyFont="1" applyBorder="1" applyAlignment="1">
      <alignment wrapText="1"/>
    </xf>
    <xf numFmtId="0" fontId="10" fillId="0" borderId="14" xfId="0" applyFont="1" applyBorder="1"/>
    <xf numFmtId="0" fontId="11" fillId="0" borderId="12" xfId="0" applyFont="1" applyBorder="1"/>
    <xf numFmtId="3" fontId="11" fillId="0" borderId="12" xfId="0" applyNumberFormat="1" applyFont="1" applyBorder="1"/>
    <xf numFmtId="0" fontId="10" fillId="0" borderId="12" xfId="0" applyFont="1" applyBorder="1" applyAlignment="1">
      <alignment wrapText="1"/>
    </xf>
    <xf numFmtId="0" fontId="10" fillId="0" borderId="4" xfId="0" applyFont="1" applyBorder="1"/>
    <xf numFmtId="0" fontId="11" fillId="0" borderId="7" xfId="0" applyFont="1" applyBorder="1"/>
    <xf numFmtId="3" fontId="10" fillId="0" borderId="12" xfId="0" applyNumberFormat="1" applyFont="1" applyBorder="1"/>
    <xf numFmtId="0" fontId="10" fillId="0" borderId="22" xfId="0" applyFont="1" applyBorder="1"/>
    <xf numFmtId="0" fontId="10" fillId="0" borderId="19" xfId="0" applyFont="1" applyBorder="1"/>
    <xf numFmtId="0" fontId="10" fillId="0" borderId="4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8" fillId="0" borderId="23" xfId="0" applyFont="1" applyBorder="1"/>
    <xf numFmtId="0" fontId="15" fillId="0" borderId="8" xfId="0" applyFont="1" applyBorder="1"/>
    <xf numFmtId="0" fontId="8" fillId="0" borderId="10" xfId="0" applyFont="1" applyBorder="1"/>
    <xf numFmtId="0" fontId="8" fillId="0" borderId="3" xfId="0" applyFont="1" applyBorder="1"/>
    <xf numFmtId="0" fontId="8" fillId="0" borderId="0" xfId="0" applyFont="1" applyAlignment="1">
      <alignment wrapText="1"/>
    </xf>
    <xf numFmtId="0" fontId="10" fillId="0" borderId="15" xfId="0" applyFont="1" applyBorder="1"/>
    <xf numFmtId="0" fontId="10" fillId="0" borderId="0" xfId="0" applyFont="1" applyAlignment="1">
      <alignment wrapText="1"/>
    </xf>
    <xf numFmtId="0" fontId="11" fillId="0" borderId="13" xfId="0" applyFont="1" applyBorder="1"/>
    <xf numFmtId="165" fontId="10" fillId="0" borderId="10" xfId="7" applyNumberFormat="1" applyFont="1" applyFill="1" applyBorder="1"/>
    <xf numFmtId="165" fontId="10" fillId="0" borderId="10" xfId="7" applyNumberFormat="1" applyFont="1" applyFill="1" applyBorder="1" applyAlignment="1">
      <alignment horizontal="center" vertical="center" wrapText="1"/>
    </xf>
    <xf numFmtId="165" fontId="10" fillId="0" borderId="1" xfId="7" applyNumberFormat="1" applyFont="1" applyFill="1" applyBorder="1" applyAlignment="1">
      <alignment horizontal="center" vertical="center" wrapText="1"/>
    </xf>
    <xf numFmtId="0" fontId="0" fillId="0" borderId="9" xfId="0" applyBorder="1"/>
    <xf numFmtId="0" fontId="16" fillId="4" borderId="9" xfId="0" applyFont="1" applyFill="1" applyBorder="1"/>
    <xf numFmtId="164" fontId="0" fillId="0" borderId="0" xfId="7" applyFont="1"/>
    <xf numFmtId="164" fontId="0" fillId="0" borderId="0" xfId="0" applyNumberFormat="1"/>
    <xf numFmtId="9" fontId="0" fillId="0" borderId="0" xfId="0" applyNumberFormat="1"/>
    <xf numFmtId="0" fontId="17" fillId="0" borderId="1" xfId="2" applyFont="1" applyBorder="1" applyAlignment="1">
      <alignment horizontal="left" vertical="center"/>
    </xf>
    <xf numFmtId="0" fontId="18" fillId="0" borderId="1" xfId="2" applyFont="1" applyBorder="1" applyAlignment="1">
      <alignment horizontal="left" vertical="center"/>
    </xf>
    <xf numFmtId="0" fontId="18" fillId="0" borderId="1" xfId="2" applyFont="1" applyBorder="1" applyAlignment="1">
      <alignment horizontal="left" vertical="center" wrapText="1"/>
    </xf>
    <xf numFmtId="165" fontId="18" fillId="0" borderId="1" xfId="7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17" fillId="0" borderId="1" xfId="2" applyFont="1" applyBorder="1" applyAlignment="1">
      <alignment horizontal="left" vertical="center" wrapText="1"/>
    </xf>
    <xf numFmtId="0" fontId="17" fillId="0" borderId="1" xfId="0" applyFont="1" applyBorder="1"/>
    <xf numFmtId="0" fontId="17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 vertical="center"/>
    </xf>
    <xf numFmtId="0" fontId="23" fillId="0" borderId="1" xfId="2" applyFont="1" applyBorder="1" applyAlignment="1">
      <alignment horizontal="left" vertical="center"/>
    </xf>
    <xf numFmtId="0" fontId="17" fillId="0" borderId="1" xfId="2" applyFont="1" applyBorder="1" applyAlignment="1">
      <alignment horizontal="center" vertical="center" wrapText="1"/>
    </xf>
    <xf numFmtId="0" fontId="17" fillId="0" borderId="1" xfId="2" applyFont="1" applyBorder="1" applyAlignment="1">
      <alignment horizontal="left"/>
    </xf>
    <xf numFmtId="0" fontId="17" fillId="0" borderId="1" xfId="2" applyFont="1" applyBorder="1"/>
    <xf numFmtId="0" fontId="17" fillId="15" borderId="1" xfId="0" applyFont="1" applyFill="1" applyBorder="1"/>
    <xf numFmtId="0" fontId="17" fillId="0" borderId="1" xfId="0" applyFont="1" applyBorder="1" applyAlignment="1">
      <alignment wrapText="1"/>
    </xf>
    <xf numFmtId="0" fontId="11" fillId="0" borderId="13" xfId="2" applyFont="1" applyBorder="1" applyAlignment="1">
      <alignment horizontal="left" vertical="center"/>
    </xf>
    <xf numFmtId="0" fontId="19" fillId="0" borderId="1" xfId="2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/>
    </xf>
    <xf numFmtId="0" fontId="21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1" fillId="0" borderId="1" xfId="4" applyFont="1" applyBorder="1" applyAlignment="1">
      <alignment horizontal="left" vertical="center"/>
    </xf>
    <xf numFmtId="0" fontId="17" fillId="15" borderId="1" xfId="0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0" fontId="20" fillId="0" borderId="1" xfId="0" applyFont="1" applyBorder="1"/>
    <xf numFmtId="0" fontId="17" fillId="0" borderId="1" xfId="4" applyFont="1" applyBorder="1" applyAlignment="1">
      <alignment horizontal="left" vertical="center"/>
    </xf>
    <xf numFmtId="0" fontId="22" fillId="0" borderId="1" xfId="0" applyFont="1" applyBorder="1"/>
    <xf numFmtId="0" fontId="20" fillId="0" borderId="1" xfId="0" applyFont="1" applyBorder="1" applyAlignment="1">
      <alignment horizontal="center"/>
    </xf>
    <xf numFmtId="0" fontId="23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center"/>
    </xf>
    <xf numFmtId="0" fontId="17" fillId="20" borderId="1" xfId="2" applyFont="1" applyFill="1" applyBorder="1" applyAlignment="1">
      <alignment horizontal="left" vertical="center"/>
    </xf>
    <xf numFmtId="0" fontId="17" fillId="0" borderId="1" xfId="2" applyFont="1" applyBorder="1" applyAlignment="1">
      <alignment vertical="center"/>
    </xf>
    <xf numFmtId="0" fontId="24" fillId="0" borderId="1" xfId="0" applyFont="1" applyBorder="1"/>
    <xf numFmtId="0" fontId="24" fillId="15" borderId="1" xfId="0" applyFont="1" applyFill="1" applyBorder="1" applyAlignment="1">
      <alignment horizontal="center" wrapText="1"/>
    </xf>
    <xf numFmtId="0" fontId="25" fillId="0" borderId="1" xfId="0" applyFont="1" applyBorder="1"/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17" fillId="24" borderId="1" xfId="0" applyFont="1" applyFill="1" applyBorder="1"/>
    <xf numFmtId="14" fontId="20" fillId="0" borderId="1" xfId="0" applyNumberFormat="1" applyFont="1" applyBorder="1" applyAlignment="1">
      <alignment vertical="center"/>
    </xf>
    <xf numFmtId="0" fontId="17" fillId="3" borderId="1" xfId="2" applyFont="1" applyFill="1" applyBorder="1" applyAlignment="1">
      <alignment horizontal="left" vertical="center"/>
    </xf>
    <xf numFmtId="0" fontId="10" fillId="3" borderId="0" xfId="2" applyFont="1" applyFill="1" applyAlignment="1">
      <alignment horizontal="left" vertical="center"/>
    </xf>
    <xf numFmtId="0" fontId="26" fillId="0" borderId="1" xfId="0" applyFont="1" applyBorder="1" applyAlignment="1">
      <alignment vertical="center"/>
    </xf>
    <xf numFmtId="0" fontId="26" fillId="0" borderId="1" xfId="0" applyFont="1" applyBorder="1" applyAlignment="1">
      <alignment horizontal="left" vertical="center"/>
    </xf>
    <xf numFmtId="0" fontId="27" fillId="0" borderId="1" xfId="0" applyFont="1" applyBorder="1"/>
    <xf numFmtId="0" fontId="27" fillId="0" borderId="1" xfId="0" applyFont="1" applyBorder="1" applyAlignment="1">
      <alignment horizontal="left"/>
    </xf>
    <xf numFmtId="0" fontId="26" fillId="0" borderId="1" xfId="0" applyFont="1" applyBorder="1"/>
    <xf numFmtId="0" fontId="27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18" fillId="0" borderId="1" xfId="2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/>
    </xf>
    <xf numFmtId="0" fontId="17" fillId="0" borderId="1" xfId="2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8" fillId="0" borderId="1" xfId="2" applyFont="1" applyBorder="1" applyAlignment="1">
      <alignment horizontal="center" vertical="center"/>
    </xf>
    <xf numFmtId="15" fontId="17" fillId="0" borderId="1" xfId="2" applyNumberFormat="1" applyFont="1" applyBorder="1" applyAlignment="1">
      <alignment horizontal="center" vertical="center"/>
    </xf>
    <xf numFmtId="15" fontId="17" fillId="0" borderId="1" xfId="0" applyNumberFormat="1" applyFont="1" applyBorder="1" applyAlignment="1">
      <alignment horizontal="center"/>
    </xf>
    <xf numFmtId="15" fontId="27" fillId="0" borderId="1" xfId="0" applyNumberFormat="1" applyFont="1" applyBorder="1" applyAlignment="1">
      <alignment horizontal="center"/>
    </xf>
    <xf numFmtId="15" fontId="27" fillId="3" borderId="1" xfId="0" applyNumberFormat="1" applyFont="1" applyFill="1" applyBorder="1" applyAlignment="1">
      <alignment horizontal="center"/>
    </xf>
    <xf numFmtId="15" fontId="26" fillId="0" borderId="1" xfId="0" applyNumberFormat="1" applyFont="1" applyBorder="1" applyAlignment="1">
      <alignment horizontal="center" vertical="center"/>
    </xf>
    <xf numFmtId="165" fontId="10" fillId="0" borderId="0" xfId="7" applyNumberFormat="1" applyFont="1" applyFill="1" applyBorder="1"/>
    <xf numFmtId="165" fontId="8" fillId="0" borderId="9" xfId="7" applyNumberFormat="1" applyFont="1" applyFill="1" applyBorder="1" applyAlignment="1">
      <alignment vertical="center" wrapText="1"/>
    </xf>
    <xf numFmtId="0" fontId="28" fillId="0" borderId="1" xfId="0" applyFont="1" applyBorder="1"/>
    <xf numFmtId="0" fontId="29" fillId="0" borderId="1" xfId="0" applyFont="1" applyBorder="1"/>
    <xf numFmtId="0" fontId="28" fillId="0" borderId="1" xfId="0" applyFont="1" applyBorder="1" applyAlignment="1">
      <alignment wrapText="1"/>
    </xf>
    <xf numFmtId="0" fontId="28" fillId="25" borderId="1" xfId="0" applyFont="1" applyFill="1" applyBorder="1"/>
    <xf numFmtId="0" fontId="28" fillId="0" borderId="1" xfId="0" applyFont="1" applyBorder="1" applyAlignment="1">
      <alignment horizontal="left"/>
    </xf>
    <xf numFmtId="0" fontId="10" fillId="21" borderId="0" xfId="2" applyFont="1" applyFill="1" applyAlignment="1">
      <alignment horizontal="left" vertical="center"/>
    </xf>
    <xf numFmtId="0" fontId="11" fillId="21" borderId="9" xfId="2" applyFont="1" applyFill="1" applyBorder="1" applyAlignment="1">
      <alignment horizontal="left" vertical="center"/>
    </xf>
    <xf numFmtId="166" fontId="28" fillId="0" borderId="1" xfId="0" applyNumberFormat="1" applyFont="1" applyBorder="1"/>
    <xf numFmtId="166" fontId="28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3" fontId="28" fillId="0" borderId="1" xfId="0" applyNumberFormat="1" applyFont="1" applyBorder="1" applyAlignment="1">
      <alignment horizontal="center"/>
    </xf>
    <xf numFmtId="167" fontId="28" fillId="0" borderId="1" xfId="0" applyNumberFormat="1" applyFont="1" applyBorder="1"/>
    <xf numFmtId="0" fontId="30" fillId="0" borderId="1" xfId="0" applyFont="1" applyBorder="1"/>
    <xf numFmtId="0" fontId="10" fillId="0" borderId="0" xfId="2" quotePrefix="1" applyFont="1" applyAlignment="1">
      <alignment horizontal="left" vertical="center"/>
    </xf>
    <xf numFmtId="2" fontId="0" fillId="0" borderId="0" xfId="0" applyNumberFormat="1"/>
    <xf numFmtId="0" fontId="10" fillId="0" borderId="2" xfId="2" applyFont="1" applyBorder="1" applyAlignment="1">
      <alignment horizontal="center" vertical="center" wrapText="1"/>
    </xf>
    <xf numFmtId="0" fontId="10" fillId="0" borderId="24" xfId="2" applyFont="1" applyBorder="1"/>
    <xf numFmtId="0" fontId="10" fillId="0" borderId="25" xfId="2" applyFont="1" applyBorder="1"/>
    <xf numFmtId="0" fontId="10" fillId="0" borderId="26" xfId="2" applyFont="1" applyBorder="1"/>
    <xf numFmtId="0" fontId="10" fillId="0" borderId="27" xfId="2" applyFont="1" applyBorder="1"/>
    <xf numFmtId="0" fontId="10" fillId="0" borderId="28" xfId="2" applyFont="1" applyBorder="1"/>
    <xf numFmtId="0" fontId="10" fillId="0" borderId="29" xfId="2" applyFont="1" applyBorder="1"/>
    <xf numFmtId="0" fontId="10" fillId="0" borderId="30" xfId="2" applyFont="1" applyBorder="1"/>
    <xf numFmtId="0" fontId="10" fillId="0" borderId="19" xfId="2" applyFont="1" applyBorder="1"/>
    <xf numFmtId="0" fontId="17" fillId="14" borderId="1" xfId="2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20" fillId="3" borderId="1" xfId="0" applyFont="1" applyFill="1" applyBorder="1"/>
    <xf numFmtId="0" fontId="17" fillId="14" borderId="1" xfId="0" applyFont="1" applyFill="1" applyBorder="1" applyAlignment="1">
      <alignment horizontal="left" vertical="center"/>
    </xf>
    <xf numFmtId="0" fontId="17" fillId="0" borderId="0" xfId="2" applyFont="1" applyAlignment="1">
      <alignment horizontal="center" vertical="center"/>
    </xf>
    <xf numFmtId="0" fontId="18" fillId="0" borderId="1" xfId="2" applyFont="1" applyBorder="1" applyAlignment="1">
      <alignment vertical="center" wrapText="1"/>
    </xf>
    <xf numFmtId="15" fontId="17" fillId="0" borderId="1" xfId="0" applyNumberFormat="1" applyFont="1" applyBorder="1"/>
    <xf numFmtId="166" fontId="29" fillId="0" borderId="1" xfId="0" applyNumberFormat="1" applyFont="1" applyBorder="1"/>
    <xf numFmtId="0" fontId="15" fillId="0" borderId="0" xfId="0" applyFont="1"/>
    <xf numFmtId="15" fontId="17" fillId="0" borderId="1" xfId="2" applyNumberFormat="1" applyFont="1" applyBorder="1" applyAlignment="1">
      <alignment horizontal="left" vertical="center"/>
    </xf>
    <xf numFmtId="15" fontId="23" fillId="0" borderId="1" xfId="2" applyNumberFormat="1" applyFont="1" applyBorder="1" applyAlignment="1">
      <alignment horizontal="center" vertical="center"/>
    </xf>
    <xf numFmtId="0" fontId="10" fillId="0" borderId="1" xfId="2" applyFont="1" applyBorder="1" applyAlignment="1">
      <alignment horizontal="left" vertical="center"/>
    </xf>
    <xf numFmtId="0" fontId="17" fillId="0" borderId="1" xfId="0" applyFont="1" applyFill="1" applyBorder="1"/>
    <xf numFmtId="0" fontId="28" fillId="0" borderId="1" xfId="0" applyFont="1" applyFill="1" applyBorder="1"/>
    <xf numFmtId="0" fontId="21" fillId="0" borderId="1" xfId="0" applyFont="1" applyFill="1" applyBorder="1" applyAlignment="1">
      <alignment horizontal="left" vertical="center"/>
    </xf>
    <xf numFmtId="0" fontId="10" fillId="0" borderId="1" xfId="2" applyFont="1" applyBorder="1" applyAlignment="1">
      <alignment horizontal="left" vertical="center"/>
    </xf>
    <xf numFmtId="0" fontId="10" fillId="0" borderId="7" xfId="0" applyFont="1" applyBorder="1"/>
    <xf numFmtId="0" fontId="14" fillId="0" borderId="1" xfId="0" applyFont="1" applyBorder="1" applyAlignment="1">
      <alignment vertical="center"/>
    </xf>
    <xf numFmtId="0" fontId="10" fillId="0" borderId="1" xfId="2" applyFont="1" applyBorder="1" applyAlignment="1">
      <alignment horizontal="left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vertical="center"/>
    </xf>
    <xf numFmtId="0" fontId="3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5" fontId="14" fillId="0" borderId="1" xfId="0" applyNumberFormat="1" applyFont="1" applyBorder="1" applyAlignment="1">
      <alignment horizontal="right" vertical="center"/>
    </xf>
    <xf numFmtId="0" fontId="28" fillId="0" borderId="5" xfId="0" applyFont="1" applyFill="1" applyBorder="1" applyAlignment="1">
      <alignment horizontal="center"/>
    </xf>
    <xf numFmtId="0" fontId="10" fillId="0" borderId="0" xfId="0" applyFont="1" applyBorder="1" applyAlignment="1">
      <alignment wrapText="1"/>
    </xf>
    <xf numFmtId="0" fontId="10" fillId="0" borderId="5" xfId="2" applyFont="1" applyFill="1" applyBorder="1" applyAlignment="1">
      <alignment horizontal="left" vertical="center"/>
    </xf>
    <xf numFmtId="0" fontId="33" fillId="26" borderId="31" xfId="0" applyFont="1" applyFill="1" applyBorder="1"/>
    <xf numFmtId="0" fontId="33" fillId="0" borderId="31" xfId="0" applyFont="1" applyBorder="1"/>
    <xf numFmtId="0" fontId="33" fillId="26" borderId="31" xfId="0" applyFont="1" applyFill="1" applyBorder="1" applyAlignment="1">
      <alignment vertical="center"/>
    </xf>
    <xf numFmtId="0" fontId="33" fillId="26" borderId="0" xfId="0" applyFont="1" applyFill="1" applyAlignment="1">
      <alignment vertical="center"/>
    </xf>
    <xf numFmtId="0" fontId="33" fillId="0" borderId="0" xfId="0" applyFont="1" applyAlignment="1">
      <alignment vertical="center"/>
    </xf>
    <xf numFmtId="0" fontId="33" fillId="0" borderId="31" xfId="0" applyFont="1" applyBorder="1" applyAlignment="1">
      <alignment vertical="center"/>
    </xf>
    <xf numFmtId="0" fontId="33" fillId="0" borderId="18" xfId="0" applyFont="1" applyBorder="1"/>
    <xf numFmtId="0" fontId="33" fillId="26" borderId="31" xfId="0" applyFont="1" applyFill="1" applyBorder="1" applyAlignment="1">
      <alignment horizontal="center"/>
    </xf>
    <xf numFmtId="0" fontId="33" fillId="0" borderId="31" xfId="0" applyFont="1" applyBorder="1" applyAlignment="1">
      <alignment horizontal="center"/>
    </xf>
    <xf numFmtId="0" fontId="33" fillId="26" borderId="31" xfId="0" applyFont="1" applyFill="1" applyBorder="1" applyAlignment="1">
      <alignment horizontal="center" vertical="center"/>
    </xf>
    <xf numFmtId="0" fontId="33" fillId="26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/>
    </xf>
    <xf numFmtId="3" fontId="34" fillId="26" borderId="31" xfId="0" applyNumberFormat="1" applyFont="1" applyFill="1" applyBorder="1" applyAlignment="1">
      <alignment horizontal="center" vertical="center"/>
    </xf>
    <xf numFmtId="0" fontId="34" fillId="26" borderId="31" xfId="0" applyFont="1" applyFill="1" applyBorder="1" applyAlignment="1">
      <alignment horizontal="center" vertical="center"/>
    </xf>
    <xf numFmtId="0" fontId="34" fillId="0" borderId="31" xfId="0" applyFont="1" applyBorder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4" fillId="26" borderId="31" xfId="0" applyFont="1" applyFill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18" xfId="0" applyFont="1" applyBorder="1" applyAlignment="1">
      <alignment horizontal="center" vertical="center"/>
    </xf>
    <xf numFmtId="0" fontId="33" fillId="27" borderId="31" xfId="0" applyFont="1" applyFill="1" applyBorder="1"/>
    <xf numFmtId="0" fontId="33" fillId="3" borderId="31" xfId="0" applyFont="1" applyFill="1" applyBorder="1"/>
    <xf numFmtId="15" fontId="33" fillId="26" borderId="0" xfId="0" applyNumberFormat="1" applyFont="1" applyFill="1" applyAlignment="1">
      <alignment horizontal="center"/>
    </xf>
    <xf numFmtId="15" fontId="33" fillId="0" borderId="31" xfId="0" applyNumberFormat="1" applyFont="1" applyBorder="1" applyAlignment="1">
      <alignment horizontal="center"/>
    </xf>
    <xf numFmtId="15" fontId="33" fillId="26" borderId="31" xfId="0" applyNumberFormat="1" applyFont="1" applyFill="1" applyBorder="1" applyAlignment="1">
      <alignment horizontal="center" vertical="center"/>
    </xf>
    <xf numFmtId="15" fontId="33" fillId="26" borderId="0" xfId="0" applyNumberFormat="1" applyFont="1" applyFill="1" applyAlignment="1">
      <alignment horizontal="center" vertical="center"/>
    </xf>
    <xf numFmtId="15" fontId="33" fillId="0" borderId="0" xfId="0" applyNumberFormat="1" applyFont="1" applyAlignment="1">
      <alignment horizontal="center" vertical="center"/>
    </xf>
    <xf numFmtId="15" fontId="33" fillId="26" borderId="31" xfId="0" applyNumberFormat="1" applyFont="1" applyFill="1" applyBorder="1" applyAlignment="1">
      <alignment horizontal="center"/>
    </xf>
    <xf numFmtId="15" fontId="33" fillId="0" borderId="31" xfId="0" applyNumberFormat="1" applyFont="1" applyBorder="1" applyAlignment="1">
      <alignment horizontal="center" vertical="center"/>
    </xf>
    <xf numFmtId="15" fontId="33" fillId="0" borderId="18" xfId="0" applyNumberFormat="1" applyFont="1" applyBorder="1" applyAlignment="1">
      <alignment horizontal="center"/>
    </xf>
    <xf numFmtId="0" fontId="6" fillId="8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7" fillId="22" borderId="18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 vertical="center" wrapText="1"/>
    </xf>
    <xf numFmtId="0" fontId="7" fillId="21" borderId="21" xfId="0" applyFont="1" applyFill="1" applyBorder="1" applyAlignment="1">
      <alignment horizontal="center"/>
    </xf>
    <xf numFmtId="0" fontId="7" fillId="21" borderId="18" xfId="0" applyFont="1" applyFill="1" applyBorder="1" applyAlignment="1">
      <alignment horizontal="center"/>
    </xf>
    <xf numFmtId="0" fontId="7" fillId="7" borderId="18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165" fontId="7" fillId="13" borderId="1" xfId="7" applyNumberFormat="1" applyFont="1" applyFill="1" applyBorder="1" applyAlignment="1">
      <alignment horizontal="center"/>
    </xf>
    <xf numFmtId="165" fontId="7" fillId="5" borderId="1" xfId="7" applyNumberFormat="1" applyFont="1" applyFill="1" applyBorder="1" applyAlignment="1">
      <alignment horizontal="center"/>
    </xf>
    <xf numFmtId="0" fontId="7" fillId="10" borderId="9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center"/>
    </xf>
    <xf numFmtId="0" fontId="7" fillId="10" borderId="9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10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7" fillId="17" borderId="9" xfId="0" applyFont="1" applyFill="1" applyBorder="1" applyAlignment="1">
      <alignment horizontal="center"/>
    </xf>
    <xf numFmtId="0" fontId="7" fillId="19" borderId="9" xfId="0" applyFont="1" applyFill="1" applyBorder="1" applyAlignment="1">
      <alignment horizontal="center"/>
    </xf>
    <xf numFmtId="0" fontId="7" fillId="8" borderId="9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left"/>
    </xf>
    <xf numFmtId="0" fontId="7" fillId="11" borderId="9" xfId="0" applyFont="1" applyFill="1" applyBorder="1" applyAlignment="1">
      <alignment horizontal="left" vertical="center"/>
    </xf>
    <xf numFmtId="0" fontId="7" fillId="9" borderId="9" xfId="0" applyFont="1" applyFill="1" applyBorder="1" applyAlignment="1">
      <alignment horizontal="left"/>
    </xf>
    <xf numFmtId="0" fontId="10" fillId="0" borderId="1" xfId="2" applyFont="1" applyBorder="1" applyAlignment="1">
      <alignment horizontal="left" vertical="center"/>
    </xf>
    <xf numFmtId="0" fontId="10" fillId="0" borderId="5" xfId="0" applyFont="1" applyBorder="1"/>
    <xf numFmtId="0" fontId="10" fillId="0" borderId="7" xfId="0" applyFont="1" applyBorder="1"/>
  </cellXfs>
  <cellStyles count="8">
    <cellStyle name="Comma" xfId="7" builtinId="3"/>
    <cellStyle name="Normal" xfId="0" builtinId="0"/>
    <cellStyle name="Normal 10" xfId="6" xr:uid="{4FC69B8C-CE08-4E23-9BA8-9B6265E32199}"/>
    <cellStyle name="Normal 2" xfId="2" xr:uid="{00000000-0005-0000-0000-000001000000}"/>
    <cellStyle name="Normal 2 2" xfId="3" xr:uid="{00000000-0005-0000-0000-000002000000}"/>
    <cellStyle name="Normal 2 2 2" xfId="1" xr:uid="{00000000-0005-0000-0000-000003000000}"/>
    <cellStyle name="Normal 3" xfId="4" xr:uid="{00000000-0005-0000-0000-000004000000}"/>
    <cellStyle name="Normal 5" xfId="5" xr:uid="{F158C020-546A-4760-A2E9-6F6CF52DC497}"/>
  </cellStyles>
  <dxfs count="3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7" tint="-0.24994659260841701"/>
        </patternFill>
      </fill>
    </dxf>
    <dxf>
      <font>
        <color rgb="FF9C0006"/>
      </font>
      <fill>
        <patternFill patternType="solid">
          <bgColor rgb="FFBF8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7" tint="-0.24994659260841701"/>
        </patternFill>
      </fill>
    </dxf>
    <dxf>
      <font>
        <color rgb="FF9C0006"/>
      </font>
      <fill>
        <patternFill patternType="solid">
          <bgColor rgb="FFBF8F00"/>
        </patternFill>
      </fill>
    </dxf>
    <dxf>
      <font>
        <strike val="0"/>
      </font>
      <fill>
        <patternFill>
          <bgColor theme="7" tint="-0.24994659260841701"/>
        </patternFill>
      </fill>
    </dxf>
    <dxf>
      <font>
        <color rgb="FF9C0006"/>
      </font>
      <fill>
        <patternFill patternType="solid">
          <bgColor rgb="FFBF8F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7" tint="-0.24994659260841701"/>
        </patternFill>
      </fill>
    </dxf>
    <dxf>
      <font>
        <color rgb="FF9C0006"/>
      </font>
      <fill>
        <patternFill patternType="solid">
          <bgColor rgb="FFBF8F00"/>
        </patternFill>
      </fill>
    </dxf>
    <dxf>
      <font>
        <strike val="0"/>
      </font>
      <fill>
        <patternFill>
          <bgColor theme="7" tint="-0.24994659260841701"/>
        </patternFill>
      </fill>
    </dxf>
    <dxf>
      <font>
        <color rgb="FF9C0006"/>
      </font>
      <fill>
        <patternFill patternType="solid">
          <bgColor rgb="FFBF8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7" tint="-0.24994659260841701"/>
        </patternFill>
      </fill>
    </dxf>
    <dxf>
      <font>
        <color rgb="FF9C0006"/>
      </font>
      <fill>
        <patternFill patternType="solid">
          <bgColor rgb="FFBF8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06BFA90-A653-486F-8F58-DB8E81D6E7A5}">
  <we:reference id="wa200005333" version="1.0.0.2" store="en-US" storeType="OMEX"/>
  <we:alternateReferences>
    <we:reference id="WA200005333" version="1.0.0.2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81571-48F6-45F1-85D0-2893AB049F13}">
  <dimension ref="A1:D19"/>
  <sheetViews>
    <sheetView tabSelected="1" topLeftCell="A6" workbookViewId="0">
      <selection activeCell="B22" sqref="B22"/>
    </sheetView>
  </sheetViews>
  <sheetFormatPr defaultColWidth="8.81640625" defaultRowHeight="14"/>
  <cols>
    <col min="1" max="1" width="3.54296875" style="3" bestFit="1" customWidth="1"/>
    <col min="2" max="2" width="26.1796875" style="3" bestFit="1" customWidth="1"/>
    <col min="3" max="3" width="5.453125" style="3" bestFit="1" customWidth="1"/>
    <col min="4" max="4" width="10.453125" style="6" bestFit="1" customWidth="1"/>
    <col min="5" max="16384" width="8.81640625" style="3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4">
        <v>1</v>
      </c>
      <c r="B2" s="4" t="s">
        <v>4</v>
      </c>
      <c r="C2" s="4" t="s">
        <v>5</v>
      </c>
      <c r="D2" s="5">
        <f>SUM('TOTALS(PASSIVE)'!C20,'TOTALS(PASSIVE)'!J20)</f>
        <v>7268857.5999999996</v>
      </c>
    </row>
    <row r="3" spans="1:4">
      <c r="A3" s="4">
        <v>2</v>
      </c>
      <c r="B3" s="4" t="s">
        <v>6</v>
      </c>
      <c r="C3" s="4" t="s">
        <v>7</v>
      </c>
      <c r="D3" s="5">
        <f>'TOTALS(ACTIVE)'!C20</f>
        <v>54</v>
      </c>
    </row>
    <row r="4" spans="1:4">
      <c r="A4" s="4">
        <v>3</v>
      </c>
      <c r="B4" s="4" t="s">
        <v>8</v>
      </c>
      <c r="C4" s="4" t="s">
        <v>7</v>
      </c>
      <c r="D4" s="5">
        <f>SUM('TOTALS(ACTIVE)'!G20:AC20)</f>
        <v>102</v>
      </c>
    </row>
    <row r="5" spans="1:4">
      <c r="A5" s="4">
        <v>4</v>
      </c>
      <c r="B5" s="4" t="s">
        <v>9</v>
      </c>
      <c r="C5" s="4" t="s">
        <v>7</v>
      </c>
      <c r="D5" s="5">
        <f>SUM('TOTALS(ACTIVE)'!D20:F20)</f>
        <v>1446</v>
      </c>
    </row>
    <row r="7" spans="1:4">
      <c r="B7" s="3" t="s">
        <v>10</v>
      </c>
    </row>
    <row r="8" spans="1:4">
      <c r="A8" s="171" t="s">
        <v>0</v>
      </c>
      <c r="B8" s="171" t="s">
        <v>1</v>
      </c>
      <c r="C8" s="171" t="s">
        <v>2</v>
      </c>
      <c r="D8" s="172" t="s">
        <v>3</v>
      </c>
    </row>
    <row r="9" spans="1:4">
      <c r="A9" s="4">
        <v>1</v>
      </c>
      <c r="B9" s="4" t="s">
        <v>4</v>
      </c>
      <c r="C9" s="4" t="s">
        <v>5</v>
      </c>
      <c r="D9" s="5">
        <f>SUM('TOTALS(PASSIVE)'!C3:C10,'TOTALS(PASSIVE)'!J3:J10)</f>
        <v>5603040.5999999996</v>
      </c>
    </row>
    <row r="10" spans="1:4">
      <c r="A10" s="4">
        <v>2</v>
      </c>
      <c r="B10" s="4" t="s">
        <v>6</v>
      </c>
      <c r="C10" s="4" t="s">
        <v>7</v>
      </c>
      <c r="D10" s="5">
        <f>SUM('TOTALS(ACTIVE)'!C3:C10)</f>
        <v>47</v>
      </c>
    </row>
    <row r="11" spans="1:4">
      <c r="A11" s="4">
        <v>3</v>
      </c>
      <c r="B11" s="4" t="s">
        <v>8</v>
      </c>
      <c r="C11" s="4" t="s">
        <v>7</v>
      </c>
      <c r="D11" s="5">
        <f>SUM('TOTALS(ACTIVE)'!G22:AC22)</f>
        <v>95</v>
      </c>
    </row>
    <row r="12" spans="1:4">
      <c r="A12" s="4">
        <v>4</v>
      </c>
      <c r="B12" s="4" t="s">
        <v>9</v>
      </c>
      <c r="C12" s="4" t="s">
        <v>7</v>
      </c>
      <c r="D12" s="5">
        <f>SUM('TOTALS(ACTIVE)'!D22:F22)</f>
        <v>1442</v>
      </c>
    </row>
    <row r="14" spans="1:4">
      <c r="B14" s="3" t="s">
        <v>11</v>
      </c>
    </row>
    <row r="15" spans="1:4">
      <c r="A15" s="173" t="s">
        <v>0</v>
      </c>
      <c r="B15" s="173" t="s">
        <v>1</v>
      </c>
      <c r="C15" s="173" t="s">
        <v>2</v>
      </c>
      <c r="D15" s="174" t="s">
        <v>3</v>
      </c>
    </row>
    <row r="16" spans="1:4">
      <c r="A16" s="4">
        <v>1</v>
      </c>
      <c r="B16" s="4" t="s">
        <v>4</v>
      </c>
      <c r="C16" s="4" t="s">
        <v>5</v>
      </c>
      <c r="D16" s="5">
        <f>SUM('TOTALS(PASSIVE)'!C11:C18,'TOTALS(PASSIVE)'!J11:J18)</f>
        <v>1665817</v>
      </c>
    </row>
    <row r="17" spans="1:4">
      <c r="A17" s="4">
        <v>2</v>
      </c>
      <c r="B17" s="4" t="s">
        <v>6</v>
      </c>
      <c r="C17" s="4" t="s">
        <v>7</v>
      </c>
      <c r="D17" s="5">
        <f>'TOTALS(ACTIVE)'!C23</f>
        <v>7</v>
      </c>
    </row>
    <row r="18" spans="1:4">
      <c r="A18" s="4">
        <v>3</v>
      </c>
      <c r="B18" s="4" t="s">
        <v>8</v>
      </c>
      <c r="C18" s="4" t="s">
        <v>7</v>
      </c>
      <c r="D18" s="5">
        <f>SUM('TOTALS(ACTIVE)'!G23:AC23)</f>
        <v>7</v>
      </c>
    </row>
    <row r="19" spans="1:4">
      <c r="A19" s="4">
        <v>4</v>
      </c>
      <c r="B19" s="4" t="s">
        <v>9</v>
      </c>
      <c r="C19" s="4" t="s">
        <v>7</v>
      </c>
      <c r="D19" s="5">
        <f>SUM('TOTALS(ACTIVE)'!D23:F23)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0507-C379-4891-A96A-F3FC43A9CB00}">
  <sheetPr>
    <tabColor theme="9" tint="0.79998168889431442"/>
  </sheetPr>
  <dimension ref="A1:H12"/>
  <sheetViews>
    <sheetView topLeftCell="B1" workbookViewId="0">
      <selection activeCell="E8" sqref="E8"/>
    </sheetView>
  </sheetViews>
  <sheetFormatPr defaultColWidth="8.81640625" defaultRowHeight="14"/>
  <cols>
    <col min="1" max="1" width="3.1796875" style="3" bestFit="1" customWidth="1"/>
    <col min="2" max="2" width="18.1796875" style="16" bestFit="1" customWidth="1"/>
    <col min="3" max="8" width="12.81640625" style="3" customWidth="1"/>
    <col min="9" max="16384" width="8.81640625" style="3"/>
  </cols>
  <sheetData>
    <row r="1" spans="1:8">
      <c r="A1" s="374" t="s">
        <v>0</v>
      </c>
      <c r="B1" s="374" t="s">
        <v>12</v>
      </c>
      <c r="C1" s="374" t="s">
        <v>13</v>
      </c>
      <c r="D1" s="375" t="s">
        <v>14</v>
      </c>
      <c r="E1" s="376"/>
      <c r="F1" s="175"/>
      <c r="G1" s="175"/>
      <c r="H1" s="175"/>
    </row>
    <row r="2" spans="1:8" s="13" customFormat="1" ht="42">
      <c r="A2" s="374"/>
      <c r="B2" s="374"/>
      <c r="C2" s="374"/>
      <c r="D2" s="7" t="s">
        <v>15</v>
      </c>
      <c r="E2" s="8" t="s">
        <v>16</v>
      </c>
      <c r="F2" s="175" t="s">
        <v>17</v>
      </c>
      <c r="G2" s="175" t="s">
        <v>18</v>
      </c>
      <c r="H2" s="175" t="s">
        <v>19</v>
      </c>
    </row>
    <row r="3" spans="1:8" s="16" customFormat="1">
      <c r="A3" s="14">
        <v>1</v>
      </c>
      <c r="B3" s="14">
        <v>2020</v>
      </c>
      <c r="C3" s="15">
        <f>COUNTIF('PoP &amp; EQUIPMENT'!$F$6:$F$83,AGE!B3)</f>
        <v>12</v>
      </c>
      <c r="D3" s="15" cm="1">
        <f t="array" ref="D3:D9">COUNTIFS('MASTER-METRO'!O:O,AGE!B3:B9,'MASTER-METRO'!M:M,AGE!D2)</f>
        <v>36</v>
      </c>
      <c r="E3" s="15" cm="1">
        <f t="array" ref="E3:E9">COUNTIFS('MASTER-METRO'!O:O,AGE!B3:B9,'MASTER-METRO'!M:M,AGE!E2)</f>
        <v>32</v>
      </c>
      <c r="F3" s="15" cm="1">
        <f t="array" ref="F3:F9">SUMIFS('MASTER-BACKHAUL'!H:H,'MASTER-BACKHAUL'!K:K,AGE!B3:B9)</f>
        <v>144000</v>
      </c>
      <c r="G3" s="198" cm="1">
        <f t="array" ref="G3:G9">SUMIFS('MASTER-METRO'!J:J,'MASTER-METRO'!O:O,AGE!B3:B9)</f>
        <v>174291.55000000002</v>
      </c>
      <c r="H3" s="198">
        <f>F3+G3</f>
        <v>318291.55000000005</v>
      </c>
    </row>
    <row r="4" spans="1:8" s="16" customFormat="1">
      <c r="A4" s="14">
        <v>2</v>
      </c>
      <c r="B4" s="14">
        <v>2021</v>
      </c>
      <c r="C4" s="15">
        <f>COUNTIF('PoP &amp; EQUIPMENT'!$F$6:$F$83,AGE!B4)</f>
        <v>9</v>
      </c>
      <c r="D4" s="15">
        <v>176</v>
      </c>
      <c r="E4" s="15">
        <v>203</v>
      </c>
      <c r="F4" s="15">
        <v>599729.80000000005</v>
      </c>
      <c r="G4" s="198">
        <v>759003.64999999967</v>
      </c>
      <c r="H4" s="198">
        <f t="shared" ref="H4:H9" si="0">F4+G4</f>
        <v>1358733.4499999997</v>
      </c>
    </row>
    <row r="5" spans="1:8" s="16" customFormat="1">
      <c r="A5" s="17">
        <v>3</v>
      </c>
      <c r="B5" s="14">
        <v>2022</v>
      </c>
      <c r="C5" s="15">
        <f>COUNTIF('PoP &amp; EQUIPMENT'!$F$6:$F$83,AGE!B5)</f>
        <v>11</v>
      </c>
      <c r="D5" s="15">
        <v>91</v>
      </c>
      <c r="E5" s="15">
        <v>94</v>
      </c>
      <c r="F5" s="15">
        <v>685000</v>
      </c>
      <c r="G5" s="198">
        <v>358077.84999999986</v>
      </c>
      <c r="H5" s="198">
        <f t="shared" si="0"/>
        <v>1043077.8499999999</v>
      </c>
    </row>
    <row r="6" spans="1:8" s="16" customFormat="1">
      <c r="A6" s="14">
        <v>4</v>
      </c>
      <c r="B6" s="14">
        <v>2023</v>
      </c>
      <c r="C6" s="15">
        <f>COUNTIF('PoP &amp; EQUIPMENT'!$F$6:$F$83,AGE!B6)</f>
        <v>12</v>
      </c>
      <c r="D6" s="15">
        <v>170</v>
      </c>
      <c r="E6" s="15">
        <v>193</v>
      </c>
      <c r="F6" s="15">
        <v>2303406</v>
      </c>
      <c r="G6" s="198">
        <v>376070.89999999997</v>
      </c>
      <c r="H6" s="198">
        <f t="shared" si="0"/>
        <v>2679476.9</v>
      </c>
    </row>
    <row r="7" spans="1:8" s="16" customFormat="1">
      <c r="A7" s="199">
        <v>5</v>
      </c>
      <c r="B7" s="14">
        <v>2024</v>
      </c>
      <c r="C7" s="15">
        <f>COUNTIF('PoP &amp; EQUIPMENT'!$F$6:$F$83,AGE!B7)</f>
        <v>10</v>
      </c>
      <c r="D7" s="15">
        <v>80</v>
      </c>
      <c r="E7" s="15">
        <v>306</v>
      </c>
      <c r="F7" s="15">
        <v>185000</v>
      </c>
      <c r="G7" s="198">
        <v>323114</v>
      </c>
      <c r="H7" s="198">
        <f t="shared" si="0"/>
        <v>508114</v>
      </c>
    </row>
    <row r="8" spans="1:8" s="16" customFormat="1">
      <c r="A8" s="14">
        <v>6</v>
      </c>
      <c r="B8" s="14">
        <v>2025</v>
      </c>
      <c r="C8" s="15">
        <f>COUNTIF('PoP &amp; EQUIPMENT'!$F$6:$F$83,AGE!B8)</f>
        <v>0</v>
      </c>
      <c r="D8" s="15">
        <v>57</v>
      </c>
      <c r="E8" s="15">
        <v>2</v>
      </c>
      <c r="F8" s="15">
        <v>701601</v>
      </c>
      <c r="G8" s="198">
        <v>248037.09999999998</v>
      </c>
      <c r="H8" s="198">
        <f t="shared" si="0"/>
        <v>949638.1</v>
      </c>
    </row>
    <row r="9" spans="1:8" s="16" customFormat="1">
      <c r="A9" s="21"/>
      <c r="B9" s="17"/>
      <c r="C9" s="15"/>
      <c r="D9" s="15">
        <v>0</v>
      </c>
      <c r="E9" s="15">
        <v>0</v>
      </c>
      <c r="F9" s="15">
        <v>0</v>
      </c>
      <c r="G9" s="15">
        <v>0</v>
      </c>
      <c r="H9" s="198">
        <f t="shared" si="0"/>
        <v>0</v>
      </c>
    </row>
    <row r="10" spans="1:8" s="16" customFormat="1">
      <c r="A10" s="22"/>
      <c r="B10" s="23" t="s">
        <v>20</v>
      </c>
      <c r="C10" s="24">
        <f t="shared" ref="C10:H10" si="1">SUM(C3:C9)</f>
        <v>54</v>
      </c>
      <c r="D10" s="24">
        <f t="shared" si="1"/>
        <v>610</v>
      </c>
      <c r="E10" s="24">
        <f t="shared" si="1"/>
        <v>830</v>
      </c>
      <c r="F10" s="24">
        <f t="shared" si="1"/>
        <v>4618736.8</v>
      </c>
      <c r="G10" s="24">
        <f t="shared" si="1"/>
        <v>2238595.0499999993</v>
      </c>
      <c r="H10" s="24">
        <f t="shared" si="1"/>
        <v>6857331.8499999996</v>
      </c>
    </row>
    <row r="12" spans="1:8">
      <c r="E12" s="25"/>
    </row>
  </sheetData>
  <mergeCells count="4">
    <mergeCell ref="A1:A2"/>
    <mergeCell ref="B1:B2"/>
    <mergeCell ref="C1:C2"/>
    <mergeCell ref="D1:E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23"/>
  <sheetViews>
    <sheetView topLeftCell="A7" workbookViewId="0">
      <selection activeCell="D3" sqref="D3"/>
    </sheetView>
  </sheetViews>
  <sheetFormatPr defaultColWidth="8.81640625" defaultRowHeight="14"/>
  <cols>
    <col min="1" max="1" width="3.1796875" style="3" bestFit="1" customWidth="1"/>
    <col min="2" max="2" width="18.1796875" style="16" bestFit="1" customWidth="1"/>
    <col min="3" max="6" width="12.81640625" style="3" customWidth="1"/>
    <col min="7" max="24" width="8.81640625" style="3"/>
    <col min="25" max="25" width="11" style="3" customWidth="1"/>
    <col min="26" max="26" width="8.81640625" style="3"/>
    <col min="27" max="27" width="11.1796875" style="3" customWidth="1"/>
    <col min="28" max="16384" width="8.81640625" style="3"/>
  </cols>
  <sheetData>
    <row r="1" spans="1:29">
      <c r="A1" s="374" t="s">
        <v>0</v>
      </c>
      <c r="B1" s="374" t="s">
        <v>21</v>
      </c>
      <c r="C1" s="374" t="s">
        <v>13</v>
      </c>
      <c r="D1" s="375" t="s">
        <v>14</v>
      </c>
      <c r="E1" s="378"/>
      <c r="F1" s="376"/>
      <c r="G1" s="379" t="s">
        <v>22</v>
      </c>
      <c r="H1" s="380"/>
      <c r="I1" s="380"/>
      <c r="J1" s="380"/>
      <c r="K1" s="381" t="s">
        <v>23</v>
      </c>
      <c r="L1" s="381"/>
      <c r="M1" s="381"/>
      <c r="N1" s="381"/>
      <c r="O1" s="382" t="s">
        <v>24</v>
      </c>
      <c r="P1" s="382"/>
      <c r="Q1" s="382"/>
      <c r="R1" s="382"/>
      <c r="S1" s="382"/>
      <c r="T1" s="382"/>
      <c r="U1" s="382"/>
      <c r="V1" s="382"/>
      <c r="W1" s="382"/>
      <c r="X1" s="382"/>
      <c r="Y1" s="382"/>
      <c r="Z1" s="377" t="s">
        <v>25</v>
      </c>
      <c r="AA1" s="377"/>
      <c r="AB1" s="377"/>
      <c r="AC1" s="377"/>
    </row>
    <row r="2" spans="1:29" s="13" customFormat="1" ht="70">
      <c r="A2" s="374"/>
      <c r="B2" s="374"/>
      <c r="C2" s="374"/>
      <c r="D2" s="7" t="s">
        <v>15</v>
      </c>
      <c r="E2" s="8" t="s">
        <v>3437</v>
      </c>
      <c r="F2" s="8" t="s">
        <v>16</v>
      </c>
      <c r="G2" s="9" t="s">
        <v>26</v>
      </c>
      <c r="H2" s="9" t="s">
        <v>27</v>
      </c>
      <c r="I2" s="9" t="s">
        <v>28</v>
      </c>
      <c r="J2" s="9" t="s">
        <v>29</v>
      </c>
      <c r="K2" s="10" t="s">
        <v>30</v>
      </c>
      <c r="L2" s="10" t="s">
        <v>31</v>
      </c>
      <c r="M2" s="10" t="s">
        <v>32</v>
      </c>
      <c r="N2" s="10" t="s">
        <v>33</v>
      </c>
      <c r="O2" s="11" t="s">
        <v>34</v>
      </c>
      <c r="P2" s="11" t="s">
        <v>35</v>
      </c>
      <c r="Q2" s="11" t="s">
        <v>36</v>
      </c>
      <c r="R2" s="11" t="s">
        <v>37</v>
      </c>
      <c r="S2" s="11" t="s">
        <v>38</v>
      </c>
      <c r="T2" s="11" t="s">
        <v>39</v>
      </c>
      <c r="U2" s="11" t="s">
        <v>40</v>
      </c>
      <c r="V2" s="11" t="s">
        <v>41</v>
      </c>
      <c r="W2" s="11" t="s">
        <v>42</v>
      </c>
      <c r="X2" s="11" t="s">
        <v>43</v>
      </c>
      <c r="Y2" s="11" t="s">
        <v>44</v>
      </c>
      <c r="Z2" s="12" t="s">
        <v>45</v>
      </c>
      <c r="AA2" s="12" t="s">
        <v>46</v>
      </c>
      <c r="AB2" s="12" t="s">
        <v>47</v>
      </c>
      <c r="AC2" s="12" t="s">
        <v>48</v>
      </c>
    </row>
    <row r="3" spans="1:29" s="16" customFormat="1">
      <c r="A3" s="14">
        <v>1</v>
      </c>
      <c r="B3" s="14" t="s">
        <v>49</v>
      </c>
      <c r="C3" s="15">
        <f>COUNTIF('PoP &amp; EQUIPMENT'!$B$6:$B$83,'TOTALS(ACTIVE)'!B3)</f>
        <v>4</v>
      </c>
      <c r="D3" s="15" cm="1">
        <f t="array" ref="D3:D18">COUNTIFS('MASTER-METRO'!B:B,'TOTALS(ACTIVE)'!B3:B18,'MASTER-METRO'!M:M,'TOTALS(ACTIVE)'!D2)</f>
        <v>44</v>
      </c>
      <c r="E3" s="15" cm="1">
        <f t="array" ref="E3:E18">COUNTIFS('MASTER-METRO'!B:B,'TOTALS(ACTIVE)'!B3:B18,'MASTER-METRO'!L:L,'TOTALS(ACTIVE)'!E2)</f>
        <v>0</v>
      </c>
      <c r="F3" s="15" cm="1">
        <f t="array" ref="F3:F18">COUNTIFS('MASTER-METRO'!B:B,'TOTALS(ACTIVE)'!B3:B18,'MASTER-METRO'!M:M,'TOTALS(ACTIVE)'!F2)</f>
        <v>53</v>
      </c>
      <c r="G3" s="15" cm="1">
        <f t="array" ref="G3:G18">SUMIF('PoP &amp; EQUIPMENT'!$B:$B,'TOTALS(ACTIVE)'!$B$3:$B$18,'PoP &amp; EQUIPMENT'!Y:AU)</f>
        <v>0</v>
      </c>
      <c r="H3" s="15" cm="1">
        <f t="array" ref="H3:H18">SUMIF('PoP &amp; EQUIPMENT'!$B:$B,'TOTALS(ACTIVE)'!$B$3:$B$18,'PoP &amp; EQUIPMENT'!Z:AV)</f>
        <v>4</v>
      </c>
      <c r="I3" s="15" cm="1">
        <f t="array" ref="I3:I18">SUMIF('PoP &amp; EQUIPMENT'!$B:$B,'TOTALS(ACTIVE)'!$B$3:$B$18,'PoP &amp; EQUIPMENT'!AF:BA)</f>
        <v>0</v>
      </c>
      <c r="J3" s="15" cm="1">
        <f t="array" ref="J3:J18">SUMIF('PoP &amp; EQUIPMENT'!$B:$B,'TOTALS(ACTIVE)'!$B$3:$B$18,'PoP &amp; EQUIPMENT'!AL:BG)</f>
        <v>0</v>
      </c>
      <c r="K3" s="15" cm="1">
        <f t="array" ref="K3:K18">SUMIF('PoP &amp; EQUIPMENT'!$B:$B,'TOTALS(ACTIVE)'!$B$3:$B$18,'PoP &amp; EQUIPMENT'!AG:BB)</f>
        <v>0</v>
      </c>
      <c r="L3" s="15" cm="1">
        <f t="array" ref="L3:L18">SUMIF('PoP &amp; EQUIPMENT'!$B:$B,'TOTALS(ACTIVE)'!$B$3:$B$18,'PoP &amp; EQUIPMENT'!AH:BC)</f>
        <v>0</v>
      </c>
      <c r="M3" s="15" cm="1">
        <f t="array" ref="M3:M18">SUMIF('PoP &amp; EQUIPMENT'!$B:$B,'TOTALS(ACTIVE)'!$B$3:$B$18,'PoP &amp; EQUIPMENT'!AI:BD)</f>
        <v>0</v>
      </c>
      <c r="N3" s="15" cm="1">
        <f t="array" ref="N3:N18">SUMIF('PoP &amp; EQUIPMENT'!$B:$B,'TOTALS(ACTIVE)'!$B$3:$B$18,'PoP &amp; EQUIPMENT'!AJ:BE)</f>
        <v>1</v>
      </c>
      <c r="O3" s="15" cm="1">
        <f t="array" ref="O3:O18">SUMIF('PoP &amp; EQUIPMENT'!$B:$B,'TOTALS(ACTIVE)'!$B$3:$B$18,'PoP &amp; EQUIPMENT'!AA:AW)</f>
        <v>0</v>
      </c>
      <c r="P3" s="15" cm="1">
        <f t="array" ref="P3:P18">SUMIF('PoP &amp; EQUIPMENT'!$B:$B,'TOTALS(ACTIVE)'!$B$3:$B$18,'PoP &amp; EQUIPMENT'!X:AT)</f>
        <v>0</v>
      </c>
      <c r="Q3" s="15" cm="1">
        <f t="array" ref="Q3:Q18">SUMIF('PoP &amp; EQUIPMENT'!$B:$B,'TOTALS(ACTIVE)'!$B$3:$B$18,'PoP &amp; EQUIPMENT'!AB:AX)</f>
        <v>1</v>
      </c>
      <c r="R3" s="15" cm="1">
        <f t="array" ref="R3:R18">SUMIF('PoP &amp; EQUIPMENT'!$B:$B,'TOTALS(ACTIVE)'!$B$3:$B$18,'PoP &amp; EQUIPMENT'!AC:AY)</f>
        <v>0</v>
      </c>
      <c r="S3" s="15" cm="1">
        <f t="array" ref="S3:S18">SUMIF('PoP &amp; EQUIPMENT'!$B:$B,'TOTALS(ACTIVE)'!$B$3:$B$18,'PoP &amp; EQUIPMENT'!AD:AZ)</f>
        <v>0</v>
      </c>
      <c r="T3" s="15" cm="1">
        <f t="array" ref="T3:T18">SUMIF('PoP &amp; EQUIPMENT'!$B:$B,'TOTALS(ACTIVE)'!$B$3:$B$18,'PoP &amp; EQUIPMENT'!AK:BF)</f>
        <v>0</v>
      </c>
      <c r="U3" s="15" cm="1">
        <f t="array" ref="U3:U18">SUMIF('PoP &amp; EQUIPMENT'!$B:$B,'TOTALS(ACTIVE)'!$B$3:$B$18,'PoP &amp; EQUIPMENT'!AM:BH)</f>
        <v>0</v>
      </c>
      <c r="V3" s="15" cm="1">
        <f t="array" ref="V3:V18">SUMIF('PoP &amp; EQUIPMENT'!$B:$B,'TOTALS(ACTIVE)'!$B$3:$B$18,'PoP &amp; EQUIPMENT'!AN:BI)</f>
        <v>0</v>
      </c>
      <c r="W3" s="15" cm="1">
        <f t="array" ref="W3:W18">SUMIF('PoP &amp; EQUIPMENT'!$B:$B,'TOTALS(ACTIVE)'!$B$3:$B$18,'PoP &amp; EQUIPMENT'!AO:BJ)</f>
        <v>1</v>
      </c>
      <c r="X3" s="15" cm="1">
        <f t="array" ref="X3:X18">SUMIF('PoP &amp; EQUIPMENT'!$B:$B,'TOTALS(ACTIVE)'!$B$3:$B$18,'PoP &amp; EQUIPMENT'!AP:BK)</f>
        <v>2</v>
      </c>
      <c r="Y3" s="15" cm="1">
        <f t="array" ref="Y3:Y18">SUMIF('PoP &amp; EQUIPMENT'!$B:$B,'TOTALS(ACTIVE)'!$B$3:$B$18,'PoP &amp; EQUIPMENT'!AQ:BL)</f>
        <v>0</v>
      </c>
      <c r="Z3" s="15" cm="1">
        <f t="array" ref="Z3:Z18">SUMIF('PoP &amp; EQUIPMENT'!$B:$B,'TOTALS(ACTIVE)'!$B$3:$B$18,'PoP &amp; EQUIPMENT'!AR:BM)</f>
        <v>0</v>
      </c>
      <c r="AA3" s="15" cm="1">
        <f t="array" ref="AA3:AA18">SUMIF('PoP &amp; EQUIPMENT'!$B:$B,'TOTALS(ACTIVE)'!$B$3:$B$18,'PoP &amp; EQUIPMENT'!AS:BN)</f>
        <v>0</v>
      </c>
      <c r="AB3" s="15" cm="1">
        <f t="array" ref="AB3:AB18">SUMIF('PoP &amp; EQUIPMENT'!$B:$B,'TOTALS(ACTIVE)'!$B$3:$B$18,'PoP &amp; EQUIPMENT'!AT:BO)</f>
        <v>0</v>
      </c>
      <c r="AC3" s="15" cm="1">
        <f t="array" ref="AC3:AC18">SUMIF('PoP &amp; EQUIPMENT'!$B:$B,'TOTALS(ACTIVE)'!$B$3:$B$18,'PoP &amp; EQUIPMENT'!AU:BP)</f>
        <v>0</v>
      </c>
    </row>
    <row r="4" spans="1:29" s="16" customFormat="1">
      <c r="A4" s="14">
        <v>2</v>
      </c>
      <c r="B4" s="14" t="s">
        <v>50</v>
      </c>
      <c r="C4" s="15">
        <f>COUNTIF('PoP &amp; EQUIPMENT'!$B$6:$B$83,'TOTALS(ACTIVE)'!B4)</f>
        <v>5</v>
      </c>
      <c r="D4" s="15">
        <v>38</v>
      </c>
      <c r="E4" s="15">
        <v>0</v>
      </c>
      <c r="F4" s="15">
        <v>2</v>
      </c>
      <c r="G4" s="15">
        <v>1</v>
      </c>
      <c r="H4" s="15">
        <v>2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2</v>
      </c>
      <c r="T4" s="15">
        <v>0</v>
      </c>
      <c r="U4" s="15">
        <v>0</v>
      </c>
      <c r="V4" s="15">
        <v>0</v>
      </c>
      <c r="W4" s="15">
        <v>0</v>
      </c>
      <c r="X4" s="15">
        <v>2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</row>
    <row r="5" spans="1:29" s="16" customFormat="1">
      <c r="A5" s="17">
        <v>3</v>
      </c>
      <c r="B5" s="14" t="s">
        <v>51</v>
      </c>
      <c r="C5" s="15">
        <f>COUNTIF('PoP &amp; EQUIPMENT'!$B$6:$B$83,'TOTALS(ACTIVE)'!B5)</f>
        <v>9</v>
      </c>
      <c r="D5" s="15">
        <v>55</v>
      </c>
      <c r="E5" s="15">
        <v>0</v>
      </c>
      <c r="F5" s="15">
        <v>7</v>
      </c>
      <c r="G5" s="15">
        <v>2</v>
      </c>
      <c r="H5" s="15">
        <v>5</v>
      </c>
      <c r="I5" s="15">
        <v>0</v>
      </c>
      <c r="J5" s="15">
        <v>0</v>
      </c>
      <c r="K5" s="15">
        <v>1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1</v>
      </c>
      <c r="R5" s="15">
        <v>0</v>
      </c>
      <c r="S5" s="15">
        <v>2</v>
      </c>
      <c r="T5" s="15">
        <v>1</v>
      </c>
      <c r="U5" s="15">
        <v>0</v>
      </c>
      <c r="V5" s="15">
        <v>1</v>
      </c>
      <c r="W5" s="15">
        <v>0</v>
      </c>
      <c r="X5" s="15">
        <v>1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</row>
    <row r="6" spans="1:29" s="16" customFormat="1">
      <c r="A6" s="14">
        <v>4</v>
      </c>
      <c r="B6" s="14" t="s">
        <v>52</v>
      </c>
      <c r="C6" s="15">
        <f>COUNTIF('PoP &amp; EQUIPMENT'!$B$6:$B$83,'TOTALS(ACTIVE)'!B6)</f>
        <v>15</v>
      </c>
      <c r="D6" s="15">
        <v>384</v>
      </c>
      <c r="E6" s="15">
        <v>0</v>
      </c>
      <c r="F6" s="15">
        <v>759</v>
      </c>
      <c r="G6" s="15">
        <v>1</v>
      </c>
      <c r="H6" s="15">
        <v>12</v>
      </c>
      <c r="I6" s="15">
        <v>2</v>
      </c>
      <c r="J6" s="15">
        <v>1</v>
      </c>
      <c r="K6" s="15">
        <v>1</v>
      </c>
      <c r="L6" s="15">
        <v>1</v>
      </c>
      <c r="M6" s="15">
        <v>1</v>
      </c>
      <c r="N6" s="15">
        <v>6</v>
      </c>
      <c r="O6" s="15">
        <v>0</v>
      </c>
      <c r="P6" s="15">
        <v>0</v>
      </c>
      <c r="Q6" s="15">
        <v>2</v>
      </c>
      <c r="R6" s="15">
        <v>1</v>
      </c>
      <c r="S6" s="15">
        <v>0</v>
      </c>
      <c r="T6" s="15">
        <v>3</v>
      </c>
      <c r="U6" s="15">
        <v>2</v>
      </c>
      <c r="V6" s="15">
        <v>3</v>
      </c>
      <c r="W6" s="15">
        <v>1</v>
      </c>
      <c r="X6" s="15">
        <v>4</v>
      </c>
      <c r="Y6" s="15">
        <v>1</v>
      </c>
      <c r="Z6" s="15">
        <v>1</v>
      </c>
      <c r="AA6" s="15">
        <v>1</v>
      </c>
      <c r="AB6" s="15">
        <v>2</v>
      </c>
      <c r="AC6" s="15">
        <v>1</v>
      </c>
    </row>
    <row r="7" spans="1:29" s="16" customFormat="1">
      <c r="A7" s="17">
        <v>5</v>
      </c>
      <c r="B7" s="14" t="s">
        <v>53</v>
      </c>
      <c r="C7" s="15">
        <f>COUNTIF('PoP &amp; EQUIPMENT'!$B$6:$B$83,'TOTALS(ACTIVE)'!B7)</f>
        <v>8</v>
      </c>
      <c r="D7" s="15">
        <v>32</v>
      </c>
      <c r="E7" s="15">
        <v>0</v>
      </c>
      <c r="F7" s="15">
        <v>0</v>
      </c>
      <c r="G7" s="15">
        <v>0</v>
      </c>
      <c r="H7" s="15">
        <v>2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2</v>
      </c>
      <c r="Q7" s="15">
        <v>0</v>
      </c>
      <c r="R7" s="15">
        <v>2</v>
      </c>
      <c r="S7" s="15">
        <v>1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</row>
    <row r="8" spans="1:29" s="16" customFormat="1">
      <c r="A8" s="14">
        <v>6</v>
      </c>
      <c r="B8" s="14" t="s">
        <v>54</v>
      </c>
      <c r="C8" s="15">
        <f>COUNTIF('PoP &amp; EQUIPMENT'!$B$6:$B$83,'TOTALS(ACTIVE)'!B8)</f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</row>
    <row r="9" spans="1:29" s="16" customFormat="1">
      <c r="A9" s="14">
        <v>7</v>
      </c>
      <c r="B9" s="14" t="s">
        <v>55</v>
      </c>
      <c r="C9" s="15">
        <f>COUNTIF('PoP &amp; EQUIPMENT'!$B$6:$B$83,'TOTALS(ACTIVE)'!B9)</f>
        <v>6</v>
      </c>
      <c r="D9" s="15">
        <v>58</v>
      </c>
      <c r="E9" s="15">
        <v>0</v>
      </c>
      <c r="F9" s="15">
        <v>10</v>
      </c>
      <c r="G9" s="15">
        <v>0</v>
      </c>
      <c r="H9" s="15">
        <v>2</v>
      </c>
      <c r="I9" s="15">
        <v>1</v>
      </c>
      <c r="J9" s="15">
        <v>0</v>
      </c>
      <c r="K9" s="15">
        <v>1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1</v>
      </c>
      <c r="S9" s="15">
        <v>3</v>
      </c>
      <c r="T9" s="15">
        <v>0</v>
      </c>
      <c r="U9" s="15">
        <v>0</v>
      </c>
      <c r="V9" s="15">
        <v>1</v>
      </c>
      <c r="W9" s="15">
        <v>0</v>
      </c>
      <c r="X9" s="15">
        <v>1</v>
      </c>
      <c r="Y9" s="15">
        <v>1</v>
      </c>
      <c r="Z9" s="15">
        <v>0</v>
      </c>
      <c r="AA9" s="15">
        <v>0</v>
      </c>
      <c r="AB9" s="15">
        <v>0</v>
      </c>
      <c r="AC9" s="15">
        <v>0</v>
      </c>
    </row>
    <row r="10" spans="1:29" s="16" customFormat="1">
      <c r="A10" s="14">
        <v>8</v>
      </c>
      <c r="B10" s="18" t="s">
        <v>56</v>
      </c>
      <c r="C10" s="15">
        <f>COUNTIF('PoP &amp; EQUIPMENT'!$B$6:$B$83,'TOTALS(ACTIVE)'!B10)</f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</row>
    <row r="11" spans="1:29" s="16" customFormat="1">
      <c r="A11" s="14">
        <v>9</v>
      </c>
      <c r="B11" s="19" t="s">
        <v>57</v>
      </c>
      <c r="C11" s="15">
        <f>COUNTIF('PoP &amp; EQUIPMENT'!$B$6:$B$83,'TOTALS(ACTIVE)'!B11)</f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</row>
    <row r="12" spans="1:29" s="16" customFormat="1">
      <c r="A12" s="17">
        <v>10</v>
      </c>
      <c r="B12" s="19" t="s">
        <v>58</v>
      </c>
      <c r="C12" s="15">
        <f>COUNTIF('PoP &amp; EQUIPMENT'!$B$6:$B$83,'TOTALS(ACTIVE)'!B12)</f>
        <v>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20">
        <v>0</v>
      </c>
      <c r="P12" s="15">
        <v>1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</row>
    <row r="13" spans="1:29" s="16" customFormat="1">
      <c r="A13" s="14">
        <v>11</v>
      </c>
      <c r="B13" s="16" t="s">
        <v>59</v>
      </c>
      <c r="C13" s="15">
        <f>COUNTIF('PoP &amp; EQUIPMENT'!$B$6:$B$83,'TOTALS(ACTIVE)'!B13)</f>
        <v>1</v>
      </c>
      <c r="D13" s="15">
        <v>2</v>
      </c>
      <c r="E13" s="15">
        <v>0</v>
      </c>
      <c r="F13" s="15">
        <v>0</v>
      </c>
      <c r="G13" s="15">
        <v>1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</row>
    <row r="14" spans="1:29" s="16" customFormat="1">
      <c r="A14" s="17">
        <v>12</v>
      </c>
      <c r="B14" s="14" t="s">
        <v>60</v>
      </c>
      <c r="C14" s="15">
        <f>COUNTIF('PoP &amp; EQUIPMENT'!$B$6:$B$83,'TOTALS(ACTIVE)'!B14)</f>
        <v>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</row>
    <row r="15" spans="1:29" s="16" customFormat="1">
      <c r="A15" s="14">
        <v>13</v>
      </c>
      <c r="B15" s="14" t="s">
        <v>61</v>
      </c>
      <c r="C15" s="15">
        <f>COUNTIF('PoP &amp; EQUIPMENT'!$B$6:$B$83,'TOTALS(ACTIVE)'!B15)</f>
        <v>2</v>
      </c>
      <c r="D15" s="15">
        <v>2</v>
      </c>
      <c r="E15" s="15">
        <v>0</v>
      </c>
      <c r="F15" s="15">
        <v>0</v>
      </c>
      <c r="G15" s="15">
        <v>0</v>
      </c>
      <c r="H15" s="15">
        <v>1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1</v>
      </c>
      <c r="Q15" s="15">
        <v>1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</row>
    <row r="16" spans="1:29" s="16" customFormat="1">
      <c r="A16" s="14">
        <v>14</v>
      </c>
      <c r="B16" s="14" t="s">
        <v>62</v>
      </c>
      <c r="C16" s="15">
        <f>COUNTIF('PoP &amp; EQUIPMENT'!$B$6:$B$83,'TOTALS(ACTIVE)'!B16)</f>
        <v>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</row>
    <row r="17" spans="1:29" s="16" customFormat="1">
      <c r="A17" s="14">
        <v>15</v>
      </c>
      <c r="B17" s="14" t="s">
        <v>63</v>
      </c>
      <c r="C17" s="15">
        <f>COUNTIF('PoP &amp; EQUIPMENT'!$B$6:$B$83,'TOTALS(ACTIVE)'!B17)</f>
        <v>1</v>
      </c>
      <c r="D17" s="15">
        <v>0</v>
      </c>
      <c r="E17" s="15">
        <v>0</v>
      </c>
      <c r="F17" s="15">
        <v>0</v>
      </c>
      <c r="G17" s="15">
        <v>1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</row>
    <row r="18" spans="1:29" s="16" customFormat="1">
      <c r="A18" s="14">
        <v>16</v>
      </c>
      <c r="B18" s="14" t="s">
        <v>64</v>
      </c>
      <c r="C18" s="15">
        <f>COUNTIF('PoP &amp; EQUIPMENT'!$B$6:$B$83,'TOTALS(ACTIVE)'!B18)</f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</row>
    <row r="19" spans="1:29" s="16" customFormat="1">
      <c r="A19" s="21"/>
      <c r="B19" s="17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 spans="1:29" s="16" customFormat="1">
      <c r="A20" s="22"/>
      <c r="B20" s="23" t="s">
        <v>20</v>
      </c>
      <c r="C20" s="24">
        <f>SUM(C3:C19)</f>
        <v>54</v>
      </c>
      <c r="D20" s="24">
        <f t="shared" ref="D20:AC20" si="0">SUM(D3:D19)</f>
        <v>615</v>
      </c>
      <c r="E20" s="24"/>
      <c r="F20" s="24">
        <f t="shared" si="0"/>
        <v>831</v>
      </c>
      <c r="G20" s="24">
        <f t="shared" si="0"/>
        <v>6</v>
      </c>
      <c r="H20" s="24">
        <f t="shared" si="0"/>
        <v>28</v>
      </c>
      <c r="I20" s="24">
        <f t="shared" ref="I20:N20" si="1">SUM(I3:I19)</f>
        <v>3</v>
      </c>
      <c r="J20" s="24">
        <f t="shared" si="1"/>
        <v>1</v>
      </c>
      <c r="K20" s="24">
        <f t="shared" si="1"/>
        <v>3</v>
      </c>
      <c r="L20" s="24">
        <f t="shared" si="1"/>
        <v>1</v>
      </c>
      <c r="M20" s="24">
        <f t="shared" si="1"/>
        <v>1</v>
      </c>
      <c r="N20" s="24">
        <f t="shared" si="1"/>
        <v>7</v>
      </c>
      <c r="O20" s="24">
        <f t="shared" si="0"/>
        <v>0</v>
      </c>
      <c r="P20" s="24">
        <f>SUM(P3:P19)</f>
        <v>5</v>
      </c>
      <c r="Q20" s="24">
        <f t="shared" si="0"/>
        <v>5</v>
      </c>
      <c r="R20" s="24">
        <f t="shared" si="0"/>
        <v>4</v>
      </c>
      <c r="S20" s="24">
        <f t="shared" si="0"/>
        <v>8</v>
      </c>
      <c r="T20" s="24">
        <f t="shared" si="0"/>
        <v>4</v>
      </c>
      <c r="U20" s="24">
        <f t="shared" si="0"/>
        <v>2</v>
      </c>
      <c r="V20" s="24">
        <f t="shared" si="0"/>
        <v>5</v>
      </c>
      <c r="W20" s="24">
        <f t="shared" si="0"/>
        <v>2</v>
      </c>
      <c r="X20" s="24">
        <f t="shared" si="0"/>
        <v>10</v>
      </c>
      <c r="Y20" s="24">
        <f t="shared" si="0"/>
        <v>2</v>
      </c>
      <c r="Z20" s="24">
        <f t="shared" si="0"/>
        <v>1</v>
      </c>
      <c r="AA20" s="24">
        <f t="shared" si="0"/>
        <v>1</v>
      </c>
      <c r="AB20" s="24">
        <f t="shared" si="0"/>
        <v>2</v>
      </c>
      <c r="AC20" s="24">
        <f t="shared" si="0"/>
        <v>1</v>
      </c>
    </row>
    <row r="22" spans="1:29">
      <c r="B22" s="16" t="s">
        <v>65</v>
      </c>
      <c r="C22" s="25">
        <f>SUM(C3:C10)</f>
        <v>47</v>
      </c>
      <c r="D22" s="25">
        <f t="shared" ref="D22:AC22" si="2">SUM(D3:D10)</f>
        <v>611</v>
      </c>
      <c r="E22" s="25"/>
      <c r="F22" s="25">
        <f t="shared" si="2"/>
        <v>831</v>
      </c>
      <c r="G22" s="25">
        <f t="shared" si="2"/>
        <v>4</v>
      </c>
      <c r="H22" s="25">
        <f t="shared" si="2"/>
        <v>27</v>
      </c>
      <c r="I22" s="25">
        <f t="shared" si="2"/>
        <v>3</v>
      </c>
      <c r="J22" s="25">
        <f t="shared" si="2"/>
        <v>1</v>
      </c>
      <c r="K22" s="25">
        <f t="shared" si="2"/>
        <v>3</v>
      </c>
      <c r="L22" s="25">
        <f t="shared" si="2"/>
        <v>1</v>
      </c>
      <c r="M22" s="25">
        <f t="shared" si="2"/>
        <v>1</v>
      </c>
      <c r="N22" s="25">
        <f t="shared" si="2"/>
        <v>7</v>
      </c>
      <c r="O22" s="25">
        <f t="shared" si="2"/>
        <v>0</v>
      </c>
      <c r="P22" s="25">
        <f t="shared" si="2"/>
        <v>2</v>
      </c>
      <c r="Q22" s="25">
        <f t="shared" si="2"/>
        <v>4</v>
      </c>
      <c r="R22" s="25">
        <f t="shared" si="2"/>
        <v>4</v>
      </c>
      <c r="S22" s="25">
        <f t="shared" si="2"/>
        <v>8</v>
      </c>
      <c r="T22" s="25">
        <f t="shared" si="2"/>
        <v>4</v>
      </c>
      <c r="U22" s="25">
        <f t="shared" si="2"/>
        <v>2</v>
      </c>
      <c r="V22" s="25">
        <f t="shared" si="2"/>
        <v>5</v>
      </c>
      <c r="W22" s="25">
        <f t="shared" si="2"/>
        <v>2</v>
      </c>
      <c r="X22" s="25">
        <f t="shared" si="2"/>
        <v>10</v>
      </c>
      <c r="Y22" s="25">
        <f t="shared" si="2"/>
        <v>2</v>
      </c>
      <c r="Z22" s="25">
        <f t="shared" si="2"/>
        <v>1</v>
      </c>
      <c r="AA22" s="25">
        <f t="shared" si="2"/>
        <v>1</v>
      </c>
      <c r="AB22" s="25">
        <f t="shared" si="2"/>
        <v>2</v>
      </c>
      <c r="AC22" s="25">
        <f t="shared" si="2"/>
        <v>1</v>
      </c>
    </row>
    <row r="23" spans="1:29">
      <c r="B23" s="16" t="s">
        <v>66</v>
      </c>
      <c r="C23" s="25">
        <f>SUM(C11:C18)</f>
        <v>7</v>
      </c>
      <c r="D23" s="25">
        <f t="shared" ref="D23:AC23" si="3">SUM(D11:D18)</f>
        <v>4</v>
      </c>
      <c r="E23" s="25"/>
      <c r="F23" s="25">
        <f t="shared" si="3"/>
        <v>0</v>
      </c>
      <c r="G23" s="25">
        <f t="shared" si="3"/>
        <v>2</v>
      </c>
      <c r="H23" s="25">
        <f t="shared" si="3"/>
        <v>1</v>
      </c>
      <c r="I23" s="25">
        <f t="shared" si="3"/>
        <v>0</v>
      </c>
      <c r="J23" s="25">
        <f t="shared" si="3"/>
        <v>0</v>
      </c>
      <c r="K23" s="25">
        <f t="shared" si="3"/>
        <v>0</v>
      </c>
      <c r="L23" s="25">
        <f t="shared" si="3"/>
        <v>0</v>
      </c>
      <c r="M23" s="25">
        <f t="shared" si="3"/>
        <v>0</v>
      </c>
      <c r="N23" s="25">
        <f t="shared" si="3"/>
        <v>0</v>
      </c>
      <c r="O23" s="25">
        <f t="shared" si="3"/>
        <v>0</v>
      </c>
      <c r="P23" s="25">
        <f t="shared" si="3"/>
        <v>3</v>
      </c>
      <c r="Q23" s="25">
        <f t="shared" si="3"/>
        <v>1</v>
      </c>
      <c r="R23" s="25">
        <f t="shared" si="3"/>
        <v>0</v>
      </c>
      <c r="S23" s="25">
        <f t="shared" si="3"/>
        <v>0</v>
      </c>
      <c r="T23" s="25">
        <f t="shared" si="3"/>
        <v>0</v>
      </c>
      <c r="U23" s="25">
        <f t="shared" si="3"/>
        <v>0</v>
      </c>
      <c r="V23" s="25">
        <f t="shared" si="3"/>
        <v>0</v>
      </c>
      <c r="W23" s="25">
        <f t="shared" si="3"/>
        <v>0</v>
      </c>
      <c r="X23" s="25">
        <f t="shared" si="3"/>
        <v>0</v>
      </c>
      <c r="Y23" s="25">
        <f t="shared" si="3"/>
        <v>0</v>
      </c>
      <c r="Z23" s="25">
        <f t="shared" si="3"/>
        <v>0</v>
      </c>
      <c r="AA23" s="25">
        <f t="shared" si="3"/>
        <v>0</v>
      </c>
      <c r="AB23" s="25">
        <f t="shared" si="3"/>
        <v>0</v>
      </c>
      <c r="AC23" s="25">
        <f t="shared" si="3"/>
        <v>0</v>
      </c>
    </row>
  </sheetData>
  <mergeCells count="8">
    <mergeCell ref="Z1:AC1"/>
    <mergeCell ref="A1:A2"/>
    <mergeCell ref="B1:B2"/>
    <mergeCell ref="C1:C2"/>
    <mergeCell ref="D1:F1"/>
    <mergeCell ref="G1:J1"/>
    <mergeCell ref="K1:N1"/>
    <mergeCell ref="O1:Y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511A-CE25-4B40-8495-51C06743E31A}">
  <dimension ref="A1:Q24"/>
  <sheetViews>
    <sheetView topLeftCell="A13" zoomScale="82" zoomScaleNormal="140" workbookViewId="0">
      <selection activeCell="D5" sqref="D5"/>
    </sheetView>
  </sheetViews>
  <sheetFormatPr defaultColWidth="8.81640625" defaultRowHeight="14"/>
  <cols>
    <col min="1" max="1" width="3.1796875" style="3" bestFit="1" customWidth="1"/>
    <col min="2" max="2" width="19.26953125" style="16" bestFit="1" customWidth="1"/>
    <col min="3" max="3" width="11.81640625" style="38" customWidth="1"/>
    <col min="4" max="4" width="13.1796875" style="39" customWidth="1"/>
    <col min="5" max="5" width="13.54296875" style="39" customWidth="1"/>
    <col min="6" max="6" width="12.54296875" style="39" customWidth="1"/>
    <col min="7" max="7" width="9.81640625" style="39" customWidth="1"/>
    <col min="8" max="8" width="9.1796875" style="39" customWidth="1"/>
    <col min="9" max="9" width="10.54296875" style="39" customWidth="1"/>
    <col min="10" max="10" width="11.81640625" style="38" customWidth="1"/>
    <col min="11" max="12" width="13.54296875" style="3" bestFit="1" customWidth="1"/>
    <col min="13" max="13" width="11.1796875" style="3" customWidth="1"/>
    <col min="14" max="15" width="13.54296875" style="3" bestFit="1" customWidth="1"/>
    <col min="16" max="16" width="10.81640625" style="3" bestFit="1" customWidth="1"/>
    <col min="17" max="17" width="13.453125" style="3" customWidth="1"/>
    <col min="18" max="16384" width="8.81640625" style="3"/>
  </cols>
  <sheetData>
    <row r="1" spans="1:16">
      <c r="A1" s="374" t="s">
        <v>0</v>
      </c>
      <c r="B1" s="374" t="s">
        <v>21</v>
      </c>
      <c r="C1" s="383" t="s">
        <v>67</v>
      </c>
      <c r="D1" s="383"/>
      <c r="E1" s="383"/>
      <c r="F1" s="383"/>
      <c r="G1" s="383"/>
      <c r="H1" s="383"/>
      <c r="I1" s="383"/>
      <c r="J1" s="384" t="s">
        <v>68</v>
      </c>
      <c r="K1" s="384"/>
      <c r="L1" s="384"/>
      <c r="M1" s="384"/>
      <c r="N1" s="384"/>
      <c r="O1" s="384"/>
      <c r="P1" s="384"/>
    </row>
    <row r="2" spans="1:16" s="13" customFormat="1" ht="42">
      <c r="A2" s="374"/>
      <c r="B2" s="374"/>
      <c r="C2" s="26" t="s">
        <v>69</v>
      </c>
      <c r="D2" s="27" t="s">
        <v>70</v>
      </c>
      <c r="E2" s="27" t="s">
        <v>71</v>
      </c>
      <c r="F2" s="27" t="s">
        <v>72</v>
      </c>
      <c r="G2" s="28" t="s">
        <v>73</v>
      </c>
      <c r="H2" s="27" t="s">
        <v>74</v>
      </c>
      <c r="I2" s="27" t="s">
        <v>75</v>
      </c>
      <c r="J2" s="29" t="s">
        <v>69</v>
      </c>
      <c r="K2" s="30" t="s">
        <v>70</v>
      </c>
      <c r="L2" s="30" t="s">
        <v>71</v>
      </c>
      <c r="M2" s="30" t="s">
        <v>72</v>
      </c>
      <c r="N2" s="31" t="s">
        <v>73</v>
      </c>
      <c r="O2" s="30" t="s">
        <v>74</v>
      </c>
      <c r="P2" s="30" t="s">
        <v>75</v>
      </c>
    </row>
    <row r="3" spans="1:16" s="16" customFormat="1">
      <c r="A3" s="14">
        <v>1</v>
      </c>
      <c r="B3" s="14" t="s">
        <v>49</v>
      </c>
      <c r="C3" s="32" cm="1">
        <f t="array" ref="C3:C18">SUMIF('MASTER-METRO'!B:B,'TOTALS(PASSIVE)'!B3:B18,'MASTER-METRO'!J:J)</f>
        <v>210301.29999999996</v>
      </c>
      <c r="D3" s="33" cm="1">
        <f t="array" ref="D3:D18">SUMIF('MASTER-METRO'!B:B,'TOTALS(PASSIVE)'!B3:B18,'MASTER-ACCESSORIES- METRO'!G:G)</f>
        <v>1155.0880000000013</v>
      </c>
      <c r="E3" s="33" cm="1">
        <f t="array" ref="E3:E18">SUMIF('MASTER-ACCESSORIES- METRO'!B:B,'TOTALS(PASSIVE)'!B3:B18,'MASTER-ACCESSORIES- METRO'!H:H)</f>
        <v>2521.3977142857157</v>
      </c>
      <c r="F3" s="33" cm="1">
        <f t="array" ref="F3:F18">SUMIF('MASTER-ACCESSORIES- METRO'!B:B,'TOTALS(PASSIVE)'!B3:B18,'MASTER-ACCESSORIES- METRO'!I:I)</f>
        <v>1891.0482857142849</v>
      </c>
      <c r="G3" s="33" cm="1">
        <f t="array" ref="G3:G18">SUMIF('MASTER-ACCESSORIES- METRO'!B:B,'TOTALS(PASSIVE)'!B3:B18,'MASTER-ACCESSORIES- METRO'!J:J)</f>
        <v>3151.7471428571439</v>
      </c>
      <c r="H3" s="33" cm="1">
        <f t="array" ref="H3:H18">SUMIF('MASTER-ACCESSORIES- METRO'!B:B,'TOTALS(PASSIVE)'!B3:B18,'MASTER-ACCESSORIES- METRO'!K:K)</f>
        <v>3151.7471428571439</v>
      </c>
      <c r="I3" s="33" cm="1">
        <f t="array" ref="I3:I18">SUMIF('MASTER-ACCESSORIES- METRO'!B:B,'TOTALS(PASSIVE)'!B3:B18,'MASTER-ACCESSORIES- METRO'!L:L)</f>
        <v>220.21557500000006</v>
      </c>
      <c r="J3" s="32" cm="1">
        <f t="array" ref="J3:J18">SUMIF('MASTER-BACKHAUL'!B:B,'TOTALS(PASSIVE)'!B3:B18,'MASTER-BACKHAUL'!H:H)</f>
        <v>445800</v>
      </c>
      <c r="K3" s="34" cm="1">
        <f t="array" ref="K3:K18">SUMIF('MASTER-ACCESSORIES - BACKHAUL'!B:B,'TOTALS(PASSIVE)'!B3:B18,'MASTER-ACCESSORIES - BACKHAUL'!F:F)</f>
        <v>3020.7999999999997</v>
      </c>
      <c r="L3" s="34" cm="1">
        <f t="array" ref="L3:L18">SUMIF('MASTER-ACCESSORIES - BACKHAUL'!B:B,'TOTALS(PASSIVE)'!B3:B18,'MASTER-ACCESSORIES - BACKHAUL'!G:G)</f>
        <v>6041.5999999999995</v>
      </c>
      <c r="M3" s="34" cm="1">
        <f t="array" ref="M3:M18">SUMIF('MASTER-ACCESSORIES - BACKHAUL'!B:B,'TOTALS(PASSIVE)'!B3:B18,'MASTER-ACCESSORIES - BACKHAUL'!H:H)</f>
        <v>4531.1999999999989</v>
      </c>
      <c r="N3" s="34" cm="1">
        <f t="array" ref="N3:N18">SUMIF('MASTER-ACCESSORIES - BACKHAUL'!B:B,'TOTALS(PASSIVE)'!B3:B18,'MASTER-ACCESSORIES - BACKHAUL'!I:I)</f>
        <v>7552</v>
      </c>
      <c r="O3" s="34" cm="1">
        <f t="array" ref="O3:O18">SUMIF('MASTER-ACCESSORIES - BACKHAUL'!B:B,'TOTALS(PASSIVE)'!B3:B18,'MASTER-ACCESSORIES - BACKHAUL'!J:J)</f>
        <v>7552</v>
      </c>
      <c r="P3" s="34" cm="1">
        <f t="array" ref="P3:P18">SUMIF('MASTER-ACCESSORIES - BACKHAUL'!B:B,'TOTALS(PASSIVE)'!B3:B18,'MASTER-ACCESSORIES - BACKHAUL'!K:K)</f>
        <v>143.94999999999999</v>
      </c>
    </row>
    <row r="4" spans="1:16" s="16" customFormat="1">
      <c r="A4" s="14">
        <v>2</v>
      </c>
      <c r="B4" s="14" t="s">
        <v>50</v>
      </c>
      <c r="C4" s="32">
        <v>119608.00000000001</v>
      </c>
      <c r="D4" s="33">
        <v>631.5508571428569</v>
      </c>
      <c r="E4" s="33">
        <v>1414.1371428571429</v>
      </c>
      <c r="F4" s="33">
        <v>1060.6028571428562</v>
      </c>
      <c r="G4" s="33">
        <v>1767.6714285714284</v>
      </c>
      <c r="H4" s="33">
        <v>1767.6714285714284</v>
      </c>
      <c r="I4" s="33">
        <v>102.65674999999997</v>
      </c>
      <c r="J4" s="32">
        <v>520000</v>
      </c>
      <c r="K4" s="34">
        <v>2968.9142857142856</v>
      </c>
      <c r="L4" s="34">
        <v>5937.8285714285712</v>
      </c>
      <c r="M4" s="34">
        <v>4453.3714285714277</v>
      </c>
      <c r="N4" s="34">
        <v>7422.2857142857138</v>
      </c>
      <c r="O4" s="34">
        <v>7422.2857142857138</v>
      </c>
      <c r="P4" s="34">
        <v>137.75</v>
      </c>
    </row>
    <row r="5" spans="1:16" s="16" customFormat="1">
      <c r="A5" s="17">
        <v>3</v>
      </c>
      <c r="B5" s="14" t="s">
        <v>51</v>
      </c>
      <c r="C5" s="32">
        <v>208681.69999999998</v>
      </c>
      <c r="D5" s="33">
        <v>1218.5180000000005</v>
      </c>
      <c r="E5" s="33">
        <v>2428.3622857142841</v>
      </c>
      <c r="F5" s="33">
        <v>1821.2717142857141</v>
      </c>
      <c r="G5" s="33">
        <v>3035.4528571428582</v>
      </c>
      <c r="H5" s="33">
        <v>3035.4528571428582</v>
      </c>
      <c r="I5" s="33">
        <v>131.72042500000001</v>
      </c>
      <c r="J5" s="32">
        <v>521400</v>
      </c>
      <c r="K5" s="34">
        <v>2983.0285714285719</v>
      </c>
      <c r="L5" s="34">
        <v>5966.0571428571438</v>
      </c>
      <c r="M5" s="34">
        <v>4474.5428571428565</v>
      </c>
      <c r="N5" s="34">
        <v>7457.5714285714284</v>
      </c>
      <c r="O5" s="34">
        <v>7457.5714285714284</v>
      </c>
      <c r="P5" s="34">
        <v>139.35</v>
      </c>
    </row>
    <row r="6" spans="1:16" s="16" customFormat="1">
      <c r="A6" s="14">
        <v>4</v>
      </c>
      <c r="B6" s="14" t="s">
        <v>52</v>
      </c>
      <c r="C6" s="32">
        <v>1507321.2499999998</v>
      </c>
      <c r="D6" s="33">
        <v>9769.853999999852</v>
      </c>
      <c r="E6" s="33">
        <v>18453.11142857113</v>
      </c>
      <c r="F6" s="33">
        <v>13839.833571428677</v>
      </c>
      <c r="G6" s="33">
        <v>23066.389285714224</v>
      </c>
      <c r="H6" s="33">
        <v>23066.389285714224</v>
      </c>
      <c r="I6" s="33">
        <v>2203.6018125000101</v>
      </c>
      <c r="J6" s="32">
        <v>444800</v>
      </c>
      <c r="K6" s="34">
        <v>3277.0285714285724</v>
      </c>
      <c r="L6" s="34">
        <v>6554.0571428571448</v>
      </c>
      <c r="M6" s="34">
        <v>4915.5428571428565</v>
      </c>
      <c r="N6" s="34">
        <v>8192.5714285714294</v>
      </c>
      <c r="O6" s="34">
        <v>8192.5714285714294</v>
      </c>
      <c r="P6" s="34">
        <v>166.95</v>
      </c>
    </row>
    <row r="7" spans="1:16" s="16" customFormat="1">
      <c r="A7" s="17">
        <v>5</v>
      </c>
      <c r="B7" s="14" t="s">
        <v>53</v>
      </c>
      <c r="C7" s="32">
        <v>25159</v>
      </c>
      <c r="D7" s="33">
        <v>151.97714285714298</v>
      </c>
      <c r="E7" s="33">
        <v>327.53142857142888</v>
      </c>
      <c r="F7" s="33">
        <v>245.64857142857127</v>
      </c>
      <c r="G7" s="33">
        <v>409.41428571428565</v>
      </c>
      <c r="H7" s="33">
        <v>409.41428571428565</v>
      </c>
      <c r="I7" s="33">
        <v>56.289749999999991</v>
      </c>
      <c r="J7" s="32">
        <v>691135.8</v>
      </c>
      <c r="K7" s="34">
        <v>3954.5474285714286</v>
      </c>
      <c r="L7" s="34">
        <v>7909.0948571428571</v>
      </c>
      <c r="M7" s="34">
        <v>5931.8211428571421</v>
      </c>
      <c r="N7" s="34">
        <v>9886.3685714285712</v>
      </c>
      <c r="O7" s="34">
        <v>9886.3685714285712</v>
      </c>
      <c r="P7" s="34">
        <v>185.78395</v>
      </c>
    </row>
    <row r="8" spans="1:16" s="16" customFormat="1">
      <c r="A8" s="14">
        <v>6</v>
      </c>
      <c r="B8" s="14" t="s">
        <v>54</v>
      </c>
      <c r="C8" s="32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32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</row>
    <row r="9" spans="1:16" s="16" customFormat="1">
      <c r="A9" s="14">
        <v>7</v>
      </c>
      <c r="B9" s="14" t="s">
        <v>55</v>
      </c>
      <c r="C9" s="32">
        <v>191833.55</v>
      </c>
      <c r="D9" s="33">
        <v>1072.1422857142861</v>
      </c>
      <c r="E9" s="33">
        <v>2237.7320000000009</v>
      </c>
      <c r="F9" s="33">
        <v>1678.2990000000007</v>
      </c>
      <c r="G9" s="33">
        <v>2797.1650000000013</v>
      </c>
      <c r="H9" s="33">
        <v>2797.1650000000013</v>
      </c>
      <c r="I9" s="33">
        <v>142.28788749999995</v>
      </c>
      <c r="J9" s="32">
        <v>483000</v>
      </c>
      <c r="K9" s="34">
        <v>2293.8285714285716</v>
      </c>
      <c r="L9" s="34">
        <v>4587.6571428571433</v>
      </c>
      <c r="M9" s="34">
        <v>3440.7428571428572</v>
      </c>
      <c r="N9" s="34">
        <v>5734.5714285714284</v>
      </c>
      <c r="O9" s="34">
        <v>5734.5714285714284</v>
      </c>
      <c r="P9" s="34">
        <v>106.25</v>
      </c>
    </row>
    <row r="10" spans="1:16" s="16" customFormat="1">
      <c r="A10" s="14">
        <v>8</v>
      </c>
      <c r="B10" s="18" t="s">
        <v>56</v>
      </c>
      <c r="C10" s="32">
        <v>0</v>
      </c>
      <c r="D10" s="33">
        <v>0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2">
        <v>234000</v>
      </c>
      <c r="K10" s="34">
        <v>1338.3428571428572</v>
      </c>
      <c r="L10" s="34">
        <v>2676.6857142857143</v>
      </c>
      <c r="M10" s="34">
        <v>2007.5142857142857</v>
      </c>
      <c r="N10" s="34">
        <v>3345.8571428571431</v>
      </c>
      <c r="O10" s="34">
        <v>3345.8571428571431</v>
      </c>
      <c r="P10" s="34">
        <v>61.5</v>
      </c>
    </row>
    <row r="11" spans="1:16" s="16" customFormat="1">
      <c r="A11" s="14">
        <v>9</v>
      </c>
      <c r="B11" s="19" t="s">
        <v>57</v>
      </c>
      <c r="C11" s="32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2">
        <v>82000</v>
      </c>
      <c r="K11" s="34">
        <v>469.37142857142862</v>
      </c>
      <c r="L11" s="34">
        <v>938.74285714285725</v>
      </c>
      <c r="M11" s="34">
        <v>704.05714285714294</v>
      </c>
      <c r="N11" s="34">
        <v>1173.4285714285713</v>
      </c>
      <c r="O11" s="34">
        <v>1173.4285714285713</v>
      </c>
      <c r="P11" s="34">
        <v>22.5</v>
      </c>
    </row>
    <row r="12" spans="1:16" s="16" customFormat="1">
      <c r="A12" s="17">
        <v>10</v>
      </c>
      <c r="B12" s="19" t="s">
        <v>58</v>
      </c>
      <c r="C12" s="32">
        <v>0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2">
        <v>40000</v>
      </c>
      <c r="K12" s="34">
        <v>228.97142857142859</v>
      </c>
      <c r="L12" s="34">
        <v>457.94285714285718</v>
      </c>
      <c r="M12" s="34">
        <v>343.45714285714286</v>
      </c>
      <c r="N12" s="34">
        <v>572.42857142857144</v>
      </c>
      <c r="O12" s="34">
        <v>572.42857142857144</v>
      </c>
      <c r="P12" s="34">
        <v>11</v>
      </c>
    </row>
    <row r="13" spans="1:16" s="16" customFormat="1">
      <c r="A13" s="14">
        <v>11</v>
      </c>
      <c r="B13" s="16" t="s">
        <v>59</v>
      </c>
      <c r="C13" s="32">
        <v>1948</v>
      </c>
      <c r="D13" s="33">
        <v>29.702857142857141</v>
      </c>
      <c r="E13" s="33">
        <v>99.862857142857138</v>
      </c>
      <c r="F13" s="33">
        <v>74.897142857142853</v>
      </c>
      <c r="G13" s="33">
        <v>124.82857142857142</v>
      </c>
      <c r="H13" s="33">
        <v>124.82857142857142</v>
      </c>
      <c r="I13" s="33">
        <v>21.834500000000006</v>
      </c>
      <c r="J13" s="32">
        <v>395601</v>
      </c>
      <c r="K13" s="34">
        <v>1078.92</v>
      </c>
      <c r="L13" s="34">
        <v>2157.84</v>
      </c>
      <c r="M13" s="34">
        <v>1618.3799999999999</v>
      </c>
      <c r="N13" s="34">
        <v>2697.3</v>
      </c>
      <c r="O13" s="34">
        <v>2697.3</v>
      </c>
      <c r="P13" s="34">
        <v>50.15025</v>
      </c>
    </row>
    <row r="14" spans="1:16" s="16" customFormat="1">
      <c r="A14" s="17">
        <v>12</v>
      </c>
      <c r="B14" s="14" t="s">
        <v>60</v>
      </c>
      <c r="C14" s="32">
        <v>0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2">
        <v>217000</v>
      </c>
      <c r="K14" s="34">
        <v>909.77142857142871</v>
      </c>
      <c r="L14" s="34">
        <v>1819.5428571428574</v>
      </c>
      <c r="M14" s="34">
        <v>1364.6571428571428</v>
      </c>
      <c r="N14" s="34">
        <v>2274.4285714285716</v>
      </c>
      <c r="O14" s="34">
        <v>2274.4285714285716</v>
      </c>
      <c r="P14" s="34">
        <v>42.75</v>
      </c>
    </row>
    <row r="15" spans="1:16" s="16" customFormat="1">
      <c r="A15" s="14">
        <v>13</v>
      </c>
      <c r="B15" s="14" t="s">
        <v>61</v>
      </c>
      <c r="C15" s="32">
        <v>2268</v>
      </c>
      <c r="D15" s="33">
        <v>2.5142857142857142</v>
      </c>
      <c r="E15" s="33">
        <v>663.30285714285708</v>
      </c>
      <c r="F15" s="33">
        <v>497.47714285714295</v>
      </c>
      <c r="G15" s="33">
        <v>829.12857142857126</v>
      </c>
      <c r="H15" s="33">
        <v>829.12857142857126</v>
      </c>
      <c r="I15" s="33">
        <v>43.984749999999998</v>
      </c>
      <c r="J15" s="32">
        <v>350000</v>
      </c>
      <c r="K15" s="34">
        <v>1910.5714285714287</v>
      </c>
      <c r="L15" s="34">
        <v>3821.1428571428573</v>
      </c>
      <c r="M15" s="34">
        <v>2865.8571428571431</v>
      </c>
      <c r="N15" s="34">
        <v>4776.4285714285716</v>
      </c>
      <c r="O15" s="34">
        <v>4776.4285714285716</v>
      </c>
      <c r="P15" s="34">
        <v>88.5</v>
      </c>
    </row>
    <row r="16" spans="1:16" s="16" customFormat="1">
      <c r="A16" s="14">
        <v>14</v>
      </c>
      <c r="B16" s="14" t="s">
        <v>62</v>
      </c>
      <c r="C16" s="32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2">
        <v>126000</v>
      </c>
      <c r="K16" s="34">
        <v>360.40000000000003</v>
      </c>
      <c r="L16" s="34">
        <v>720.80000000000007</v>
      </c>
      <c r="M16" s="34">
        <v>540.6</v>
      </c>
      <c r="N16" s="34">
        <v>901</v>
      </c>
      <c r="O16" s="34">
        <v>901</v>
      </c>
      <c r="P16" s="34">
        <v>16.75</v>
      </c>
    </row>
    <row r="17" spans="1:17" s="16" customFormat="1">
      <c r="A17" s="14">
        <v>15</v>
      </c>
      <c r="B17" s="14" t="s">
        <v>63</v>
      </c>
      <c r="C17" s="32">
        <v>0</v>
      </c>
      <c r="D17" s="33">
        <v>0</v>
      </c>
      <c r="E17" s="33">
        <v>31.657142857142858</v>
      </c>
      <c r="F17" s="33">
        <v>23.74285714285714</v>
      </c>
      <c r="G17" s="33">
        <v>39.571428571428569</v>
      </c>
      <c r="H17" s="33">
        <v>39.571428571428569</v>
      </c>
      <c r="I17" s="33">
        <v>1.675</v>
      </c>
      <c r="J17" s="32">
        <v>172000</v>
      </c>
      <c r="K17" s="34">
        <v>1435.4857142857145</v>
      </c>
      <c r="L17" s="34">
        <v>2870.971428571429</v>
      </c>
      <c r="M17" s="34">
        <v>2153.2285714285713</v>
      </c>
      <c r="N17" s="34">
        <v>3588.7142857142862</v>
      </c>
      <c r="O17" s="34">
        <v>3588.7142857142862</v>
      </c>
      <c r="P17" s="34">
        <v>65.75</v>
      </c>
    </row>
    <row r="18" spans="1:17" s="16" customFormat="1">
      <c r="A18" s="14">
        <v>16</v>
      </c>
      <c r="B18" s="14" t="s">
        <v>64</v>
      </c>
      <c r="C18" s="32">
        <v>0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2">
        <v>279000</v>
      </c>
      <c r="K18" s="34">
        <v>1595.8857142857144</v>
      </c>
      <c r="L18" s="34">
        <v>3191.7714285714287</v>
      </c>
      <c r="M18" s="34">
        <v>2393.8285714285712</v>
      </c>
      <c r="N18" s="34">
        <v>3989.7142857142853</v>
      </c>
      <c r="O18" s="34">
        <v>3989.7142857142853</v>
      </c>
      <c r="P18" s="34">
        <v>73.75</v>
      </c>
    </row>
    <row r="19" spans="1:17" s="16" customFormat="1">
      <c r="A19" s="21"/>
      <c r="B19" s="17"/>
      <c r="C19" s="35"/>
      <c r="D19" s="36"/>
      <c r="E19" s="36"/>
      <c r="F19" s="36"/>
      <c r="G19" s="36"/>
      <c r="H19" s="36"/>
      <c r="I19" s="36"/>
      <c r="J19" s="35"/>
      <c r="K19" s="17"/>
      <c r="L19" s="17"/>
      <c r="M19" s="17"/>
      <c r="N19" s="17"/>
      <c r="O19" s="17"/>
      <c r="P19" s="17"/>
    </row>
    <row r="20" spans="1:17" s="16" customFormat="1">
      <c r="A20" s="22"/>
      <c r="B20" s="23" t="s">
        <v>20</v>
      </c>
      <c r="C20" s="37">
        <f t="shared" ref="C20:P20" si="0">SUM(C3:C19)</f>
        <v>2267120.7999999998</v>
      </c>
      <c r="D20" s="37">
        <f>SUM(D3:D19)</f>
        <v>14031.347428571282</v>
      </c>
      <c r="E20" s="37">
        <f>SUM(E3:E19)</f>
        <v>28177.094857142562</v>
      </c>
      <c r="F20" s="37">
        <f t="shared" si="0"/>
        <v>21132.821142857247</v>
      </c>
      <c r="G20" s="37">
        <f t="shared" si="0"/>
        <v>35221.368571428517</v>
      </c>
      <c r="H20" s="37">
        <f t="shared" si="0"/>
        <v>35221.368571428517</v>
      </c>
      <c r="I20" s="37">
        <f t="shared" si="0"/>
        <v>2924.2664500000101</v>
      </c>
      <c r="J20" s="37">
        <f t="shared" si="0"/>
        <v>5001736.8</v>
      </c>
      <c r="K20" s="37">
        <f t="shared" si="0"/>
        <v>27825.867428571426</v>
      </c>
      <c r="L20" s="37">
        <f t="shared" si="0"/>
        <v>55651.734857142852</v>
      </c>
      <c r="M20" s="37">
        <f t="shared" si="0"/>
        <v>41738.801142857141</v>
      </c>
      <c r="N20" s="37">
        <f t="shared" si="0"/>
        <v>69564.668571428585</v>
      </c>
      <c r="O20" s="37">
        <f t="shared" si="0"/>
        <v>69564.668571428585</v>
      </c>
      <c r="P20" s="37">
        <f t="shared" si="0"/>
        <v>1312.6841999999999</v>
      </c>
    </row>
    <row r="23" spans="1:17">
      <c r="B23" s="16" t="s">
        <v>10</v>
      </c>
      <c r="C23" s="38">
        <f>SUM(C3:C10)</f>
        <v>2262904.7999999998</v>
      </c>
      <c r="D23" s="38">
        <f t="shared" ref="D23:P23" si="1">SUM(D3:D10)</f>
        <v>13999.13028571414</v>
      </c>
      <c r="E23" s="38">
        <f t="shared" si="1"/>
        <v>27382.271999999703</v>
      </c>
      <c r="F23" s="38">
        <f t="shared" si="1"/>
        <v>20536.704000000103</v>
      </c>
      <c r="G23" s="38">
        <f t="shared" si="1"/>
        <v>34227.839999999946</v>
      </c>
      <c r="H23" s="38">
        <f t="shared" si="1"/>
        <v>34227.839999999946</v>
      </c>
      <c r="I23" s="38">
        <f t="shared" si="1"/>
        <v>2856.7722000000099</v>
      </c>
      <c r="J23" s="38">
        <f t="shared" si="1"/>
        <v>3340135.8</v>
      </c>
      <c r="K23" s="38">
        <f t="shared" si="1"/>
        <v>19836.490285714284</v>
      </c>
      <c r="L23" s="38">
        <f t="shared" si="1"/>
        <v>39672.980571428569</v>
      </c>
      <c r="M23" s="38">
        <f t="shared" si="1"/>
        <v>29754.735428571425</v>
      </c>
      <c r="N23" s="38">
        <f t="shared" si="1"/>
        <v>49591.22571428572</v>
      </c>
      <c r="O23" s="38">
        <f>SUM(O3:O10)</f>
        <v>49591.22571428572</v>
      </c>
      <c r="P23" s="38">
        <f t="shared" si="1"/>
        <v>941.53395</v>
      </c>
      <c r="Q23" s="25">
        <f>SUM(C23:P23)</f>
        <v>5925659.3501499994</v>
      </c>
    </row>
    <row r="24" spans="1:17">
      <c r="B24" s="16" t="s">
        <v>11</v>
      </c>
      <c r="C24" s="38">
        <f>SUM(C11:C18)</f>
        <v>4216</v>
      </c>
      <c r="D24" s="38">
        <f t="shared" ref="D24:O24" si="2">SUM(D11:D18)</f>
        <v>32.217142857142854</v>
      </c>
      <c r="E24" s="38">
        <f t="shared" si="2"/>
        <v>794.82285714285706</v>
      </c>
      <c r="F24" s="38">
        <f t="shared" si="2"/>
        <v>596.11714285714299</v>
      </c>
      <c r="G24" s="38">
        <f t="shared" si="2"/>
        <v>993.52857142857124</v>
      </c>
      <c r="H24" s="38">
        <f t="shared" si="2"/>
        <v>993.52857142857124</v>
      </c>
      <c r="I24" s="38">
        <f t="shared" si="2"/>
        <v>67.494250000000008</v>
      </c>
      <c r="J24" s="38">
        <f t="shared" si="2"/>
        <v>1661601</v>
      </c>
      <c r="K24" s="38">
        <f t="shared" si="2"/>
        <v>7989.3771428571426</v>
      </c>
      <c r="L24" s="38">
        <f t="shared" si="2"/>
        <v>15978.754285714285</v>
      </c>
      <c r="M24" s="38">
        <f t="shared" si="2"/>
        <v>11984.065714285716</v>
      </c>
      <c r="N24" s="38">
        <f t="shared" si="2"/>
        <v>19973.442857142858</v>
      </c>
      <c r="O24" s="38">
        <f t="shared" si="2"/>
        <v>19973.442857142858</v>
      </c>
      <c r="P24" s="38">
        <f>SUM(P11:P18)</f>
        <v>371.15025000000003</v>
      </c>
      <c r="Q24" s="25">
        <f>SUM(C24:P24)</f>
        <v>1745564.9416428569</v>
      </c>
    </row>
  </sheetData>
  <mergeCells count="4">
    <mergeCell ref="A1:A2"/>
    <mergeCell ref="B1:B2"/>
    <mergeCell ref="C1:I1"/>
    <mergeCell ref="J1:P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J88"/>
  <sheetViews>
    <sheetView zoomScale="69" zoomScaleNormal="90" workbookViewId="0">
      <pane xSplit="4" ySplit="5" topLeftCell="E85" activePane="bottomRight" state="frozen"/>
      <selection pane="topRight" activeCell="C1" sqref="C1"/>
      <selection pane="bottomLeft" activeCell="A6" sqref="A6"/>
      <selection pane="bottomRight" activeCell="J114" sqref="J114"/>
    </sheetView>
  </sheetViews>
  <sheetFormatPr defaultColWidth="8.81640625" defaultRowHeight="15" customHeight="1"/>
  <cols>
    <col min="1" max="1" width="3.1796875" style="42" bestFit="1" customWidth="1"/>
    <col min="2" max="2" width="17.81640625" style="42" bestFit="1" customWidth="1"/>
    <col min="3" max="3" width="15.81640625" style="42" customWidth="1"/>
    <col min="4" max="5" width="24" style="42" customWidth="1"/>
    <col min="6" max="6" width="6.26953125" style="42" bestFit="1" customWidth="1"/>
    <col min="7" max="7" width="9.1796875" style="42" bestFit="1" customWidth="1"/>
    <col min="8" max="8" width="5.81640625" style="42" bestFit="1" customWidth="1"/>
    <col min="9" max="9" width="5.1796875" style="42" customWidth="1"/>
    <col min="10" max="18" width="3.81640625" style="42" customWidth="1"/>
    <col min="19" max="19" width="5.81640625" style="42" customWidth="1"/>
    <col min="20" max="23" width="6.81640625" style="42" customWidth="1"/>
    <col min="24" max="24" width="21" style="42" bestFit="1" customWidth="1"/>
    <col min="25" max="25" width="23.1796875" style="42" bestFit="1" customWidth="1"/>
    <col min="26" max="26" width="27.453125" style="42" bestFit="1" customWidth="1"/>
    <col min="27" max="27" width="27.453125" style="42" customWidth="1"/>
    <col min="28" max="28" width="24.54296875" style="42" bestFit="1" customWidth="1"/>
    <col min="29" max="31" width="24.54296875" style="42" customWidth="1"/>
    <col min="32" max="32" width="21.54296875" style="42" bestFit="1" customWidth="1"/>
    <col min="33" max="33" width="21.54296875" style="42" customWidth="1"/>
    <col min="34" max="34" width="20.1796875" style="42" bestFit="1" customWidth="1"/>
    <col min="35" max="35" width="29.1796875" style="42" customWidth="1"/>
    <col min="36" max="36" width="19.1796875" style="42" bestFit="1" customWidth="1"/>
    <col min="37" max="37" width="27.1796875" style="42" bestFit="1" customWidth="1"/>
    <col min="38" max="39" width="21" style="42" customWidth="1"/>
    <col min="40" max="40" width="30.81640625" style="42" bestFit="1" customWidth="1"/>
    <col min="41" max="41" width="34.1796875" style="42" bestFit="1" customWidth="1"/>
    <col min="42" max="42" width="33.1796875" style="42" customWidth="1"/>
    <col min="43" max="43" width="26.54296875" style="42" bestFit="1" customWidth="1"/>
    <col min="44" max="47" width="34.1796875" style="42" customWidth="1"/>
    <col min="48" max="71" width="9.1796875" style="42" customWidth="1"/>
    <col min="72" max="72" width="8.81640625" style="42"/>
    <col min="73" max="73" width="10.1796875" style="42" customWidth="1"/>
    <col min="74" max="74" width="19.1796875" style="42" bestFit="1" customWidth="1"/>
    <col min="75" max="75" width="10.1796875" style="42" customWidth="1"/>
    <col min="76" max="77" width="12" style="42" customWidth="1"/>
    <col min="78" max="78" width="9.1796875" style="42" customWidth="1"/>
    <col min="79" max="79" width="6" style="42" customWidth="1"/>
    <col min="80" max="80" width="6.453125" style="42" customWidth="1"/>
    <col min="81" max="16384" width="8.81640625" style="42"/>
  </cols>
  <sheetData>
    <row r="3" spans="1:80" ht="15" customHeight="1">
      <c r="A3" s="387" t="s">
        <v>0</v>
      </c>
      <c r="B3" s="386" t="s">
        <v>21</v>
      </c>
      <c r="C3" s="389" t="s">
        <v>76</v>
      </c>
      <c r="D3" s="385" t="s">
        <v>77</v>
      </c>
      <c r="E3" s="385" t="s">
        <v>78</v>
      </c>
      <c r="F3" s="388" t="s">
        <v>12</v>
      </c>
      <c r="G3" s="392" t="s">
        <v>79</v>
      </c>
      <c r="H3" s="399" t="s">
        <v>80</v>
      </c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40"/>
      <c r="T3" s="400" t="s">
        <v>81</v>
      </c>
      <c r="U3" s="400"/>
      <c r="V3" s="400"/>
      <c r="W3" s="40"/>
      <c r="X3" s="393"/>
      <c r="Y3" s="393"/>
      <c r="Z3" s="393"/>
      <c r="AA3" s="393"/>
      <c r="AB3" s="393"/>
      <c r="AC3" s="393"/>
      <c r="AD3" s="393"/>
      <c r="AE3" s="393"/>
      <c r="AF3" s="393"/>
      <c r="AG3" s="393"/>
      <c r="AH3" s="393"/>
      <c r="AI3" s="393"/>
      <c r="AJ3" s="393"/>
      <c r="AK3" s="393"/>
      <c r="AL3" s="393"/>
      <c r="AM3" s="393"/>
      <c r="AN3" s="393"/>
      <c r="AO3" s="393"/>
      <c r="AP3" s="393"/>
      <c r="AQ3" s="393"/>
      <c r="AR3" s="393"/>
      <c r="AS3" s="393"/>
      <c r="AT3" s="393"/>
      <c r="AU3" s="41"/>
      <c r="AV3" s="387"/>
      <c r="AW3" s="387"/>
      <c r="AX3" s="387"/>
      <c r="AY3" s="387"/>
      <c r="AZ3" s="387"/>
      <c r="BA3" s="387"/>
      <c r="BB3" s="387"/>
      <c r="BC3" s="387"/>
      <c r="BD3" s="387"/>
      <c r="BE3" s="387"/>
      <c r="BF3" s="387"/>
      <c r="BG3" s="387"/>
      <c r="BH3" s="387"/>
      <c r="BI3" s="387"/>
      <c r="BJ3" s="387"/>
      <c r="BK3" s="387"/>
      <c r="BL3" s="387"/>
      <c r="BM3" s="387"/>
      <c r="BN3" s="387"/>
      <c r="BO3" s="387"/>
      <c r="BP3" s="387"/>
      <c r="BQ3" s="387"/>
      <c r="BR3" s="387"/>
      <c r="BS3" s="387"/>
      <c r="BT3" s="398" t="s">
        <v>82</v>
      </c>
      <c r="BU3" s="398"/>
      <c r="BV3" s="398"/>
      <c r="BW3" s="398"/>
      <c r="BX3" s="398"/>
      <c r="BY3" s="398"/>
      <c r="BZ3" s="398"/>
      <c r="CA3" s="398"/>
      <c r="CB3" s="398"/>
    </row>
    <row r="4" spans="1:80" ht="15" customHeight="1">
      <c r="A4" s="387"/>
      <c r="B4" s="386"/>
      <c r="C4" s="390"/>
      <c r="D4" s="385"/>
      <c r="E4" s="385"/>
      <c r="F4" s="388"/>
      <c r="G4" s="392"/>
      <c r="H4" s="43" t="s">
        <v>83</v>
      </c>
      <c r="I4" s="43" t="s">
        <v>84</v>
      </c>
      <c r="J4" s="43" t="s">
        <v>85</v>
      </c>
      <c r="K4" s="43" t="s">
        <v>86</v>
      </c>
      <c r="L4" s="43" t="s">
        <v>87</v>
      </c>
      <c r="M4" s="43" t="s">
        <v>88</v>
      </c>
      <c r="N4" s="43" t="s">
        <v>89</v>
      </c>
      <c r="O4" s="43" t="s">
        <v>90</v>
      </c>
      <c r="P4" s="43" t="s">
        <v>91</v>
      </c>
      <c r="Q4" s="43" t="s">
        <v>92</v>
      </c>
      <c r="R4" s="43" t="s">
        <v>93</v>
      </c>
      <c r="S4" s="44" t="s">
        <v>94</v>
      </c>
      <c r="T4" s="44" t="s">
        <v>95</v>
      </c>
      <c r="U4" s="44" t="s">
        <v>96</v>
      </c>
      <c r="V4" s="44" t="s">
        <v>97</v>
      </c>
      <c r="W4" s="44" t="s">
        <v>98</v>
      </c>
      <c r="X4" s="45" t="s">
        <v>35</v>
      </c>
      <c r="Y4" s="45" t="s">
        <v>26</v>
      </c>
      <c r="Z4" s="45" t="s">
        <v>27</v>
      </c>
      <c r="AA4" s="45" t="s">
        <v>34</v>
      </c>
      <c r="AB4" s="45" t="s">
        <v>36</v>
      </c>
      <c r="AC4" s="45" t="s">
        <v>37</v>
      </c>
      <c r="AD4" s="45" t="s">
        <v>38</v>
      </c>
      <c r="AE4" s="45" t="s">
        <v>99</v>
      </c>
      <c r="AF4" s="45" t="s">
        <v>28</v>
      </c>
      <c r="AG4" s="45" t="s">
        <v>30</v>
      </c>
      <c r="AH4" s="45" t="s">
        <v>31</v>
      </c>
      <c r="AI4" s="45" t="s">
        <v>32</v>
      </c>
      <c r="AJ4" s="45" t="s">
        <v>33</v>
      </c>
      <c r="AK4" s="45" t="s">
        <v>39</v>
      </c>
      <c r="AL4" s="45" t="s">
        <v>29</v>
      </c>
      <c r="AM4" s="45" t="s">
        <v>40</v>
      </c>
      <c r="AN4" s="45" t="s">
        <v>41</v>
      </c>
      <c r="AO4" s="45" t="s">
        <v>42</v>
      </c>
      <c r="AP4" s="45" t="s">
        <v>43</v>
      </c>
      <c r="AQ4" s="45" t="s">
        <v>44</v>
      </c>
      <c r="AR4" s="45" t="s">
        <v>45</v>
      </c>
      <c r="AS4" s="45" t="s">
        <v>46</v>
      </c>
      <c r="AT4" s="45" t="s">
        <v>47</v>
      </c>
      <c r="AU4" s="45" t="s">
        <v>48</v>
      </c>
      <c r="AV4" s="395"/>
      <c r="AW4" s="395"/>
      <c r="AX4" s="395"/>
      <c r="AY4" s="395"/>
      <c r="AZ4" s="395"/>
      <c r="BA4" s="395"/>
      <c r="BB4" s="395"/>
      <c r="BC4" s="395"/>
      <c r="BD4" s="395"/>
      <c r="BE4" s="397" t="s">
        <v>100</v>
      </c>
      <c r="BF4" s="397"/>
      <c r="BG4" s="397"/>
      <c r="BH4" s="397"/>
      <c r="BI4" s="397"/>
      <c r="BJ4" s="397"/>
      <c r="BK4" s="397"/>
      <c r="BL4" s="397"/>
      <c r="BM4" s="397"/>
      <c r="BN4" s="396" t="s">
        <v>101</v>
      </c>
      <c r="BO4" s="396"/>
      <c r="BP4" s="396"/>
      <c r="BQ4" s="396"/>
      <c r="BR4" s="396"/>
      <c r="BS4" s="46" t="s">
        <v>102</v>
      </c>
      <c r="BT4" s="47" t="s">
        <v>103</v>
      </c>
      <c r="BU4" s="47" t="s">
        <v>104</v>
      </c>
      <c r="BV4" s="394" t="s">
        <v>105</v>
      </c>
      <c r="BW4" s="394"/>
      <c r="BX4" s="394"/>
      <c r="BY4" s="401" t="s">
        <v>106</v>
      </c>
      <c r="BZ4" s="401"/>
      <c r="CA4" s="47" t="s">
        <v>107</v>
      </c>
      <c r="CB4" s="47" t="s">
        <v>108</v>
      </c>
    </row>
    <row r="5" spans="1:80" ht="15" customHeight="1">
      <c r="A5" s="387"/>
      <c r="B5" s="386"/>
      <c r="C5" s="391"/>
      <c r="D5" s="385"/>
      <c r="E5" s="385"/>
      <c r="F5" s="388"/>
      <c r="G5" s="392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4"/>
      <c r="T5" s="44"/>
      <c r="U5" s="44"/>
      <c r="V5" s="44"/>
      <c r="W5" s="44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8" t="s">
        <v>19</v>
      </c>
      <c r="AW5" s="48" t="s">
        <v>109</v>
      </c>
      <c r="AX5" s="48" t="s">
        <v>110</v>
      </c>
      <c r="AY5" s="48" t="s">
        <v>111</v>
      </c>
      <c r="AZ5" s="48" t="s">
        <v>112</v>
      </c>
      <c r="BA5" s="48" t="s">
        <v>113</v>
      </c>
      <c r="BB5" s="48" t="s">
        <v>114</v>
      </c>
      <c r="BC5" s="48" t="s">
        <v>115</v>
      </c>
      <c r="BD5" s="48" t="s">
        <v>116</v>
      </c>
      <c r="BE5" s="49" t="s">
        <v>109</v>
      </c>
      <c r="BF5" s="49" t="s">
        <v>110</v>
      </c>
      <c r="BG5" s="49" t="s">
        <v>112</v>
      </c>
      <c r="BH5" s="49" t="s">
        <v>113</v>
      </c>
      <c r="BI5" s="49" t="s">
        <v>114</v>
      </c>
      <c r="BJ5" s="49" t="s">
        <v>115</v>
      </c>
      <c r="BK5" s="49" t="s">
        <v>116</v>
      </c>
      <c r="BL5" s="49" t="s">
        <v>117</v>
      </c>
      <c r="BM5" s="49" t="s">
        <v>118</v>
      </c>
      <c r="BN5" s="50" t="s">
        <v>110</v>
      </c>
      <c r="BO5" s="50" t="s">
        <v>112</v>
      </c>
      <c r="BP5" s="50" t="s">
        <v>116</v>
      </c>
      <c r="BQ5" s="50" t="s">
        <v>117</v>
      </c>
      <c r="BR5" s="50" t="s">
        <v>118</v>
      </c>
      <c r="BS5" s="51" t="s">
        <v>113</v>
      </c>
      <c r="BT5" s="47"/>
      <c r="BU5" s="47"/>
      <c r="BV5" s="47" t="s">
        <v>119</v>
      </c>
      <c r="BW5" s="47" t="s">
        <v>120</v>
      </c>
      <c r="BX5" s="47" t="s">
        <v>121</v>
      </c>
      <c r="BY5" s="47" t="s">
        <v>122</v>
      </c>
      <c r="BZ5" s="47" t="s">
        <v>123</v>
      </c>
      <c r="CA5" s="47"/>
      <c r="CB5" s="47"/>
    </row>
    <row r="6" spans="1:80" ht="15" customHeight="1">
      <c r="A6" s="42">
        <v>1</v>
      </c>
      <c r="B6" s="42" t="s">
        <v>49</v>
      </c>
      <c r="C6" s="42" t="s">
        <v>10</v>
      </c>
      <c r="D6" s="42" t="s">
        <v>124</v>
      </c>
      <c r="E6" s="42" t="s">
        <v>125</v>
      </c>
      <c r="F6" s="42">
        <v>2022</v>
      </c>
      <c r="G6" s="42" t="s">
        <v>126</v>
      </c>
      <c r="H6" s="42">
        <v>1</v>
      </c>
      <c r="V6" s="42">
        <v>2</v>
      </c>
      <c r="Z6" s="42">
        <v>1</v>
      </c>
      <c r="AP6" s="42">
        <v>1</v>
      </c>
      <c r="AV6" s="42">
        <f t="shared" ref="AV6:AV26" si="0">SUM(AW6:BS6)</f>
        <v>8</v>
      </c>
      <c r="BA6" s="42">
        <v>2</v>
      </c>
      <c r="BC6" s="42">
        <v>1</v>
      </c>
      <c r="BD6" s="42">
        <v>1</v>
      </c>
      <c r="BL6" s="42">
        <v>3</v>
      </c>
      <c r="BN6" s="42">
        <v>1</v>
      </c>
      <c r="BX6" s="42">
        <v>2</v>
      </c>
      <c r="BZ6" s="42">
        <v>1</v>
      </c>
    </row>
    <row r="7" spans="1:80" ht="15" customHeight="1">
      <c r="A7" s="42">
        <v>2</v>
      </c>
      <c r="B7" s="42" t="s">
        <v>49</v>
      </c>
      <c r="C7" s="42" t="s">
        <v>10</v>
      </c>
      <c r="D7" s="42" t="s">
        <v>127</v>
      </c>
      <c r="E7" s="42" t="s">
        <v>128</v>
      </c>
      <c r="F7" s="42">
        <v>2020</v>
      </c>
      <c r="G7" s="42" t="s">
        <v>129</v>
      </c>
      <c r="N7" s="42">
        <v>1</v>
      </c>
      <c r="V7" s="42">
        <v>3</v>
      </c>
      <c r="Z7" s="42">
        <v>1</v>
      </c>
      <c r="AJ7" s="42">
        <v>1</v>
      </c>
      <c r="AO7" s="42">
        <v>1</v>
      </c>
      <c r="AV7" s="42">
        <f t="shared" si="0"/>
        <v>3</v>
      </c>
      <c r="AZ7" s="42">
        <v>1</v>
      </c>
      <c r="BD7" s="42">
        <v>1</v>
      </c>
      <c r="BG7" s="42">
        <v>1</v>
      </c>
      <c r="BV7" s="42">
        <v>1</v>
      </c>
      <c r="BX7" s="42">
        <v>4</v>
      </c>
      <c r="BY7" s="42">
        <v>1</v>
      </c>
    </row>
    <row r="8" spans="1:80" ht="15" customHeight="1">
      <c r="A8" s="42">
        <v>3</v>
      </c>
      <c r="B8" s="42" t="s">
        <v>49</v>
      </c>
      <c r="C8" s="42" t="s">
        <v>10</v>
      </c>
      <c r="D8" s="42" t="s">
        <v>130</v>
      </c>
      <c r="E8" s="42" t="s">
        <v>131</v>
      </c>
      <c r="F8" s="42">
        <v>2022</v>
      </c>
      <c r="G8" s="42" t="s">
        <v>126</v>
      </c>
      <c r="H8" s="42">
        <v>1</v>
      </c>
      <c r="V8" s="42">
        <v>2</v>
      </c>
      <c r="Z8" s="42">
        <v>1</v>
      </c>
      <c r="AP8" s="42">
        <v>1</v>
      </c>
      <c r="AV8" s="42">
        <f>SUM(AW8:BS8)</f>
        <v>7</v>
      </c>
      <c r="BA8" s="42">
        <v>2</v>
      </c>
      <c r="BD8" s="42">
        <v>1</v>
      </c>
      <c r="BG8" s="42">
        <v>1</v>
      </c>
      <c r="BI8" s="42">
        <v>1</v>
      </c>
      <c r="BK8" s="42">
        <v>1</v>
      </c>
      <c r="BL8" s="42">
        <v>1</v>
      </c>
      <c r="BX8" s="42">
        <v>2</v>
      </c>
      <c r="BZ8" s="42">
        <v>1</v>
      </c>
    </row>
    <row r="9" spans="1:80" ht="15" customHeight="1">
      <c r="A9" s="42">
        <v>4</v>
      </c>
      <c r="B9" s="42" t="s">
        <v>49</v>
      </c>
      <c r="C9" s="42" t="s">
        <v>10</v>
      </c>
      <c r="D9" s="42" t="s">
        <v>132</v>
      </c>
      <c r="E9" s="42" t="s">
        <v>133</v>
      </c>
      <c r="F9" s="42">
        <v>2020</v>
      </c>
      <c r="G9" s="42" t="s">
        <v>129</v>
      </c>
      <c r="N9" s="42">
        <v>1</v>
      </c>
      <c r="V9" s="42">
        <v>2</v>
      </c>
      <c r="Z9" s="42">
        <v>1</v>
      </c>
      <c r="AB9" s="42">
        <v>1</v>
      </c>
      <c r="AV9" s="42">
        <f t="shared" si="0"/>
        <v>29</v>
      </c>
      <c r="AZ9" s="42">
        <v>11</v>
      </c>
      <c r="BC9" s="42">
        <v>7</v>
      </c>
      <c r="BD9" s="42">
        <v>2</v>
      </c>
      <c r="BE9" s="42">
        <v>2</v>
      </c>
      <c r="BG9" s="42">
        <v>2</v>
      </c>
      <c r="BI9" s="42">
        <v>1</v>
      </c>
      <c r="BJ9" s="42">
        <v>1</v>
      </c>
      <c r="BK9" s="42">
        <v>2</v>
      </c>
      <c r="BL9" s="42">
        <v>1</v>
      </c>
      <c r="BV9" s="42">
        <v>1</v>
      </c>
      <c r="BX9" s="42">
        <v>4</v>
      </c>
      <c r="BY9" s="42">
        <v>1</v>
      </c>
    </row>
    <row r="11" spans="1:80" s="44" customFormat="1" ht="15" customHeight="1">
      <c r="B11" s="44" t="s">
        <v>20</v>
      </c>
      <c r="H11" s="44">
        <f t="shared" ref="H11:AC11" si="1">SUM(H6:H9)</f>
        <v>2</v>
      </c>
      <c r="I11" s="44">
        <f t="shared" si="1"/>
        <v>0</v>
      </c>
      <c r="J11" s="44">
        <f t="shared" si="1"/>
        <v>0</v>
      </c>
      <c r="K11" s="44">
        <f t="shared" si="1"/>
        <v>0</v>
      </c>
      <c r="L11" s="44">
        <f t="shared" si="1"/>
        <v>0</v>
      </c>
      <c r="M11" s="44">
        <f t="shared" si="1"/>
        <v>0</v>
      </c>
      <c r="N11" s="44">
        <f t="shared" si="1"/>
        <v>2</v>
      </c>
      <c r="O11" s="44">
        <f t="shared" si="1"/>
        <v>0</v>
      </c>
      <c r="P11" s="44">
        <f t="shared" si="1"/>
        <v>0</v>
      </c>
      <c r="Q11" s="44">
        <f t="shared" si="1"/>
        <v>0</v>
      </c>
      <c r="R11" s="44">
        <f t="shared" si="1"/>
        <v>0</v>
      </c>
      <c r="S11" s="44">
        <f t="shared" si="1"/>
        <v>0</v>
      </c>
      <c r="T11" s="44">
        <f t="shared" si="1"/>
        <v>0</v>
      </c>
      <c r="U11" s="44">
        <f t="shared" si="1"/>
        <v>0</v>
      </c>
      <c r="V11" s="44">
        <f t="shared" si="1"/>
        <v>9</v>
      </c>
      <c r="W11" s="44">
        <f t="shared" si="1"/>
        <v>0</v>
      </c>
      <c r="X11" s="44">
        <f t="shared" si="1"/>
        <v>0</v>
      </c>
      <c r="Y11" s="44">
        <f t="shared" si="1"/>
        <v>0</v>
      </c>
      <c r="Z11" s="44">
        <f t="shared" si="1"/>
        <v>4</v>
      </c>
      <c r="AA11" s="44">
        <f t="shared" si="1"/>
        <v>0</v>
      </c>
      <c r="AB11" s="44">
        <f t="shared" si="1"/>
        <v>1</v>
      </c>
      <c r="AC11" s="44">
        <f t="shared" si="1"/>
        <v>0</v>
      </c>
      <c r="AF11" s="44">
        <f t="shared" ref="AF11:AU11" si="2">SUM(AF6:AF9)</f>
        <v>0</v>
      </c>
      <c r="AH11" s="44">
        <f t="shared" si="2"/>
        <v>0</v>
      </c>
      <c r="AI11" s="44">
        <f t="shared" si="2"/>
        <v>0</v>
      </c>
      <c r="AJ11" s="44">
        <f t="shared" si="2"/>
        <v>1</v>
      </c>
      <c r="AK11" s="44">
        <f t="shared" si="2"/>
        <v>0</v>
      </c>
      <c r="AL11" s="44">
        <f t="shared" si="2"/>
        <v>0</v>
      </c>
      <c r="AM11" s="44">
        <f t="shared" si="2"/>
        <v>0</v>
      </c>
      <c r="AN11" s="44">
        <f t="shared" si="2"/>
        <v>0</v>
      </c>
      <c r="AO11" s="44">
        <f t="shared" si="2"/>
        <v>1</v>
      </c>
      <c r="AP11" s="44">
        <f t="shared" si="2"/>
        <v>2</v>
      </c>
      <c r="AQ11" s="44">
        <f t="shared" si="2"/>
        <v>0</v>
      </c>
      <c r="AR11" s="44">
        <f t="shared" si="2"/>
        <v>0</v>
      </c>
      <c r="AS11" s="44">
        <f t="shared" si="2"/>
        <v>0</v>
      </c>
      <c r="AT11" s="44">
        <f t="shared" si="2"/>
        <v>0</v>
      </c>
      <c r="AU11" s="44">
        <f t="shared" si="2"/>
        <v>0</v>
      </c>
      <c r="BT11" s="44">
        <f>SUM(BT6:BT9)</f>
        <v>0</v>
      </c>
      <c r="BU11" s="44">
        <f>SUM(BU6:BU9)</f>
        <v>0</v>
      </c>
      <c r="BW11" s="44">
        <f t="shared" ref="BW11:CB11" si="3">SUM(BW6:BW9)</f>
        <v>0</v>
      </c>
      <c r="BX11" s="44">
        <f t="shared" si="3"/>
        <v>12</v>
      </c>
      <c r="BY11" s="44">
        <f t="shared" si="3"/>
        <v>2</v>
      </c>
      <c r="BZ11" s="44">
        <f t="shared" si="3"/>
        <v>2</v>
      </c>
      <c r="CA11" s="44">
        <f t="shared" si="3"/>
        <v>0</v>
      </c>
      <c r="CB11" s="44">
        <f t="shared" si="3"/>
        <v>0</v>
      </c>
    </row>
    <row r="13" spans="1:80" ht="15" customHeight="1">
      <c r="A13" s="42">
        <v>1</v>
      </c>
      <c r="B13" s="42" t="s">
        <v>58</v>
      </c>
      <c r="C13" s="42" t="s">
        <v>11</v>
      </c>
      <c r="D13" s="42" t="s">
        <v>134</v>
      </c>
      <c r="E13" s="42" t="s">
        <v>135</v>
      </c>
      <c r="F13" s="42">
        <v>2023</v>
      </c>
      <c r="G13" s="42" t="s">
        <v>126</v>
      </c>
      <c r="X13" s="42">
        <v>1</v>
      </c>
      <c r="AV13" s="42">
        <f>SUM(AW13:BS13)</f>
        <v>3</v>
      </c>
      <c r="BD13" s="42">
        <v>1</v>
      </c>
      <c r="BQ13" s="42">
        <v>2</v>
      </c>
    </row>
    <row r="14" spans="1:80" ht="15" customHeight="1">
      <c r="A14" s="42">
        <v>2</v>
      </c>
      <c r="B14" s="42" t="s">
        <v>59</v>
      </c>
      <c r="C14" s="42" t="s">
        <v>11</v>
      </c>
      <c r="D14" s="42" t="s">
        <v>136</v>
      </c>
      <c r="E14" s="42" t="s">
        <v>137</v>
      </c>
      <c r="F14" s="42">
        <v>2023</v>
      </c>
      <c r="G14" s="42" t="s">
        <v>126</v>
      </c>
      <c r="Y14" s="42">
        <v>1</v>
      </c>
      <c r="AV14" s="42">
        <f>SUM(AW14:BS14)</f>
        <v>8</v>
      </c>
      <c r="AZ14" s="42">
        <v>3</v>
      </c>
      <c r="BA14" s="42">
        <v>2</v>
      </c>
      <c r="BC14" s="42">
        <v>1</v>
      </c>
      <c r="BD14" s="42">
        <v>1</v>
      </c>
      <c r="BP14" s="42">
        <v>1</v>
      </c>
    </row>
    <row r="16" spans="1:80" s="44" customFormat="1" ht="15" customHeight="1">
      <c r="B16" s="44" t="s">
        <v>20</v>
      </c>
      <c r="H16" s="44">
        <f t="shared" ref="H16:AC16" si="4">SUM(H13:H14)</f>
        <v>0</v>
      </c>
      <c r="I16" s="44">
        <f t="shared" si="4"/>
        <v>0</v>
      </c>
      <c r="J16" s="44">
        <f t="shared" si="4"/>
        <v>0</v>
      </c>
      <c r="K16" s="44">
        <f t="shared" si="4"/>
        <v>0</v>
      </c>
      <c r="L16" s="44">
        <f t="shared" si="4"/>
        <v>0</v>
      </c>
      <c r="M16" s="44">
        <f t="shared" si="4"/>
        <v>0</v>
      </c>
      <c r="N16" s="44">
        <f t="shared" si="4"/>
        <v>0</v>
      </c>
      <c r="O16" s="44">
        <f t="shared" si="4"/>
        <v>0</v>
      </c>
      <c r="P16" s="44">
        <f t="shared" si="4"/>
        <v>0</v>
      </c>
      <c r="Q16" s="44">
        <f t="shared" si="4"/>
        <v>0</v>
      </c>
      <c r="R16" s="44">
        <f t="shared" si="4"/>
        <v>0</v>
      </c>
      <c r="S16" s="44">
        <f t="shared" si="4"/>
        <v>0</v>
      </c>
      <c r="T16" s="44">
        <f t="shared" si="4"/>
        <v>0</v>
      </c>
      <c r="U16" s="44">
        <f t="shared" si="4"/>
        <v>0</v>
      </c>
      <c r="V16" s="44">
        <f t="shared" si="4"/>
        <v>0</v>
      </c>
      <c r="W16" s="44">
        <f t="shared" si="4"/>
        <v>0</v>
      </c>
      <c r="X16" s="44">
        <f t="shared" si="4"/>
        <v>1</v>
      </c>
      <c r="Y16" s="44">
        <f t="shared" si="4"/>
        <v>1</v>
      </c>
      <c r="Z16" s="44">
        <f t="shared" si="4"/>
        <v>0</v>
      </c>
      <c r="AA16" s="44">
        <f t="shared" si="4"/>
        <v>0</v>
      </c>
      <c r="AB16" s="44">
        <f t="shared" si="4"/>
        <v>0</v>
      </c>
      <c r="AC16" s="44">
        <f t="shared" si="4"/>
        <v>0</v>
      </c>
      <c r="AF16" s="44">
        <f t="shared" ref="AF16:CB16" si="5">SUM(AF13:AF14)</f>
        <v>0</v>
      </c>
      <c r="AH16" s="44">
        <f t="shared" si="5"/>
        <v>0</v>
      </c>
      <c r="AI16" s="44">
        <f t="shared" si="5"/>
        <v>0</v>
      </c>
      <c r="AJ16" s="44">
        <f t="shared" si="5"/>
        <v>0</v>
      </c>
      <c r="AK16" s="44">
        <f t="shared" si="5"/>
        <v>0</v>
      </c>
      <c r="AL16" s="44">
        <f t="shared" si="5"/>
        <v>0</v>
      </c>
      <c r="AM16" s="44">
        <f t="shared" si="5"/>
        <v>0</v>
      </c>
      <c r="AN16" s="44">
        <f t="shared" si="5"/>
        <v>0</v>
      </c>
      <c r="AO16" s="44">
        <f t="shared" si="5"/>
        <v>0</v>
      </c>
      <c r="AP16" s="44">
        <f t="shared" si="5"/>
        <v>0</v>
      </c>
      <c r="AQ16" s="44">
        <f t="shared" si="5"/>
        <v>0</v>
      </c>
      <c r="AR16" s="44">
        <f t="shared" si="5"/>
        <v>0</v>
      </c>
      <c r="AS16" s="44">
        <f t="shared" si="5"/>
        <v>0</v>
      </c>
      <c r="AT16" s="44">
        <f t="shared" si="5"/>
        <v>0</v>
      </c>
      <c r="AU16" s="44">
        <f t="shared" si="5"/>
        <v>0</v>
      </c>
      <c r="AV16" s="44">
        <f t="shared" si="5"/>
        <v>11</v>
      </c>
      <c r="AW16" s="44">
        <f t="shared" si="5"/>
        <v>0</v>
      </c>
      <c r="AX16" s="44">
        <f t="shared" si="5"/>
        <v>0</v>
      </c>
      <c r="AY16" s="44">
        <f t="shared" si="5"/>
        <v>0</v>
      </c>
      <c r="AZ16" s="44">
        <f t="shared" si="5"/>
        <v>3</v>
      </c>
      <c r="BA16" s="44">
        <f t="shared" si="5"/>
        <v>2</v>
      </c>
      <c r="BB16" s="44">
        <f t="shared" si="5"/>
        <v>0</v>
      </c>
      <c r="BC16" s="44">
        <f t="shared" si="5"/>
        <v>1</v>
      </c>
      <c r="BD16" s="44">
        <f t="shared" si="5"/>
        <v>2</v>
      </c>
      <c r="BE16" s="44">
        <f t="shared" si="5"/>
        <v>0</v>
      </c>
      <c r="BF16" s="44">
        <f t="shared" si="5"/>
        <v>0</v>
      </c>
      <c r="BG16" s="44">
        <f t="shared" si="5"/>
        <v>0</v>
      </c>
      <c r="BH16" s="44">
        <f t="shared" si="5"/>
        <v>0</v>
      </c>
      <c r="BI16" s="44">
        <f t="shared" si="5"/>
        <v>0</v>
      </c>
      <c r="BJ16" s="44">
        <f t="shared" si="5"/>
        <v>0</v>
      </c>
      <c r="BK16" s="44">
        <f t="shared" si="5"/>
        <v>0</v>
      </c>
      <c r="BL16" s="44">
        <f t="shared" si="5"/>
        <v>0</v>
      </c>
      <c r="BM16" s="44">
        <f t="shared" si="5"/>
        <v>0</v>
      </c>
      <c r="BN16" s="44">
        <f t="shared" si="5"/>
        <v>0</v>
      </c>
      <c r="BO16" s="44">
        <f t="shared" si="5"/>
        <v>0</v>
      </c>
      <c r="BP16" s="44">
        <f t="shared" si="5"/>
        <v>1</v>
      </c>
      <c r="BQ16" s="44">
        <f t="shared" si="5"/>
        <v>2</v>
      </c>
      <c r="BR16" s="44">
        <f t="shared" si="5"/>
        <v>0</v>
      </c>
      <c r="BS16" s="44">
        <f t="shared" si="5"/>
        <v>0</v>
      </c>
      <c r="BT16" s="44">
        <f t="shared" si="5"/>
        <v>0</v>
      </c>
      <c r="BU16" s="44">
        <f t="shared" si="5"/>
        <v>0</v>
      </c>
      <c r="BV16" s="44">
        <f t="shared" si="5"/>
        <v>0</v>
      </c>
      <c r="BW16" s="44">
        <f t="shared" si="5"/>
        <v>0</v>
      </c>
      <c r="BX16" s="44">
        <f t="shared" si="5"/>
        <v>0</v>
      </c>
      <c r="BY16" s="44">
        <f t="shared" si="5"/>
        <v>0</v>
      </c>
      <c r="BZ16" s="44">
        <f t="shared" si="5"/>
        <v>0</v>
      </c>
      <c r="CA16" s="44">
        <f t="shared" si="5"/>
        <v>0</v>
      </c>
      <c r="CB16" s="44">
        <f t="shared" si="5"/>
        <v>0</v>
      </c>
    </row>
    <row r="18" spans="1:80" ht="15" customHeight="1">
      <c r="A18" s="42">
        <v>1</v>
      </c>
      <c r="B18" s="42" t="s">
        <v>50</v>
      </c>
      <c r="C18" s="42" t="s">
        <v>10</v>
      </c>
      <c r="D18" s="42" t="s">
        <v>138</v>
      </c>
      <c r="E18" s="42" t="s">
        <v>139</v>
      </c>
      <c r="F18" s="42">
        <v>2020</v>
      </c>
      <c r="G18" s="42" t="s">
        <v>126</v>
      </c>
      <c r="V18" s="42">
        <v>3</v>
      </c>
      <c r="Z18" s="42">
        <v>1</v>
      </c>
      <c r="AP18" s="42">
        <v>1</v>
      </c>
      <c r="AV18" s="42">
        <f t="shared" si="0"/>
        <v>26</v>
      </c>
      <c r="AW18" s="42">
        <v>1</v>
      </c>
      <c r="AZ18" s="42">
        <v>1</v>
      </c>
      <c r="BA18" s="42">
        <v>16</v>
      </c>
      <c r="BC18" s="42">
        <v>3</v>
      </c>
      <c r="BD18" s="42">
        <v>1</v>
      </c>
      <c r="BE18" s="42">
        <v>2</v>
      </c>
      <c r="BK18" s="42">
        <v>1</v>
      </c>
      <c r="BL18" s="42">
        <v>1</v>
      </c>
      <c r="BX18" s="42">
        <v>4</v>
      </c>
      <c r="BY18" s="42">
        <v>1</v>
      </c>
    </row>
    <row r="19" spans="1:80" ht="15" customHeight="1">
      <c r="A19" s="42">
        <v>2</v>
      </c>
      <c r="B19" s="42" t="s">
        <v>50</v>
      </c>
      <c r="C19" s="42" t="s">
        <v>10</v>
      </c>
      <c r="D19" s="42" t="s">
        <v>140</v>
      </c>
      <c r="E19" s="42" t="s">
        <v>141</v>
      </c>
      <c r="F19" s="42">
        <v>2022</v>
      </c>
      <c r="G19" s="42" t="s">
        <v>129</v>
      </c>
      <c r="N19" s="42">
        <v>1</v>
      </c>
      <c r="Z19" s="42">
        <v>1</v>
      </c>
      <c r="AP19" s="42">
        <v>1</v>
      </c>
      <c r="AV19" s="42">
        <f>SUM(AW19:BS19)</f>
        <v>9</v>
      </c>
      <c r="AW19" s="42">
        <v>1</v>
      </c>
      <c r="BA19" s="42">
        <v>4</v>
      </c>
      <c r="BD19" s="42">
        <v>1</v>
      </c>
      <c r="BE19" s="42">
        <v>2</v>
      </c>
      <c r="BK19" s="42">
        <v>1</v>
      </c>
      <c r="BW19" s="42">
        <v>4</v>
      </c>
      <c r="BY19" s="42">
        <v>1</v>
      </c>
    </row>
    <row r="20" spans="1:80" ht="15" customHeight="1">
      <c r="A20" s="42">
        <v>4</v>
      </c>
      <c r="B20" s="42" t="s">
        <v>50</v>
      </c>
      <c r="C20" s="42" t="s">
        <v>10</v>
      </c>
      <c r="D20" s="42" t="s">
        <v>142</v>
      </c>
      <c r="E20" s="42" t="s">
        <v>143</v>
      </c>
      <c r="F20" s="42">
        <v>2024</v>
      </c>
      <c r="G20" s="42" t="s">
        <v>129</v>
      </c>
      <c r="N20" s="42">
        <v>1</v>
      </c>
      <c r="Y20" s="42">
        <v>1</v>
      </c>
      <c r="AV20" s="42">
        <f>SUM(AW20:BS20)</f>
        <v>2</v>
      </c>
      <c r="BJ20" s="42">
        <v>2</v>
      </c>
    </row>
    <row r="21" spans="1:80" ht="15" customHeight="1">
      <c r="A21" s="42">
        <v>5</v>
      </c>
      <c r="B21" s="42" t="s">
        <v>50</v>
      </c>
      <c r="C21" s="42" t="s">
        <v>10</v>
      </c>
      <c r="D21" s="42" t="s">
        <v>144</v>
      </c>
      <c r="E21" s="42" t="s">
        <v>145</v>
      </c>
      <c r="F21" s="42">
        <v>2023</v>
      </c>
      <c r="G21" s="42" t="s">
        <v>129</v>
      </c>
      <c r="AD21" s="42">
        <v>1</v>
      </c>
      <c r="AV21" s="42">
        <f>SUM(AW21:BS21)</f>
        <v>3</v>
      </c>
      <c r="BA21" s="42">
        <v>1</v>
      </c>
      <c r="BJ21" s="42">
        <v>1</v>
      </c>
      <c r="BK21" s="42">
        <v>1</v>
      </c>
    </row>
    <row r="22" spans="1:80" ht="15" customHeight="1">
      <c r="A22" s="42">
        <v>6</v>
      </c>
      <c r="B22" s="42" t="s">
        <v>50</v>
      </c>
      <c r="C22" s="42" t="s">
        <v>10</v>
      </c>
      <c r="D22" s="42" t="s">
        <v>146</v>
      </c>
      <c r="E22" s="42" t="s">
        <v>147</v>
      </c>
      <c r="F22" s="42">
        <v>2024</v>
      </c>
      <c r="G22" s="42" t="s">
        <v>126</v>
      </c>
      <c r="AD22" s="42">
        <v>1</v>
      </c>
      <c r="AV22" s="42">
        <f>SUM(AW22:BS22)</f>
        <v>0</v>
      </c>
    </row>
    <row r="24" spans="1:80" s="44" customFormat="1" ht="15" customHeight="1">
      <c r="B24" s="44" t="s">
        <v>20</v>
      </c>
      <c r="H24" s="44">
        <f t="shared" ref="H24:AD24" si="6">SUM(H18:H21)</f>
        <v>0</v>
      </c>
      <c r="I24" s="44">
        <f t="shared" si="6"/>
        <v>0</v>
      </c>
      <c r="J24" s="44">
        <f t="shared" si="6"/>
        <v>0</v>
      </c>
      <c r="K24" s="44">
        <f t="shared" si="6"/>
        <v>0</v>
      </c>
      <c r="L24" s="44">
        <f t="shared" si="6"/>
        <v>0</v>
      </c>
      <c r="M24" s="44">
        <f t="shared" si="6"/>
        <v>0</v>
      </c>
      <c r="N24" s="44">
        <f t="shared" si="6"/>
        <v>2</v>
      </c>
      <c r="O24" s="44">
        <f t="shared" si="6"/>
        <v>0</v>
      </c>
      <c r="P24" s="44">
        <f t="shared" si="6"/>
        <v>0</v>
      </c>
      <c r="Q24" s="44">
        <f t="shared" si="6"/>
        <v>0</v>
      </c>
      <c r="R24" s="44">
        <f t="shared" si="6"/>
        <v>0</v>
      </c>
      <c r="S24" s="44">
        <f t="shared" si="6"/>
        <v>0</v>
      </c>
      <c r="T24" s="44">
        <f t="shared" si="6"/>
        <v>0</v>
      </c>
      <c r="U24" s="44">
        <f t="shared" si="6"/>
        <v>0</v>
      </c>
      <c r="V24" s="44">
        <f t="shared" si="6"/>
        <v>3</v>
      </c>
      <c r="W24" s="44">
        <f t="shared" si="6"/>
        <v>0</v>
      </c>
      <c r="X24" s="44">
        <f t="shared" si="6"/>
        <v>0</v>
      </c>
      <c r="Y24" s="44">
        <f t="shared" si="6"/>
        <v>1</v>
      </c>
      <c r="Z24" s="44">
        <f t="shared" si="6"/>
        <v>2</v>
      </c>
      <c r="AA24" s="44">
        <f t="shared" si="6"/>
        <v>0</v>
      </c>
      <c r="AB24" s="44">
        <f t="shared" si="6"/>
        <v>0</v>
      </c>
      <c r="AC24" s="44">
        <f t="shared" si="6"/>
        <v>0</v>
      </c>
      <c r="AD24" s="44">
        <f t="shared" si="6"/>
        <v>1</v>
      </c>
      <c r="AF24" s="44">
        <f>SUM(AF18:AF21)</f>
        <v>0</v>
      </c>
      <c r="AH24" s="44">
        <f t="shared" ref="AH24:CB24" si="7">SUM(AH18:AH21)</f>
        <v>0</v>
      </c>
      <c r="AI24" s="44">
        <f t="shared" si="7"/>
        <v>0</v>
      </c>
      <c r="AJ24" s="44">
        <f t="shared" si="7"/>
        <v>0</v>
      </c>
      <c r="AK24" s="44">
        <f t="shared" si="7"/>
        <v>0</v>
      </c>
      <c r="AL24" s="44">
        <f t="shared" si="7"/>
        <v>0</v>
      </c>
      <c r="AM24" s="44">
        <f t="shared" si="7"/>
        <v>0</v>
      </c>
      <c r="AN24" s="44">
        <f t="shared" si="7"/>
        <v>0</v>
      </c>
      <c r="AO24" s="44">
        <f t="shared" si="7"/>
        <v>0</v>
      </c>
      <c r="AP24" s="44">
        <f t="shared" si="7"/>
        <v>2</v>
      </c>
      <c r="AQ24" s="44">
        <f t="shared" si="7"/>
        <v>0</v>
      </c>
      <c r="AR24" s="44">
        <f t="shared" si="7"/>
        <v>0</v>
      </c>
      <c r="AS24" s="44">
        <f t="shared" si="7"/>
        <v>0</v>
      </c>
      <c r="AT24" s="44">
        <f t="shared" si="7"/>
        <v>0</v>
      </c>
      <c r="AU24" s="44">
        <f t="shared" si="7"/>
        <v>0</v>
      </c>
      <c r="AV24" s="44">
        <f t="shared" si="7"/>
        <v>40</v>
      </c>
      <c r="AW24" s="44">
        <f t="shared" si="7"/>
        <v>2</v>
      </c>
      <c r="AX24" s="44">
        <f t="shared" si="7"/>
        <v>0</v>
      </c>
      <c r="AY24" s="44">
        <f t="shared" si="7"/>
        <v>0</v>
      </c>
      <c r="AZ24" s="44">
        <f t="shared" si="7"/>
        <v>1</v>
      </c>
      <c r="BA24" s="44">
        <f t="shared" si="7"/>
        <v>21</v>
      </c>
      <c r="BB24" s="44">
        <f t="shared" si="7"/>
        <v>0</v>
      </c>
      <c r="BC24" s="44">
        <f t="shared" si="7"/>
        <v>3</v>
      </c>
      <c r="BD24" s="44">
        <f t="shared" si="7"/>
        <v>2</v>
      </c>
      <c r="BE24" s="44">
        <f t="shared" si="7"/>
        <v>4</v>
      </c>
      <c r="BF24" s="44">
        <f t="shared" si="7"/>
        <v>0</v>
      </c>
      <c r="BG24" s="44">
        <f t="shared" si="7"/>
        <v>0</v>
      </c>
      <c r="BH24" s="44">
        <f t="shared" si="7"/>
        <v>0</v>
      </c>
      <c r="BI24" s="44">
        <f t="shared" si="7"/>
        <v>0</v>
      </c>
      <c r="BJ24" s="44">
        <f t="shared" si="7"/>
        <v>3</v>
      </c>
      <c r="BK24" s="44">
        <f t="shared" si="7"/>
        <v>3</v>
      </c>
      <c r="BL24" s="44">
        <f t="shared" si="7"/>
        <v>1</v>
      </c>
      <c r="BM24" s="44">
        <f t="shared" si="7"/>
        <v>0</v>
      </c>
      <c r="BN24" s="44">
        <f t="shared" si="7"/>
        <v>0</v>
      </c>
      <c r="BO24" s="44">
        <f t="shared" si="7"/>
        <v>0</v>
      </c>
      <c r="BP24" s="44">
        <f t="shared" si="7"/>
        <v>0</v>
      </c>
      <c r="BQ24" s="44">
        <f t="shared" si="7"/>
        <v>0</v>
      </c>
      <c r="BR24" s="44">
        <f t="shared" si="7"/>
        <v>0</v>
      </c>
      <c r="BS24" s="44">
        <f t="shared" si="7"/>
        <v>0</v>
      </c>
      <c r="BT24" s="44">
        <f t="shared" si="7"/>
        <v>0</v>
      </c>
      <c r="BU24" s="44">
        <f t="shared" si="7"/>
        <v>0</v>
      </c>
      <c r="BV24" s="44">
        <f t="shared" si="7"/>
        <v>0</v>
      </c>
      <c r="BW24" s="44">
        <f t="shared" si="7"/>
        <v>4</v>
      </c>
      <c r="BX24" s="44">
        <f t="shared" si="7"/>
        <v>4</v>
      </c>
      <c r="BY24" s="44">
        <f t="shared" si="7"/>
        <v>2</v>
      </c>
      <c r="BZ24" s="44">
        <f t="shared" si="7"/>
        <v>0</v>
      </c>
      <c r="CA24" s="44">
        <f t="shared" si="7"/>
        <v>0</v>
      </c>
      <c r="CB24" s="44">
        <f t="shared" si="7"/>
        <v>0</v>
      </c>
    </row>
    <row r="26" spans="1:80" ht="15" customHeight="1">
      <c r="A26" s="42">
        <v>1</v>
      </c>
      <c r="B26" s="42" t="s">
        <v>51</v>
      </c>
      <c r="C26" s="42" t="s">
        <v>10</v>
      </c>
      <c r="D26" s="42" t="s">
        <v>148</v>
      </c>
      <c r="E26" s="42" t="s">
        <v>149</v>
      </c>
      <c r="F26" s="42">
        <v>2021</v>
      </c>
      <c r="G26" s="42" t="s">
        <v>129</v>
      </c>
      <c r="N26" s="42">
        <v>1</v>
      </c>
      <c r="V26" s="42">
        <v>2</v>
      </c>
      <c r="Z26" s="42">
        <v>1</v>
      </c>
      <c r="AB26" s="42">
        <v>1</v>
      </c>
      <c r="AG26" s="42">
        <v>1</v>
      </c>
      <c r="AV26" s="42">
        <f t="shared" si="0"/>
        <v>19</v>
      </c>
      <c r="BA26" s="42">
        <v>10</v>
      </c>
      <c r="BB26" s="42">
        <v>3</v>
      </c>
      <c r="BC26" s="42">
        <v>2</v>
      </c>
      <c r="BD26" s="42">
        <v>2</v>
      </c>
      <c r="BF26" s="42">
        <v>2</v>
      </c>
      <c r="BW26" s="42">
        <v>4</v>
      </c>
      <c r="BY26" s="42">
        <v>1</v>
      </c>
    </row>
    <row r="27" spans="1:80" ht="15" customHeight="1">
      <c r="A27" s="42">
        <v>2</v>
      </c>
      <c r="B27" s="42" t="s">
        <v>51</v>
      </c>
      <c r="C27" s="42" t="s">
        <v>10</v>
      </c>
      <c r="D27" s="42" t="s">
        <v>150</v>
      </c>
      <c r="E27" s="42" t="s">
        <v>151</v>
      </c>
      <c r="F27" s="42">
        <v>2022</v>
      </c>
      <c r="G27" s="42" t="s">
        <v>129</v>
      </c>
      <c r="N27" s="42">
        <v>1</v>
      </c>
      <c r="V27" s="42">
        <v>2</v>
      </c>
      <c r="Z27" s="42">
        <v>1</v>
      </c>
      <c r="AK27" s="42">
        <v>1</v>
      </c>
      <c r="AV27" s="42">
        <f t="shared" ref="AV27:AV34" si="8">SUM(AW27:BS27)</f>
        <v>11</v>
      </c>
      <c r="AW27" s="42">
        <v>1</v>
      </c>
      <c r="BA27" s="42">
        <v>2</v>
      </c>
      <c r="BC27" s="42">
        <v>1</v>
      </c>
      <c r="BD27" s="42">
        <v>2</v>
      </c>
      <c r="BF27" s="42">
        <v>2</v>
      </c>
      <c r="BJ27" s="42">
        <v>1</v>
      </c>
      <c r="BL27" s="42">
        <v>2</v>
      </c>
      <c r="BW27" s="42">
        <v>4</v>
      </c>
      <c r="BY27" s="42">
        <v>1</v>
      </c>
    </row>
    <row r="28" spans="1:80" ht="15" customHeight="1">
      <c r="A28" s="42">
        <v>3</v>
      </c>
      <c r="B28" s="42" t="s">
        <v>51</v>
      </c>
      <c r="C28" s="42" t="s">
        <v>10</v>
      </c>
      <c r="D28" s="42" t="s">
        <v>152</v>
      </c>
      <c r="E28" s="42" t="s">
        <v>153</v>
      </c>
      <c r="F28" s="42">
        <v>2023</v>
      </c>
      <c r="G28" s="42" t="s">
        <v>126</v>
      </c>
      <c r="V28" s="42">
        <v>2</v>
      </c>
      <c r="Y28" s="42">
        <v>1</v>
      </c>
      <c r="AV28" s="42">
        <f t="shared" si="8"/>
        <v>4</v>
      </c>
      <c r="BK28" s="42">
        <v>2</v>
      </c>
      <c r="BL28" s="42">
        <v>2</v>
      </c>
      <c r="BX28" s="42">
        <v>2</v>
      </c>
      <c r="BZ28" s="42">
        <v>1</v>
      </c>
    </row>
    <row r="29" spans="1:80" ht="15" customHeight="1">
      <c r="A29" s="42">
        <v>4</v>
      </c>
      <c r="B29" s="42" t="s">
        <v>51</v>
      </c>
      <c r="C29" s="42" t="s">
        <v>10</v>
      </c>
      <c r="D29" s="42" t="s">
        <v>154</v>
      </c>
      <c r="E29" s="42" t="s">
        <v>155</v>
      </c>
      <c r="F29" s="42">
        <v>2024</v>
      </c>
      <c r="G29" s="42" t="s">
        <v>129</v>
      </c>
      <c r="N29" s="42">
        <v>1</v>
      </c>
      <c r="AD29" s="42">
        <v>1</v>
      </c>
      <c r="AV29" s="42">
        <f t="shared" si="8"/>
        <v>2</v>
      </c>
      <c r="BJ29" s="42">
        <v>2</v>
      </c>
    </row>
    <row r="30" spans="1:80" ht="15" customHeight="1">
      <c r="A30" s="42">
        <v>5</v>
      </c>
      <c r="B30" s="42" t="s">
        <v>51</v>
      </c>
      <c r="C30" s="42" t="s">
        <v>10</v>
      </c>
      <c r="D30" s="42" t="s">
        <v>156</v>
      </c>
      <c r="E30" s="42" t="s">
        <v>157</v>
      </c>
      <c r="F30" s="42">
        <v>2024</v>
      </c>
      <c r="G30" s="42" t="s">
        <v>126</v>
      </c>
      <c r="AD30" s="42">
        <v>1</v>
      </c>
      <c r="AV30" s="42">
        <f t="shared" si="8"/>
        <v>4</v>
      </c>
      <c r="AZ30" s="42">
        <v>1</v>
      </c>
      <c r="BA30" s="42">
        <v>1</v>
      </c>
      <c r="BK30" s="42">
        <v>2</v>
      </c>
    </row>
    <row r="31" spans="1:80" ht="15" customHeight="1">
      <c r="A31" s="42">
        <v>6</v>
      </c>
      <c r="B31" s="42" t="s">
        <v>51</v>
      </c>
      <c r="C31" s="42" t="s">
        <v>10</v>
      </c>
      <c r="D31" s="42" t="s">
        <v>158</v>
      </c>
      <c r="E31" s="42" t="s">
        <v>159</v>
      </c>
      <c r="F31" s="42">
        <v>2022</v>
      </c>
      <c r="G31" s="42" t="s">
        <v>129</v>
      </c>
      <c r="N31" s="42">
        <v>1</v>
      </c>
      <c r="V31" s="42">
        <v>1</v>
      </c>
      <c r="Z31" s="42">
        <v>1</v>
      </c>
      <c r="AV31" s="42">
        <f t="shared" si="8"/>
        <v>7</v>
      </c>
      <c r="AW31" s="42">
        <v>1</v>
      </c>
      <c r="BA31" s="42">
        <v>1</v>
      </c>
      <c r="BD31" s="42">
        <v>1</v>
      </c>
      <c r="BJ31" s="42">
        <v>1</v>
      </c>
      <c r="BK31" s="42">
        <v>2</v>
      </c>
      <c r="BL31" s="42">
        <v>1</v>
      </c>
      <c r="BW31" s="42">
        <v>4</v>
      </c>
      <c r="BY31" s="42">
        <v>1</v>
      </c>
    </row>
    <row r="32" spans="1:80" ht="15" customHeight="1">
      <c r="A32" s="42">
        <v>7</v>
      </c>
      <c r="B32" s="42" t="s">
        <v>51</v>
      </c>
      <c r="C32" s="42" t="s">
        <v>10</v>
      </c>
      <c r="D32" s="42" t="s">
        <v>160</v>
      </c>
      <c r="E32" s="42" t="s">
        <v>161</v>
      </c>
      <c r="F32" s="42">
        <v>2020</v>
      </c>
      <c r="G32" s="42" t="s">
        <v>129</v>
      </c>
      <c r="N32" s="42">
        <v>1</v>
      </c>
      <c r="V32" s="42">
        <v>2</v>
      </c>
      <c r="Y32" s="42">
        <v>1</v>
      </c>
      <c r="AN32" s="42">
        <v>1</v>
      </c>
      <c r="AV32" s="42">
        <f t="shared" si="8"/>
        <v>11</v>
      </c>
      <c r="AZ32" s="42">
        <v>1</v>
      </c>
      <c r="BA32" s="42">
        <v>3</v>
      </c>
      <c r="BD32" s="42">
        <v>7</v>
      </c>
      <c r="BW32" s="42">
        <v>4</v>
      </c>
      <c r="BY32" s="42">
        <v>1</v>
      </c>
    </row>
    <row r="33" spans="1:114" ht="15" customHeight="1">
      <c r="A33" s="42">
        <v>8</v>
      </c>
      <c r="B33" s="42" t="s">
        <v>51</v>
      </c>
      <c r="C33" s="42" t="s">
        <v>10</v>
      </c>
      <c r="D33" s="42" t="s">
        <v>162</v>
      </c>
      <c r="E33" s="42" t="s">
        <v>163</v>
      </c>
      <c r="F33" s="42">
        <v>2024</v>
      </c>
      <c r="G33" s="42" t="s">
        <v>129</v>
      </c>
      <c r="N33" s="42">
        <v>1</v>
      </c>
      <c r="Z33" s="42">
        <v>1</v>
      </c>
      <c r="AV33" s="42">
        <f t="shared" si="8"/>
        <v>2</v>
      </c>
      <c r="BJ33" s="42">
        <v>1</v>
      </c>
      <c r="BK33" s="42">
        <v>1</v>
      </c>
      <c r="BU33" s="42">
        <v>1</v>
      </c>
      <c r="BW33" s="42">
        <v>4</v>
      </c>
      <c r="BZ33" s="42">
        <v>1</v>
      </c>
      <c r="CA33" s="42">
        <v>1</v>
      </c>
    </row>
    <row r="34" spans="1:114" ht="15" customHeight="1">
      <c r="A34" s="42">
        <v>9</v>
      </c>
      <c r="B34" s="42" t="s">
        <v>51</v>
      </c>
      <c r="C34" s="42" t="s">
        <v>10</v>
      </c>
      <c r="D34" s="42" t="s">
        <v>164</v>
      </c>
      <c r="E34" s="42" t="s">
        <v>165</v>
      </c>
      <c r="F34" s="42">
        <v>2021</v>
      </c>
      <c r="G34" s="42" t="s">
        <v>129</v>
      </c>
      <c r="N34" s="42">
        <v>1</v>
      </c>
      <c r="V34" s="42">
        <v>2</v>
      </c>
      <c r="Z34" s="42">
        <v>1</v>
      </c>
      <c r="AP34" s="42">
        <v>1</v>
      </c>
      <c r="AV34" s="42">
        <f t="shared" si="8"/>
        <v>12</v>
      </c>
      <c r="BA34" s="42">
        <v>1</v>
      </c>
      <c r="BB34" s="42">
        <v>2</v>
      </c>
      <c r="BD34" s="42">
        <v>5</v>
      </c>
      <c r="BG34" s="42">
        <v>2</v>
      </c>
      <c r="BJ34" s="42">
        <v>1</v>
      </c>
      <c r="BK34" s="42">
        <v>1</v>
      </c>
      <c r="BV34" s="42">
        <v>1</v>
      </c>
    </row>
    <row r="36" spans="1:114" s="44" customFormat="1" ht="15" customHeight="1">
      <c r="B36" s="44" t="s">
        <v>20</v>
      </c>
      <c r="H36" s="44">
        <f t="shared" ref="H36:AN36" si="9">SUM(H26:H34)</f>
        <v>0</v>
      </c>
      <c r="I36" s="44">
        <f t="shared" si="9"/>
        <v>0</v>
      </c>
      <c r="J36" s="44">
        <f t="shared" si="9"/>
        <v>0</v>
      </c>
      <c r="K36" s="44">
        <f t="shared" si="9"/>
        <v>0</v>
      </c>
      <c r="L36" s="44">
        <f t="shared" si="9"/>
        <v>0</v>
      </c>
      <c r="M36" s="44">
        <f t="shared" si="9"/>
        <v>0</v>
      </c>
      <c r="N36" s="44">
        <f t="shared" si="9"/>
        <v>7</v>
      </c>
      <c r="O36" s="44">
        <f t="shared" si="9"/>
        <v>0</v>
      </c>
      <c r="P36" s="44">
        <f t="shared" si="9"/>
        <v>0</v>
      </c>
      <c r="Q36" s="44">
        <f t="shared" si="9"/>
        <v>0</v>
      </c>
      <c r="R36" s="44">
        <f t="shared" si="9"/>
        <v>0</v>
      </c>
      <c r="S36" s="44">
        <f t="shared" si="9"/>
        <v>0</v>
      </c>
      <c r="T36" s="44">
        <f t="shared" si="9"/>
        <v>0</v>
      </c>
      <c r="U36" s="44">
        <f t="shared" si="9"/>
        <v>0</v>
      </c>
      <c r="V36" s="44">
        <f t="shared" si="9"/>
        <v>11</v>
      </c>
      <c r="W36" s="44">
        <f t="shared" si="9"/>
        <v>0</v>
      </c>
      <c r="X36" s="44">
        <f t="shared" si="9"/>
        <v>0</v>
      </c>
      <c r="Y36" s="44">
        <f t="shared" si="9"/>
        <v>2</v>
      </c>
      <c r="Z36" s="44">
        <f t="shared" si="9"/>
        <v>5</v>
      </c>
      <c r="AA36" s="44">
        <f t="shared" si="9"/>
        <v>0</v>
      </c>
      <c r="AB36" s="44">
        <f t="shared" si="9"/>
        <v>1</v>
      </c>
      <c r="AC36" s="44">
        <f t="shared" si="9"/>
        <v>0</v>
      </c>
      <c r="AD36" s="44">
        <f t="shared" si="9"/>
        <v>2</v>
      </c>
      <c r="AF36" s="44">
        <f t="shared" si="9"/>
        <v>0</v>
      </c>
      <c r="AG36" s="44">
        <f t="shared" si="9"/>
        <v>1</v>
      </c>
      <c r="AH36" s="44">
        <f t="shared" si="9"/>
        <v>0</v>
      </c>
      <c r="AI36" s="44">
        <f t="shared" si="9"/>
        <v>0</v>
      </c>
      <c r="AJ36" s="44">
        <f t="shared" si="9"/>
        <v>0</v>
      </c>
      <c r="AK36" s="44">
        <f t="shared" si="9"/>
        <v>1</v>
      </c>
      <c r="AL36" s="44">
        <f t="shared" si="9"/>
        <v>0</v>
      </c>
      <c r="AM36" s="44">
        <f t="shared" si="9"/>
        <v>0</v>
      </c>
      <c r="AN36" s="44">
        <f t="shared" si="9"/>
        <v>1</v>
      </c>
      <c r="AO36" s="44">
        <f t="shared" ref="AO36:BU36" si="10">SUM(AO26:AO34)</f>
        <v>0</v>
      </c>
      <c r="AP36" s="44">
        <f t="shared" si="10"/>
        <v>1</v>
      </c>
      <c r="AQ36" s="44">
        <f t="shared" si="10"/>
        <v>0</v>
      </c>
      <c r="AR36" s="44">
        <f t="shared" si="10"/>
        <v>0</v>
      </c>
      <c r="AS36" s="44">
        <f t="shared" si="10"/>
        <v>0</v>
      </c>
      <c r="AT36" s="44">
        <f t="shared" si="10"/>
        <v>0</v>
      </c>
      <c r="AU36" s="44">
        <f t="shared" si="10"/>
        <v>0</v>
      </c>
      <c r="AV36" s="44">
        <f t="shared" si="10"/>
        <v>72</v>
      </c>
      <c r="AW36" s="44">
        <f t="shared" si="10"/>
        <v>2</v>
      </c>
      <c r="AX36" s="44">
        <f t="shared" si="10"/>
        <v>0</v>
      </c>
      <c r="AY36" s="44">
        <f t="shared" si="10"/>
        <v>0</v>
      </c>
      <c r="AZ36" s="44">
        <f t="shared" si="10"/>
        <v>2</v>
      </c>
      <c r="BA36" s="44">
        <f t="shared" si="10"/>
        <v>18</v>
      </c>
      <c r="BB36" s="44">
        <f t="shared" si="10"/>
        <v>5</v>
      </c>
      <c r="BC36" s="44">
        <f t="shared" si="10"/>
        <v>3</v>
      </c>
      <c r="BD36" s="44">
        <f t="shared" si="10"/>
        <v>17</v>
      </c>
      <c r="BE36" s="44">
        <f t="shared" si="10"/>
        <v>0</v>
      </c>
      <c r="BF36" s="44">
        <f t="shared" si="10"/>
        <v>4</v>
      </c>
      <c r="BG36" s="44">
        <f t="shared" si="10"/>
        <v>2</v>
      </c>
      <c r="BH36" s="44">
        <f t="shared" si="10"/>
        <v>0</v>
      </c>
      <c r="BI36" s="44">
        <f t="shared" si="10"/>
        <v>0</v>
      </c>
      <c r="BJ36" s="44">
        <f t="shared" si="10"/>
        <v>6</v>
      </c>
      <c r="BK36" s="44">
        <f t="shared" si="10"/>
        <v>8</v>
      </c>
      <c r="BL36" s="44">
        <f t="shared" si="10"/>
        <v>5</v>
      </c>
      <c r="BM36" s="44">
        <f t="shared" si="10"/>
        <v>0</v>
      </c>
      <c r="BN36" s="44">
        <f t="shared" si="10"/>
        <v>0</v>
      </c>
      <c r="BO36" s="44">
        <f t="shared" si="10"/>
        <v>0</v>
      </c>
      <c r="BP36" s="44">
        <f t="shared" si="10"/>
        <v>0</v>
      </c>
      <c r="BQ36" s="44">
        <f t="shared" si="10"/>
        <v>0</v>
      </c>
      <c r="BR36" s="44">
        <f t="shared" si="10"/>
        <v>0</v>
      </c>
      <c r="BS36" s="44">
        <f t="shared" si="10"/>
        <v>0</v>
      </c>
      <c r="BT36" s="44">
        <f t="shared" si="10"/>
        <v>0</v>
      </c>
      <c r="BU36" s="44">
        <f t="shared" si="10"/>
        <v>1</v>
      </c>
      <c r="BV36" s="44">
        <f t="shared" ref="BV36:DJ36" si="11">SUM(BV26:BV34)</f>
        <v>1</v>
      </c>
      <c r="BW36" s="44">
        <f t="shared" si="11"/>
        <v>20</v>
      </c>
      <c r="BX36" s="44">
        <f t="shared" si="11"/>
        <v>2</v>
      </c>
      <c r="BY36" s="44">
        <f t="shared" si="11"/>
        <v>4</v>
      </c>
      <c r="BZ36" s="44">
        <f t="shared" si="11"/>
        <v>2</v>
      </c>
      <c r="CA36" s="44">
        <f t="shared" si="11"/>
        <v>1</v>
      </c>
      <c r="CB36" s="44">
        <f t="shared" si="11"/>
        <v>0</v>
      </c>
      <c r="CC36" s="44">
        <f t="shared" si="11"/>
        <v>0</v>
      </c>
      <c r="CD36" s="44">
        <f t="shared" si="11"/>
        <v>0</v>
      </c>
      <c r="CE36" s="44">
        <f t="shared" si="11"/>
        <v>0</v>
      </c>
      <c r="CF36" s="44">
        <f t="shared" si="11"/>
        <v>0</v>
      </c>
      <c r="CG36" s="44">
        <f t="shared" si="11"/>
        <v>0</v>
      </c>
      <c r="CH36" s="44">
        <f t="shared" si="11"/>
        <v>0</v>
      </c>
      <c r="CI36" s="44">
        <f t="shared" si="11"/>
        <v>0</v>
      </c>
      <c r="CJ36" s="44">
        <f t="shared" si="11"/>
        <v>0</v>
      </c>
      <c r="CK36" s="44">
        <f t="shared" si="11"/>
        <v>0</v>
      </c>
      <c r="CL36" s="44">
        <f t="shared" si="11"/>
        <v>0</v>
      </c>
      <c r="CM36" s="44">
        <f t="shared" si="11"/>
        <v>0</v>
      </c>
      <c r="CN36" s="44">
        <f t="shared" si="11"/>
        <v>0</v>
      </c>
      <c r="CO36" s="44">
        <f t="shared" si="11"/>
        <v>0</v>
      </c>
      <c r="CP36" s="44">
        <f t="shared" si="11"/>
        <v>0</v>
      </c>
      <c r="CQ36" s="44">
        <f t="shared" si="11"/>
        <v>0</v>
      </c>
      <c r="CR36" s="44">
        <f t="shared" si="11"/>
        <v>0</v>
      </c>
      <c r="CS36" s="44">
        <f t="shared" si="11"/>
        <v>0</v>
      </c>
      <c r="CT36" s="44">
        <f t="shared" si="11"/>
        <v>0</v>
      </c>
      <c r="CU36" s="44">
        <f t="shared" si="11"/>
        <v>0</v>
      </c>
      <c r="CV36" s="44">
        <f t="shared" si="11"/>
        <v>0</v>
      </c>
      <c r="CW36" s="44">
        <f t="shared" si="11"/>
        <v>0</v>
      </c>
      <c r="CX36" s="44">
        <f t="shared" si="11"/>
        <v>0</v>
      </c>
      <c r="CY36" s="44">
        <f t="shared" si="11"/>
        <v>0</v>
      </c>
      <c r="CZ36" s="44">
        <f t="shared" si="11"/>
        <v>0</v>
      </c>
      <c r="DA36" s="44">
        <f t="shared" si="11"/>
        <v>0</v>
      </c>
      <c r="DB36" s="44">
        <f t="shared" si="11"/>
        <v>0</v>
      </c>
      <c r="DC36" s="44">
        <f t="shared" si="11"/>
        <v>0</v>
      </c>
      <c r="DD36" s="44">
        <f t="shared" si="11"/>
        <v>0</v>
      </c>
      <c r="DE36" s="44">
        <f t="shared" si="11"/>
        <v>0</v>
      </c>
      <c r="DF36" s="44">
        <f t="shared" si="11"/>
        <v>0</v>
      </c>
      <c r="DG36" s="44">
        <f t="shared" si="11"/>
        <v>0</v>
      </c>
      <c r="DH36" s="44">
        <f t="shared" si="11"/>
        <v>0</v>
      </c>
      <c r="DI36" s="44">
        <f t="shared" si="11"/>
        <v>0</v>
      </c>
      <c r="DJ36" s="44">
        <f t="shared" si="11"/>
        <v>0</v>
      </c>
    </row>
    <row r="38" spans="1:114" ht="15" customHeight="1">
      <c r="A38" s="42">
        <v>1</v>
      </c>
      <c r="B38" s="42" t="s">
        <v>52</v>
      </c>
      <c r="C38" s="42" t="s">
        <v>10</v>
      </c>
      <c r="D38" s="42" t="s">
        <v>166</v>
      </c>
      <c r="E38" s="42" t="s">
        <v>167</v>
      </c>
      <c r="F38" s="42">
        <v>2020</v>
      </c>
      <c r="G38" s="42" t="s">
        <v>126</v>
      </c>
      <c r="R38" s="42">
        <v>2</v>
      </c>
      <c r="V38" s="42">
        <v>5</v>
      </c>
      <c r="Y38" s="42">
        <v>1</v>
      </c>
      <c r="Z38" s="42">
        <v>1</v>
      </c>
      <c r="AJ38" s="42">
        <v>1</v>
      </c>
      <c r="AK38" s="42">
        <v>1</v>
      </c>
      <c r="AL38" s="42">
        <v>1</v>
      </c>
      <c r="AM38" s="42">
        <v>2</v>
      </c>
      <c r="AP38" s="42">
        <v>1</v>
      </c>
      <c r="AR38" s="42">
        <v>1</v>
      </c>
      <c r="AS38" s="42">
        <v>1</v>
      </c>
      <c r="AT38" s="42">
        <v>2</v>
      </c>
      <c r="AU38" s="42">
        <v>1</v>
      </c>
      <c r="AV38" s="42">
        <f t="shared" ref="AV38" si="12">SUM(AW38:BS38)</f>
        <v>84</v>
      </c>
      <c r="AW38" s="42">
        <v>6</v>
      </c>
      <c r="BA38" s="42">
        <v>14</v>
      </c>
      <c r="BB38" s="42">
        <v>2</v>
      </c>
      <c r="BC38" s="42">
        <v>3</v>
      </c>
      <c r="BD38" s="42">
        <v>1</v>
      </c>
      <c r="BE38" s="42">
        <v>8</v>
      </c>
      <c r="BF38" s="42">
        <v>2</v>
      </c>
      <c r="BG38" s="42">
        <v>3</v>
      </c>
      <c r="BI38" s="42">
        <v>8</v>
      </c>
      <c r="BJ38" s="42">
        <v>9</v>
      </c>
      <c r="BK38" s="42">
        <v>1</v>
      </c>
      <c r="BS38" s="42">
        <v>27</v>
      </c>
      <c r="BX38" s="42">
        <v>8</v>
      </c>
      <c r="BY38" s="42">
        <v>1</v>
      </c>
    </row>
    <row r="39" spans="1:114" ht="15" customHeight="1">
      <c r="A39" s="42">
        <v>2</v>
      </c>
      <c r="B39" s="42" t="s">
        <v>52</v>
      </c>
      <c r="C39" s="42" t="s">
        <v>10</v>
      </c>
      <c r="D39" s="42" t="s">
        <v>168</v>
      </c>
      <c r="E39" s="42" t="s">
        <v>169</v>
      </c>
      <c r="F39" s="42">
        <v>2020</v>
      </c>
      <c r="G39" s="42" t="s">
        <v>129</v>
      </c>
      <c r="N39" s="42">
        <v>1</v>
      </c>
      <c r="V39" s="42">
        <v>2</v>
      </c>
      <c r="Z39" s="42">
        <v>1</v>
      </c>
      <c r="AJ39" s="42">
        <v>1</v>
      </c>
      <c r="AO39" s="42">
        <v>1</v>
      </c>
      <c r="AV39" s="42">
        <f t="shared" ref="AV39:AV52" si="13">SUM(AW39:BS39)</f>
        <v>33</v>
      </c>
      <c r="AX39" s="42">
        <v>1</v>
      </c>
      <c r="BA39" s="42">
        <v>6</v>
      </c>
      <c r="BD39" s="42">
        <v>5</v>
      </c>
      <c r="BI39" s="42">
        <v>4</v>
      </c>
      <c r="BJ39" s="42">
        <v>7</v>
      </c>
      <c r="BS39" s="42">
        <v>10</v>
      </c>
      <c r="BX39" s="42">
        <v>4</v>
      </c>
      <c r="BY39" s="42">
        <v>1</v>
      </c>
    </row>
    <row r="40" spans="1:114" ht="15" customHeight="1">
      <c r="A40" s="42">
        <v>3</v>
      </c>
      <c r="B40" s="42" t="s">
        <v>52</v>
      </c>
      <c r="C40" s="42" t="s">
        <v>10</v>
      </c>
      <c r="D40" s="42" t="s">
        <v>170</v>
      </c>
      <c r="E40" s="42" t="s">
        <v>171</v>
      </c>
      <c r="F40" s="42">
        <v>2020</v>
      </c>
      <c r="G40" s="42" t="s">
        <v>126</v>
      </c>
      <c r="K40" s="42">
        <v>1</v>
      </c>
      <c r="V40" s="42">
        <v>3</v>
      </c>
      <c r="Z40" s="42">
        <v>1</v>
      </c>
      <c r="AK40" s="42">
        <v>1</v>
      </c>
      <c r="AP40" s="42">
        <v>1</v>
      </c>
      <c r="AV40" s="42">
        <f t="shared" si="13"/>
        <v>52</v>
      </c>
      <c r="AW40" s="42">
        <v>2</v>
      </c>
      <c r="AY40" s="42">
        <v>1</v>
      </c>
      <c r="AZ40" s="42">
        <v>3</v>
      </c>
      <c r="BA40" s="42">
        <v>21</v>
      </c>
      <c r="BC40" s="42">
        <v>2</v>
      </c>
      <c r="BD40" s="42">
        <v>3</v>
      </c>
      <c r="BE40" s="42">
        <v>2</v>
      </c>
      <c r="BF40" s="42">
        <v>1</v>
      </c>
      <c r="BG40" s="42">
        <v>10</v>
      </c>
      <c r="BH40" s="42">
        <v>1</v>
      </c>
      <c r="BI40" s="42">
        <v>2</v>
      </c>
      <c r="BJ40" s="42">
        <v>4</v>
      </c>
    </row>
    <row r="41" spans="1:114" ht="14">
      <c r="A41" s="42">
        <v>4</v>
      </c>
      <c r="B41" s="42" t="s">
        <v>52</v>
      </c>
      <c r="C41" s="42" t="s">
        <v>10</v>
      </c>
      <c r="D41" s="42" t="s">
        <v>172</v>
      </c>
      <c r="E41" s="42" t="s">
        <v>173</v>
      </c>
      <c r="F41" s="42">
        <v>2020</v>
      </c>
      <c r="G41" s="42" t="s">
        <v>129</v>
      </c>
      <c r="N41" s="42">
        <v>1</v>
      </c>
      <c r="V41" s="42">
        <v>2</v>
      </c>
      <c r="Z41" s="42">
        <v>1</v>
      </c>
      <c r="AJ41" s="42">
        <v>1</v>
      </c>
      <c r="AP41" s="42">
        <v>1</v>
      </c>
      <c r="AV41" s="42">
        <f t="shared" si="13"/>
        <v>43</v>
      </c>
      <c r="BA41" s="42">
        <v>10</v>
      </c>
      <c r="BB41" s="42">
        <v>2</v>
      </c>
      <c r="BC41" s="42">
        <v>3</v>
      </c>
      <c r="BD41" s="42">
        <v>3</v>
      </c>
      <c r="BE41" s="42">
        <v>2</v>
      </c>
      <c r="BJ41" s="42">
        <v>5</v>
      </c>
      <c r="BK41" s="42">
        <v>2</v>
      </c>
      <c r="BS41" s="42">
        <v>16</v>
      </c>
      <c r="BW41" s="42">
        <v>4</v>
      </c>
      <c r="BY41" s="42">
        <v>1</v>
      </c>
    </row>
    <row r="42" spans="1:114" ht="14">
      <c r="A42" s="42">
        <v>5</v>
      </c>
      <c r="B42" s="42" t="s">
        <v>52</v>
      </c>
      <c r="C42" s="42" t="s">
        <v>10</v>
      </c>
      <c r="D42" s="42" t="s">
        <v>174</v>
      </c>
      <c r="E42" s="42" t="s">
        <v>175</v>
      </c>
      <c r="F42" s="42">
        <v>2023</v>
      </c>
      <c r="G42" s="42" t="s">
        <v>126</v>
      </c>
      <c r="AQ42" s="42">
        <v>1</v>
      </c>
      <c r="AV42" s="42">
        <f t="shared" si="13"/>
        <v>4</v>
      </c>
      <c r="AY42" s="42">
        <v>3</v>
      </c>
      <c r="BJ42" s="42">
        <v>1</v>
      </c>
    </row>
    <row r="43" spans="1:114" ht="14">
      <c r="A43" s="42">
        <v>6</v>
      </c>
      <c r="B43" s="42" t="s">
        <v>52</v>
      </c>
      <c r="C43" s="42" t="s">
        <v>10</v>
      </c>
      <c r="D43" s="42" t="s">
        <v>176</v>
      </c>
      <c r="E43" s="42" t="s">
        <v>177</v>
      </c>
      <c r="F43" s="42">
        <v>2022</v>
      </c>
      <c r="G43" s="42" t="s">
        <v>129</v>
      </c>
      <c r="N43" s="42">
        <v>1</v>
      </c>
      <c r="V43" s="42">
        <v>2</v>
      </c>
      <c r="Z43" s="42">
        <v>1</v>
      </c>
      <c r="AB43" s="42">
        <v>1</v>
      </c>
      <c r="AJ43" s="42">
        <v>1</v>
      </c>
      <c r="AV43" s="42">
        <f t="shared" si="13"/>
        <v>23</v>
      </c>
      <c r="AY43" s="42">
        <v>5</v>
      </c>
      <c r="BA43" s="42">
        <v>5</v>
      </c>
      <c r="BE43" s="42">
        <v>2</v>
      </c>
      <c r="BG43" s="42">
        <v>2</v>
      </c>
      <c r="BI43" s="42">
        <v>2</v>
      </c>
      <c r="BJ43" s="42">
        <v>2</v>
      </c>
      <c r="BS43" s="42">
        <v>5</v>
      </c>
      <c r="BW43" s="42">
        <v>4</v>
      </c>
      <c r="BY43" s="42">
        <v>1</v>
      </c>
    </row>
    <row r="44" spans="1:114" ht="14">
      <c r="A44" s="42">
        <v>7</v>
      </c>
      <c r="B44" s="42" t="s">
        <v>52</v>
      </c>
      <c r="C44" s="42" t="s">
        <v>10</v>
      </c>
      <c r="D44" s="42" t="s">
        <v>178</v>
      </c>
      <c r="E44" s="42" t="s">
        <v>179</v>
      </c>
      <c r="F44" s="42">
        <v>2020</v>
      </c>
      <c r="G44" s="42" t="s">
        <v>126</v>
      </c>
      <c r="L44" s="42" t="s">
        <v>180</v>
      </c>
      <c r="R44" s="42">
        <v>1</v>
      </c>
      <c r="V44" s="42">
        <v>3</v>
      </c>
      <c r="Z44" s="42">
        <v>1</v>
      </c>
      <c r="AJ44" s="42">
        <v>1</v>
      </c>
      <c r="AP44" s="42">
        <v>1</v>
      </c>
      <c r="AV44" s="42">
        <f t="shared" si="13"/>
        <v>44</v>
      </c>
      <c r="AW44" s="42">
        <v>2</v>
      </c>
      <c r="AY44" s="42">
        <v>1</v>
      </c>
      <c r="BA44" s="42">
        <v>13</v>
      </c>
      <c r="BB44" s="42">
        <v>3</v>
      </c>
      <c r="BC44" s="42">
        <v>1</v>
      </c>
      <c r="BE44" s="42">
        <v>4</v>
      </c>
      <c r="BI44" s="42">
        <v>2</v>
      </c>
      <c r="BJ44" s="42">
        <v>6</v>
      </c>
      <c r="BS44" s="42">
        <v>12</v>
      </c>
      <c r="BX44" s="42">
        <v>4</v>
      </c>
      <c r="BY44" s="42">
        <v>1</v>
      </c>
    </row>
    <row r="45" spans="1:114" ht="14">
      <c r="A45" s="42">
        <v>8</v>
      </c>
      <c r="B45" s="42" t="s">
        <v>52</v>
      </c>
      <c r="C45" s="42" t="s">
        <v>10</v>
      </c>
      <c r="D45" s="42" t="s">
        <v>181</v>
      </c>
      <c r="E45" s="42" t="s">
        <v>182</v>
      </c>
      <c r="F45" s="42">
        <v>2021</v>
      </c>
      <c r="G45" s="42" t="s">
        <v>126</v>
      </c>
      <c r="R45" s="42">
        <v>1</v>
      </c>
      <c r="V45" s="42">
        <v>1</v>
      </c>
      <c r="Z45" s="42">
        <v>1</v>
      </c>
      <c r="AI45" s="42">
        <v>1</v>
      </c>
      <c r="AN45" s="42">
        <v>1</v>
      </c>
      <c r="AV45" s="42">
        <f t="shared" si="13"/>
        <v>32</v>
      </c>
      <c r="AZ45" s="42">
        <v>1</v>
      </c>
      <c r="BA45" s="42">
        <v>5</v>
      </c>
      <c r="BB45" s="42">
        <v>2</v>
      </c>
      <c r="BD45" s="42">
        <v>8</v>
      </c>
      <c r="BE45" s="42">
        <v>2</v>
      </c>
      <c r="BG45" s="42">
        <v>2</v>
      </c>
      <c r="BI45" s="42">
        <v>3</v>
      </c>
      <c r="BJ45" s="42">
        <v>2</v>
      </c>
      <c r="BK45" s="42">
        <v>1</v>
      </c>
      <c r="BS45" s="42">
        <v>6</v>
      </c>
    </row>
    <row r="46" spans="1:114" ht="14">
      <c r="A46" s="42">
        <v>9</v>
      </c>
      <c r="B46" s="42" t="s">
        <v>52</v>
      </c>
      <c r="C46" s="42" t="s">
        <v>10</v>
      </c>
      <c r="D46" s="42" t="s">
        <v>183</v>
      </c>
      <c r="E46" s="42" t="s">
        <v>184</v>
      </c>
      <c r="F46" s="42">
        <v>2021</v>
      </c>
      <c r="G46" s="42" t="s">
        <v>126</v>
      </c>
      <c r="L46" s="42">
        <v>1</v>
      </c>
      <c r="T46" s="42">
        <v>1</v>
      </c>
      <c r="Z46" s="42">
        <v>1</v>
      </c>
      <c r="AH46" s="42">
        <v>1</v>
      </c>
      <c r="AV46" s="42">
        <f t="shared" si="13"/>
        <v>14</v>
      </c>
      <c r="AY46" s="42">
        <v>1</v>
      </c>
      <c r="BA46" s="42">
        <v>2</v>
      </c>
      <c r="BE46" s="42">
        <v>2</v>
      </c>
      <c r="BJ46" s="42">
        <v>3</v>
      </c>
      <c r="BS46" s="42">
        <v>6</v>
      </c>
      <c r="BW46" s="42">
        <v>4</v>
      </c>
      <c r="BY46" s="42">
        <v>1</v>
      </c>
    </row>
    <row r="47" spans="1:114" ht="14">
      <c r="A47" s="42">
        <v>10</v>
      </c>
      <c r="B47" s="42" t="s">
        <v>52</v>
      </c>
      <c r="C47" s="42" t="s">
        <v>10</v>
      </c>
      <c r="D47" s="42" t="s">
        <v>185</v>
      </c>
      <c r="E47" s="42" t="s">
        <v>186</v>
      </c>
      <c r="F47" s="42">
        <v>2020</v>
      </c>
      <c r="G47" s="42" t="s">
        <v>129</v>
      </c>
      <c r="N47" s="42">
        <v>1</v>
      </c>
      <c r="V47" s="42">
        <v>1</v>
      </c>
      <c r="Z47" s="42">
        <v>1</v>
      </c>
      <c r="AC47" s="42">
        <v>1</v>
      </c>
      <c r="AJ47" s="42">
        <v>1</v>
      </c>
      <c r="AV47" s="42">
        <f t="shared" si="13"/>
        <v>23</v>
      </c>
      <c r="BA47" s="42">
        <v>6</v>
      </c>
      <c r="BC47" s="42">
        <v>2</v>
      </c>
      <c r="BG47" s="42">
        <v>4</v>
      </c>
      <c r="BH47" s="42">
        <v>1</v>
      </c>
      <c r="BI47" s="42">
        <v>2</v>
      </c>
      <c r="BJ47" s="42">
        <v>1</v>
      </c>
      <c r="BS47" s="42">
        <v>7</v>
      </c>
      <c r="BW47" s="42">
        <v>4</v>
      </c>
      <c r="BY47" s="42">
        <v>1</v>
      </c>
    </row>
    <row r="48" spans="1:114" ht="14">
      <c r="A48" s="42">
        <v>11</v>
      </c>
      <c r="B48" s="42" t="s">
        <v>52</v>
      </c>
      <c r="C48" s="42" t="s">
        <v>10</v>
      </c>
      <c r="D48" s="42" t="s">
        <v>187</v>
      </c>
      <c r="E48" s="42" t="s">
        <v>188</v>
      </c>
      <c r="F48" s="42">
        <v>2021</v>
      </c>
      <c r="G48" s="42" t="s">
        <v>129</v>
      </c>
      <c r="N48" s="42">
        <v>1</v>
      </c>
      <c r="V48" s="42">
        <v>1</v>
      </c>
      <c r="Z48" s="42">
        <v>1</v>
      </c>
      <c r="AN48" s="42">
        <v>1</v>
      </c>
      <c r="AV48" s="42">
        <f t="shared" si="13"/>
        <v>26</v>
      </c>
      <c r="BA48" s="42">
        <v>18</v>
      </c>
      <c r="BB48" s="42">
        <v>1</v>
      </c>
      <c r="BD48" s="42">
        <v>2</v>
      </c>
      <c r="BE48" s="42">
        <v>2</v>
      </c>
      <c r="BJ48" s="42">
        <v>3</v>
      </c>
      <c r="BV48" s="42">
        <v>1</v>
      </c>
      <c r="BW48" s="42">
        <v>4</v>
      </c>
      <c r="BY48" s="42">
        <v>1</v>
      </c>
    </row>
    <row r="49" spans="1:80" ht="14">
      <c r="A49" s="42">
        <v>12</v>
      </c>
      <c r="B49" s="42" t="s">
        <v>52</v>
      </c>
      <c r="C49" s="42" t="s">
        <v>10</v>
      </c>
      <c r="D49" s="42" t="s">
        <v>189</v>
      </c>
      <c r="E49" s="42" t="s">
        <v>190</v>
      </c>
      <c r="F49" s="42">
        <v>2021</v>
      </c>
      <c r="G49" s="42" t="s">
        <v>126</v>
      </c>
      <c r="O49" s="42">
        <v>1</v>
      </c>
      <c r="V49" s="42">
        <v>1</v>
      </c>
      <c r="Z49" s="42">
        <v>1</v>
      </c>
      <c r="AB49" s="42">
        <v>1</v>
      </c>
      <c r="AF49" s="42">
        <v>1</v>
      </c>
      <c r="AG49" s="42">
        <v>1</v>
      </c>
      <c r="AV49" s="42">
        <f t="shared" si="13"/>
        <v>22</v>
      </c>
      <c r="BA49" s="42">
        <v>17</v>
      </c>
      <c r="BB49" s="42">
        <v>1</v>
      </c>
      <c r="BC49" s="42">
        <v>1</v>
      </c>
      <c r="BI49" s="42">
        <v>1</v>
      </c>
      <c r="BN49" s="42">
        <v>2</v>
      </c>
      <c r="BU49" s="42">
        <v>1</v>
      </c>
      <c r="BV49" s="42">
        <v>1</v>
      </c>
      <c r="BX49" s="42">
        <v>4</v>
      </c>
      <c r="BY49" s="42">
        <v>1</v>
      </c>
    </row>
    <row r="50" spans="1:80" ht="14">
      <c r="A50" s="42">
        <v>13</v>
      </c>
      <c r="B50" s="42" t="s">
        <v>52</v>
      </c>
      <c r="C50" s="42" t="s">
        <v>10</v>
      </c>
      <c r="D50" s="42" t="s">
        <v>191</v>
      </c>
      <c r="E50" s="42" t="s">
        <v>192</v>
      </c>
      <c r="F50" s="42">
        <v>2020</v>
      </c>
      <c r="G50" s="42" t="s">
        <v>126</v>
      </c>
      <c r="V50" s="42">
        <v>1</v>
      </c>
      <c r="Z50" s="42">
        <v>1</v>
      </c>
      <c r="AK50" s="42">
        <v>1</v>
      </c>
      <c r="AV50" s="42">
        <f t="shared" si="13"/>
        <v>14</v>
      </c>
      <c r="BA50" s="42">
        <v>3</v>
      </c>
      <c r="BB50" s="42">
        <v>2</v>
      </c>
      <c r="BD50" s="42">
        <v>4</v>
      </c>
      <c r="BJ50" s="42">
        <v>3</v>
      </c>
      <c r="BK50" s="42">
        <v>2</v>
      </c>
    </row>
    <row r="51" spans="1:80" ht="14">
      <c r="A51" s="42">
        <v>14</v>
      </c>
      <c r="B51" s="42" t="s">
        <v>52</v>
      </c>
      <c r="C51" s="42" t="s">
        <v>10</v>
      </c>
      <c r="D51" s="42" t="s">
        <v>193</v>
      </c>
      <c r="E51" s="42" t="s">
        <v>194</v>
      </c>
      <c r="F51" s="42">
        <v>2021</v>
      </c>
      <c r="G51" s="42" t="s">
        <v>129</v>
      </c>
      <c r="V51" s="42">
        <v>1</v>
      </c>
      <c r="AF51" s="42">
        <v>1</v>
      </c>
      <c r="AN51" s="42">
        <v>1</v>
      </c>
      <c r="AV51" s="42">
        <f t="shared" si="13"/>
        <v>12</v>
      </c>
      <c r="AW51" s="42">
        <v>2</v>
      </c>
      <c r="AZ51" s="42">
        <v>2</v>
      </c>
      <c r="BA51" s="42">
        <v>5</v>
      </c>
      <c r="BB51" s="42">
        <v>1</v>
      </c>
      <c r="BC51" s="42">
        <v>1</v>
      </c>
      <c r="BD51" s="42">
        <v>1</v>
      </c>
    </row>
    <row r="52" spans="1:80" ht="14">
      <c r="A52" s="42">
        <v>15</v>
      </c>
      <c r="B52" s="42" t="s">
        <v>52</v>
      </c>
      <c r="C52" s="42" t="s">
        <v>10</v>
      </c>
      <c r="D52" s="42" t="s">
        <v>195</v>
      </c>
      <c r="E52" s="42" t="s">
        <v>196</v>
      </c>
      <c r="F52" s="42">
        <v>2022</v>
      </c>
      <c r="G52" s="42" t="s">
        <v>129</v>
      </c>
      <c r="N52" s="42">
        <v>1</v>
      </c>
      <c r="V52" s="42">
        <v>1</v>
      </c>
      <c r="AV52" s="42">
        <f t="shared" si="13"/>
        <v>0</v>
      </c>
      <c r="BW52" s="42">
        <v>4</v>
      </c>
      <c r="BX52" s="42">
        <v>4</v>
      </c>
      <c r="BY52" s="42">
        <v>1</v>
      </c>
    </row>
    <row r="53" spans="1:80" ht="14"/>
    <row r="54" spans="1:80" s="44" customFormat="1" ht="14">
      <c r="B54" s="44" t="s">
        <v>20</v>
      </c>
      <c r="H54" s="44">
        <f>SUM(H38:H52)</f>
        <v>0</v>
      </c>
      <c r="I54" s="44">
        <f t="shared" ref="I54:CB54" si="14">SUM(I38:I52)</f>
        <v>0</v>
      </c>
      <c r="J54" s="44">
        <f t="shared" si="14"/>
        <v>0</v>
      </c>
      <c r="K54" s="44">
        <f t="shared" si="14"/>
        <v>1</v>
      </c>
      <c r="L54" s="44">
        <f t="shared" si="14"/>
        <v>1</v>
      </c>
      <c r="M54" s="44">
        <f t="shared" si="14"/>
        <v>0</v>
      </c>
      <c r="N54" s="44">
        <f t="shared" si="14"/>
        <v>6</v>
      </c>
      <c r="O54" s="44">
        <f t="shared" si="14"/>
        <v>1</v>
      </c>
      <c r="P54" s="44">
        <f t="shared" si="14"/>
        <v>0</v>
      </c>
      <c r="Q54" s="44">
        <f t="shared" si="14"/>
        <v>0</v>
      </c>
      <c r="R54" s="44">
        <f t="shared" si="14"/>
        <v>4</v>
      </c>
      <c r="S54" s="44">
        <f t="shared" si="14"/>
        <v>0</v>
      </c>
      <c r="T54" s="44">
        <f t="shared" si="14"/>
        <v>1</v>
      </c>
      <c r="U54" s="44">
        <f t="shared" si="14"/>
        <v>0</v>
      </c>
      <c r="V54" s="44">
        <f t="shared" si="14"/>
        <v>24</v>
      </c>
      <c r="W54" s="44">
        <f t="shared" si="14"/>
        <v>0</v>
      </c>
      <c r="X54" s="44">
        <f t="shared" si="14"/>
        <v>0</v>
      </c>
      <c r="Y54" s="44">
        <f t="shared" si="14"/>
        <v>1</v>
      </c>
      <c r="Z54" s="44">
        <f t="shared" si="14"/>
        <v>12</v>
      </c>
      <c r="AA54" s="44">
        <f t="shared" si="14"/>
        <v>0</v>
      </c>
      <c r="AB54" s="44">
        <f t="shared" si="14"/>
        <v>2</v>
      </c>
      <c r="AC54" s="44">
        <f t="shared" si="14"/>
        <v>1</v>
      </c>
      <c r="AF54" s="44">
        <f t="shared" si="14"/>
        <v>2</v>
      </c>
      <c r="AG54" s="44">
        <f t="shared" si="14"/>
        <v>1</v>
      </c>
      <c r="AH54" s="44">
        <f t="shared" si="14"/>
        <v>1</v>
      </c>
      <c r="AI54" s="44">
        <f t="shared" si="14"/>
        <v>1</v>
      </c>
      <c r="AJ54" s="44">
        <f t="shared" si="14"/>
        <v>6</v>
      </c>
      <c r="AK54" s="44">
        <f t="shared" si="14"/>
        <v>3</v>
      </c>
      <c r="AL54" s="44">
        <f t="shared" si="14"/>
        <v>1</v>
      </c>
      <c r="AM54" s="44">
        <f t="shared" si="14"/>
        <v>2</v>
      </c>
      <c r="AN54" s="44">
        <f t="shared" si="14"/>
        <v>3</v>
      </c>
      <c r="AO54" s="44">
        <f t="shared" si="14"/>
        <v>1</v>
      </c>
      <c r="AP54" s="44">
        <f t="shared" si="14"/>
        <v>4</v>
      </c>
      <c r="AQ54" s="44">
        <f t="shared" si="14"/>
        <v>1</v>
      </c>
      <c r="AR54" s="44">
        <f t="shared" si="14"/>
        <v>1</v>
      </c>
      <c r="AS54" s="44">
        <f t="shared" si="14"/>
        <v>1</v>
      </c>
      <c r="AT54" s="44">
        <f t="shared" si="14"/>
        <v>2</v>
      </c>
      <c r="AU54" s="44">
        <f t="shared" si="14"/>
        <v>1</v>
      </c>
      <c r="AV54" s="44">
        <f>SUM(AV38:AV52)</f>
        <v>426</v>
      </c>
      <c r="BT54" s="44">
        <f t="shared" si="14"/>
        <v>0</v>
      </c>
      <c r="BU54" s="44">
        <f t="shared" si="14"/>
        <v>1</v>
      </c>
      <c r="BW54" s="44">
        <f t="shared" si="14"/>
        <v>24</v>
      </c>
      <c r="BX54" s="44">
        <f t="shared" si="14"/>
        <v>24</v>
      </c>
      <c r="BY54" s="44">
        <f t="shared" si="14"/>
        <v>10</v>
      </c>
      <c r="BZ54" s="44">
        <f t="shared" si="14"/>
        <v>0</v>
      </c>
      <c r="CA54" s="44">
        <f t="shared" si="14"/>
        <v>0</v>
      </c>
      <c r="CB54" s="44">
        <f t="shared" si="14"/>
        <v>0</v>
      </c>
    </row>
    <row r="55" spans="1:80" ht="14"/>
    <row r="56" spans="1:80" ht="14">
      <c r="A56" s="42">
        <v>1</v>
      </c>
      <c r="B56" s="42" t="s">
        <v>60</v>
      </c>
      <c r="C56" s="42" t="s">
        <v>11</v>
      </c>
      <c r="D56" s="42" t="s">
        <v>197</v>
      </c>
      <c r="E56" s="42" t="s">
        <v>198</v>
      </c>
      <c r="F56" s="42">
        <v>2024</v>
      </c>
      <c r="G56" s="42" t="s">
        <v>129</v>
      </c>
      <c r="N56" s="42">
        <v>1</v>
      </c>
      <c r="BX56" s="42">
        <v>4</v>
      </c>
      <c r="BY56" s="42">
        <v>1</v>
      </c>
    </row>
    <row r="57" spans="1:80" ht="14"/>
    <row r="58" spans="1:80" s="44" customFormat="1" ht="14">
      <c r="B58" s="44" t="s">
        <v>20</v>
      </c>
      <c r="H58" s="44">
        <f>SUM(H56:H57)</f>
        <v>0</v>
      </c>
      <c r="I58" s="44">
        <f t="shared" ref="I58:BU58" si="15">SUM(I56:I57)</f>
        <v>0</v>
      </c>
      <c r="J58" s="44">
        <f t="shared" si="15"/>
        <v>0</v>
      </c>
      <c r="K58" s="44">
        <f t="shared" si="15"/>
        <v>0</v>
      </c>
      <c r="L58" s="44">
        <f t="shared" si="15"/>
        <v>0</v>
      </c>
      <c r="M58" s="44">
        <f t="shared" si="15"/>
        <v>0</v>
      </c>
      <c r="N58" s="44">
        <f t="shared" si="15"/>
        <v>1</v>
      </c>
      <c r="O58" s="44">
        <f t="shared" si="15"/>
        <v>0</v>
      </c>
      <c r="P58" s="44">
        <f t="shared" si="15"/>
        <v>0</v>
      </c>
      <c r="Q58" s="44">
        <f t="shared" si="15"/>
        <v>0</v>
      </c>
      <c r="R58" s="44">
        <f t="shared" si="15"/>
        <v>0</v>
      </c>
      <c r="S58" s="44">
        <f t="shared" si="15"/>
        <v>0</v>
      </c>
      <c r="T58" s="44">
        <f t="shared" si="15"/>
        <v>0</v>
      </c>
      <c r="U58" s="44">
        <f t="shared" si="15"/>
        <v>0</v>
      </c>
      <c r="V58" s="44">
        <f t="shared" si="15"/>
        <v>0</v>
      </c>
      <c r="W58" s="44">
        <f t="shared" si="15"/>
        <v>0</v>
      </c>
      <c r="X58" s="44">
        <f t="shared" si="15"/>
        <v>0</v>
      </c>
      <c r="Y58" s="44">
        <f t="shared" si="15"/>
        <v>0</v>
      </c>
      <c r="Z58" s="44">
        <f t="shared" si="15"/>
        <v>0</v>
      </c>
      <c r="AA58" s="44">
        <f t="shared" si="15"/>
        <v>0</v>
      </c>
      <c r="AB58" s="44">
        <f t="shared" si="15"/>
        <v>0</v>
      </c>
      <c r="AC58" s="44">
        <f t="shared" si="15"/>
        <v>0</v>
      </c>
      <c r="AD58" s="44">
        <f t="shared" si="15"/>
        <v>0</v>
      </c>
      <c r="AF58" s="44">
        <f t="shared" si="15"/>
        <v>0</v>
      </c>
      <c r="AG58" s="44">
        <f t="shared" si="15"/>
        <v>0</v>
      </c>
      <c r="AH58" s="44">
        <f t="shared" si="15"/>
        <v>0</v>
      </c>
      <c r="AI58" s="44">
        <f t="shared" si="15"/>
        <v>0</v>
      </c>
      <c r="AJ58" s="44">
        <f t="shared" si="15"/>
        <v>0</v>
      </c>
      <c r="AK58" s="44">
        <f t="shared" si="15"/>
        <v>0</v>
      </c>
      <c r="AL58" s="44">
        <f t="shared" si="15"/>
        <v>0</v>
      </c>
      <c r="AM58" s="44">
        <f t="shared" si="15"/>
        <v>0</v>
      </c>
      <c r="AN58" s="44">
        <f t="shared" si="15"/>
        <v>0</v>
      </c>
      <c r="AO58" s="44">
        <f t="shared" si="15"/>
        <v>0</v>
      </c>
      <c r="AP58" s="44">
        <f t="shared" si="15"/>
        <v>0</v>
      </c>
      <c r="AQ58" s="44">
        <f t="shared" si="15"/>
        <v>0</v>
      </c>
      <c r="AR58" s="44">
        <f t="shared" si="15"/>
        <v>0</v>
      </c>
      <c r="AS58" s="44">
        <f t="shared" si="15"/>
        <v>0</v>
      </c>
      <c r="AT58" s="44">
        <f t="shared" si="15"/>
        <v>0</v>
      </c>
      <c r="AU58" s="44">
        <f t="shared" si="15"/>
        <v>0</v>
      </c>
      <c r="AV58" s="44">
        <f t="shared" si="15"/>
        <v>0</v>
      </c>
      <c r="AW58" s="44">
        <f t="shared" si="15"/>
        <v>0</v>
      </c>
      <c r="AX58" s="44">
        <f t="shared" si="15"/>
        <v>0</v>
      </c>
      <c r="AY58" s="44">
        <f t="shared" si="15"/>
        <v>0</v>
      </c>
      <c r="AZ58" s="44">
        <f t="shared" si="15"/>
        <v>0</v>
      </c>
      <c r="BA58" s="44">
        <f t="shared" si="15"/>
        <v>0</v>
      </c>
      <c r="BB58" s="44">
        <f t="shared" si="15"/>
        <v>0</v>
      </c>
      <c r="BC58" s="44">
        <f t="shared" si="15"/>
        <v>0</v>
      </c>
      <c r="BD58" s="44">
        <f t="shared" si="15"/>
        <v>0</v>
      </c>
      <c r="BE58" s="44">
        <f t="shared" si="15"/>
        <v>0</v>
      </c>
      <c r="BF58" s="44">
        <f t="shared" si="15"/>
        <v>0</v>
      </c>
      <c r="BG58" s="44">
        <f t="shared" si="15"/>
        <v>0</v>
      </c>
      <c r="BH58" s="44">
        <f t="shared" si="15"/>
        <v>0</v>
      </c>
      <c r="BI58" s="44">
        <f t="shared" si="15"/>
        <v>0</v>
      </c>
      <c r="BJ58" s="44">
        <f t="shared" si="15"/>
        <v>0</v>
      </c>
      <c r="BK58" s="44">
        <f t="shared" si="15"/>
        <v>0</v>
      </c>
      <c r="BL58" s="44">
        <f t="shared" si="15"/>
        <v>0</v>
      </c>
      <c r="BM58" s="44">
        <f t="shared" si="15"/>
        <v>0</v>
      </c>
      <c r="BN58" s="44">
        <f t="shared" si="15"/>
        <v>0</v>
      </c>
      <c r="BO58" s="44">
        <f t="shared" si="15"/>
        <v>0</v>
      </c>
      <c r="BP58" s="44">
        <f t="shared" si="15"/>
        <v>0</v>
      </c>
      <c r="BQ58" s="44">
        <f t="shared" si="15"/>
        <v>0</v>
      </c>
      <c r="BR58" s="44">
        <f t="shared" si="15"/>
        <v>0</v>
      </c>
      <c r="BS58" s="44">
        <f t="shared" si="15"/>
        <v>0</v>
      </c>
      <c r="BT58" s="44">
        <f t="shared" si="15"/>
        <v>0</v>
      </c>
      <c r="BU58" s="44">
        <f t="shared" si="15"/>
        <v>0</v>
      </c>
      <c r="BV58" s="44">
        <f t="shared" ref="BV58:CB58" si="16">SUM(BV56:BV57)</f>
        <v>0</v>
      </c>
      <c r="BW58" s="44">
        <f t="shared" si="16"/>
        <v>0</v>
      </c>
      <c r="BX58" s="44">
        <f t="shared" si="16"/>
        <v>4</v>
      </c>
      <c r="BY58" s="44">
        <f t="shared" si="16"/>
        <v>1</v>
      </c>
      <c r="BZ58" s="44">
        <f t="shared" si="16"/>
        <v>0</v>
      </c>
      <c r="CA58" s="44">
        <f t="shared" si="16"/>
        <v>0</v>
      </c>
      <c r="CB58" s="44">
        <f t="shared" si="16"/>
        <v>0</v>
      </c>
    </row>
    <row r="59" spans="1:80" ht="14"/>
    <row r="60" spans="1:80" ht="14">
      <c r="A60" s="42">
        <v>1</v>
      </c>
      <c r="B60" s="42" t="s">
        <v>61</v>
      </c>
      <c r="C60" s="42" t="s">
        <v>11</v>
      </c>
      <c r="D60" s="42" t="s">
        <v>199</v>
      </c>
      <c r="E60" s="42" t="s">
        <v>200</v>
      </c>
      <c r="F60" s="42">
        <v>2024</v>
      </c>
      <c r="G60" s="42" t="s">
        <v>129</v>
      </c>
      <c r="N60" s="42">
        <v>1</v>
      </c>
      <c r="X60" s="42">
        <v>1</v>
      </c>
      <c r="AV60" s="42">
        <f>SUM(AW60:BU60)</f>
        <v>4</v>
      </c>
      <c r="BD60" s="42">
        <v>2</v>
      </c>
      <c r="BK60" s="42">
        <v>2</v>
      </c>
      <c r="BX60" s="42">
        <v>4</v>
      </c>
      <c r="BY60" s="42">
        <v>1</v>
      </c>
    </row>
    <row r="61" spans="1:80" ht="14">
      <c r="A61" s="42">
        <v>2</v>
      </c>
      <c r="B61" s="42" t="s">
        <v>62</v>
      </c>
      <c r="C61" s="42" t="s">
        <v>11</v>
      </c>
      <c r="D61" s="42" t="s">
        <v>201</v>
      </c>
      <c r="E61" s="42" t="s">
        <v>202</v>
      </c>
      <c r="F61" s="42">
        <v>2024</v>
      </c>
      <c r="G61" s="42" t="s">
        <v>129</v>
      </c>
      <c r="N61" s="42">
        <v>1</v>
      </c>
      <c r="X61" s="42">
        <v>1</v>
      </c>
      <c r="AV61" s="42">
        <f>SUM(AW61:BU61)</f>
        <v>4</v>
      </c>
      <c r="BD61" s="42">
        <v>2</v>
      </c>
      <c r="BK61" s="42">
        <v>2</v>
      </c>
      <c r="BX61" s="42">
        <v>4</v>
      </c>
      <c r="BY61" s="42">
        <v>1</v>
      </c>
    </row>
    <row r="62" spans="1:80" ht="14">
      <c r="A62" s="42">
        <v>3</v>
      </c>
      <c r="B62" s="42" t="s">
        <v>63</v>
      </c>
      <c r="C62" s="42" t="s">
        <v>11</v>
      </c>
      <c r="D62" s="42" t="s">
        <v>203</v>
      </c>
      <c r="E62" s="42" t="s">
        <v>204</v>
      </c>
      <c r="F62" s="42">
        <v>2024</v>
      </c>
      <c r="G62" s="42" t="s">
        <v>129</v>
      </c>
      <c r="N62" s="42">
        <v>1</v>
      </c>
      <c r="Y62" s="42">
        <v>1</v>
      </c>
      <c r="AV62" s="42">
        <f>SUM(AW62:BU62)</f>
        <v>4</v>
      </c>
      <c r="BA62" s="42">
        <v>3</v>
      </c>
      <c r="BK62" s="42">
        <v>1</v>
      </c>
      <c r="BX62" s="42">
        <v>4</v>
      </c>
      <c r="BY62" s="42">
        <v>1</v>
      </c>
    </row>
    <row r="63" spans="1:80" ht="14">
      <c r="A63" s="42">
        <v>5</v>
      </c>
      <c r="B63" s="42" t="s">
        <v>61</v>
      </c>
      <c r="C63" s="42" t="s">
        <v>11</v>
      </c>
      <c r="D63" s="42" t="s">
        <v>205</v>
      </c>
      <c r="E63" s="42" t="s">
        <v>206</v>
      </c>
      <c r="F63" s="42">
        <v>2023</v>
      </c>
      <c r="G63" s="42" t="s">
        <v>129</v>
      </c>
      <c r="N63" s="42">
        <v>1</v>
      </c>
      <c r="Z63" s="42">
        <v>1</v>
      </c>
      <c r="AB63" s="42">
        <v>1</v>
      </c>
      <c r="AV63" s="42">
        <f>SUM(AW63:BU63)</f>
        <v>15</v>
      </c>
      <c r="AY63" s="42">
        <v>2</v>
      </c>
      <c r="AZ63" s="42">
        <v>3</v>
      </c>
      <c r="BA63" s="42">
        <v>2</v>
      </c>
      <c r="BD63" s="42">
        <v>6</v>
      </c>
      <c r="BG63" s="42">
        <v>1</v>
      </c>
      <c r="BK63" s="42">
        <v>1</v>
      </c>
      <c r="BX63" s="42">
        <v>4</v>
      </c>
      <c r="BY63" s="42">
        <v>1</v>
      </c>
    </row>
    <row r="64" spans="1:80" ht="14"/>
    <row r="65" spans="1:80" s="44" customFormat="1" ht="14">
      <c r="B65" s="44" t="s">
        <v>20</v>
      </c>
      <c r="H65" s="44">
        <f t="shared" ref="H65:W65" si="17">SUM(H63)</f>
        <v>0</v>
      </c>
      <c r="I65" s="44">
        <f t="shared" si="17"/>
        <v>0</v>
      </c>
      <c r="J65" s="44">
        <f t="shared" si="17"/>
        <v>0</v>
      </c>
      <c r="K65" s="44">
        <f t="shared" si="17"/>
        <v>0</v>
      </c>
      <c r="L65" s="44">
        <f t="shared" si="17"/>
        <v>0</v>
      </c>
      <c r="M65" s="44">
        <f t="shared" si="17"/>
        <v>0</v>
      </c>
      <c r="N65" s="44">
        <f t="shared" si="17"/>
        <v>1</v>
      </c>
      <c r="O65" s="44">
        <f t="shared" si="17"/>
        <v>0</v>
      </c>
      <c r="P65" s="44">
        <f t="shared" si="17"/>
        <v>0</v>
      </c>
      <c r="Q65" s="44">
        <f t="shared" si="17"/>
        <v>0</v>
      </c>
      <c r="R65" s="44">
        <f t="shared" si="17"/>
        <v>0</v>
      </c>
      <c r="S65" s="44">
        <f t="shared" si="17"/>
        <v>0</v>
      </c>
      <c r="T65" s="44">
        <f t="shared" si="17"/>
        <v>0</v>
      </c>
      <c r="U65" s="44">
        <f t="shared" si="17"/>
        <v>0</v>
      </c>
      <c r="V65" s="44">
        <f t="shared" si="17"/>
        <v>0</v>
      </c>
      <c r="W65" s="44">
        <f t="shared" si="17"/>
        <v>0</v>
      </c>
      <c r="X65" s="44">
        <f t="shared" ref="X65:AR65" si="18">SUM(X59:X64)</f>
        <v>2</v>
      </c>
      <c r="Y65" s="44">
        <f t="shared" si="18"/>
        <v>1</v>
      </c>
      <c r="Z65" s="44">
        <f t="shared" si="18"/>
        <v>1</v>
      </c>
      <c r="AA65" s="44">
        <f t="shared" si="18"/>
        <v>0</v>
      </c>
      <c r="AB65" s="44">
        <f t="shared" si="18"/>
        <v>1</v>
      </c>
      <c r="AC65" s="44">
        <f t="shared" si="18"/>
        <v>0</v>
      </c>
      <c r="AD65" s="44">
        <f t="shared" si="18"/>
        <v>0</v>
      </c>
      <c r="AE65" s="44">
        <f t="shared" si="18"/>
        <v>0</v>
      </c>
      <c r="AF65" s="44">
        <f t="shared" si="18"/>
        <v>0</v>
      </c>
      <c r="AG65" s="44">
        <f t="shared" si="18"/>
        <v>0</v>
      </c>
      <c r="AH65" s="44">
        <f t="shared" si="18"/>
        <v>0</v>
      </c>
      <c r="AI65" s="44">
        <f t="shared" si="18"/>
        <v>0</v>
      </c>
      <c r="AJ65" s="44">
        <f t="shared" si="18"/>
        <v>0</v>
      </c>
      <c r="AK65" s="44">
        <f t="shared" si="18"/>
        <v>0</v>
      </c>
      <c r="AL65" s="44">
        <f t="shared" si="18"/>
        <v>0</v>
      </c>
      <c r="AM65" s="44">
        <f t="shared" si="18"/>
        <v>0</v>
      </c>
      <c r="AN65" s="44">
        <f t="shared" si="18"/>
        <v>0</v>
      </c>
      <c r="AO65" s="44">
        <f t="shared" si="18"/>
        <v>0</v>
      </c>
      <c r="AP65" s="44">
        <f t="shared" si="18"/>
        <v>0</v>
      </c>
      <c r="AQ65" s="44">
        <f t="shared" si="18"/>
        <v>0</v>
      </c>
      <c r="AR65" s="44">
        <f t="shared" si="18"/>
        <v>0</v>
      </c>
      <c r="AS65" s="44">
        <f t="shared" ref="AS65:BD65" si="19">SUM(AS63)</f>
        <v>0</v>
      </c>
      <c r="AT65" s="44">
        <f t="shared" si="19"/>
        <v>0</v>
      </c>
      <c r="AU65" s="44">
        <f t="shared" si="19"/>
        <v>0</v>
      </c>
      <c r="AV65" s="44">
        <f>SUM(AV60:AV63)</f>
        <v>27</v>
      </c>
      <c r="AW65" s="44">
        <f t="shared" si="19"/>
        <v>0</v>
      </c>
      <c r="AX65" s="44">
        <f t="shared" si="19"/>
        <v>0</v>
      </c>
      <c r="AY65" s="44">
        <f t="shared" si="19"/>
        <v>2</v>
      </c>
      <c r="AZ65" s="44">
        <f t="shared" si="19"/>
        <v>3</v>
      </c>
      <c r="BA65" s="44">
        <f t="shared" si="19"/>
        <v>2</v>
      </c>
      <c r="BB65" s="44">
        <f t="shared" si="19"/>
        <v>0</v>
      </c>
      <c r="BC65" s="44">
        <f t="shared" si="19"/>
        <v>0</v>
      </c>
      <c r="BD65" s="44">
        <f t="shared" si="19"/>
        <v>6</v>
      </c>
      <c r="BT65" s="44">
        <f>SUM(BT41:BT59)</f>
        <v>0</v>
      </c>
      <c r="BU65" s="44">
        <f>SUM(BU41:BU59)</f>
        <v>2</v>
      </c>
      <c r="BW65" s="44">
        <f t="shared" ref="BW65:CB65" si="20">SUM(BW41:BW59)</f>
        <v>48</v>
      </c>
      <c r="BX65" s="44">
        <f t="shared" si="20"/>
        <v>44</v>
      </c>
      <c r="BY65" s="44">
        <f t="shared" si="20"/>
        <v>20</v>
      </c>
      <c r="BZ65" s="44">
        <f t="shared" si="20"/>
        <v>0</v>
      </c>
      <c r="CA65" s="44">
        <f t="shared" si="20"/>
        <v>0</v>
      </c>
      <c r="CB65" s="44">
        <f t="shared" si="20"/>
        <v>0</v>
      </c>
    </row>
    <row r="66" spans="1:80" ht="14"/>
    <row r="67" spans="1:80" ht="14">
      <c r="A67" s="42">
        <v>1</v>
      </c>
      <c r="B67" s="42" t="s">
        <v>53</v>
      </c>
      <c r="C67" s="42" t="s">
        <v>10</v>
      </c>
      <c r="D67" s="42" t="s">
        <v>207</v>
      </c>
      <c r="E67" s="42" t="s">
        <v>208</v>
      </c>
      <c r="F67" s="42">
        <v>2021</v>
      </c>
      <c r="G67" s="42" t="s">
        <v>126</v>
      </c>
      <c r="V67" s="42">
        <v>1</v>
      </c>
      <c r="AD67" s="42">
        <v>1</v>
      </c>
      <c r="AV67" s="42">
        <f t="shared" ref="AV67" si="21">SUM(AW67:BS67)</f>
        <v>4</v>
      </c>
      <c r="BC67" s="42">
        <v>1</v>
      </c>
      <c r="BI67" s="42">
        <v>1</v>
      </c>
      <c r="BJ67" s="42">
        <v>1</v>
      </c>
      <c r="BK67" s="42">
        <v>1</v>
      </c>
    </row>
    <row r="68" spans="1:80" ht="14">
      <c r="A68" s="42">
        <v>2</v>
      </c>
      <c r="B68" s="42" t="s">
        <v>53</v>
      </c>
      <c r="C68" s="42" t="s">
        <v>10</v>
      </c>
      <c r="D68" s="42" t="s">
        <v>209</v>
      </c>
      <c r="E68" s="42" t="s">
        <v>210</v>
      </c>
      <c r="F68" s="42">
        <v>2021</v>
      </c>
      <c r="G68" s="42" t="s">
        <v>126</v>
      </c>
      <c r="V68" s="42">
        <v>2</v>
      </c>
      <c r="Z68" s="42">
        <v>1</v>
      </c>
      <c r="AV68" s="42">
        <f t="shared" ref="AV68:AV74" si="22">SUM(AW68:BS68)</f>
        <v>5</v>
      </c>
      <c r="BE68" s="42">
        <v>1</v>
      </c>
      <c r="BH68" s="42">
        <v>1</v>
      </c>
      <c r="BJ68" s="42">
        <v>1</v>
      </c>
      <c r="BL68" s="42">
        <v>2</v>
      </c>
    </row>
    <row r="69" spans="1:80" ht="14">
      <c r="A69" s="42">
        <v>3</v>
      </c>
      <c r="B69" s="42" t="s">
        <v>53</v>
      </c>
      <c r="C69" s="42" t="s">
        <v>10</v>
      </c>
      <c r="D69" s="42" t="s">
        <v>211</v>
      </c>
      <c r="E69" s="42" t="s">
        <v>212</v>
      </c>
      <c r="F69" s="42">
        <v>2023</v>
      </c>
      <c r="G69" s="42" t="s">
        <v>126</v>
      </c>
      <c r="I69" s="42">
        <v>1</v>
      </c>
      <c r="V69" s="42">
        <v>1</v>
      </c>
      <c r="X69" s="42">
        <v>1</v>
      </c>
      <c r="AV69" s="42">
        <f t="shared" si="22"/>
        <v>2</v>
      </c>
      <c r="BL69" s="42">
        <v>2</v>
      </c>
      <c r="BX69" s="42">
        <v>4</v>
      </c>
      <c r="BY69" s="42">
        <v>1</v>
      </c>
    </row>
    <row r="70" spans="1:80" ht="14">
      <c r="A70" s="42">
        <v>4</v>
      </c>
      <c r="B70" s="42" t="s">
        <v>53</v>
      </c>
      <c r="C70" s="42" t="s">
        <v>10</v>
      </c>
      <c r="D70" s="42" t="s">
        <v>213</v>
      </c>
      <c r="E70" s="42" t="s">
        <v>214</v>
      </c>
      <c r="F70" s="42">
        <v>2023</v>
      </c>
      <c r="G70" s="42" t="s">
        <v>126</v>
      </c>
      <c r="I70" s="42">
        <v>1</v>
      </c>
      <c r="W70" s="42">
        <v>1</v>
      </c>
      <c r="Z70" s="42">
        <v>1</v>
      </c>
      <c r="AV70" s="42">
        <f t="shared" si="22"/>
        <v>4</v>
      </c>
      <c r="BA70" s="42">
        <v>2</v>
      </c>
      <c r="BL70" s="42">
        <v>1</v>
      </c>
      <c r="BR70" s="42">
        <v>1</v>
      </c>
      <c r="BX70" s="42">
        <v>4</v>
      </c>
      <c r="BY70" s="42">
        <v>1</v>
      </c>
    </row>
    <row r="71" spans="1:80" ht="14">
      <c r="A71" s="42">
        <v>5</v>
      </c>
      <c r="B71" s="42" t="s">
        <v>53</v>
      </c>
      <c r="C71" s="42" t="s">
        <v>10</v>
      </c>
      <c r="D71" s="42" t="s">
        <v>215</v>
      </c>
      <c r="E71" s="42" t="s">
        <v>216</v>
      </c>
      <c r="F71" s="42">
        <v>2023</v>
      </c>
      <c r="G71" s="42" t="s">
        <v>129</v>
      </c>
      <c r="N71" s="42">
        <v>1</v>
      </c>
      <c r="X71" s="42">
        <v>1</v>
      </c>
      <c r="AV71" s="42">
        <f t="shared" si="22"/>
        <v>3</v>
      </c>
      <c r="BB71" s="42">
        <v>1</v>
      </c>
      <c r="BP71" s="42">
        <v>2</v>
      </c>
      <c r="BX71" s="42">
        <v>4</v>
      </c>
      <c r="BY71" s="42">
        <v>1</v>
      </c>
    </row>
    <row r="72" spans="1:80" ht="14">
      <c r="A72" s="42">
        <v>6</v>
      </c>
      <c r="B72" s="42" t="s">
        <v>53</v>
      </c>
      <c r="C72" s="42" t="s">
        <v>10</v>
      </c>
      <c r="D72" s="42" t="s">
        <v>217</v>
      </c>
      <c r="E72" s="42" t="s">
        <v>218</v>
      </c>
      <c r="F72" s="42">
        <v>2023</v>
      </c>
      <c r="G72" s="42" t="s">
        <v>126</v>
      </c>
      <c r="AC72" s="42">
        <v>1</v>
      </c>
      <c r="AV72" s="42">
        <f t="shared" si="22"/>
        <v>2</v>
      </c>
      <c r="BJ72" s="42">
        <v>1</v>
      </c>
      <c r="BQ72" s="42">
        <v>1</v>
      </c>
    </row>
    <row r="73" spans="1:80" ht="14">
      <c r="A73" s="42">
        <v>7</v>
      </c>
      <c r="B73" s="42" t="s">
        <v>53</v>
      </c>
      <c r="C73" s="42" t="s">
        <v>10</v>
      </c>
      <c r="D73" s="42" t="s">
        <v>219</v>
      </c>
      <c r="E73" s="42" t="s">
        <v>220</v>
      </c>
      <c r="F73" s="42">
        <v>2023</v>
      </c>
      <c r="G73" s="42" t="s">
        <v>126</v>
      </c>
      <c r="I73" s="42">
        <v>1</v>
      </c>
      <c r="V73" s="42">
        <v>1</v>
      </c>
      <c r="AC73" s="42">
        <v>1</v>
      </c>
      <c r="AV73" s="42">
        <f t="shared" si="22"/>
        <v>3</v>
      </c>
      <c r="AY73" s="42">
        <v>1</v>
      </c>
      <c r="BB73" s="42">
        <v>1</v>
      </c>
      <c r="BJ73" s="42">
        <v>1</v>
      </c>
      <c r="BX73" s="42">
        <v>4</v>
      </c>
      <c r="BY73" s="42">
        <v>1</v>
      </c>
    </row>
    <row r="74" spans="1:80" ht="14">
      <c r="A74" s="42">
        <v>8</v>
      </c>
      <c r="B74" s="42" t="s">
        <v>53</v>
      </c>
      <c r="C74" s="42" t="s">
        <v>10</v>
      </c>
      <c r="D74" s="42" t="s">
        <v>221</v>
      </c>
      <c r="E74" s="42" t="s">
        <v>222</v>
      </c>
      <c r="F74" s="42">
        <v>2022</v>
      </c>
      <c r="G74" s="42" t="s">
        <v>126</v>
      </c>
      <c r="V74" s="42">
        <v>2</v>
      </c>
      <c r="AE74" s="42">
        <v>1</v>
      </c>
      <c r="AV74" s="42">
        <f t="shared" si="22"/>
        <v>2</v>
      </c>
      <c r="BI74" s="42">
        <v>1</v>
      </c>
      <c r="BL74" s="42">
        <v>1</v>
      </c>
    </row>
    <row r="75" spans="1:80" ht="14"/>
    <row r="76" spans="1:80" s="44" customFormat="1" ht="14">
      <c r="B76" s="44" t="s">
        <v>20</v>
      </c>
      <c r="H76" s="44">
        <f>SUM(H67:H74)</f>
        <v>0</v>
      </c>
      <c r="I76" s="44">
        <f t="shared" ref="I76:CB76" si="23">SUM(I67:I74)</f>
        <v>3</v>
      </c>
      <c r="J76" s="44">
        <f t="shared" si="23"/>
        <v>0</v>
      </c>
      <c r="K76" s="44">
        <f t="shared" si="23"/>
        <v>0</v>
      </c>
      <c r="L76" s="44">
        <f t="shared" si="23"/>
        <v>0</v>
      </c>
      <c r="M76" s="44">
        <f t="shared" si="23"/>
        <v>0</v>
      </c>
      <c r="N76" s="44">
        <f t="shared" si="23"/>
        <v>1</v>
      </c>
      <c r="O76" s="44">
        <f t="shared" si="23"/>
        <v>0</v>
      </c>
      <c r="P76" s="44">
        <f t="shared" si="23"/>
        <v>0</v>
      </c>
      <c r="Q76" s="44">
        <f t="shared" si="23"/>
        <v>0</v>
      </c>
      <c r="R76" s="44">
        <f t="shared" si="23"/>
        <v>0</v>
      </c>
      <c r="S76" s="44">
        <f t="shared" si="23"/>
        <v>0</v>
      </c>
      <c r="T76" s="44">
        <f t="shared" si="23"/>
        <v>0</v>
      </c>
      <c r="U76" s="44">
        <f t="shared" si="23"/>
        <v>0</v>
      </c>
      <c r="V76" s="44">
        <f t="shared" si="23"/>
        <v>7</v>
      </c>
      <c r="W76" s="44">
        <f t="shared" si="23"/>
        <v>1</v>
      </c>
      <c r="X76" s="44">
        <f>SUM(X67:X74)</f>
        <v>2</v>
      </c>
      <c r="Y76" s="44">
        <f t="shared" si="23"/>
        <v>0</v>
      </c>
      <c r="Z76" s="44">
        <f t="shared" si="23"/>
        <v>2</v>
      </c>
      <c r="AA76" s="44">
        <f t="shared" si="23"/>
        <v>0</v>
      </c>
      <c r="AB76" s="44">
        <f t="shared" si="23"/>
        <v>0</v>
      </c>
      <c r="AC76" s="44">
        <f t="shared" si="23"/>
        <v>2</v>
      </c>
      <c r="AD76" s="44">
        <f>SUM(AD67:AD74)</f>
        <v>1</v>
      </c>
      <c r="AE76" s="44">
        <f>SUM(AE67:AE74)</f>
        <v>1</v>
      </c>
      <c r="AF76" s="44">
        <f t="shared" si="23"/>
        <v>0</v>
      </c>
      <c r="AH76" s="44">
        <f t="shared" si="23"/>
        <v>0</v>
      </c>
      <c r="AI76" s="44">
        <f t="shared" si="23"/>
        <v>0</v>
      </c>
      <c r="AJ76" s="44">
        <f t="shared" si="23"/>
        <v>0</v>
      </c>
      <c r="AK76" s="44">
        <f t="shared" si="23"/>
        <v>0</v>
      </c>
      <c r="AL76" s="44">
        <f t="shared" si="23"/>
        <v>0</v>
      </c>
      <c r="AM76" s="44">
        <f t="shared" si="23"/>
        <v>0</v>
      </c>
      <c r="AN76" s="44">
        <f t="shared" si="23"/>
        <v>0</v>
      </c>
      <c r="AO76" s="44">
        <f t="shared" si="23"/>
        <v>0</v>
      </c>
      <c r="AP76" s="44">
        <f t="shared" si="23"/>
        <v>0</v>
      </c>
      <c r="AQ76" s="44">
        <f t="shared" si="23"/>
        <v>0</v>
      </c>
      <c r="AR76" s="44">
        <f t="shared" si="23"/>
        <v>0</v>
      </c>
      <c r="AS76" s="44">
        <f t="shared" si="23"/>
        <v>0</v>
      </c>
      <c r="AT76" s="44">
        <f t="shared" si="23"/>
        <v>0</v>
      </c>
      <c r="AU76" s="44">
        <f t="shared" si="23"/>
        <v>0</v>
      </c>
      <c r="AV76" s="44">
        <f>SUM(AV67:AV74)</f>
        <v>25</v>
      </c>
      <c r="BT76" s="44">
        <f t="shared" si="23"/>
        <v>0</v>
      </c>
      <c r="BU76" s="44">
        <f t="shared" si="23"/>
        <v>0</v>
      </c>
      <c r="BW76" s="44">
        <f t="shared" si="23"/>
        <v>0</v>
      </c>
      <c r="BX76" s="44">
        <f t="shared" si="23"/>
        <v>16</v>
      </c>
      <c r="BY76" s="44">
        <f t="shared" si="23"/>
        <v>4</v>
      </c>
      <c r="BZ76" s="44">
        <f t="shared" si="23"/>
        <v>0</v>
      </c>
      <c r="CA76" s="44">
        <f t="shared" si="23"/>
        <v>0</v>
      </c>
      <c r="CB76" s="44">
        <f t="shared" si="23"/>
        <v>0</v>
      </c>
    </row>
    <row r="77" spans="1:80" ht="14"/>
    <row r="78" spans="1:80" ht="14">
      <c r="A78" s="42">
        <v>1</v>
      </c>
      <c r="B78" s="42" t="s">
        <v>55</v>
      </c>
      <c r="C78" s="42" t="s">
        <v>10</v>
      </c>
      <c r="D78" s="42" t="s">
        <v>223</v>
      </c>
      <c r="E78" s="42" t="s">
        <v>224</v>
      </c>
      <c r="F78" s="42">
        <v>2020</v>
      </c>
      <c r="G78" s="42" t="s">
        <v>129</v>
      </c>
      <c r="N78" s="42">
        <v>1</v>
      </c>
      <c r="V78" s="42">
        <v>3</v>
      </c>
      <c r="Z78" s="42">
        <v>1</v>
      </c>
      <c r="AG78" s="42">
        <v>1</v>
      </c>
      <c r="AN78" s="42">
        <v>1</v>
      </c>
      <c r="AP78" s="42">
        <v>1</v>
      </c>
      <c r="AV78" s="42">
        <f t="shared" ref="AV78:AV83" si="24">SUM(AW78:BS78)</f>
        <v>44</v>
      </c>
      <c r="AZ78" s="42">
        <v>2</v>
      </c>
      <c r="BA78" s="42">
        <f>13+11</f>
        <v>24</v>
      </c>
      <c r="BB78" s="42">
        <v>1</v>
      </c>
      <c r="BC78" s="42">
        <v>3</v>
      </c>
      <c r="BD78" s="42">
        <v>8</v>
      </c>
      <c r="BE78" s="42">
        <v>2</v>
      </c>
      <c r="BL78" s="42">
        <v>2</v>
      </c>
      <c r="BO78" s="42">
        <v>2</v>
      </c>
      <c r="BU78" s="42">
        <v>1</v>
      </c>
      <c r="BV78" s="42">
        <v>1</v>
      </c>
      <c r="BW78" s="42">
        <v>2</v>
      </c>
      <c r="BX78" s="42">
        <v>4</v>
      </c>
      <c r="BY78" s="42">
        <v>1</v>
      </c>
      <c r="CA78" s="42">
        <v>1</v>
      </c>
    </row>
    <row r="79" spans="1:80" ht="15" customHeight="1">
      <c r="A79" s="42">
        <v>3</v>
      </c>
      <c r="B79" s="42" t="s">
        <v>55</v>
      </c>
      <c r="C79" s="42" t="s">
        <v>10</v>
      </c>
      <c r="D79" s="42" t="s">
        <v>225</v>
      </c>
      <c r="E79" s="42" t="s">
        <v>226</v>
      </c>
      <c r="F79" s="42">
        <v>2023</v>
      </c>
      <c r="G79" s="42" t="s">
        <v>129</v>
      </c>
      <c r="AD79" s="42">
        <v>1</v>
      </c>
      <c r="AV79" s="42">
        <f t="shared" si="24"/>
        <v>3</v>
      </c>
      <c r="BA79" s="42">
        <v>1</v>
      </c>
      <c r="BK79" s="42">
        <v>1</v>
      </c>
      <c r="BL79" s="42">
        <v>1</v>
      </c>
    </row>
    <row r="80" spans="1:80" ht="14">
      <c r="A80" s="42">
        <v>2</v>
      </c>
      <c r="B80" s="42" t="s">
        <v>55</v>
      </c>
      <c r="C80" s="42" t="s">
        <v>10</v>
      </c>
      <c r="D80" s="42" t="s">
        <v>227</v>
      </c>
      <c r="E80" s="42" t="s">
        <v>228</v>
      </c>
      <c r="F80" s="42">
        <v>2022</v>
      </c>
      <c r="G80" s="42" t="s">
        <v>126</v>
      </c>
      <c r="H80" s="42">
        <v>1</v>
      </c>
      <c r="V80" s="42">
        <v>1</v>
      </c>
      <c r="AC80" s="42">
        <v>1</v>
      </c>
      <c r="AV80" s="42">
        <f t="shared" si="24"/>
        <v>5</v>
      </c>
      <c r="BA80" s="42">
        <v>3</v>
      </c>
      <c r="BL80" s="42">
        <v>2</v>
      </c>
      <c r="BX80" s="42">
        <v>2</v>
      </c>
      <c r="BZ80" s="42">
        <v>1</v>
      </c>
    </row>
    <row r="81" spans="1:80" ht="14">
      <c r="A81" s="42">
        <v>3</v>
      </c>
      <c r="B81" s="42" t="s">
        <v>55</v>
      </c>
      <c r="C81" s="42" t="s">
        <v>10</v>
      </c>
      <c r="D81" s="42" t="s">
        <v>229</v>
      </c>
      <c r="E81" s="42" t="s">
        <v>230</v>
      </c>
      <c r="F81" s="42">
        <v>2024</v>
      </c>
      <c r="G81" s="42" t="s">
        <v>129</v>
      </c>
      <c r="N81" s="42">
        <v>1</v>
      </c>
      <c r="AD81" s="42">
        <v>1</v>
      </c>
      <c r="AV81" s="42">
        <f t="shared" si="24"/>
        <v>2</v>
      </c>
      <c r="BJ81" s="42">
        <v>1</v>
      </c>
      <c r="BL81" s="42">
        <v>1</v>
      </c>
      <c r="BU81" s="42">
        <v>1</v>
      </c>
      <c r="BV81" s="42">
        <v>1</v>
      </c>
      <c r="BW81" s="42">
        <v>4</v>
      </c>
      <c r="BZ81" s="42">
        <v>1</v>
      </c>
      <c r="CA81" s="42">
        <v>1</v>
      </c>
    </row>
    <row r="82" spans="1:80" ht="14">
      <c r="A82" s="42">
        <v>4</v>
      </c>
      <c r="B82" s="42" t="s">
        <v>55</v>
      </c>
      <c r="C82" s="42" t="s">
        <v>10</v>
      </c>
      <c r="D82" s="42" t="s">
        <v>231</v>
      </c>
      <c r="E82" s="42" t="s">
        <v>232</v>
      </c>
      <c r="F82" s="42">
        <v>2022</v>
      </c>
      <c r="G82" s="42" t="s">
        <v>126</v>
      </c>
      <c r="H82" s="42">
        <v>1</v>
      </c>
      <c r="V82" s="42">
        <v>2</v>
      </c>
      <c r="Z82" s="42">
        <v>1</v>
      </c>
      <c r="AF82" s="42">
        <v>1</v>
      </c>
      <c r="AQ82" s="42">
        <v>1</v>
      </c>
      <c r="AV82" s="42">
        <f t="shared" si="24"/>
        <v>11</v>
      </c>
      <c r="BA82" s="42">
        <v>6</v>
      </c>
      <c r="BC82" s="42">
        <v>1</v>
      </c>
      <c r="BL82" s="42">
        <v>2</v>
      </c>
      <c r="BN82" s="42">
        <v>2</v>
      </c>
      <c r="BX82" s="42">
        <v>4</v>
      </c>
      <c r="BY82" s="42">
        <v>1</v>
      </c>
    </row>
    <row r="83" spans="1:80" ht="14">
      <c r="A83" s="42">
        <v>5</v>
      </c>
      <c r="B83" s="42" t="s">
        <v>55</v>
      </c>
      <c r="C83" s="42" t="s">
        <v>10</v>
      </c>
      <c r="D83" s="42" t="s">
        <v>233</v>
      </c>
      <c r="E83" s="42" t="s">
        <v>234</v>
      </c>
      <c r="F83" s="42">
        <v>2022</v>
      </c>
      <c r="G83" s="42" t="s">
        <v>126</v>
      </c>
      <c r="H83" s="42">
        <v>1</v>
      </c>
      <c r="V83" s="42">
        <v>2</v>
      </c>
      <c r="AD83" s="42">
        <v>1</v>
      </c>
      <c r="AV83" s="42">
        <f t="shared" si="24"/>
        <v>2</v>
      </c>
      <c r="BL83" s="42">
        <v>2</v>
      </c>
      <c r="BX83" s="42">
        <v>4</v>
      </c>
      <c r="BY83" s="42">
        <v>1</v>
      </c>
    </row>
    <row r="84" spans="1:80" ht="14"/>
    <row r="85" spans="1:80" s="44" customFormat="1" ht="14">
      <c r="B85" s="44" t="s">
        <v>20</v>
      </c>
      <c r="H85" s="44">
        <f>SUM(H78:H83)</f>
        <v>3</v>
      </c>
      <c r="I85" s="44">
        <f t="shared" ref="I85:CB85" si="25">SUM(I78:I83)</f>
        <v>0</v>
      </c>
      <c r="J85" s="44">
        <f t="shared" si="25"/>
        <v>0</v>
      </c>
      <c r="K85" s="44">
        <f t="shared" si="25"/>
        <v>0</v>
      </c>
      <c r="L85" s="44">
        <f t="shared" si="25"/>
        <v>0</v>
      </c>
      <c r="M85" s="44">
        <f t="shared" si="25"/>
        <v>0</v>
      </c>
      <c r="N85" s="44">
        <f t="shared" si="25"/>
        <v>2</v>
      </c>
      <c r="O85" s="44">
        <f t="shared" si="25"/>
        <v>0</v>
      </c>
      <c r="P85" s="44">
        <f t="shared" si="25"/>
        <v>0</v>
      </c>
      <c r="Q85" s="44">
        <f t="shared" si="25"/>
        <v>0</v>
      </c>
      <c r="R85" s="44">
        <f t="shared" si="25"/>
        <v>0</v>
      </c>
      <c r="S85" s="44">
        <f t="shared" si="25"/>
        <v>0</v>
      </c>
      <c r="T85" s="44">
        <f t="shared" si="25"/>
        <v>0</v>
      </c>
      <c r="U85" s="44">
        <f t="shared" si="25"/>
        <v>0</v>
      </c>
      <c r="V85" s="44">
        <f t="shared" si="25"/>
        <v>8</v>
      </c>
      <c r="W85" s="44">
        <f t="shared" si="25"/>
        <v>0</v>
      </c>
      <c r="X85" s="44">
        <f t="shared" si="25"/>
        <v>0</v>
      </c>
      <c r="Y85" s="44">
        <f t="shared" si="25"/>
        <v>0</v>
      </c>
      <c r="Z85" s="44">
        <f t="shared" si="25"/>
        <v>2</v>
      </c>
      <c r="AA85" s="44">
        <f t="shared" si="25"/>
        <v>0</v>
      </c>
      <c r="AB85" s="44">
        <f t="shared" si="25"/>
        <v>0</v>
      </c>
      <c r="AC85" s="44">
        <f t="shared" si="25"/>
        <v>1</v>
      </c>
      <c r="AD85" s="44">
        <f t="shared" si="25"/>
        <v>3</v>
      </c>
      <c r="AF85" s="44">
        <f t="shared" si="25"/>
        <v>1</v>
      </c>
      <c r="AG85" s="44">
        <f t="shared" si="25"/>
        <v>1</v>
      </c>
      <c r="AH85" s="44">
        <f t="shared" si="25"/>
        <v>0</v>
      </c>
      <c r="AI85" s="44">
        <f t="shared" si="25"/>
        <v>0</v>
      </c>
      <c r="AJ85" s="44">
        <f t="shared" si="25"/>
        <v>0</v>
      </c>
      <c r="AK85" s="44">
        <f t="shared" si="25"/>
        <v>0</v>
      </c>
      <c r="AL85" s="44">
        <f t="shared" si="25"/>
        <v>0</v>
      </c>
      <c r="AM85" s="44">
        <f t="shared" si="25"/>
        <v>0</v>
      </c>
      <c r="AN85" s="44">
        <f t="shared" si="25"/>
        <v>1</v>
      </c>
      <c r="AO85" s="44">
        <f t="shared" si="25"/>
        <v>0</v>
      </c>
      <c r="AP85" s="44">
        <f t="shared" si="25"/>
        <v>1</v>
      </c>
      <c r="AQ85" s="44">
        <f t="shared" si="25"/>
        <v>1</v>
      </c>
      <c r="AR85" s="44">
        <f t="shared" si="25"/>
        <v>0</v>
      </c>
      <c r="AS85" s="44">
        <f t="shared" si="25"/>
        <v>0</v>
      </c>
      <c r="AT85" s="44">
        <f t="shared" si="25"/>
        <v>0</v>
      </c>
      <c r="AU85" s="44">
        <f t="shared" si="25"/>
        <v>0</v>
      </c>
      <c r="AV85" s="44">
        <f>SUM(AV78:AV83)</f>
        <v>67</v>
      </c>
      <c r="BT85" s="44">
        <f t="shared" si="25"/>
        <v>0</v>
      </c>
      <c r="BU85" s="44">
        <f t="shared" si="25"/>
        <v>2</v>
      </c>
      <c r="BW85" s="44">
        <f t="shared" si="25"/>
        <v>6</v>
      </c>
      <c r="BX85" s="44">
        <f t="shared" si="25"/>
        <v>14</v>
      </c>
      <c r="BY85" s="44">
        <f t="shared" si="25"/>
        <v>3</v>
      </c>
      <c r="BZ85" s="44">
        <f t="shared" si="25"/>
        <v>2</v>
      </c>
      <c r="CA85" s="44">
        <f t="shared" si="25"/>
        <v>2</v>
      </c>
      <c r="CB85" s="44">
        <f t="shared" si="25"/>
        <v>0</v>
      </c>
    </row>
    <row r="86" spans="1:80" ht="14"/>
    <row r="87" spans="1:80" ht="14"/>
    <row r="88" spans="1:80" s="52" customFormat="1" ht="14">
      <c r="B88" s="53" t="s">
        <v>235</v>
      </c>
      <c r="C88" s="53"/>
      <c r="H88" s="52">
        <f t="shared" ref="H88:V88" si="26">SUM(H85,H76,H54,H36,H24,H11)</f>
        <v>5</v>
      </c>
      <c r="I88" s="52">
        <f t="shared" si="26"/>
        <v>3</v>
      </c>
      <c r="J88" s="52">
        <f t="shared" si="26"/>
        <v>0</v>
      </c>
      <c r="K88" s="52">
        <f t="shared" si="26"/>
        <v>1</v>
      </c>
      <c r="L88" s="52">
        <f t="shared" si="26"/>
        <v>1</v>
      </c>
      <c r="M88" s="52">
        <f t="shared" si="26"/>
        <v>0</v>
      </c>
      <c r="N88" s="52">
        <f t="shared" si="26"/>
        <v>20</v>
      </c>
      <c r="O88" s="52">
        <f t="shared" si="26"/>
        <v>1</v>
      </c>
      <c r="P88" s="52">
        <f t="shared" si="26"/>
        <v>0</v>
      </c>
      <c r="Q88" s="52">
        <f t="shared" si="26"/>
        <v>0</v>
      </c>
      <c r="R88" s="52">
        <f t="shared" si="26"/>
        <v>4</v>
      </c>
      <c r="S88" s="52">
        <f t="shared" si="26"/>
        <v>0</v>
      </c>
      <c r="T88" s="52">
        <f t="shared" si="26"/>
        <v>1</v>
      </c>
      <c r="U88" s="52">
        <f t="shared" si="26"/>
        <v>0</v>
      </c>
      <c r="V88" s="52">
        <f t="shared" si="26"/>
        <v>62</v>
      </c>
      <c r="W88" s="52">
        <f t="shared" ref="W88:AF88" si="27">SUM(W85,W76,W54,W36,W24,W11,W16,W65)</f>
        <v>1</v>
      </c>
      <c r="X88" s="52">
        <f t="shared" si="27"/>
        <v>5</v>
      </c>
      <c r="Y88" s="52">
        <f t="shared" si="27"/>
        <v>6</v>
      </c>
      <c r="Z88" s="52">
        <f t="shared" si="27"/>
        <v>28</v>
      </c>
      <c r="AA88" s="52">
        <f t="shared" si="27"/>
        <v>0</v>
      </c>
      <c r="AB88" s="52">
        <f t="shared" si="27"/>
        <v>5</v>
      </c>
      <c r="AC88" s="52">
        <f t="shared" si="27"/>
        <v>4</v>
      </c>
      <c r="AD88" s="52">
        <f t="shared" si="27"/>
        <v>7</v>
      </c>
      <c r="AE88" s="52">
        <f t="shared" si="27"/>
        <v>1</v>
      </c>
      <c r="AF88" s="52">
        <f t="shared" si="27"/>
        <v>3</v>
      </c>
      <c r="AG88" s="52">
        <f t="shared" ref="AG88:AV88" si="28">SUM(AG85,AG76,AG54,AG36,AG24,AG11)</f>
        <v>3</v>
      </c>
      <c r="AH88" s="52">
        <f t="shared" si="28"/>
        <v>1</v>
      </c>
      <c r="AI88" s="52">
        <f t="shared" si="28"/>
        <v>1</v>
      </c>
      <c r="AJ88" s="52">
        <f t="shared" si="28"/>
        <v>7</v>
      </c>
      <c r="AK88" s="52">
        <f t="shared" si="28"/>
        <v>4</v>
      </c>
      <c r="AL88" s="52">
        <f t="shared" si="28"/>
        <v>1</v>
      </c>
      <c r="AM88" s="52">
        <f t="shared" si="28"/>
        <v>2</v>
      </c>
      <c r="AN88" s="52">
        <f t="shared" si="28"/>
        <v>5</v>
      </c>
      <c r="AO88" s="52">
        <f t="shared" si="28"/>
        <v>2</v>
      </c>
      <c r="AP88" s="52">
        <f t="shared" si="28"/>
        <v>10</v>
      </c>
      <c r="AQ88" s="52">
        <f t="shared" si="28"/>
        <v>2</v>
      </c>
      <c r="AR88" s="52">
        <f t="shared" si="28"/>
        <v>1</v>
      </c>
      <c r="AS88" s="52">
        <f t="shared" si="28"/>
        <v>1</v>
      </c>
      <c r="AT88" s="52">
        <f t="shared" si="28"/>
        <v>2</v>
      </c>
      <c r="AU88" s="52">
        <f t="shared" si="28"/>
        <v>1</v>
      </c>
      <c r="AV88" s="52">
        <f t="shared" si="28"/>
        <v>630</v>
      </c>
      <c r="BT88" s="52">
        <f>SUM(BT85,BT76,BT54,BT36,BT24,BT11)</f>
        <v>0</v>
      </c>
      <c r="BU88" s="52">
        <f>SUM(BU85,BU76,BU54,BU36,BU24,BU11)</f>
        <v>4</v>
      </c>
      <c r="BW88" s="52">
        <f t="shared" ref="BW88:CB88" si="29">SUM(BW85,BW76,BW54,BW36,BW24,BW11)</f>
        <v>54</v>
      </c>
      <c r="BX88" s="52">
        <f t="shared" si="29"/>
        <v>72</v>
      </c>
      <c r="BY88" s="52">
        <f t="shared" si="29"/>
        <v>25</v>
      </c>
      <c r="BZ88" s="52">
        <f t="shared" si="29"/>
        <v>6</v>
      </c>
      <c r="CA88" s="52">
        <f t="shared" si="29"/>
        <v>3</v>
      </c>
      <c r="CB88" s="52">
        <f t="shared" si="29"/>
        <v>0</v>
      </c>
    </row>
  </sheetData>
  <sortState xmlns:xlrd2="http://schemas.microsoft.com/office/spreadsheetml/2017/richdata2" ref="B6:CB83">
    <sortCondition ref="B6:B83"/>
  </sortState>
  <mergeCells count="17">
    <mergeCell ref="G3:G5"/>
    <mergeCell ref="X3:AT3"/>
    <mergeCell ref="BV4:BX4"/>
    <mergeCell ref="AV4:BD4"/>
    <mergeCell ref="AV3:BS3"/>
    <mergeCell ref="BN4:BR4"/>
    <mergeCell ref="BE4:BM4"/>
    <mergeCell ref="BT3:CB3"/>
    <mergeCell ref="H3:R3"/>
    <mergeCell ref="T3:V3"/>
    <mergeCell ref="BY4:BZ4"/>
    <mergeCell ref="E3:E5"/>
    <mergeCell ref="D3:D5"/>
    <mergeCell ref="B3:B5"/>
    <mergeCell ref="A3:A5"/>
    <mergeCell ref="F3:F5"/>
    <mergeCell ref="C3:C5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99E3-5951-4E68-A757-2E06B1D19967}">
  <sheetPr>
    <tabColor theme="9" tint="0.79998168889431442"/>
  </sheetPr>
  <dimension ref="A1:CO181"/>
  <sheetViews>
    <sheetView zoomScale="80" zoomScaleNormal="80" workbookViewId="0">
      <pane xSplit="4" ySplit="1" topLeftCell="E85" activePane="bottomRight" state="frozen"/>
      <selection pane="topRight"/>
      <selection pane="bottomLeft"/>
      <selection pane="bottomRight" activeCell="C100" sqref="C100"/>
    </sheetView>
  </sheetViews>
  <sheetFormatPr defaultColWidth="8.81640625" defaultRowHeight="15" customHeight="1"/>
  <cols>
    <col min="1" max="1" width="8.81640625" style="58"/>
    <col min="2" max="2" width="18" style="58" bestFit="1" customWidth="1"/>
    <col min="3" max="3" width="21.81640625" style="58" customWidth="1"/>
    <col min="4" max="4" width="42.1796875" style="58" bestFit="1" customWidth="1"/>
    <col min="5" max="5" width="22" style="124" bestFit="1" customWidth="1"/>
    <col min="6" max="6" width="20.81640625" style="124" bestFit="1" customWidth="1"/>
    <col min="7" max="7" width="14.1796875" style="58" customWidth="1"/>
    <col min="8" max="8" width="12.54296875" style="128" bestFit="1" customWidth="1"/>
    <col min="9" max="9" width="18.54296875" style="118" hidden="1" customWidth="1"/>
    <col min="10" max="10" width="26" style="58" hidden="1" customWidth="1"/>
    <col min="11" max="11" width="13.54296875" style="119" customWidth="1"/>
    <col min="12" max="12" width="13.54296875" style="58" customWidth="1"/>
    <col min="13" max="13" width="39.81640625" style="58" customWidth="1"/>
    <col min="14" max="14" width="13.1796875" style="124" bestFit="1" customWidth="1"/>
    <col min="15" max="15" width="10" style="124" hidden="1" customWidth="1"/>
    <col min="16" max="18" width="8.81640625" style="58"/>
    <col min="19" max="19" width="23.1796875" style="58" bestFit="1" customWidth="1"/>
    <col min="20" max="20" width="22" style="58" bestFit="1" customWidth="1"/>
    <col min="21" max="22" width="23.1796875" style="58" bestFit="1" customWidth="1"/>
    <col min="23" max="23" width="22.1796875" style="58" bestFit="1" customWidth="1"/>
    <col min="24" max="25" width="23.1796875" style="58" bestFit="1" customWidth="1"/>
    <col min="26" max="26" width="8.81640625" style="58"/>
    <col min="27" max="27" width="22.1796875" style="58" bestFit="1" customWidth="1"/>
    <col min="28" max="87" width="8.81640625" style="58"/>
    <col min="88" max="93" width="13.7265625" style="58" bestFit="1" customWidth="1"/>
    <col min="94" max="16384" width="8.81640625" style="58"/>
  </cols>
  <sheetData>
    <row r="1" spans="1:93" ht="42">
      <c r="A1" s="54"/>
      <c r="B1" s="54" t="s">
        <v>236</v>
      </c>
      <c r="C1" s="54" t="s">
        <v>76</v>
      </c>
      <c r="D1" s="54" t="s">
        <v>237</v>
      </c>
      <c r="E1" s="54" t="s">
        <v>238</v>
      </c>
      <c r="F1" s="54" t="s">
        <v>239</v>
      </c>
      <c r="G1" s="55" t="s">
        <v>240</v>
      </c>
      <c r="H1" s="126" t="s">
        <v>241</v>
      </c>
      <c r="I1" s="57" t="s">
        <v>242</v>
      </c>
      <c r="J1" s="55" t="s">
        <v>243</v>
      </c>
      <c r="K1" s="54" t="s">
        <v>244</v>
      </c>
      <c r="L1" s="54" t="s">
        <v>245</v>
      </c>
      <c r="M1" s="54" t="s">
        <v>246</v>
      </c>
      <c r="N1" s="55" t="s">
        <v>247</v>
      </c>
      <c r="O1" s="55" t="s">
        <v>248</v>
      </c>
      <c r="P1" s="132" t="s">
        <v>4272</v>
      </c>
      <c r="Q1" s="132" t="s">
        <v>4449</v>
      </c>
      <c r="R1" s="132" t="s">
        <v>4448</v>
      </c>
      <c r="S1" s="90" t="s">
        <v>4275</v>
      </c>
      <c r="T1" s="90" t="s">
        <v>4450</v>
      </c>
      <c r="U1" s="90" t="s">
        <v>4451</v>
      </c>
      <c r="V1" s="90" t="s">
        <v>4452</v>
      </c>
      <c r="W1" s="90" t="s">
        <v>4453</v>
      </c>
      <c r="X1" s="90" t="s">
        <v>4454</v>
      </c>
      <c r="Y1" s="90" t="s">
        <v>4455</v>
      </c>
      <c r="Z1" s="90" t="s">
        <v>4456</v>
      </c>
      <c r="AA1" s="90" t="s">
        <v>4457</v>
      </c>
      <c r="AB1" s="90" t="s">
        <v>4458</v>
      </c>
      <c r="AC1" s="90" t="s">
        <v>4459</v>
      </c>
      <c r="AD1" s="90" t="s">
        <v>4460</v>
      </c>
      <c r="AE1" s="90" t="s">
        <v>4461</v>
      </c>
      <c r="AF1" s="90" t="s">
        <v>4462</v>
      </c>
      <c r="AG1" s="90" t="s">
        <v>4463</v>
      </c>
      <c r="AH1" s="90" t="s">
        <v>4464</v>
      </c>
      <c r="AI1" s="90" t="s">
        <v>4465</v>
      </c>
      <c r="AJ1" s="90" t="s">
        <v>4466</v>
      </c>
      <c r="AK1" s="90" t="s">
        <v>4467</v>
      </c>
      <c r="AL1" s="90" t="s">
        <v>4468</v>
      </c>
      <c r="AM1" s="90" t="s">
        <v>4469</v>
      </c>
      <c r="AN1" s="90" t="s">
        <v>4470</v>
      </c>
      <c r="AO1" s="90" t="s">
        <v>4471</v>
      </c>
      <c r="AP1" s="90" t="s">
        <v>4472</v>
      </c>
      <c r="AQ1" s="90" t="s">
        <v>4473</v>
      </c>
      <c r="AR1" s="90" t="s">
        <v>4474</v>
      </c>
      <c r="AS1" s="90" t="s">
        <v>4475</v>
      </c>
      <c r="AT1" s="90" t="s">
        <v>4476</v>
      </c>
      <c r="AU1" s="90" t="s">
        <v>4477</v>
      </c>
      <c r="AV1" s="90" t="s">
        <v>4478</v>
      </c>
      <c r="AW1" s="90" t="s">
        <v>4479</v>
      </c>
      <c r="AX1" s="90" t="s">
        <v>4480</v>
      </c>
      <c r="AY1" s="90" t="s">
        <v>4481</v>
      </c>
      <c r="AZ1" s="90" t="s">
        <v>4482</v>
      </c>
      <c r="BA1" s="90" t="s">
        <v>4483</v>
      </c>
      <c r="BB1" s="90" t="s">
        <v>4484</v>
      </c>
      <c r="BC1" s="90" t="s">
        <v>4485</v>
      </c>
      <c r="BD1" s="90" t="s">
        <v>4486</v>
      </c>
      <c r="BE1" s="90" t="s">
        <v>4487</v>
      </c>
      <c r="BF1" s="90" t="s">
        <v>4488</v>
      </c>
      <c r="BG1" s="90" t="s">
        <v>4489</v>
      </c>
      <c r="BH1" s="90" t="s">
        <v>4490</v>
      </c>
      <c r="BI1" s="90" t="s">
        <v>4491</v>
      </c>
      <c r="BJ1" s="90" t="s">
        <v>4492</v>
      </c>
      <c r="BK1" s="90" t="s">
        <v>4493</v>
      </c>
      <c r="BL1" s="90" t="s">
        <v>4494</v>
      </c>
      <c r="BM1" s="90" t="s">
        <v>4495</v>
      </c>
      <c r="BN1" s="90" t="s">
        <v>4496</v>
      </c>
      <c r="BO1" s="90" t="s">
        <v>4497</v>
      </c>
      <c r="BP1" s="90" t="s">
        <v>4498</v>
      </c>
      <c r="BQ1" s="90" t="s">
        <v>4499</v>
      </c>
      <c r="BR1" s="90" t="s">
        <v>4500</v>
      </c>
      <c r="BS1" s="90" t="s">
        <v>4501</v>
      </c>
      <c r="BT1" s="90" t="s">
        <v>4502</v>
      </c>
      <c r="BU1" s="90" t="s">
        <v>4503</v>
      </c>
      <c r="BV1" s="90" t="s">
        <v>4504</v>
      </c>
      <c r="BW1" s="90" t="s">
        <v>4505</v>
      </c>
      <c r="BX1" s="90" t="s">
        <v>4506</v>
      </c>
      <c r="BY1" s="90" t="s">
        <v>4507</v>
      </c>
      <c r="BZ1" s="90" t="s">
        <v>4508</v>
      </c>
      <c r="CA1" s="90" t="s">
        <v>4509</v>
      </c>
      <c r="CB1" s="90" t="s">
        <v>4510</v>
      </c>
      <c r="CC1" s="90" t="s">
        <v>4511</v>
      </c>
      <c r="CD1" s="90" t="s">
        <v>4512</v>
      </c>
      <c r="CE1" s="90" t="s">
        <v>4513</v>
      </c>
      <c r="CF1" s="90" t="s">
        <v>4514</v>
      </c>
      <c r="CG1" s="90" t="s">
        <v>4515</v>
      </c>
      <c r="CH1" s="90" t="s">
        <v>4516</v>
      </c>
      <c r="CI1" s="90" t="s">
        <v>4517</v>
      </c>
      <c r="CJ1" s="90" t="s">
        <v>4518</v>
      </c>
      <c r="CK1" s="90" t="s">
        <v>4519</v>
      </c>
      <c r="CL1" s="90" t="s">
        <v>4520</v>
      </c>
      <c r="CM1" s="90" t="s">
        <v>4521</v>
      </c>
      <c r="CN1" s="90" t="s">
        <v>4522</v>
      </c>
      <c r="CO1" s="90" t="s">
        <v>4523</v>
      </c>
    </row>
    <row r="2" spans="1:93" ht="14">
      <c r="A2" s="59">
        <v>1</v>
      </c>
      <c r="B2" s="59" t="s">
        <v>52</v>
      </c>
      <c r="C2" s="59" t="s">
        <v>249</v>
      </c>
      <c r="D2" s="66" t="s">
        <v>250</v>
      </c>
      <c r="E2" s="91" t="s">
        <v>251</v>
      </c>
      <c r="F2" s="61" t="s">
        <v>252</v>
      </c>
      <c r="G2" s="59">
        <v>48</v>
      </c>
      <c r="H2" s="75">
        <v>44000</v>
      </c>
      <c r="I2" s="69">
        <v>60</v>
      </c>
      <c r="J2" s="59" t="s">
        <v>253</v>
      </c>
      <c r="K2" s="64">
        <v>2017</v>
      </c>
      <c r="L2" s="59"/>
      <c r="M2" s="59"/>
      <c r="N2" s="65" t="s">
        <v>254</v>
      </c>
      <c r="O2" s="65"/>
    </row>
    <row r="3" spans="1:93" ht="14">
      <c r="A3" s="59">
        <v>2</v>
      </c>
      <c r="B3" s="59" t="s">
        <v>52</v>
      </c>
      <c r="C3" s="59" t="s">
        <v>249</v>
      </c>
      <c r="D3" s="66" t="s">
        <v>255</v>
      </c>
      <c r="E3" s="184" t="s">
        <v>256</v>
      </c>
      <c r="F3" s="90" t="s">
        <v>257</v>
      </c>
      <c r="G3" s="59">
        <v>48</v>
      </c>
      <c r="H3" s="68">
        <v>53300</v>
      </c>
      <c r="I3" s="69">
        <v>80</v>
      </c>
      <c r="J3" s="59" t="s">
        <v>253</v>
      </c>
      <c r="K3" s="64">
        <v>2017</v>
      </c>
      <c r="L3" s="59"/>
      <c r="M3" s="59"/>
      <c r="N3" s="65" t="s">
        <v>254</v>
      </c>
      <c r="O3" s="65"/>
    </row>
    <row r="4" spans="1:93" ht="14">
      <c r="A4" s="59">
        <v>3</v>
      </c>
      <c r="B4" s="59" t="s">
        <v>53</v>
      </c>
      <c r="C4" s="70" t="s">
        <v>249</v>
      </c>
      <c r="D4" s="71" t="s">
        <v>258</v>
      </c>
      <c r="E4" s="72" t="s">
        <v>259</v>
      </c>
      <c r="F4" s="76" t="s">
        <v>260</v>
      </c>
      <c r="G4" s="74">
        <v>48</v>
      </c>
      <c r="H4" s="62">
        <v>27000</v>
      </c>
      <c r="I4" s="69">
        <v>60</v>
      </c>
      <c r="J4" s="59" t="s">
        <v>253</v>
      </c>
      <c r="K4" s="64">
        <v>2017</v>
      </c>
      <c r="L4" s="59"/>
      <c r="M4" s="59"/>
      <c r="N4" s="65" t="s">
        <v>254</v>
      </c>
      <c r="O4" s="65"/>
    </row>
    <row r="5" spans="1:93" ht="14">
      <c r="A5" s="59">
        <v>4</v>
      </c>
      <c r="B5" s="59" t="s">
        <v>51</v>
      </c>
      <c r="C5" s="70" t="s">
        <v>249</v>
      </c>
      <c r="D5" s="71" t="s">
        <v>261</v>
      </c>
      <c r="E5" s="72" t="s">
        <v>262</v>
      </c>
      <c r="F5" s="61" t="s">
        <v>263</v>
      </c>
      <c r="G5" s="74">
        <v>48</v>
      </c>
      <c r="H5" s="75">
        <v>54400</v>
      </c>
      <c r="I5" s="69">
        <v>60</v>
      </c>
      <c r="J5" s="59" t="s">
        <v>253</v>
      </c>
      <c r="K5" s="64">
        <v>2018</v>
      </c>
      <c r="L5" s="59"/>
      <c r="M5" s="59"/>
      <c r="N5" s="65" t="s">
        <v>254</v>
      </c>
      <c r="O5" s="65" t="s">
        <v>264</v>
      </c>
    </row>
    <row r="6" spans="1:93" ht="14">
      <c r="A6" s="59">
        <v>5</v>
      </c>
      <c r="B6" s="59" t="s">
        <v>52</v>
      </c>
      <c r="C6" s="70" t="s">
        <v>249</v>
      </c>
      <c r="D6" s="71" t="s">
        <v>265</v>
      </c>
      <c r="E6" s="66" t="s">
        <v>266</v>
      </c>
      <c r="F6" s="89" t="s">
        <v>267</v>
      </c>
      <c r="G6" s="74">
        <v>48</v>
      </c>
      <c r="H6" s="75">
        <v>18500</v>
      </c>
      <c r="I6" s="69">
        <v>40</v>
      </c>
      <c r="J6" s="59" t="s">
        <v>253</v>
      </c>
      <c r="K6" s="64">
        <v>2019</v>
      </c>
      <c r="L6" s="59"/>
      <c r="M6" s="59"/>
      <c r="N6" s="65" t="s">
        <v>254</v>
      </c>
      <c r="O6" s="65"/>
    </row>
    <row r="7" spans="1:93" ht="14">
      <c r="A7" s="59">
        <v>6</v>
      </c>
      <c r="B7" s="59" t="s">
        <v>52</v>
      </c>
      <c r="C7" s="70" t="s">
        <v>249</v>
      </c>
      <c r="D7" s="71" t="s">
        <v>268</v>
      </c>
      <c r="E7" s="89" t="s">
        <v>267</v>
      </c>
      <c r="F7" s="61" t="s">
        <v>251</v>
      </c>
      <c r="G7" s="74">
        <v>48</v>
      </c>
      <c r="H7" s="75">
        <v>43000</v>
      </c>
      <c r="I7" s="69">
        <v>60</v>
      </c>
      <c r="J7" s="59" t="s">
        <v>253</v>
      </c>
      <c r="K7" s="64">
        <v>2019</v>
      </c>
      <c r="L7" s="59"/>
      <c r="M7" s="59"/>
      <c r="N7" s="65" t="s">
        <v>254</v>
      </c>
      <c r="O7" s="65"/>
    </row>
    <row r="8" spans="1:93" ht="14">
      <c r="A8" s="59">
        <v>7</v>
      </c>
      <c r="B8" s="59" t="s">
        <v>52</v>
      </c>
      <c r="C8" s="70" t="s">
        <v>249</v>
      </c>
      <c r="D8" s="71" t="s">
        <v>269</v>
      </c>
      <c r="E8" s="66" t="s">
        <v>270</v>
      </c>
      <c r="F8" s="61" t="s">
        <v>267</v>
      </c>
      <c r="G8" s="74">
        <v>48</v>
      </c>
      <c r="H8" s="62">
        <v>2800</v>
      </c>
      <c r="I8" s="69">
        <v>40</v>
      </c>
      <c r="J8" s="59" t="s">
        <v>253</v>
      </c>
      <c r="K8" s="64">
        <v>2019</v>
      </c>
      <c r="L8" s="59"/>
      <c r="M8" s="59"/>
      <c r="N8" s="65" t="s">
        <v>254</v>
      </c>
      <c r="O8" s="65"/>
    </row>
    <row r="9" spans="1:93" ht="14">
      <c r="A9" s="59">
        <v>8</v>
      </c>
      <c r="B9" s="59" t="s">
        <v>49</v>
      </c>
      <c r="C9" s="70" t="s">
        <v>249</v>
      </c>
      <c r="D9" s="71" t="s">
        <v>271</v>
      </c>
      <c r="E9" s="72" t="s">
        <v>272</v>
      </c>
      <c r="F9" s="73" t="s">
        <v>273</v>
      </c>
      <c r="G9" s="74">
        <v>48</v>
      </c>
      <c r="H9" s="75">
        <v>17000</v>
      </c>
      <c r="I9" s="69">
        <v>60</v>
      </c>
      <c r="J9" s="59" t="s">
        <v>253</v>
      </c>
      <c r="K9" s="64">
        <v>2020</v>
      </c>
      <c r="L9" s="59"/>
      <c r="M9" s="59"/>
      <c r="N9" s="65" t="s">
        <v>254</v>
      </c>
      <c r="O9" s="65" t="s">
        <v>264</v>
      </c>
    </row>
    <row r="10" spans="1:93" ht="14">
      <c r="A10" s="59">
        <v>9</v>
      </c>
      <c r="B10" s="59" t="s">
        <v>49</v>
      </c>
      <c r="C10" s="70" t="s">
        <v>249</v>
      </c>
      <c r="D10" s="71" t="s">
        <v>274</v>
      </c>
      <c r="E10" s="72" t="s">
        <v>272</v>
      </c>
      <c r="F10" s="73" t="s">
        <v>273</v>
      </c>
      <c r="G10" s="74">
        <v>48</v>
      </c>
      <c r="H10" s="75">
        <v>15500</v>
      </c>
      <c r="I10" s="69">
        <v>60</v>
      </c>
      <c r="J10" s="59" t="s">
        <v>253</v>
      </c>
      <c r="K10" s="64">
        <v>2020</v>
      </c>
      <c r="L10" s="59"/>
      <c r="M10" s="59"/>
      <c r="N10" s="65" t="s">
        <v>254</v>
      </c>
      <c r="O10" s="65" t="s">
        <v>264</v>
      </c>
    </row>
    <row r="11" spans="1:93" ht="14">
      <c r="A11" s="59">
        <v>10</v>
      </c>
      <c r="B11" s="59" t="s">
        <v>51</v>
      </c>
      <c r="C11" s="70" t="s">
        <v>249</v>
      </c>
      <c r="D11" s="83" t="s">
        <v>275</v>
      </c>
      <c r="E11" s="100" t="s">
        <v>276</v>
      </c>
      <c r="F11" s="76" t="s">
        <v>262</v>
      </c>
      <c r="G11" s="74">
        <v>48</v>
      </c>
      <c r="H11" s="62">
        <v>26000</v>
      </c>
      <c r="I11" s="63"/>
      <c r="J11" s="59" t="s">
        <v>253</v>
      </c>
      <c r="K11" s="86">
        <v>2020</v>
      </c>
      <c r="L11" s="59"/>
      <c r="M11" s="59"/>
      <c r="N11" s="65" t="s">
        <v>254</v>
      </c>
      <c r="O11" s="65"/>
    </row>
    <row r="12" spans="1:93" ht="14">
      <c r="A12" s="59">
        <v>11</v>
      </c>
      <c r="B12" s="59" t="s">
        <v>52</v>
      </c>
      <c r="C12" s="70" t="s">
        <v>249</v>
      </c>
      <c r="D12" s="71" t="s">
        <v>277</v>
      </c>
      <c r="E12" s="66" t="s">
        <v>251</v>
      </c>
      <c r="F12" s="61" t="s">
        <v>278</v>
      </c>
      <c r="G12" s="74">
        <v>48</v>
      </c>
      <c r="H12" s="75">
        <v>4400</v>
      </c>
      <c r="I12" s="69">
        <v>40</v>
      </c>
      <c r="J12" s="59" t="s">
        <v>253</v>
      </c>
      <c r="K12" s="64">
        <v>2020</v>
      </c>
      <c r="L12" s="59"/>
      <c r="M12" s="59"/>
      <c r="N12" s="65" t="s">
        <v>254</v>
      </c>
      <c r="O12" s="65"/>
    </row>
    <row r="13" spans="1:93" ht="14">
      <c r="A13" s="59">
        <v>12</v>
      </c>
      <c r="B13" s="59" t="s">
        <v>52</v>
      </c>
      <c r="C13" s="70" t="s">
        <v>249</v>
      </c>
      <c r="D13" s="71" t="s">
        <v>279</v>
      </c>
      <c r="E13" s="72" t="s">
        <v>280</v>
      </c>
      <c r="F13" s="66" t="s">
        <v>281</v>
      </c>
      <c r="G13" s="74">
        <v>48</v>
      </c>
      <c r="H13" s="75">
        <v>21000</v>
      </c>
      <c r="I13" s="69">
        <v>40</v>
      </c>
      <c r="J13" s="59" t="s">
        <v>253</v>
      </c>
      <c r="K13" s="64">
        <v>2020</v>
      </c>
      <c r="L13" s="59"/>
      <c r="M13" s="59"/>
      <c r="N13" s="65" t="s">
        <v>254</v>
      </c>
      <c r="O13" s="65"/>
    </row>
    <row r="14" spans="1:93" ht="14">
      <c r="A14" s="59">
        <v>13</v>
      </c>
      <c r="B14" s="59" t="s">
        <v>52</v>
      </c>
      <c r="C14" s="70" t="s">
        <v>249</v>
      </c>
      <c r="D14" s="71" t="s">
        <v>282</v>
      </c>
      <c r="E14" s="72" t="s">
        <v>281</v>
      </c>
      <c r="F14" s="73" t="s">
        <v>283</v>
      </c>
      <c r="G14" s="74">
        <v>48</v>
      </c>
      <c r="H14" s="75">
        <v>26000</v>
      </c>
      <c r="I14" s="69">
        <v>60</v>
      </c>
      <c r="J14" s="59" t="s">
        <v>253</v>
      </c>
      <c r="K14" s="64">
        <v>2020</v>
      </c>
      <c r="L14" s="59"/>
      <c r="M14" s="59"/>
      <c r="N14" s="65" t="s">
        <v>254</v>
      </c>
      <c r="O14" s="65"/>
    </row>
    <row r="15" spans="1:93" ht="14">
      <c r="A15" s="59">
        <v>14</v>
      </c>
      <c r="B15" s="59" t="s">
        <v>52</v>
      </c>
      <c r="C15" s="70" t="s">
        <v>249</v>
      </c>
      <c r="D15" s="71" t="s">
        <v>284</v>
      </c>
      <c r="E15" s="66" t="s">
        <v>281</v>
      </c>
      <c r="F15" s="89" t="s">
        <v>267</v>
      </c>
      <c r="G15" s="74">
        <v>48</v>
      </c>
      <c r="H15" s="75">
        <v>26000</v>
      </c>
      <c r="I15" s="69">
        <v>60</v>
      </c>
      <c r="J15" s="59" t="s">
        <v>253</v>
      </c>
      <c r="K15" s="64">
        <v>2020</v>
      </c>
      <c r="L15" s="59"/>
      <c r="M15" s="59"/>
      <c r="N15" s="65" t="s">
        <v>254</v>
      </c>
      <c r="O15" s="65"/>
    </row>
    <row r="16" spans="1:93" ht="14">
      <c r="A16" s="59">
        <v>15</v>
      </c>
      <c r="B16" s="59" t="s">
        <v>52</v>
      </c>
      <c r="C16" s="70" t="s">
        <v>249</v>
      </c>
      <c r="D16" s="71" t="s">
        <v>285</v>
      </c>
      <c r="E16" s="66" t="s">
        <v>281</v>
      </c>
      <c r="F16" s="73" t="s">
        <v>286</v>
      </c>
      <c r="G16" s="74">
        <v>48</v>
      </c>
      <c r="H16" s="75">
        <v>0</v>
      </c>
      <c r="I16" s="69">
        <v>60</v>
      </c>
      <c r="J16" s="59" t="s">
        <v>253</v>
      </c>
      <c r="K16" s="64">
        <v>2020</v>
      </c>
      <c r="L16" s="59"/>
      <c r="M16" s="59"/>
      <c r="N16" s="65" t="s">
        <v>254</v>
      </c>
      <c r="O16" s="65"/>
    </row>
    <row r="17" spans="1:15" ht="14">
      <c r="A17" s="59">
        <v>16</v>
      </c>
      <c r="B17" s="59" t="s">
        <v>52</v>
      </c>
      <c r="C17" s="70" t="s">
        <v>249</v>
      </c>
      <c r="D17" s="71" t="s">
        <v>287</v>
      </c>
      <c r="E17" s="72" t="s">
        <v>283</v>
      </c>
      <c r="F17" s="61" t="s">
        <v>267</v>
      </c>
      <c r="G17" s="74">
        <v>48</v>
      </c>
      <c r="H17" s="75">
        <v>8100</v>
      </c>
      <c r="I17" s="69">
        <v>60</v>
      </c>
      <c r="J17" s="59" t="s">
        <v>253</v>
      </c>
      <c r="K17" s="64">
        <v>2020</v>
      </c>
      <c r="L17" s="59"/>
      <c r="M17" s="59"/>
      <c r="N17" s="65" t="s">
        <v>254</v>
      </c>
      <c r="O17" s="65"/>
    </row>
    <row r="18" spans="1:15" ht="14">
      <c r="A18" s="59">
        <v>17</v>
      </c>
      <c r="B18" s="59" t="s">
        <v>49</v>
      </c>
      <c r="C18" s="70" t="s">
        <v>249</v>
      </c>
      <c r="D18" s="83" t="s">
        <v>288</v>
      </c>
      <c r="E18" s="72" t="s">
        <v>289</v>
      </c>
      <c r="F18" s="61" t="s">
        <v>290</v>
      </c>
      <c r="G18" s="74">
        <v>48</v>
      </c>
      <c r="H18" s="62">
        <v>50000</v>
      </c>
      <c r="I18" s="63">
        <v>80</v>
      </c>
      <c r="J18" s="59" t="s">
        <v>253</v>
      </c>
      <c r="K18" s="64">
        <v>2021</v>
      </c>
      <c r="L18" s="59"/>
      <c r="M18" s="59"/>
      <c r="N18" s="65" t="s">
        <v>254</v>
      </c>
      <c r="O18" s="65"/>
    </row>
    <row r="19" spans="1:15" ht="14">
      <c r="A19" s="59">
        <v>18</v>
      </c>
      <c r="B19" s="59" t="s">
        <v>49</v>
      </c>
      <c r="C19" s="70" t="s">
        <v>249</v>
      </c>
      <c r="D19" s="71" t="s">
        <v>291</v>
      </c>
      <c r="E19" s="186" t="s">
        <v>272</v>
      </c>
      <c r="F19" s="191" t="s">
        <v>292</v>
      </c>
      <c r="G19" s="74">
        <v>48</v>
      </c>
      <c r="H19" s="75">
        <v>3500</v>
      </c>
      <c r="I19" s="69">
        <v>20</v>
      </c>
      <c r="J19" s="59" t="s">
        <v>253</v>
      </c>
      <c r="K19" s="64">
        <v>2021</v>
      </c>
      <c r="L19" s="59"/>
      <c r="M19" s="59"/>
      <c r="N19" s="65" t="s">
        <v>254</v>
      </c>
      <c r="O19" s="65" t="s">
        <v>264</v>
      </c>
    </row>
    <row r="20" spans="1:15" ht="14">
      <c r="A20" s="59">
        <v>19</v>
      </c>
      <c r="B20" s="59" t="s">
        <v>50</v>
      </c>
      <c r="C20" s="70" t="s">
        <v>249</v>
      </c>
      <c r="D20" s="71" t="s">
        <v>293</v>
      </c>
      <c r="E20" s="80" t="s">
        <v>294</v>
      </c>
      <c r="F20" s="81" t="s">
        <v>295</v>
      </c>
      <c r="G20" s="74">
        <v>48</v>
      </c>
      <c r="H20" s="75">
        <v>61000</v>
      </c>
      <c r="I20" s="69">
        <v>80</v>
      </c>
      <c r="J20" s="59" t="s">
        <v>253</v>
      </c>
      <c r="K20" s="64">
        <v>2021</v>
      </c>
      <c r="L20" s="59"/>
      <c r="M20" s="59"/>
      <c r="N20" s="65" t="s">
        <v>254</v>
      </c>
      <c r="O20" s="65" t="s">
        <v>264</v>
      </c>
    </row>
    <row r="21" spans="1:15" ht="14">
      <c r="A21" s="59">
        <v>20</v>
      </c>
      <c r="B21" s="59" t="s">
        <v>51</v>
      </c>
      <c r="C21" s="70" t="s">
        <v>249</v>
      </c>
      <c r="D21" s="71" t="s">
        <v>296</v>
      </c>
      <c r="E21" s="82" t="s">
        <v>297</v>
      </c>
      <c r="F21" s="82" t="s">
        <v>298</v>
      </c>
      <c r="G21" s="74">
        <v>48</v>
      </c>
      <c r="H21" s="75">
        <v>6000</v>
      </c>
      <c r="I21" s="69">
        <v>60</v>
      </c>
      <c r="J21" s="59" t="s">
        <v>253</v>
      </c>
      <c r="K21" s="64">
        <v>2021</v>
      </c>
      <c r="L21" s="59"/>
      <c r="M21" s="59"/>
      <c r="N21" s="65" t="s">
        <v>254</v>
      </c>
      <c r="O21" s="65"/>
    </row>
    <row r="22" spans="1:15" ht="14">
      <c r="A22" s="59">
        <v>21</v>
      </c>
      <c r="B22" s="59" t="s">
        <v>51</v>
      </c>
      <c r="C22" s="70" t="s">
        <v>249</v>
      </c>
      <c r="D22" s="83" t="s">
        <v>299</v>
      </c>
      <c r="E22" s="84" t="s">
        <v>300</v>
      </c>
      <c r="F22" s="80" t="s">
        <v>301</v>
      </c>
      <c r="G22" s="74">
        <v>48</v>
      </c>
      <c r="H22" s="62">
        <v>96000</v>
      </c>
      <c r="I22" s="63">
        <v>80</v>
      </c>
      <c r="J22" s="59" t="s">
        <v>253</v>
      </c>
      <c r="K22" s="64">
        <v>2021</v>
      </c>
      <c r="L22" s="59"/>
      <c r="M22" s="79"/>
      <c r="N22" s="65" t="s">
        <v>254</v>
      </c>
      <c r="O22" s="65"/>
    </row>
    <row r="23" spans="1:15" ht="14">
      <c r="A23" s="59">
        <v>22</v>
      </c>
      <c r="B23" s="59" t="s">
        <v>51</v>
      </c>
      <c r="C23" s="70" t="s">
        <v>249</v>
      </c>
      <c r="D23" s="83" t="s">
        <v>302</v>
      </c>
      <c r="E23" s="84" t="s">
        <v>303</v>
      </c>
      <c r="F23" s="80" t="s">
        <v>289</v>
      </c>
      <c r="G23" s="74">
        <v>48</v>
      </c>
      <c r="H23" s="62">
        <v>87000</v>
      </c>
      <c r="I23" s="63">
        <v>100</v>
      </c>
      <c r="J23" s="59" t="s">
        <v>253</v>
      </c>
      <c r="K23" s="64">
        <v>2021</v>
      </c>
      <c r="L23" s="59"/>
      <c r="M23" s="79"/>
      <c r="N23" s="65" t="s">
        <v>254</v>
      </c>
      <c r="O23" s="65"/>
    </row>
    <row r="24" spans="1:15" ht="14">
      <c r="A24" s="59">
        <v>23</v>
      </c>
      <c r="B24" s="59" t="s">
        <v>51</v>
      </c>
      <c r="C24" s="70" t="s">
        <v>249</v>
      </c>
      <c r="D24" s="179" t="s">
        <v>304</v>
      </c>
      <c r="E24" s="84" t="s">
        <v>262</v>
      </c>
      <c r="F24" s="80" t="s">
        <v>305</v>
      </c>
      <c r="G24" s="74">
        <v>48</v>
      </c>
      <c r="H24" s="75">
        <v>75000</v>
      </c>
      <c r="I24" s="69">
        <v>80</v>
      </c>
      <c r="J24" s="59" t="s">
        <v>253</v>
      </c>
      <c r="K24" s="64">
        <v>2021</v>
      </c>
      <c r="L24" s="59"/>
      <c r="M24" s="59"/>
      <c r="N24" s="65" t="s">
        <v>254</v>
      </c>
      <c r="O24" s="65"/>
    </row>
    <row r="25" spans="1:15" ht="14">
      <c r="A25" s="59">
        <v>24</v>
      </c>
      <c r="B25" s="59" t="s">
        <v>51</v>
      </c>
      <c r="C25" s="70" t="s">
        <v>249</v>
      </c>
      <c r="D25" s="71" t="s">
        <v>306</v>
      </c>
      <c r="E25" s="84" t="s">
        <v>307</v>
      </c>
      <c r="F25" s="80" t="s">
        <v>308</v>
      </c>
      <c r="G25" s="74">
        <v>48</v>
      </c>
      <c r="H25" s="75">
        <v>35000</v>
      </c>
      <c r="I25" s="69">
        <v>60</v>
      </c>
      <c r="J25" s="59" t="s">
        <v>253</v>
      </c>
      <c r="K25" s="64">
        <v>2021</v>
      </c>
      <c r="L25" s="59"/>
      <c r="M25" s="59"/>
      <c r="N25" s="65" t="s">
        <v>254</v>
      </c>
      <c r="O25" s="65" t="s">
        <v>264</v>
      </c>
    </row>
    <row r="26" spans="1:15" ht="14">
      <c r="A26" s="59">
        <v>25</v>
      </c>
      <c r="B26" s="59" t="s">
        <v>52</v>
      </c>
      <c r="C26" s="70" t="s">
        <v>249</v>
      </c>
      <c r="D26" s="71" t="s">
        <v>309</v>
      </c>
      <c r="E26" s="187" t="s">
        <v>310</v>
      </c>
      <c r="F26" s="80" t="s">
        <v>311</v>
      </c>
      <c r="G26" s="74">
        <v>48</v>
      </c>
      <c r="H26" s="75">
        <v>20000</v>
      </c>
      <c r="I26" s="69">
        <v>60</v>
      </c>
      <c r="J26" s="59" t="s">
        <v>253</v>
      </c>
      <c r="K26" s="64">
        <v>2021</v>
      </c>
      <c r="L26" s="59"/>
      <c r="M26" s="59"/>
      <c r="N26" s="65" t="s">
        <v>254</v>
      </c>
      <c r="O26" s="65"/>
    </row>
    <row r="27" spans="1:15" ht="14">
      <c r="A27" s="59">
        <v>26</v>
      </c>
      <c r="B27" s="59" t="s">
        <v>52</v>
      </c>
      <c r="C27" s="70" t="s">
        <v>249</v>
      </c>
      <c r="D27" s="71" t="s">
        <v>312</v>
      </c>
      <c r="E27" s="80" t="s">
        <v>311</v>
      </c>
      <c r="F27" s="187" t="s">
        <v>267</v>
      </c>
      <c r="G27" s="74">
        <v>48</v>
      </c>
      <c r="H27" s="75">
        <v>4500</v>
      </c>
      <c r="I27" s="69">
        <v>40</v>
      </c>
      <c r="J27" s="59" t="s">
        <v>253</v>
      </c>
      <c r="K27" s="64">
        <v>2021</v>
      </c>
      <c r="L27" s="59"/>
      <c r="M27" s="59"/>
      <c r="N27" s="65" t="s">
        <v>254</v>
      </c>
      <c r="O27" s="65"/>
    </row>
    <row r="28" spans="1:15" ht="14">
      <c r="A28" s="59">
        <v>27</v>
      </c>
      <c r="B28" s="59" t="s">
        <v>52</v>
      </c>
      <c r="C28" s="70" t="s">
        <v>249</v>
      </c>
      <c r="D28" s="71" t="s">
        <v>313</v>
      </c>
      <c r="E28" s="84" t="s">
        <v>305</v>
      </c>
      <c r="F28" s="80" t="s">
        <v>251</v>
      </c>
      <c r="G28" s="74">
        <v>48</v>
      </c>
      <c r="H28" s="75">
        <v>28000</v>
      </c>
      <c r="I28" s="69">
        <v>60</v>
      </c>
      <c r="J28" s="59" t="s">
        <v>253</v>
      </c>
      <c r="K28" s="64">
        <v>2021</v>
      </c>
      <c r="L28" s="59"/>
      <c r="M28" s="59"/>
      <c r="N28" s="65" t="s">
        <v>254</v>
      </c>
      <c r="O28" s="65"/>
    </row>
    <row r="29" spans="1:15" ht="14">
      <c r="A29" s="59">
        <v>28</v>
      </c>
      <c r="B29" s="59" t="s">
        <v>52</v>
      </c>
      <c r="C29" s="70" t="s">
        <v>249</v>
      </c>
      <c r="D29" s="66" t="s">
        <v>314</v>
      </c>
      <c r="E29" s="87" t="s">
        <v>281</v>
      </c>
      <c r="F29" s="190" t="s">
        <v>315</v>
      </c>
      <c r="G29" s="59">
        <v>48</v>
      </c>
      <c r="H29" s="62">
        <v>12700</v>
      </c>
      <c r="I29" s="69">
        <v>60</v>
      </c>
      <c r="J29" s="59" t="s">
        <v>253</v>
      </c>
      <c r="K29" s="64">
        <v>2021</v>
      </c>
      <c r="L29" s="59"/>
      <c r="M29" s="59"/>
      <c r="N29" s="65" t="s">
        <v>254</v>
      </c>
      <c r="O29" s="65"/>
    </row>
    <row r="30" spans="1:15" ht="14">
      <c r="A30" s="59">
        <v>29</v>
      </c>
      <c r="B30" s="59" t="s">
        <v>52</v>
      </c>
      <c r="C30" s="70" t="s">
        <v>249</v>
      </c>
      <c r="D30" s="66" t="s">
        <v>316</v>
      </c>
      <c r="E30" s="89" t="s">
        <v>267</v>
      </c>
      <c r="F30" s="61" t="s">
        <v>317</v>
      </c>
      <c r="G30" s="59">
        <v>48</v>
      </c>
      <c r="H30" s="75">
        <v>26500</v>
      </c>
      <c r="I30" s="69">
        <v>80</v>
      </c>
      <c r="J30" s="59" t="s">
        <v>253</v>
      </c>
      <c r="K30" s="64">
        <v>2021</v>
      </c>
      <c r="L30" s="59"/>
      <c r="M30" s="59"/>
      <c r="N30" s="65" t="s">
        <v>254</v>
      </c>
      <c r="O30" s="65"/>
    </row>
    <row r="31" spans="1:15" ht="14">
      <c r="A31" s="59">
        <v>30</v>
      </c>
      <c r="B31" s="59" t="s">
        <v>52</v>
      </c>
      <c r="C31" s="70" t="s">
        <v>249</v>
      </c>
      <c r="D31" s="66" t="s">
        <v>318</v>
      </c>
      <c r="E31" s="185" t="s">
        <v>310</v>
      </c>
      <c r="F31" s="61" t="s">
        <v>319</v>
      </c>
      <c r="G31" s="59">
        <v>48</v>
      </c>
      <c r="H31" s="75">
        <v>22000</v>
      </c>
      <c r="I31" s="69">
        <v>60</v>
      </c>
      <c r="J31" s="59" t="s">
        <v>253</v>
      </c>
      <c r="K31" s="64">
        <v>2021</v>
      </c>
      <c r="L31" s="59"/>
      <c r="M31" s="59"/>
      <c r="N31" s="65" t="s">
        <v>254</v>
      </c>
      <c r="O31" s="65"/>
    </row>
    <row r="32" spans="1:15" ht="14">
      <c r="A32" s="59">
        <v>31</v>
      </c>
      <c r="B32" s="59" t="s">
        <v>53</v>
      </c>
      <c r="C32" s="70" t="s">
        <v>249</v>
      </c>
      <c r="D32" s="60" t="s">
        <v>320</v>
      </c>
      <c r="E32" s="72" t="s">
        <v>321</v>
      </c>
      <c r="F32" s="95" t="s">
        <v>322</v>
      </c>
      <c r="G32" s="59">
        <v>48</v>
      </c>
      <c r="H32" s="62">
        <v>72529.8</v>
      </c>
      <c r="I32" s="63"/>
      <c r="J32" s="59" t="s">
        <v>253</v>
      </c>
      <c r="K32" s="86">
        <v>2021</v>
      </c>
      <c r="L32" s="59"/>
      <c r="M32" s="79"/>
      <c r="N32" s="65" t="s">
        <v>254</v>
      </c>
      <c r="O32" s="65"/>
    </row>
    <row r="33" spans="1:15" ht="14">
      <c r="A33" s="59">
        <v>32</v>
      </c>
      <c r="B33" s="59" t="s">
        <v>49</v>
      </c>
      <c r="C33" s="70" t="s">
        <v>249</v>
      </c>
      <c r="D33" s="97" t="s">
        <v>323</v>
      </c>
      <c r="E33" s="95" t="s">
        <v>273</v>
      </c>
      <c r="F33" s="189" t="s">
        <v>324</v>
      </c>
      <c r="G33" s="59">
        <v>48</v>
      </c>
      <c r="H33" s="62">
        <v>76000</v>
      </c>
      <c r="I33" s="78">
        <v>80</v>
      </c>
      <c r="J33" s="59" t="s">
        <v>253</v>
      </c>
      <c r="K33" s="59">
        <v>2022</v>
      </c>
      <c r="L33" s="59"/>
      <c r="M33" s="59"/>
      <c r="N33" s="65" t="s">
        <v>254</v>
      </c>
      <c r="O33" s="65"/>
    </row>
    <row r="34" spans="1:15" ht="14">
      <c r="A34" s="59">
        <v>33</v>
      </c>
      <c r="B34" s="59" t="s">
        <v>50</v>
      </c>
      <c r="C34" s="70" t="s">
        <v>249</v>
      </c>
      <c r="D34" s="66" t="s">
        <v>325</v>
      </c>
      <c r="E34" s="95" t="s">
        <v>326</v>
      </c>
      <c r="F34" s="76" t="s">
        <v>294</v>
      </c>
      <c r="G34" s="59">
        <v>48</v>
      </c>
      <c r="H34" s="75">
        <v>89000</v>
      </c>
      <c r="I34" s="69">
        <v>80</v>
      </c>
      <c r="J34" s="59" t="s">
        <v>253</v>
      </c>
      <c r="K34" s="64">
        <v>2022</v>
      </c>
      <c r="L34" s="59"/>
      <c r="M34" s="79"/>
      <c r="N34" s="65" t="s">
        <v>254</v>
      </c>
      <c r="O34" s="65" t="s">
        <v>264</v>
      </c>
    </row>
    <row r="35" spans="1:15" ht="14">
      <c r="A35" s="59">
        <v>34</v>
      </c>
      <c r="B35" s="59" t="s">
        <v>52</v>
      </c>
      <c r="C35" s="70" t="s">
        <v>249</v>
      </c>
      <c r="D35" s="66" t="s">
        <v>327</v>
      </c>
      <c r="E35" s="91" t="s">
        <v>310</v>
      </c>
      <c r="F35" s="61" t="s">
        <v>328</v>
      </c>
      <c r="G35" s="59">
        <v>48</v>
      </c>
      <c r="H35" s="75">
        <v>59000</v>
      </c>
      <c r="I35" s="69">
        <v>60</v>
      </c>
      <c r="J35" s="59" t="s">
        <v>253</v>
      </c>
      <c r="K35" s="64">
        <v>2022</v>
      </c>
      <c r="L35" s="59"/>
      <c r="M35" s="59"/>
      <c r="N35" s="65" t="s">
        <v>254</v>
      </c>
      <c r="O35" s="65" t="s">
        <v>264</v>
      </c>
    </row>
    <row r="36" spans="1:15" ht="14">
      <c r="A36" s="59">
        <v>35</v>
      </c>
      <c r="B36" s="59" t="s">
        <v>52</v>
      </c>
      <c r="C36" s="70" t="s">
        <v>249</v>
      </c>
      <c r="D36" s="66" t="s">
        <v>329</v>
      </c>
      <c r="E36" s="185" t="s">
        <v>267</v>
      </c>
      <c r="F36" s="61" t="s">
        <v>283</v>
      </c>
      <c r="G36" s="59">
        <v>48</v>
      </c>
      <c r="H36" s="75">
        <v>17000</v>
      </c>
      <c r="I36" s="69">
        <v>60</v>
      </c>
      <c r="J36" s="59" t="s">
        <v>253</v>
      </c>
      <c r="K36" s="64">
        <v>2022</v>
      </c>
      <c r="L36" s="59"/>
      <c r="M36" s="59"/>
      <c r="N36" s="65" t="s">
        <v>254</v>
      </c>
      <c r="O36" s="65"/>
    </row>
    <row r="37" spans="1:15" ht="14">
      <c r="A37" s="59">
        <v>36</v>
      </c>
      <c r="B37" s="59" t="s">
        <v>52</v>
      </c>
      <c r="C37" s="70" t="s">
        <v>249</v>
      </c>
      <c r="D37" s="66" t="s">
        <v>330</v>
      </c>
      <c r="E37" s="189" t="s">
        <v>331</v>
      </c>
      <c r="F37" s="90" t="s">
        <v>332</v>
      </c>
      <c r="G37" s="59">
        <v>48</v>
      </c>
      <c r="H37" s="62">
        <v>3000</v>
      </c>
      <c r="I37" s="69">
        <v>60</v>
      </c>
      <c r="J37" s="59" t="s">
        <v>253</v>
      </c>
      <c r="K37" s="64">
        <v>2022</v>
      </c>
      <c r="L37" s="59"/>
      <c r="M37" s="59"/>
      <c r="N37" s="65" t="s">
        <v>254</v>
      </c>
      <c r="O37" s="65"/>
    </row>
    <row r="38" spans="1:15" ht="14">
      <c r="A38" s="59">
        <v>37</v>
      </c>
      <c r="B38" s="59" t="s">
        <v>53</v>
      </c>
      <c r="C38" s="70" t="s">
        <v>249</v>
      </c>
      <c r="D38" s="97" t="s">
        <v>333</v>
      </c>
      <c r="E38" s="95" t="s">
        <v>260</v>
      </c>
      <c r="F38" s="72" t="s">
        <v>334</v>
      </c>
      <c r="G38" s="59">
        <v>48</v>
      </c>
      <c r="H38" s="62">
        <v>30000</v>
      </c>
      <c r="I38" s="102">
        <v>60</v>
      </c>
      <c r="J38" s="59" t="s">
        <v>253</v>
      </c>
      <c r="K38" s="59">
        <v>2022</v>
      </c>
      <c r="L38" s="59"/>
      <c r="M38" s="59"/>
      <c r="N38" s="65" t="s">
        <v>254</v>
      </c>
      <c r="O38" s="65"/>
    </row>
    <row r="39" spans="1:15" ht="14">
      <c r="A39" s="59">
        <v>38</v>
      </c>
      <c r="B39" s="59" t="s">
        <v>53</v>
      </c>
      <c r="C39" s="70" t="s">
        <v>249</v>
      </c>
      <c r="D39" s="176" t="s">
        <v>335</v>
      </c>
      <c r="E39" s="100" t="s">
        <v>336</v>
      </c>
      <c r="F39" s="95" t="s">
        <v>337</v>
      </c>
      <c r="G39" s="59">
        <v>48</v>
      </c>
      <c r="H39" s="62">
        <v>55000</v>
      </c>
      <c r="I39" s="78">
        <v>80</v>
      </c>
      <c r="J39" s="59" t="s">
        <v>253</v>
      </c>
      <c r="K39" s="59">
        <v>2022</v>
      </c>
      <c r="L39" s="59"/>
      <c r="M39" s="59"/>
      <c r="N39" s="65" t="s">
        <v>254</v>
      </c>
      <c r="O39" s="65"/>
    </row>
    <row r="40" spans="1:15" ht="14.9" customHeight="1">
      <c r="A40" s="59">
        <v>39</v>
      </c>
      <c r="B40" s="17" t="s">
        <v>55</v>
      </c>
      <c r="C40" s="70" t="s">
        <v>249</v>
      </c>
      <c r="D40" s="176" t="s">
        <v>338</v>
      </c>
      <c r="E40" s="95" t="s">
        <v>339</v>
      </c>
      <c r="F40" s="91" t="s">
        <v>340</v>
      </c>
      <c r="G40" s="59">
        <v>48</v>
      </c>
      <c r="H40" s="62">
        <v>82000</v>
      </c>
      <c r="I40" s="78">
        <v>120</v>
      </c>
      <c r="J40" s="59" t="s">
        <v>253</v>
      </c>
      <c r="K40" s="59">
        <v>2022</v>
      </c>
      <c r="L40" s="59"/>
      <c r="M40" s="59"/>
      <c r="N40" s="65" t="s">
        <v>254</v>
      </c>
      <c r="O40" s="65"/>
    </row>
    <row r="41" spans="1:15" ht="14">
      <c r="A41" s="59">
        <v>40</v>
      </c>
      <c r="B41" s="17" t="s">
        <v>55</v>
      </c>
      <c r="C41" s="70" t="s">
        <v>249</v>
      </c>
      <c r="D41" s="180" t="s">
        <v>341</v>
      </c>
      <c r="E41" s="91" t="s">
        <v>340</v>
      </c>
      <c r="F41" s="188" t="s">
        <v>340</v>
      </c>
      <c r="G41" s="59">
        <v>48</v>
      </c>
      <c r="H41" s="62">
        <v>69000</v>
      </c>
      <c r="I41" s="78">
        <v>100</v>
      </c>
      <c r="J41" s="59" t="s">
        <v>253</v>
      </c>
      <c r="K41" s="59">
        <v>2022</v>
      </c>
      <c r="L41" s="59"/>
      <c r="M41" s="59"/>
      <c r="N41" s="65" t="s">
        <v>254</v>
      </c>
      <c r="O41" s="65"/>
    </row>
    <row r="42" spans="1:15" ht="14">
      <c r="A42" s="59">
        <v>41</v>
      </c>
      <c r="B42" s="17" t="s">
        <v>55</v>
      </c>
      <c r="C42" s="70" t="s">
        <v>249</v>
      </c>
      <c r="D42" s="178" t="s">
        <v>342</v>
      </c>
      <c r="E42" s="100" t="s">
        <v>340</v>
      </c>
      <c r="F42" s="188" t="s">
        <v>343</v>
      </c>
      <c r="G42" s="59">
        <v>48</v>
      </c>
      <c r="H42" s="62">
        <v>70000</v>
      </c>
      <c r="I42" s="193">
        <v>100</v>
      </c>
      <c r="J42" s="59" t="s">
        <v>253</v>
      </c>
      <c r="K42" s="195">
        <v>2022</v>
      </c>
      <c r="L42" s="59"/>
      <c r="M42" s="59"/>
      <c r="N42" s="65" t="s">
        <v>254</v>
      </c>
      <c r="O42" s="65"/>
    </row>
    <row r="43" spans="1:15" ht="14">
      <c r="A43" s="59">
        <v>42</v>
      </c>
      <c r="B43" s="17" t="s">
        <v>55</v>
      </c>
      <c r="C43" s="70" t="s">
        <v>249</v>
      </c>
      <c r="D43" s="177" t="s">
        <v>344</v>
      </c>
      <c r="E43" s="100" t="s">
        <v>343</v>
      </c>
      <c r="F43" s="100" t="s">
        <v>345</v>
      </c>
      <c r="G43" s="59">
        <v>48</v>
      </c>
      <c r="H43" s="62">
        <v>50000</v>
      </c>
      <c r="I43" s="193">
        <v>120</v>
      </c>
      <c r="J43" s="59" t="s">
        <v>253</v>
      </c>
      <c r="K43" s="195">
        <v>2022</v>
      </c>
      <c r="L43" s="59"/>
      <c r="M43" s="59"/>
      <c r="N43" s="65" t="s">
        <v>254</v>
      </c>
      <c r="O43" s="65"/>
    </row>
    <row r="44" spans="1:15" ht="14">
      <c r="A44" s="59">
        <v>43</v>
      </c>
      <c r="B44" s="17" t="s">
        <v>55</v>
      </c>
      <c r="C44" s="70" t="s">
        <v>249</v>
      </c>
      <c r="D44" s="181" t="s">
        <v>346</v>
      </c>
      <c r="E44" s="188" t="s">
        <v>345</v>
      </c>
      <c r="F44" s="76" t="s">
        <v>347</v>
      </c>
      <c r="G44" s="59">
        <v>48</v>
      </c>
      <c r="H44" s="62">
        <v>85000</v>
      </c>
      <c r="I44" s="194">
        <v>100</v>
      </c>
      <c r="J44" s="59" t="s">
        <v>253</v>
      </c>
      <c r="K44" s="196">
        <v>2022</v>
      </c>
      <c r="L44" s="59"/>
      <c r="M44" s="59"/>
      <c r="N44" s="65" t="s">
        <v>254</v>
      </c>
      <c r="O44" s="65"/>
    </row>
    <row r="45" spans="1:15" ht="14">
      <c r="A45" s="59">
        <v>44</v>
      </c>
      <c r="B45" s="59" t="s">
        <v>49</v>
      </c>
      <c r="C45" s="70" t="s">
        <v>249</v>
      </c>
      <c r="D45" s="97" t="s">
        <v>348</v>
      </c>
      <c r="E45" s="76" t="s">
        <v>272</v>
      </c>
      <c r="F45" s="72" t="s">
        <v>349</v>
      </c>
      <c r="G45" s="59">
        <v>48</v>
      </c>
      <c r="H45" s="62">
        <v>35000</v>
      </c>
      <c r="I45" s="78"/>
      <c r="J45" s="59" t="s">
        <v>253</v>
      </c>
      <c r="K45" s="59">
        <v>2023</v>
      </c>
      <c r="L45" s="59"/>
      <c r="M45" s="59"/>
      <c r="N45" s="65" t="s">
        <v>254</v>
      </c>
      <c r="O45" s="65"/>
    </row>
    <row r="46" spans="1:15" ht="14">
      <c r="A46" s="59">
        <v>45</v>
      </c>
      <c r="B46" s="59" t="s">
        <v>58</v>
      </c>
      <c r="C46" s="70" t="s">
        <v>11</v>
      </c>
      <c r="D46" s="97" t="s">
        <v>350</v>
      </c>
      <c r="E46" s="76" t="s">
        <v>349</v>
      </c>
      <c r="F46" s="72" t="s">
        <v>351</v>
      </c>
      <c r="G46" s="59">
        <v>48</v>
      </c>
      <c r="H46" s="62">
        <v>40000</v>
      </c>
      <c r="I46" s="78"/>
      <c r="J46" s="59" t="s">
        <v>253</v>
      </c>
      <c r="K46" s="59">
        <v>2023</v>
      </c>
      <c r="L46" s="59"/>
      <c r="M46" s="59"/>
      <c r="N46" s="65" t="s">
        <v>254</v>
      </c>
      <c r="O46" s="65"/>
    </row>
    <row r="47" spans="1:15" ht="14">
      <c r="A47" s="59">
        <v>46</v>
      </c>
      <c r="B47" s="59" t="s">
        <v>49</v>
      </c>
      <c r="C47" s="70" t="s">
        <v>249</v>
      </c>
      <c r="D47" s="97" t="s">
        <v>352</v>
      </c>
      <c r="E47" s="95" t="s">
        <v>353</v>
      </c>
      <c r="F47" s="72" t="s">
        <v>354</v>
      </c>
      <c r="G47" s="59">
        <v>48</v>
      </c>
      <c r="H47" s="62">
        <v>67000</v>
      </c>
      <c r="I47" s="78"/>
      <c r="J47" s="59" t="s">
        <v>253</v>
      </c>
      <c r="K47" s="59">
        <v>2023</v>
      </c>
      <c r="L47" s="59"/>
      <c r="M47" s="59"/>
      <c r="N47" s="65" t="s">
        <v>254</v>
      </c>
      <c r="O47" s="65"/>
    </row>
    <row r="48" spans="1:15" ht="14">
      <c r="A48" s="59">
        <v>47</v>
      </c>
      <c r="B48" s="59" t="s">
        <v>57</v>
      </c>
      <c r="C48" s="70" t="s">
        <v>11</v>
      </c>
      <c r="D48" s="97" t="s">
        <v>355</v>
      </c>
      <c r="E48" s="76" t="s">
        <v>353</v>
      </c>
      <c r="F48" s="189" t="s">
        <v>356</v>
      </c>
      <c r="G48" s="59">
        <v>48</v>
      </c>
      <c r="H48" s="62">
        <v>77000</v>
      </c>
      <c r="I48" s="78"/>
      <c r="J48" s="59" t="s">
        <v>253</v>
      </c>
      <c r="K48" s="59">
        <v>2023</v>
      </c>
      <c r="L48" s="59"/>
      <c r="M48" s="59"/>
      <c r="N48" s="65" t="s">
        <v>254</v>
      </c>
      <c r="O48" s="65"/>
    </row>
    <row r="49" spans="1:15" ht="14">
      <c r="A49" s="59">
        <v>48</v>
      </c>
      <c r="B49" s="59" t="s">
        <v>49</v>
      </c>
      <c r="C49" s="70" t="s">
        <v>249</v>
      </c>
      <c r="D49" s="97" t="s">
        <v>357</v>
      </c>
      <c r="E49" s="76" t="s">
        <v>358</v>
      </c>
      <c r="F49" s="72" t="s">
        <v>359</v>
      </c>
      <c r="G49" s="59">
        <v>48</v>
      </c>
      <c r="H49" s="62">
        <v>15000</v>
      </c>
      <c r="I49" s="102"/>
      <c r="J49" s="59" t="s">
        <v>253</v>
      </c>
      <c r="K49" s="59">
        <v>2023</v>
      </c>
      <c r="L49" s="59"/>
      <c r="M49" s="59"/>
      <c r="N49" s="65" t="s">
        <v>254</v>
      </c>
      <c r="O49" s="65"/>
    </row>
    <row r="50" spans="1:15" ht="14">
      <c r="A50" s="59">
        <v>49</v>
      </c>
      <c r="B50" s="59" t="s">
        <v>49</v>
      </c>
      <c r="C50" s="70" t="s">
        <v>249</v>
      </c>
      <c r="D50" s="97" t="s">
        <v>360</v>
      </c>
      <c r="E50" s="95" t="s">
        <v>359</v>
      </c>
      <c r="F50" s="189" t="s">
        <v>361</v>
      </c>
      <c r="G50" s="59">
        <v>48</v>
      </c>
      <c r="H50" s="96">
        <v>73000</v>
      </c>
      <c r="I50" s="102"/>
      <c r="J50" s="59" t="s">
        <v>253</v>
      </c>
      <c r="K50" s="59">
        <v>2023</v>
      </c>
      <c r="L50" s="59"/>
      <c r="M50" s="59"/>
      <c r="N50" s="65" t="s">
        <v>254</v>
      </c>
      <c r="O50" s="65"/>
    </row>
    <row r="51" spans="1:15" ht="14">
      <c r="A51" s="59">
        <v>50</v>
      </c>
      <c r="B51" s="59" t="s">
        <v>50</v>
      </c>
      <c r="C51" s="70" t="s">
        <v>249</v>
      </c>
      <c r="D51" s="66" t="s">
        <v>362</v>
      </c>
      <c r="E51" s="154" t="s">
        <v>326</v>
      </c>
      <c r="F51" s="73" t="s">
        <v>363</v>
      </c>
      <c r="G51" s="59">
        <v>48</v>
      </c>
      <c r="H51" s="75">
        <v>87000</v>
      </c>
      <c r="I51" s="69">
        <v>80</v>
      </c>
      <c r="J51" s="59" t="s">
        <v>253</v>
      </c>
      <c r="K51" s="64">
        <v>2023</v>
      </c>
      <c r="L51" s="59"/>
      <c r="M51" s="59"/>
      <c r="N51" s="65" t="s">
        <v>254</v>
      </c>
      <c r="O51" s="65"/>
    </row>
    <row r="52" spans="1:15" ht="14">
      <c r="A52" s="59">
        <v>51</v>
      </c>
      <c r="B52" s="59" t="s">
        <v>50</v>
      </c>
      <c r="C52" s="70" t="s">
        <v>249</v>
      </c>
      <c r="D52" s="71" t="s">
        <v>364</v>
      </c>
      <c r="E52" s="80" t="s">
        <v>363</v>
      </c>
      <c r="F52" s="67" t="s">
        <v>365</v>
      </c>
      <c r="G52" s="59">
        <v>48</v>
      </c>
      <c r="H52" s="75">
        <v>71000</v>
      </c>
      <c r="I52" s="69">
        <v>80</v>
      </c>
      <c r="J52" s="59" t="s">
        <v>253</v>
      </c>
      <c r="K52" s="64">
        <v>2023</v>
      </c>
      <c r="L52" s="59"/>
      <c r="M52" s="59"/>
      <c r="N52" s="65" t="s">
        <v>254</v>
      </c>
      <c r="O52" s="65"/>
    </row>
    <row r="53" spans="1:15" ht="14">
      <c r="A53" s="59">
        <v>52</v>
      </c>
      <c r="B53" s="59" t="s">
        <v>50</v>
      </c>
      <c r="C53" s="70" t="s">
        <v>249</v>
      </c>
      <c r="D53" s="71" t="s">
        <v>366</v>
      </c>
      <c r="E53" s="80" t="s">
        <v>365</v>
      </c>
      <c r="F53" s="153" t="s">
        <v>367</v>
      </c>
      <c r="G53" s="59">
        <v>48</v>
      </c>
      <c r="H53" s="75">
        <v>72000</v>
      </c>
      <c r="I53" s="69">
        <v>80</v>
      </c>
      <c r="J53" s="59" t="s">
        <v>253</v>
      </c>
      <c r="K53" s="64">
        <v>2023</v>
      </c>
      <c r="L53" s="59"/>
      <c r="M53" s="59"/>
      <c r="N53" s="65" t="s">
        <v>254</v>
      </c>
      <c r="O53" s="65"/>
    </row>
    <row r="54" spans="1:15" ht="14">
      <c r="A54" s="59">
        <v>53</v>
      </c>
      <c r="B54" s="59" t="s">
        <v>50</v>
      </c>
      <c r="C54" s="70" t="s">
        <v>249</v>
      </c>
      <c r="D54" s="71" t="s">
        <v>368</v>
      </c>
      <c r="E54" s="80" t="s">
        <v>367</v>
      </c>
      <c r="F54" s="153" t="s">
        <v>294</v>
      </c>
      <c r="G54" s="59">
        <v>48</v>
      </c>
      <c r="H54" s="75">
        <v>25000</v>
      </c>
      <c r="I54" s="69">
        <v>40</v>
      </c>
      <c r="J54" s="59" t="s">
        <v>253</v>
      </c>
      <c r="K54" s="64">
        <v>2023</v>
      </c>
      <c r="L54" s="59"/>
      <c r="M54" s="59"/>
      <c r="N54" s="65" t="s">
        <v>254</v>
      </c>
      <c r="O54" s="65"/>
    </row>
    <row r="55" spans="1:15" ht="14">
      <c r="A55" s="59">
        <v>54</v>
      </c>
      <c r="B55" s="59" t="s">
        <v>50</v>
      </c>
      <c r="C55" s="70" t="s">
        <v>249</v>
      </c>
      <c r="D55" s="66" t="s">
        <v>369</v>
      </c>
      <c r="E55" s="88" t="s">
        <v>367</v>
      </c>
      <c r="F55" s="73" t="s">
        <v>370</v>
      </c>
      <c r="G55" s="59">
        <v>48</v>
      </c>
      <c r="H55" s="75">
        <v>74000</v>
      </c>
      <c r="I55" s="69">
        <v>80</v>
      </c>
      <c r="J55" s="59" t="s">
        <v>253</v>
      </c>
      <c r="K55" s="64">
        <v>2023</v>
      </c>
      <c r="L55" s="59"/>
      <c r="M55" s="59"/>
      <c r="N55" s="65" t="s">
        <v>254</v>
      </c>
      <c r="O55" s="65"/>
    </row>
    <row r="56" spans="1:15" ht="14">
      <c r="A56" s="59">
        <v>55</v>
      </c>
      <c r="B56" s="167" t="s">
        <v>50</v>
      </c>
      <c r="C56" s="70" t="s">
        <v>249</v>
      </c>
      <c r="D56" s="66" t="s">
        <v>371</v>
      </c>
      <c r="E56" s="61" t="s">
        <v>370</v>
      </c>
      <c r="F56" s="73" t="s">
        <v>372</v>
      </c>
      <c r="G56" s="59">
        <v>48</v>
      </c>
      <c r="H56" s="75">
        <v>41000</v>
      </c>
      <c r="I56" s="69">
        <v>80</v>
      </c>
      <c r="J56" s="59" t="s">
        <v>253</v>
      </c>
      <c r="K56" s="64">
        <v>2023</v>
      </c>
      <c r="L56" s="59"/>
      <c r="M56" s="59"/>
      <c r="N56" s="65" t="s">
        <v>254</v>
      </c>
      <c r="O56" s="65"/>
    </row>
    <row r="57" spans="1:15" ht="14">
      <c r="A57" s="59">
        <v>56</v>
      </c>
      <c r="B57" s="167" t="s">
        <v>52</v>
      </c>
      <c r="C57" s="70" t="s">
        <v>249</v>
      </c>
      <c r="D57" s="66" t="s">
        <v>373</v>
      </c>
      <c r="E57" s="72" t="s">
        <v>283</v>
      </c>
      <c r="F57" s="61" t="s">
        <v>374</v>
      </c>
      <c r="G57" s="59">
        <v>48</v>
      </c>
      <c r="H57" s="192">
        <v>4000</v>
      </c>
      <c r="I57" s="92">
        <v>60</v>
      </c>
      <c r="J57" s="59" t="s">
        <v>253</v>
      </c>
      <c r="K57" s="64">
        <v>2023</v>
      </c>
      <c r="L57" s="59"/>
      <c r="M57" s="59"/>
      <c r="N57" s="65" t="s">
        <v>254</v>
      </c>
      <c r="O57" s="65"/>
    </row>
    <row r="58" spans="1:15" ht="14">
      <c r="A58" s="59">
        <v>57</v>
      </c>
      <c r="B58" s="167" t="s">
        <v>53</v>
      </c>
      <c r="C58" s="70" t="s">
        <v>249</v>
      </c>
      <c r="D58" s="99" t="s">
        <v>375</v>
      </c>
      <c r="E58" s="72" t="s">
        <v>376</v>
      </c>
      <c r="F58" s="61" t="s">
        <v>212</v>
      </c>
      <c r="G58" s="59">
        <v>48</v>
      </c>
      <c r="H58" s="103">
        <v>71000</v>
      </c>
      <c r="I58" s="102">
        <v>100</v>
      </c>
      <c r="J58" s="59" t="s">
        <v>253</v>
      </c>
      <c r="K58" s="59">
        <v>2023</v>
      </c>
      <c r="L58" s="59"/>
      <c r="M58" s="59"/>
      <c r="N58" s="65" t="s">
        <v>254</v>
      </c>
      <c r="O58" s="65"/>
    </row>
    <row r="59" spans="1:15" ht="14">
      <c r="A59" s="59">
        <v>58</v>
      </c>
      <c r="B59" s="167" t="s">
        <v>53</v>
      </c>
      <c r="C59" s="70" t="s">
        <v>249</v>
      </c>
      <c r="D59" s="99" t="s">
        <v>377</v>
      </c>
      <c r="E59" s="72" t="s">
        <v>212</v>
      </c>
      <c r="F59" s="61" t="s">
        <v>321</v>
      </c>
      <c r="G59" s="59">
        <v>48</v>
      </c>
      <c r="H59" s="62">
        <v>44406</v>
      </c>
      <c r="I59" s="102">
        <v>80</v>
      </c>
      <c r="J59" s="59" t="s">
        <v>253</v>
      </c>
      <c r="K59" s="59">
        <v>2023</v>
      </c>
      <c r="L59" s="59"/>
      <c r="M59" s="59"/>
      <c r="N59" s="65" t="s">
        <v>254</v>
      </c>
      <c r="O59" s="65"/>
    </row>
    <row r="60" spans="1:15" ht="14">
      <c r="A60" s="59">
        <v>59</v>
      </c>
      <c r="B60" s="19" t="s">
        <v>56</v>
      </c>
      <c r="C60" s="70" t="s">
        <v>249</v>
      </c>
      <c r="D60" s="60" t="s">
        <v>378</v>
      </c>
      <c r="E60" s="100" t="s">
        <v>361</v>
      </c>
      <c r="F60" s="76" t="s">
        <v>379</v>
      </c>
      <c r="G60" s="59">
        <v>48</v>
      </c>
      <c r="H60" s="62">
        <v>71000</v>
      </c>
      <c r="I60" s="104"/>
      <c r="J60" s="59" t="s">
        <v>253</v>
      </c>
      <c r="K60" s="86">
        <v>2023</v>
      </c>
      <c r="L60" s="59"/>
      <c r="M60" s="59"/>
      <c r="N60" s="65" t="s">
        <v>254</v>
      </c>
      <c r="O60" s="65"/>
    </row>
    <row r="61" spans="1:15" ht="14">
      <c r="A61" s="59">
        <v>60</v>
      </c>
      <c r="B61" s="19" t="s">
        <v>56</v>
      </c>
      <c r="C61" s="70" t="s">
        <v>249</v>
      </c>
      <c r="D61" s="60" t="s">
        <v>380</v>
      </c>
      <c r="E61" s="100" t="s">
        <v>379</v>
      </c>
      <c r="F61" s="76" t="s">
        <v>381</v>
      </c>
      <c r="G61" s="59">
        <v>48</v>
      </c>
      <c r="H61" s="62">
        <v>76000</v>
      </c>
      <c r="I61" s="104"/>
      <c r="J61" s="59" t="s">
        <v>253</v>
      </c>
      <c r="K61" s="86">
        <v>2023</v>
      </c>
      <c r="L61" s="59"/>
      <c r="M61" s="59"/>
      <c r="N61" s="65" t="s">
        <v>254</v>
      </c>
      <c r="O61" s="65"/>
    </row>
    <row r="62" spans="1:15" ht="14">
      <c r="A62" s="59">
        <v>61</v>
      </c>
      <c r="B62" s="19" t="s">
        <v>55</v>
      </c>
      <c r="C62" s="70" t="s">
        <v>249</v>
      </c>
      <c r="D62" s="60" t="s">
        <v>382</v>
      </c>
      <c r="E62" s="100" t="s">
        <v>383</v>
      </c>
      <c r="F62" s="76" t="s">
        <v>384</v>
      </c>
      <c r="G62" s="59">
        <v>48</v>
      </c>
      <c r="H62" s="62">
        <v>55000</v>
      </c>
      <c r="I62" s="104"/>
      <c r="J62" s="59" t="s">
        <v>253</v>
      </c>
      <c r="K62" s="86">
        <v>2023</v>
      </c>
      <c r="L62" s="59"/>
      <c r="M62" s="59"/>
      <c r="N62" s="65" t="s">
        <v>254</v>
      </c>
      <c r="O62" s="65"/>
    </row>
    <row r="63" spans="1:15" ht="14">
      <c r="A63" s="59">
        <v>62</v>
      </c>
      <c r="B63" s="19" t="s">
        <v>55</v>
      </c>
      <c r="C63" s="70" t="s">
        <v>249</v>
      </c>
      <c r="D63" s="60" t="s">
        <v>385</v>
      </c>
      <c r="E63" s="100" t="s">
        <v>384</v>
      </c>
      <c r="F63" s="76" t="s">
        <v>386</v>
      </c>
      <c r="G63" s="59">
        <v>48</v>
      </c>
      <c r="H63" s="62">
        <v>72000</v>
      </c>
      <c r="I63" s="104"/>
      <c r="J63" s="59" t="s">
        <v>253</v>
      </c>
      <c r="K63" s="86">
        <v>2023</v>
      </c>
      <c r="L63" s="59"/>
      <c r="M63" s="59"/>
      <c r="N63" s="65" t="s">
        <v>254</v>
      </c>
      <c r="O63" s="65"/>
    </row>
    <row r="64" spans="1:15" ht="14">
      <c r="A64" s="59">
        <v>63</v>
      </c>
      <c r="B64" s="167" t="s">
        <v>59</v>
      </c>
      <c r="C64" s="70" t="s">
        <v>11</v>
      </c>
      <c r="D64" s="60" t="s">
        <v>387</v>
      </c>
      <c r="E64" s="100" t="s">
        <v>351</v>
      </c>
      <c r="F64" s="76" t="s">
        <v>388</v>
      </c>
      <c r="G64" s="59">
        <v>48</v>
      </c>
      <c r="H64" s="96">
        <v>69000</v>
      </c>
      <c r="I64" s="63"/>
      <c r="J64" s="59" t="s">
        <v>253</v>
      </c>
      <c r="K64" s="86">
        <v>2023</v>
      </c>
      <c r="L64" s="59"/>
      <c r="M64" s="59"/>
      <c r="N64" s="65" t="s">
        <v>254</v>
      </c>
      <c r="O64" s="65"/>
    </row>
    <row r="65" spans="1:15" ht="14">
      <c r="A65" s="59">
        <v>64</v>
      </c>
      <c r="B65" s="59" t="s">
        <v>59</v>
      </c>
      <c r="C65" s="59" t="s">
        <v>11</v>
      </c>
      <c r="D65" s="105" t="s">
        <v>389</v>
      </c>
      <c r="E65" s="100" t="s">
        <v>388</v>
      </c>
      <c r="F65" s="61" t="s">
        <v>390</v>
      </c>
      <c r="G65" s="59">
        <v>48</v>
      </c>
      <c r="H65" s="106">
        <v>80000</v>
      </c>
      <c r="I65" s="78"/>
      <c r="J65" s="59" t="s">
        <v>253</v>
      </c>
      <c r="K65" s="86">
        <v>2023</v>
      </c>
      <c r="L65" s="59"/>
      <c r="M65" s="59"/>
      <c r="N65" s="65" t="s">
        <v>254</v>
      </c>
      <c r="O65" s="65"/>
    </row>
    <row r="66" spans="1:15" ht="14">
      <c r="A66" s="59">
        <v>65</v>
      </c>
      <c r="B66" s="59" t="s">
        <v>59</v>
      </c>
      <c r="C66" s="59" t="s">
        <v>11</v>
      </c>
      <c r="D66" s="107" t="s">
        <v>391</v>
      </c>
      <c r="E66" s="76" t="s">
        <v>390</v>
      </c>
      <c r="F66" s="76" t="s">
        <v>392</v>
      </c>
      <c r="G66" s="59">
        <v>48</v>
      </c>
      <c r="H66" s="108">
        <v>58000</v>
      </c>
      <c r="I66" s="109"/>
      <c r="J66" s="59" t="s">
        <v>253</v>
      </c>
      <c r="K66" s="86">
        <v>2023</v>
      </c>
      <c r="L66" s="59"/>
      <c r="M66" s="59"/>
      <c r="N66" s="65" t="s">
        <v>254</v>
      </c>
      <c r="O66" s="107"/>
    </row>
    <row r="67" spans="1:15" ht="14">
      <c r="A67" s="59">
        <v>66</v>
      </c>
      <c r="B67" s="110" t="s">
        <v>61</v>
      </c>
      <c r="C67" s="110" t="s">
        <v>11</v>
      </c>
      <c r="D67" s="107" t="s">
        <v>393</v>
      </c>
      <c r="E67" s="76" t="s">
        <v>206</v>
      </c>
      <c r="F67" s="76" t="s">
        <v>394</v>
      </c>
      <c r="G67" s="59">
        <v>48</v>
      </c>
      <c r="H67" s="108">
        <v>61000</v>
      </c>
      <c r="I67" s="109">
        <v>80</v>
      </c>
      <c r="J67" s="59" t="s">
        <v>253</v>
      </c>
      <c r="K67" s="86">
        <v>2023</v>
      </c>
      <c r="L67" s="59"/>
      <c r="M67" s="59"/>
      <c r="N67" s="65" t="s">
        <v>254</v>
      </c>
      <c r="O67" s="58"/>
    </row>
    <row r="68" spans="1:15" ht="14">
      <c r="A68" s="59">
        <v>67</v>
      </c>
      <c r="B68" s="110" t="s">
        <v>62</v>
      </c>
      <c r="C68" s="110" t="s">
        <v>11</v>
      </c>
      <c r="D68" s="107" t="s">
        <v>395</v>
      </c>
      <c r="E68" s="76" t="s">
        <v>394</v>
      </c>
      <c r="F68" s="76" t="s">
        <v>396</v>
      </c>
      <c r="G68" s="59">
        <v>48</v>
      </c>
      <c r="H68" s="108">
        <v>63000</v>
      </c>
      <c r="I68" s="109">
        <v>80</v>
      </c>
      <c r="J68" s="59" t="s">
        <v>253</v>
      </c>
      <c r="K68" s="86">
        <v>2023</v>
      </c>
      <c r="L68" s="59"/>
      <c r="M68" s="59"/>
      <c r="N68" s="65" t="s">
        <v>254</v>
      </c>
      <c r="O68" s="58"/>
    </row>
    <row r="69" spans="1:15" ht="14">
      <c r="A69" s="59">
        <v>68</v>
      </c>
      <c r="B69" s="110" t="s">
        <v>62</v>
      </c>
      <c r="C69" s="110" t="s">
        <v>11</v>
      </c>
      <c r="D69" s="107" t="s">
        <v>397</v>
      </c>
      <c r="E69" s="76" t="s">
        <v>396</v>
      </c>
      <c r="F69" s="76" t="s">
        <v>398</v>
      </c>
      <c r="G69" s="59">
        <v>48</v>
      </c>
      <c r="H69" s="108">
        <v>63000</v>
      </c>
      <c r="I69" s="109">
        <v>80</v>
      </c>
      <c r="J69" s="59" t="s">
        <v>253</v>
      </c>
      <c r="K69" s="86">
        <v>2023</v>
      </c>
      <c r="L69" s="59"/>
      <c r="M69" s="59"/>
      <c r="N69" s="65" t="s">
        <v>254</v>
      </c>
      <c r="O69" s="58"/>
    </row>
    <row r="70" spans="1:15" ht="14">
      <c r="A70" s="59">
        <v>69</v>
      </c>
      <c r="B70" s="110" t="s">
        <v>61</v>
      </c>
      <c r="C70" s="110" t="s">
        <v>11</v>
      </c>
      <c r="D70" s="107" t="s">
        <v>399</v>
      </c>
      <c r="E70" s="76" t="s">
        <v>398</v>
      </c>
      <c r="F70" s="76" t="s">
        <v>400</v>
      </c>
      <c r="G70" s="59">
        <v>48</v>
      </c>
      <c r="H70" s="108">
        <v>79000</v>
      </c>
      <c r="I70" s="109"/>
      <c r="J70" s="59" t="s">
        <v>253</v>
      </c>
      <c r="K70" s="86">
        <v>2023</v>
      </c>
      <c r="L70" s="59"/>
      <c r="M70" s="59"/>
      <c r="N70" s="65" t="s">
        <v>254</v>
      </c>
      <c r="O70" s="58"/>
    </row>
    <row r="71" spans="1:15" ht="14">
      <c r="A71" s="59">
        <v>70</v>
      </c>
      <c r="B71" s="59" t="s">
        <v>51</v>
      </c>
      <c r="C71" s="59" t="s">
        <v>249</v>
      </c>
      <c r="D71" s="113" t="s">
        <v>401</v>
      </c>
      <c r="E71" s="59"/>
      <c r="F71" s="59"/>
      <c r="G71" s="59">
        <v>48</v>
      </c>
      <c r="H71" s="96">
        <v>86000</v>
      </c>
      <c r="I71" s="78">
        <v>80</v>
      </c>
      <c r="J71" s="59" t="s">
        <v>253</v>
      </c>
      <c r="K71" s="86">
        <v>2023</v>
      </c>
      <c r="L71" s="59"/>
      <c r="M71" s="59"/>
      <c r="N71" s="65" t="s">
        <v>254</v>
      </c>
      <c r="O71" s="197"/>
    </row>
    <row r="72" spans="1:15" ht="14">
      <c r="A72" s="59">
        <v>71</v>
      </c>
      <c r="B72" s="59" t="s">
        <v>51</v>
      </c>
      <c r="C72" s="70" t="s">
        <v>249</v>
      </c>
      <c r="D72" s="111" t="s">
        <v>402</v>
      </c>
      <c r="E72" s="59"/>
      <c r="F72" s="59"/>
      <c r="G72" s="59">
        <v>48</v>
      </c>
      <c r="H72" s="62">
        <v>56000</v>
      </c>
      <c r="I72" s="78">
        <v>80</v>
      </c>
      <c r="J72" s="59" t="s">
        <v>253</v>
      </c>
      <c r="K72" s="86">
        <v>2023</v>
      </c>
      <c r="L72" s="59"/>
      <c r="M72" s="59"/>
      <c r="N72" s="65" t="s">
        <v>254</v>
      </c>
      <c r="O72" s="65"/>
    </row>
    <row r="73" spans="1:15" ht="14">
      <c r="A73" s="59">
        <v>72</v>
      </c>
      <c r="B73" s="59" t="s">
        <v>60</v>
      </c>
      <c r="C73" s="70" t="s">
        <v>11</v>
      </c>
      <c r="D73" s="111" t="s">
        <v>403</v>
      </c>
      <c r="E73" s="59"/>
      <c r="F73" s="112"/>
      <c r="G73" s="59">
        <v>48</v>
      </c>
      <c r="H73" s="62">
        <v>58000</v>
      </c>
      <c r="I73" s="78"/>
      <c r="J73" s="59" t="s">
        <v>253</v>
      </c>
      <c r="K73" s="86">
        <v>2023</v>
      </c>
      <c r="L73" s="59"/>
      <c r="M73" s="59"/>
      <c r="N73" s="65" t="s">
        <v>254</v>
      </c>
      <c r="O73" s="65"/>
    </row>
    <row r="74" spans="1:15" ht="14">
      <c r="A74" s="59">
        <v>73</v>
      </c>
      <c r="B74" s="59" t="s">
        <v>60</v>
      </c>
      <c r="C74" s="59" t="s">
        <v>11</v>
      </c>
      <c r="D74" s="111" t="s">
        <v>404</v>
      </c>
      <c r="E74" s="59"/>
      <c r="F74" s="59"/>
      <c r="G74" s="59">
        <v>48</v>
      </c>
      <c r="H74" s="62">
        <v>63000</v>
      </c>
      <c r="I74" s="78"/>
      <c r="J74" s="59" t="s">
        <v>253</v>
      </c>
      <c r="K74" s="86">
        <v>2023</v>
      </c>
      <c r="L74" s="59"/>
      <c r="M74" s="59"/>
      <c r="N74" s="65" t="s">
        <v>254</v>
      </c>
      <c r="O74" s="65"/>
    </row>
    <row r="75" spans="1:15" ht="14">
      <c r="A75" s="59">
        <v>74</v>
      </c>
      <c r="B75" s="59" t="s">
        <v>60</v>
      </c>
      <c r="C75" s="59" t="s">
        <v>11</v>
      </c>
      <c r="D75" s="111" t="s">
        <v>405</v>
      </c>
      <c r="E75" s="59"/>
      <c r="F75" s="59"/>
      <c r="G75" s="59">
        <v>48</v>
      </c>
      <c r="H75" s="62">
        <v>34000</v>
      </c>
      <c r="I75" s="78"/>
      <c r="J75" s="59" t="s">
        <v>253</v>
      </c>
      <c r="K75" s="86">
        <v>2023</v>
      </c>
      <c r="L75" s="59"/>
      <c r="M75" s="59"/>
      <c r="N75" s="65" t="s">
        <v>254</v>
      </c>
      <c r="O75" s="65"/>
    </row>
    <row r="76" spans="1:15" ht="14">
      <c r="A76" s="59">
        <v>75</v>
      </c>
      <c r="B76" s="59" t="s">
        <v>60</v>
      </c>
      <c r="C76" s="59" t="s">
        <v>11</v>
      </c>
      <c r="D76" s="111" t="s">
        <v>406</v>
      </c>
      <c r="E76" s="59"/>
      <c r="F76" s="59"/>
      <c r="G76" s="59">
        <v>48</v>
      </c>
      <c r="H76" s="62">
        <v>62000</v>
      </c>
      <c r="I76" s="78"/>
      <c r="J76" s="59" t="s">
        <v>253</v>
      </c>
      <c r="K76" s="86">
        <v>2023</v>
      </c>
      <c r="L76" s="59"/>
      <c r="M76" s="59"/>
      <c r="N76" s="65" t="s">
        <v>254</v>
      </c>
      <c r="O76" s="65"/>
    </row>
    <row r="77" spans="1:15" ht="14">
      <c r="A77" s="59">
        <v>76</v>
      </c>
      <c r="B77" s="59" t="s">
        <v>64</v>
      </c>
      <c r="C77" s="59" t="s">
        <v>11</v>
      </c>
      <c r="D77" s="111" t="s">
        <v>407</v>
      </c>
      <c r="E77" s="59"/>
      <c r="F77" s="59"/>
      <c r="G77" s="59">
        <v>48</v>
      </c>
      <c r="H77" s="62">
        <v>51000</v>
      </c>
      <c r="I77" s="78"/>
      <c r="J77" s="59" t="s">
        <v>253</v>
      </c>
      <c r="K77" s="86">
        <v>2023</v>
      </c>
      <c r="L77" s="59"/>
      <c r="M77" s="59"/>
      <c r="N77" s="65" t="s">
        <v>254</v>
      </c>
      <c r="O77" s="65"/>
    </row>
    <row r="78" spans="1:15" ht="14">
      <c r="A78" s="59">
        <v>77</v>
      </c>
      <c r="B78" s="59" t="s">
        <v>64</v>
      </c>
      <c r="C78" s="59" t="s">
        <v>11</v>
      </c>
      <c r="D78" s="111" t="s">
        <v>408</v>
      </c>
      <c r="E78" s="59"/>
      <c r="F78" s="59"/>
      <c r="G78" s="59">
        <v>48</v>
      </c>
      <c r="H78" s="62">
        <v>81000</v>
      </c>
      <c r="I78" s="78"/>
      <c r="J78" s="59" t="s">
        <v>253</v>
      </c>
      <c r="K78" s="86">
        <v>2023</v>
      </c>
      <c r="L78" s="59"/>
      <c r="M78" s="59"/>
      <c r="N78" s="65" t="s">
        <v>254</v>
      </c>
      <c r="O78" s="65"/>
    </row>
    <row r="79" spans="1:15" ht="14">
      <c r="A79" s="59">
        <v>78</v>
      </c>
      <c r="B79" s="59" t="s">
        <v>64</v>
      </c>
      <c r="C79" s="59" t="s">
        <v>11</v>
      </c>
      <c r="D79" s="111" t="s">
        <v>409</v>
      </c>
      <c r="E79" s="59"/>
      <c r="F79" s="59"/>
      <c r="G79" s="59">
        <v>48</v>
      </c>
      <c r="H79" s="62">
        <v>68000</v>
      </c>
      <c r="I79" s="78"/>
      <c r="J79" s="59" t="s">
        <v>253</v>
      </c>
      <c r="K79" s="86">
        <v>2023</v>
      </c>
      <c r="L79" s="59"/>
      <c r="M79" s="59"/>
      <c r="N79" s="65" t="s">
        <v>254</v>
      </c>
      <c r="O79" s="65"/>
    </row>
    <row r="80" spans="1:15" ht="14">
      <c r="A80" s="59">
        <v>79</v>
      </c>
      <c r="B80" s="59" t="s">
        <v>64</v>
      </c>
      <c r="C80" s="59" t="s">
        <v>11</v>
      </c>
      <c r="D80" s="111" t="s">
        <v>410</v>
      </c>
      <c r="E80" s="59"/>
      <c r="F80" s="59"/>
      <c r="G80" s="59">
        <v>48</v>
      </c>
      <c r="H80" s="62">
        <v>79000</v>
      </c>
      <c r="I80" s="78"/>
      <c r="J80" s="59" t="s">
        <v>253</v>
      </c>
      <c r="K80" s="86">
        <v>2023</v>
      </c>
      <c r="L80" s="59"/>
      <c r="M80" s="59"/>
      <c r="N80" s="65" t="s">
        <v>254</v>
      </c>
      <c r="O80" s="65"/>
    </row>
    <row r="81" spans="1:77" ht="14">
      <c r="A81" s="59">
        <v>80</v>
      </c>
      <c r="B81" s="59" t="s">
        <v>63</v>
      </c>
      <c r="C81" s="59" t="s">
        <v>11</v>
      </c>
      <c r="D81" s="111" t="s">
        <v>411</v>
      </c>
      <c r="E81" s="59"/>
      <c r="F81" s="59"/>
      <c r="G81" s="59">
        <v>48</v>
      </c>
      <c r="H81" s="62">
        <v>79000</v>
      </c>
      <c r="I81" s="78"/>
      <c r="J81" s="59" t="s">
        <v>253</v>
      </c>
      <c r="K81" s="86">
        <v>2023</v>
      </c>
      <c r="L81" s="59"/>
      <c r="M81" s="59"/>
      <c r="N81" s="65" t="s">
        <v>254</v>
      </c>
      <c r="O81" s="65"/>
    </row>
    <row r="82" spans="1:77" ht="14">
      <c r="A82" s="59">
        <v>81</v>
      </c>
      <c r="B82" s="59" t="s">
        <v>59</v>
      </c>
      <c r="C82" s="59" t="s">
        <v>11</v>
      </c>
      <c r="D82" s="182" t="s">
        <v>412</v>
      </c>
      <c r="E82" s="59"/>
      <c r="F82" s="59"/>
      <c r="G82" s="59">
        <v>48</v>
      </c>
      <c r="H82" s="62">
        <v>43000</v>
      </c>
      <c r="I82" s="78"/>
      <c r="J82" s="59" t="s">
        <v>253</v>
      </c>
      <c r="K82" s="86">
        <v>2023</v>
      </c>
      <c r="L82" s="59"/>
      <c r="M82" s="59"/>
      <c r="N82" s="65" t="s">
        <v>254</v>
      </c>
      <c r="O82" s="65"/>
    </row>
    <row r="83" spans="1:77" ht="14.5" thickBot="1">
      <c r="A83" s="59">
        <v>82</v>
      </c>
      <c r="B83" s="59" t="s">
        <v>57</v>
      </c>
      <c r="C83" s="59" t="s">
        <v>11</v>
      </c>
      <c r="D83" s="183" t="s">
        <v>413</v>
      </c>
      <c r="E83" s="76" t="s">
        <v>414</v>
      </c>
      <c r="F83" s="72" t="s">
        <v>415</v>
      </c>
      <c r="G83" s="59">
        <v>48</v>
      </c>
      <c r="H83" s="62">
        <v>5000</v>
      </c>
      <c r="I83" s="78"/>
      <c r="J83" s="59" t="s">
        <v>253</v>
      </c>
      <c r="K83" s="59">
        <v>2024</v>
      </c>
      <c r="L83" s="59"/>
      <c r="M83" s="59"/>
      <c r="N83" s="65" t="s">
        <v>254</v>
      </c>
      <c r="O83" s="65"/>
    </row>
    <row r="84" spans="1:77" ht="14">
      <c r="A84" s="59">
        <v>83</v>
      </c>
      <c r="B84" s="59" t="s">
        <v>56</v>
      </c>
      <c r="C84" s="59" t="s">
        <v>249</v>
      </c>
      <c r="D84" s="111" t="s">
        <v>416</v>
      </c>
      <c r="E84" s="59"/>
      <c r="F84" s="59"/>
      <c r="G84" s="59">
        <v>48</v>
      </c>
      <c r="H84" s="62">
        <v>87000</v>
      </c>
      <c r="I84" s="78"/>
      <c r="J84" s="59" t="s">
        <v>253</v>
      </c>
      <c r="K84" s="59">
        <v>2024</v>
      </c>
      <c r="L84" s="59"/>
      <c r="M84" s="59"/>
      <c r="N84" s="65" t="s">
        <v>254</v>
      </c>
      <c r="O84" s="65"/>
    </row>
    <row r="85" spans="1:77" ht="17.25" customHeight="1">
      <c r="A85" s="59">
        <v>84</v>
      </c>
      <c r="B85" s="59" t="s">
        <v>63</v>
      </c>
      <c r="C85" s="59" t="s">
        <v>11</v>
      </c>
      <c r="D85" s="111" t="s">
        <v>417</v>
      </c>
      <c r="E85" s="59"/>
      <c r="F85" s="59"/>
      <c r="G85" s="59">
        <v>48</v>
      </c>
      <c r="H85" s="62">
        <v>93000</v>
      </c>
      <c r="I85" s="78"/>
      <c r="J85" s="59" t="s">
        <v>253</v>
      </c>
      <c r="K85" s="59">
        <v>2024</v>
      </c>
      <c r="L85" s="59"/>
      <c r="M85" s="59"/>
      <c r="N85" s="65" t="s">
        <v>254</v>
      </c>
      <c r="O85" s="65"/>
    </row>
    <row r="86" spans="1:77" ht="17.25" customHeight="1">
      <c r="A86" s="59">
        <v>85</v>
      </c>
      <c r="B86" s="59" t="s">
        <v>49</v>
      </c>
      <c r="C86" s="59" t="s">
        <v>249</v>
      </c>
      <c r="D86" s="111" t="s">
        <v>4239</v>
      </c>
      <c r="E86" s="59"/>
      <c r="F86" s="59"/>
      <c r="G86" s="59">
        <v>48</v>
      </c>
      <c r="H86" s="62">
        <v>38400</v>
      </c>
      <c r="I86" s="78"/>
      <c r="J86" s="59"/>
      <c r="K86" s="59">
        <v>2025</v>
      </c>
      <c r="L86" s="59"/>
      <c r="M86" s="59"/>
      <c r="N86" s="65" t="s">
        <v>254</v>
      </c>
      <c r="O86" s="65"/>
    </row>
    <row r="87" spans="1:77" ht="17.25" customHeight="1">
      <c r="A87" s="59">
        <v>86</v>
      </c>
      <c r="B87" s="59" t="s">
        <v>49</v>
      </c>
      <c r="C87" s="59" t="s">
        <v>249</v>
      </c>
      <c r="D87" s="111" t="s">
        <v>4240</v>
      </c>
      <c r="E87" s="59"/>
      <c r="F87" s="59"/>
      <c r="G87" s="59">
        <v>48</v>
      </c>
      <c r="H87" s="62">
        <v>55400</v>
      </c>
      <c r="I87" s="78"/>
      <c r="J87" s="59"/>
      <c r="K87" s="59">
        <v>2025</v>
      </c>
      <c r="L87" s="59"/>
      <c r="M87" s="59"/>
      <c r="N87" s="65" t="s">
        <v>254</v>
      </c>
      <c r="O87" s="65"/>
    </row>
    <row r="88" spans="1:77" ht="17.25" customHeight="1">
      <c r="A88" s="59">
        <v>87</v>
      </c>
      <c r="B88" s="59" t="s">
        <v>59</v>
      </c>
      <c r="C88" s="59" t="s">
        <v>11</v>
      </c>
      <c r="D88" s="111" t="s">
        <v>4250</v>
      </c>
      <c r="E88" s="59"/>
      <c r="F88" s="59"/>
      <c r="G88" s="59">
        <v>48</v>
      </c>
      <c r="H88" s="62">
        <v>55470</v>
      </c>
      <c r="I88" s="78"/>
      <c r="J88" s="59"/>
      <c r="K88" s="59">
        <v>2025</v>
      </c>
      <c r="L88" s="59"/>
      <c r="M88" s="59"/>
      <c r="N88" s="65" t="s">
        <v>254</v>
      </c>
      <c r="O88" s="65"/>
    </row>
    <row r="89" spans="1:77" ht="17.25" customHeight="1" thickBot="1">
      <c r="A89" s="59">
        <v>88</v>
      </c>
      <c r="B89" s="59" t="s">
        <v>59</v>
      </c>
      <c r="C89" s="59" t="s">
        <v>11</v>
      </c>
      <c r="D89" s="111" t="s">
        <v>4241</v>
      </c>
      <c r="E89" s="59"/>
      <c r="F89" s="59"/>
      <c r="G89" s="59">
        <v>48</v>
      </c>
      <c r="H89" s="62">
        <v>90131</v>
      </c>
      <c r="I89" s="78"/>
      <c r="J89" s="59"/>
      <c r="K89" s="59">
        <v>2025</v>
      </c>
      <c r="L89" s="59"/>
      <c r="M89" s="59"/>
      <c r="N89" s="65" t="s">
        <v>254</v>
      </c>
      <c r="O89" s="65"/>
    </row>
    <row r="90" spans="1:77" ht="17.25" customHeight="1">
      <c r="A90" s="59">
        <v>89</v>
      </c>
      <c r="B90" s="59" t="s">
        <v>53</v>
      </c>
      <c r="C90" s="59" t="s">
        <v>249</v>
      </c>
      <c r="D90" s="111" t="s">
        <v>4242</v>
      </c>
      <c r="E90" s="59"/>
      <c r="F90" s="59"/>
      <c r="G90" s="59">
        <v>48</v>
      </c>
      <c r="H90" s="62">
        <v>75600</v>
      </c>
      <c r="I90" s="78"/>
      <c r="J90" s="59"/>
      <c r="K90" s="59">
        <v>2025</v>
      </c>
      <c r="L90" s="59"/>
      <c r="M90" s="59"/>
      <c r="N90" s="65" t="s">
        <v>254</v>
      </c>
      <c r="O90" s="307"/>
      <c r="P90" s="308">
        <v>59</v>
      </c>
      <c r="Q90" s="309">
        <v>59</v>
      </c>
      <c r="R90" s="310">
        <v>0</v>
      </c>
      <c r="S90" s="90" t="s">
        <v>4389</v>
      </c>
      <c r="T90" s="306" t="s">
        <v>4390</v>
      </c>
      <c r="U90" s="90" t="s">
        <v>4391</v>
      </c>
      <c r="V90" s="90" t="s">
        <v>4392</v>
      </c>
      <c r="W90" s="90" t="s">
        <v>4393</v>
      </c>
      <c r="X90" s="90" t="s">
        <v>4394</v>
      </c>
      <c r="Y90" s="90" t="s">
        <v>4395</v>
      </c>
      <c r="Z90" s="90" t="s">
        <v>4396</v>
      </c>
      <c r="AA90" s="90" t="s">
        <v>4397</v>
      </c>
      <c r="AB90" s="90" t="s">
        <v>4398</v>
      </c>
      <c r="AC90" s="90" t="s">
        <v>4399</v>
      </c>
      <c r="AD90" s="90" t="s">
        <v>4400</v>
      </c>
      <c r="AE90" s="90" t="s">
        <v>4401</v>
      </c>
      <c r="AF90" s="90" t="s">
        <v>4402</v>
      </c>
      <c r="AG90" s="90" t="s">
        <v>4403</v>
      </c>
      <c r="AH90" s="90" t="s">
        <v>4404</v>
      </c>
      <c r="AI90" s="90" t="s">
        <v>4405</v>
      </c>
      <c r="AJ90" s="90" t="s">
        <v>4406</v>
      </c>
      <c r="AK90" s="90" t="s">
        <v>4407</v>
      </c>
      <c r="AL90" s="90" t="s">
        <v>4408</v>
      </c>
      <c r="AM90" s="90" t="s">
        <v>4409</v>
      </c>
      <c r="AN90" s="90" t="s">
        <v>4410</v>
      </c>
      <c r="AO90" s="90" t="s">
        <v>4411</v>
      </c>
      <c r="AP90" s="90" t="s">
        <v>4412</v>
      </c>
      <c r="AQ90" s="90" t="s">
        <v>4413</v>
      </c>
      <c r="AR90" s="90" t="s">
        <v>4414</v>
      </c>
      <c r="AS90" s="90" t="s">
        <v>4415</v>
      </c>
      <c r="AT90" s="90" t="s">
        <v>4416</v>
      </c>
      <c r="AU90" s="90" t="s">
        <v>4417</v>
      </c>
      <c r="AV90" s="90" t="s">
        <v>4418</v>
      </c>
      <c r="AW90" s="90" t="s">
        <v>4419</v>
      </c>
      <c r="AX90" s="90" t="s">
        <v>4420</v>
      </c>
      <c r="AY90" s="90" t="s">
        <v>4421</v>
      </c>
      <c r="AZ90" s="90" t="s">
        <v>4422</v>
      </c>
      <c r="BA90" s="90" t="s">
        <v>4423</v>
      </c>
      <c r="BB90" s="90" t="s">
        <v>4424</v>
      </c>
      <c r="BC90" s="90" t="s">
        <v>4425</v>
      </c>
      <c r="BD90" s="90" t="s">
        <v>4426</v>
      </c>
      <c r="BE90" s="90" t="s">
        <v>4427</v>
      </c>
      <c r="BF90" s="90" t="s">
        <v>4428</v>
      </c>
      <c r="BG90" s="90" t="s">
        <v>4429</v>
      </c>
      <c r="BH90" s="90" t="s">
        <v>4430</v>
      </c>
      <c r="BI90" s="90" t="s">
        <v>4431</v>
      </c>
      <c r="BJ90" s="90" t="s">
        <v>4432</v>
      </c>
      <c r="BK90" s="90" t="s">
        <v>4433</v>
      </c>
      <c r="BL90" s="90" t="s">
        <v>4434</v>
      </c>
      <c r="BM90" s="90" t="s">
        <v>4435</v>
      </c>
      <c r="BN90" s="90" t="s">
        <v>4436</v>
      </c>
      <c r="BO90" s="90" t="s">
        <v>4437</v>
      </c>
      <c r="BP90" s="90" t="s">
        <v>4438</v>
      </c>
      <c r="BQ90" s="90" t="s">
        <v>4439</v>
      </c>
      <c r="BR90" s="90" t="s">
        <v>4440</v>
      </c>
      <c r="BS90" s="90" t="s">
        <v>4441</v>
      </c>
      <c r="BT90" s="90" t="s">
        <v>4442</v>
      </c>
      <c r="BU90" s="90" t="s">
        <v>4443</v>
      </c>
      <c r="BV90" s="90" t="s">
        <v>4444</v>
      </c>
      <c r="BW90" s="90" t="s">
        <v>4445</v>
      </c>
      <c r="BX90" s="90" t="s">
        <v>4446</v>
      </c>
      <c r="BY90" s="90" t="s">
        <v>4447</v>
      </c>
    </row>
    <row r="91" spans="1:77" ht="17.25" customHeight="1">
      <c r="A91" s="59">
        <v>90</v>
      </c>
      <c r="B91" s="59" t="s">
        <v>53</v>
      </c>
      <c r="C91" s="59" t="s">
        <v>249</v>
      </c>
      <c r="D91" s="111" t="s">
        <v>4243</v>
      </c>
      <c r="E91" s="59"/>
      <c r="F91" s="59"/>
      <c r="G91" s="59">
        <v>48</v>
      </c>
      <c r="H91" s="62">
        <v>77350</v>
      </c>
      <c r="I91" s="78"/>
      <c r="J91" s="59"/>
      <c r="K91" s="59">
        <v>2025</v>
      </c>
      <c r="L91" s="59"/>
      <c r="M91" s="59"/>
      <c r="N91" s="65" t="s">
        <v>254</v>
      </c>
      <c r="O91" s="307"/>
      <c r="P91" s="311"/>
      <c r="R91" s="312"/>
      <c r="S91" s="189"/>
      <c r="T91" s="189"/>
      <c r="U91" s="189"/>
      <c r="V91" s="189"/>
      <c r="W91" s="189"/>
      <c r="X91" s="189"/>
      <c r="Y91" s="189"/>
      <c r="Z91" s="189"/>
      <c r="AA91" s="189"/>
      <c r="AB91" s="189"/>
      <c r="AC91" s="189"/>
      <c r="AD91" s="189"/>
      <c r="AE91" s="189"/>
      <c r="AF91" s="189"/>
      <c r="AG91" s="189"/>
      <c r="AH91" s="189"/>
      <c r="AI91" s="189"/>
      <c r="AJ91" s="189"/>
      <c r="AK91" s="189"/>
      <c r="AL91" s="189"/>
      <c r="AM91" s="189"/>
      <c r="AN91" s="189"/>
      <c r="AO91" s="189"/>
      <c r="AP91" s="189"/>
      <c r="AQ91" s="189"/>
      <c r="AR91" s="189"/>
      <c r="AS91" s="189"/>
      <c r="AT91" s="189"/>
      <c r="AU91" s="189"/>
      <c r="AV91" s="189"/>
      <c r="AW91" s="189"/>
      <c r="AX91" s="189"/>
      <c r="AY91" s="189"/>
      <c r="AZ91" s="189"/>
      <c r="BA91" s="189"/>
      <c r="BB91" s="189"/>
      <c r="BC91" s="189"/>
      <c r="BD91" s="189"/>
      <c r="BE91" s="189"/>
      <c r="BF91" s="189"/>
      <c r="BG91" s="189"/>
      <c r="BH91" s="189"/>
      <c r="BI91" s="189"/>
      <c r="BJ91" s="189"/>
      <c r="BK91" s="189"/>
      <c r="BL91" s="189"/>
      <c r="BM91" s="189"/>
      <c r="BN91" s="189"/>
      <c r="BO91" s="189"/>
      <c r="BP91" s="189"/>
      <c r="BQ91" s="189"/>
      <c r="BR91" s="189"/>
      <c r="BS91" s="189"/>
      <c r="BT91" s="189"/>
      <c r="BU91" s="189"/>
      <c r="BV91" s="189"/>
      <c r="BW91" s="189"/>
      <c r="BX91" s="189"/>
      <c r="BY91" s="189"/>
    </row>
    <row r="92" spans="1:77" ht="17.25" customHeight="1" thickBot="1">
      <c r="A92" s="59">
        <v>91</v>
      </c>
      <c r="B92" s="59" t="s">
        <v>53</v>
      </c>
      <c r="C92" s="59" t="s">
        <v>249</v>
      </c>
      <c r="D92" s="111" t="s">
        <v>4244</v>
      </c>
      <c r="E92" s="59"/>
      <c r="F92" s="59"/>
      <c r="G92" s="59">
        <v>48</v>
      </c>
      <c r="H92" s="62">
        <v>43750</v>
      </c>
      <c r="I92" s="78"/>
      <c r="J92" s="59"/>
      <c r="K92" s="59">
        <v>2025</v>
      </c>
      <c r="L92" s="59"/>
      <c r="M92" s="59"/>
      <c r="N92" s="65" t="s">
        <v>254</v>
      </c>
      <c r="O92" s="307"/>
      <c r="P92" s="313"/>
      <c r="Q92" s="314"/>
      <c r="R92" s="315"/>
      <c r="S92" s="189"/>
      <c r="T92" s="189"/>
      <c r="U92" s="189"/>
      <c r="V92" s="189"/>
      <c r="W92" s="189"/>
      <c r="X92" s="189"/>
      <c r="Y92" s="189"/>
      <c r="Z92" s="189"/>
      <c r="AA92" s="189"/>
      <c r="AB92" s="189"/>
      <c r="AC92" s="189"/>
      <c r="AD92" s="189"/>
      <c r="AE92" s="189"/>
      <c r="AF92" s="189"/>
      <c r="AG92" s="189"/>
      <c r="AH92" s="189"/>
      <c r="AI92" s="189"/>
      <c r="AJ92" s="189"/>
      <c r="AK92" s="189"/>
      <c r="AL92" s="189"/>
      <c r="AM92" s="189"/>
      <c r="AN92" s="189"/>
      <c r="AO92" s="189"/>
      <c r="AP92" s="189"/>
      <c r="AQ92" s="189"/>
      <c r="AR92" s="189"/>
      <c r="AS92" s="189"/>
      <c r="AT92" s="189"/>
      <c r="AU92" s="189"/>
      <c r="AV92" s="189"/>
      <c r="AW92" s="189"/>
      <c r="AX92" s="189"/>
      <c r="AY92" s="189"/>
      <c r="AZ92" s="189"/>
      <c r="BA92" s="189"/>
      <c r="BB92" s="189"/>
      <c r="BC92" s="189"/>
      <c r="BD92" s="189"/>
      <c r="BE92" s="189"/>
      <c r="BF92" s="189"/>
      <c r="BG92" s="189"/>
      <c r="BH92" s="189"/>
      <c r="BI92" s="189"/>
      <c r="BJ92" s="189"/>
      <c r="BK92" s="189"/>
      <c r="BL92" s="189"/>
      <c r="BM92" s="189"/>
      <c r="BN92" s="189"/>
      <c r="BO92" s="189"/>
      <c r="BP92" s="189"/>
      <c r="BQ92" s="189"/>
      <c r="BR92" s="189"/>
      <c r="BS92" s="189"/>
      <c r="BT92" s="189"/>
      <c r="BU92" s="189"/>
      <c r="BV92" s="189"/>
      <c r="BW92" s="189"/>
      <c r="BX92" s="189"/>
      <c r="BY92" s="189"/>
    </row>
    <row r="93" spans="1:77" ht="17.25" customHeight="1">
      <c r="A93" s="59">
        <v>92</v>
      </c>
      <c r="B93" s="59" t="s">
        <v>53</v>
      </c>
      <c r="C93" s="59" t="s">
        <v>249</v>
      </c>
      <c r="D93" s="111" t="s">
        <v>4245</v>
      </c>
      <c r="E93" s="59"/>
      <c r="F93" s="59"/>
      <c r="G93" s="59">
        <v>48</v>
      </c>
      <c r="H93" s="62">
        <v>1500</v>
      </c>
      <c r="I93" s="78"/>
      <c r="J93" s="59"/>
      <c r="K93" s="59">
        <v>2025</v>
      </c>
      <c r="L93" s="59"/>
      <c r="M93" s="59"/>
      <c r="N93" s="65" t="s">
        <v>254</v>
      </c>
      <c r="O93" s="65"/>
    </row>
    <row r="94" spans="1:77" ht="17.25" customHeight="1">
      <c r="A94" s="59">
        <v>93</v>
      </c>
      <c r="B94" s="59" t="s">
        <v>53</v>
      </c>
      <c r="C94" s="59" t="s">
        <v>249</v>
      </c>
      <c r="D94" s="111" t="s">
        <v>4246</v>
      </c>
      <c r="E94" s="59"/>
      <c r="F94" s="59"/>
      <c r="G94" s="59">
        <v>48</v>
      </c>
      <c r="H94" s="62">
        <v>55000</v>
      </c>
      <c r="I94" s="78"/>
      <c r="J94" s="59"/>
      <c r="K94" s="59">
        <v>2025</v>
      </c>
      <c r="L94" s="59"/>
      <c r="M94" s="59"/>
      <c r="N94" s="65" t="s">
        <v>426</v>
      </c>
      <c r="O94" s="65"/>
    </row>
    <row r="95" spans="1:77" ht="17.25" customHeight="1">
      <c r="A95" s="59">
        <v>94</v>
      </c>
      <c r="B95" s="59" t="s">
        <v>53</v>
      </c>
      <c r="C95" s="59" t="s">
        <v>249</v>
      </c>
      <c r="D95" s="111" t="s">
        <v>4247</v>
      </c>
      <c r="E95" s="59"/>
      <c r="F95" s="59"/>
      <c r="G95" s="59">
        <v>48</v>
      </c>
      <c r="H95" s="62">
        <v>95000</v>
      </c>
      <c r="I95" s="78"/>
      <c r="J95" s="59"/>
      <c r="K95" s="59">
        <v>2025</v>
      </c>
      <c r="L95" s="59"/>
      <c r="M95" s="59"/>
      <c r="N95" s="65" t="s">
        <v>426</v>
      </c>
      <c r="O95" s="65"/>
    </row>
    <row r="96" spans="1:77" ht="17.25" customHeight="1">
      <c r="A96" s="59">
        <v>95</v>
      </c>
      <c r="B96" s="59" t="s">
        <v>53</v>
      </c>
      <c r="C96" s="59" t="s">
        <v>249</v>
      </c>
      <c r="D96" s="111" t="s">
        <v>4248</v>
      </c>
      <c r="E96" s="59"/>
      <c r="F96" s="59"/>
      <c r="G96" s="59">
        <v>48</v>
      </c>
      <c r="H96" s="62">
        <v>43000</v>
      </c>
      <c r="I96" s="78"/>
      <c r="J96" s="59"/>
      <c r="K96" s="59">
        <v>2025</v>
      </c>
      <c r="L96" s="59"/>
      <c r="M96" s="59"/>
      <c r="N96" s="65" t="s">
        <v>426</v>
      </c>
      <c r="O96" s="65"/>
    </row>
    <row r="97" spans="1:25" ht="17.25" customHeight="1">
      <c r="A97" s="59">
        <v>96</v>
      </c>
      <c r="B97" s="59" t="s">
        <v>61</v>
      </c>
      <c r="C97" s="59" t="s">
        <v>11</v>
      </c>
      <c r="D97" s="111" t="s">
        <v>4249</v>
      </c>
      <c r="E97" s="59"/>
      <c r="F97" s="59"/>
      <c r="G97" s="59">
        <v>48</v>
      </c>
      <c r="H97" s="62">
        <v>70000</v>
      </c>
      <c r="I97" s="78"/>
      <c r="J97" s="59"/>
      <c r="K97" s="59">
        <v>2025</v>
      </c>
      <c r="L97" s="59"/>
      <c r="M97" s="59"/>
      <c r="N97" s="65" t="s">
        <v>254</v>
      </c>
      <c r="O97" s="65"/>
    </row>
    <row r="98" spans="1:25" ht="17.25" customHeight="1">
      <c r="A98" s="59">
        <v>97</v>
      </c>
      <c r="B98" s="59" t="s">
        <v>52</v>
      </c>
      <c r="C98" s="59" t="s">
        <v>249</v>
      </c>
      <c r="D98" s="111" t="s">
        <v>4532</v>
      </c>
      <c r="E98" s="59"/>
      <c r="F98" s="59"/>
      <c r="G98" s="59">
        <v>48</v>
      </c>
      <c r="H98" s="62">
        <v>1000</v>
      </c>
      <c r="I98" s="78"/>
      <c r="J98" s="59"/>
      <c r="K98" s="59">
        <v>2025</v>
      </c>
      <c r="L98" s="59"/>
      <c r="M98" s="59"/>
      <c r="N98" s="65" t="s">
        <v>254</v>
      </c>
      <c r="O98" s="65"/>
      <c r="S98" s="90" t="s">
        <v>4533</v>
      </c>
      <c r="T98" s="90" t="s">
        <v>4534</v>
      </c>
      <c r="U98" s="90" t="s">
        <v>4535</v>
      </c>
      <c r="V98" s="90" t="s">
        <v>4536</v>
      </c>
      <c r="W98" s="90" t="s">
        <v>4537</v>
      </c>
      <c r="X98" s="90" t="s">
        <v>4531</v>
      </c>
      <c r="Y98" s="90" t="s">
        <v>4538</v>
      </c>
    </row>
    <row r="99" spans="1:25" ht="17.25" customHeight="1">
      <c r="A99" s="59">
        <v>98</v>
      </c>
      <c r="B99" s="158" t="s">
        <v>61</v>
      </c>
      <c r="C99" s="158" t="s">
        <v>11</v>
      </c>
      <c r="D99" s="158" t="s">
        <v>4869</v>
      </c>
      <c r="E99" s="59"/>
      <c r="F99" s="59"/>
      <c r="G99" s="59">
        <v>48</v>
      </c>
      <c r="H99" s="62">
        <v>65000</v>
      </c>
      <c r="I99" s="78"/>
      <c r="J99" s="59"/>
      <c r="K99" s="59">
        <v>2026</v>
      </c>
      <c r="L99" s="59"/>
      <c r="M99" s="59"/>
      <c r="N99" s="65"/>
      <c r="O99" s="65"/>
    </row>
    <row r="100" spans="1:25" ht="14">
      <c r="A100" s="59">
        <v>99</v>
      </c>
      <c r="B100" s="158" t="s">
        <v>61</v>
      </c>
      <c r="C100" s="158" t="s">
        <v>11</v>
      </c>
      <c r="D100" s="158" t="s">
        <v>4870</v>
      </c>
      <c r="E100" s="59"/>
      <c r="F100" s="59"/>
      <c r="G100" s="59">
        <v>48</v>
      </c>
      <c r="H100" s="62">
        <v>75000</v>
      </c>
      <c r="I100" s="78"/>
      <c r="J100" s="59"/>
      <c r="K100" s="59">
        <v>2026</v>
      </c>
      <c r="L100" s="59"/>
      <c r="M100" s="59"/>
      <c r="N100" s="65"/>
      <c r="O100" s="65"/>
    </row>
    <row r="101" spans="1:25" ht="14">
      <c r="A101" s="59"/>
      <c r="B101" s="59"/>
      <c r="C101" s="59"/>
      <c r="D101" s="111"/>
      <c r="E101" s="59"/>
      <c r="F101" s="59"/>
      <c r="G101" s="59"/>
      <c r="H101" s="62"/>
      <c r="I101" s="78"/>
      <c r="J101" s="59"/>
      <c r="K101" s="59"/>
      <c r="L101" s="59"/>
      <c r="M101" s="59"/>
      <c r="N101" s="65"/>
      <c r="O101" s="65"/>
    </row>
    <row r="102" spans="1:25" ht="14">
      <c r="A102" s="59"/>
      <c r="B102" s="59"/>
      <c r="C102" s="59"/>
      <c r="D102" s="111"/>
      <c r="E102" s="59"/>
      <c r="F102" s="59"/>
      <c r="G102" s="59"/>
      <c r="H102" s="62">
        <f>SUM(H2:H100)</f>
        <v>5001736.8</v>
      </c>
      <c r="I102" s="78"/>
      <c r="J102" s="59"/>
      <c r="K102" s="59"/>
      <c r="L102" s="59"/>
      <c r="M102" s="59"/>
      <c r="N102" s="65"/>
      <c r="O102" s="65"/>
    </row>
    <row r="103" spans="1:25" ht="14">
      <c r="A103" s="59"/>
      <c r="B103" s="59"/>
      <c r="C103" s="59"/>
      <c r="D103" s="111"/>
      <c r="E103" s="59"/>
      <c r="F103" s="59"/>
      <c r="G103" s="59"/>
      <c r="H103" s="62"/>
      <c r="I103" s="78"/>
      <c r="J103" s="59"/>
      <c r="K103" s="59"/>
      <c r="L103" s="59"/>
      <c r="M103" s="59"/>
      <c r="N103" s="65"/>
      <c r="O103" s="65"/>
    </row>
    <row r="104" spans="1:25" ht="14">
      <c r="A104" s="59"/>
      <c r="B104" s="59"/>
      <c r="C104" s="59"/>
      <c r="D104" s="111"/>
      <c r="E104" s="59"/>
      <c r="F104" s="59"/>
      <c r="G104" s="59"/>
      <c r="H104" s="106"/>
      <c r="I104" s="78"/>
      <c r="J104" s="59"/>
      <c r="K104" s="59"/>
      <c r="L104" s="59"/>
      <c r="M104" s="59"/>
      <c r="N104" s="65"/>
      <c r="O104" s="65"/>
    </row>
    <row r="105" spans="1:25" ht="14">
      <c r="A105" s="59"/>
      <c r="B105" s="59"/>
      <c r="C105" s="59"/>
      <c r="D105" s="111"/>
      <c r="E105" s="59"/>
      <c r="F105" s="59"/>
      <c r="G105" s="59"/>
      <c r="H105" s="106"/>
      <c r="I105" s="78"/>
      <c r="J105" s="59"/>
      <c r="K105" s="59"/>
      <c r="L105" s="59"/>
      <c r="M105" s="59"/>
      <c r="N105" s="65"/>
      <c r="O105" s="65"/>
    </row>
    <row r="106" spans="1:25" ht="14">
      <c r="A106" s="59"/>
      <c r="B106" s="59"/>
      <c r="C106" s="59"/>
      <c r="D106" s="111"/>
      <c r="E106" s="59"/>
      <c r="F106" s="59"/>
      <c r="G106" s="59"/>
      <c r="H106" s="106"/>
      <c r="I106" s="78"/>
      <c r="J106" s="59"/>
      <c r="K106" s="59"/>
      <c r="L106" s="59"/>
      <c r="M106" s="59"/>
      <c r="N106" s="65"/>
      <c r="O106" s="65"/>
    </row>
    <row r="107" spans="1:25" ht="14">
      <c r="A107" s="59"/>
      <c r="B107" s="59"/>
      <c r="C107" s="59"/>
      <c r="D107" s="111"/>
      <c r="E107" s="59"/>
      <c r="F107" s="59"/>
      <c r="G107" s="59"/>
      <c r="H107" s="106"/>
      <c r="I107" s="78"/>
      <c r="J107" s="59"/>
      <c r="K107" s="59"/>
      <c r="L107" s="59"/>
      <c r="M107" s="59"/>
      <c r="N107" s="65"/>
      <c r="O107" s="65"/>
    </row>
    <row r="108" spans="1:25" ht="14">
      <c r="A108" s="59"/>
      <c r="B108" s="59"/>
      <c r="C108" s="59"/>
      <c r="D108" s="111"/>
      <c r="E108" s="59"/>
      <c r="F108" s="59"/>
      <c r="G108" s="59"/>
      <c r="H108" s="106"/>
      <c r="I108" s="78"/>
      <c r="J108" s="59"/>
      <c r="K108" s="59"/>
      <c r="L108" s="59"/>
      <c r="M108" s="59"/>
      <c r="N108" s="65"/>
      <c r="O108" s="65"/>
    </row>
    <row r="109" spans="1:25" ht="14">
      <c r="A109" s="59"/>
      <c r="B109" s="59"/>
      <c r="C109" s="59"/>
      <c r="D109" s="111"/>
      <c r="E109" s="59"/>
      <c r="F109" s="59"/>
      <c r="G109" s="59"/>
      <c r="H109" s="106"/>
      <c r="I109" s="78"/>
      <c r="J109" s="59"/>
      <c r="K109" s="59"/>
      <c r="L109" s="59"/>
      <c r="M109" s="59"/>
      <c r="N109" s="65"/>
      <c r="O109" s="65"/>
    </row>
    <row r="110" spans="1:25" ht="14">
      <c r="A110" s="59"/>
      <c r="B110" s="59"/>
      <c r="C110" s="59"/>
      <c r="D110" s="111"/>
      <c r="E110" s="59"/>
      <c r="F110" s="59"/>
      <c r="G110" s="59"/>
      <c r="H110" s="106"/>
      <c r="I110" s="78"/>
      <c r="J110" s="59"/>
      <c r="K110" s="59"/>
      <c r="L110" s="59"/>
      <c r="M110" s="59"/>
      <c r="N110" s="65"/>
      <c r="O110" s="65"/>
    </row>
    <row r="111" spans="1:25" ht="14">
      <c r="A111" s="59"/>
      <c r="B111" s="59"/>
      <c r="C111" s="59"/>
      <c r="D111" s="111"/>
      <c r="E111" s="59"/>
      <c r="F111" s="59"/>
      <c r="G111" s="59"/>
      <c r="H111" s="106"/>
      <c r="I111" s="78"/>
      <c r="J111" s="59"/>
      <c r="K111" s="59"/>
      <c r="L111" s="59"/>
      <c r="M111" s="59"/>
      <c r="N111" s="65"/>
      <c r="O111" s="65"/>
    </row>
    <row r="112" spans="1:25" ht="14">
      <c r="A112" s="59"/>
      <c r="B112" s="59"/>
      <c r="C112" s="59"/>
      <c r="D112" s="111"/>
      <c r="E112" s="59"/>
      <c r="F112" s="59"/>
      <c r="G112" s="59"/>
      <c r="H112" s="106"/>
      <c r="I112" s="78"/>
      <c r="J112" s="59"/>
      <c r="K112" s="59"/>
      <c r="L112" s="59"/>
      <c r="M112" s="59"/>
      <c r="N112" s="65"/>
      <c r="O112" s="65"/>
    </row>
    <row r="113" spans="1:15" ht="14">
      <c r="A113" s="59"/>
      <c r="B113" s="59"/>
      <c r="C113" s="59"/>
      <c r="D113" s="111"/>
      <c r="E113" s="59"/>
      <c r="F113" s="59"/>
      <c r="G113" s="59"/>
      <c r="H113" s="106"/>
      <c r="I113" s="78"/>
      <c r="J113" s="59"/>
      <c r="K113" s="59"/>
      <c r="L113" s="59"/>
      <c r="M113" s="59"/>
      <c r="N113" s="65"/>
      <c r="O113" s="65"/>
    </row>
    <row r="114" spans="1:15" ht="14">
      <c r="A114" s="59"/>
      <c r="B114" s="59"/>
      <c r="C114" s="59"/>
      <c r="D114" s="111"/>
      <c r="E114" s="59"/>
      <c r="F114" s="59"/>
      <c r="G114" s="59"/>
      <c r="H114" s="106"/>
      <c r="I114" s="78"/>
      <c r="J114" s="59"/>
      <c r="K114" s="59"/>
      <c r="L114" s="59"/>
      <c r="M114" s="59"/>
      <c r="N114" s="65"/>
      <c r="O114" s="65"/>
    </row>
    <row r="115" spans="1:15" ht="14">
      <c r="A115" s="59"/>
      <c r="B115" s="59"/>
      <c r="C115" s="59"/>
      <c r="D115" s="111"/>
      <c r="E115" s="59"/>
      <c r="F115" s="59"/>
      <c r="G115" s="59"/>
      <c r="H115" s="106"/>
      <c r="I115" s="78"/>
      <c r="J115" s="59"/>
      <c r="K115" s="59"/>
      <c r="L115" s="59"/>
      <c r="M115" s="59"/>
      <c r="N115" s="65"/>
      <c r="O115" s="65"/>
    </row>
    <row r="116" spans="1:15" ht="14">
      <c r="A116" s="59"/>
      <c r="B116" s="59"/>
      <c r="C116" s="59"/>
      <c r="D116" s="111"/>
      <c r="E116" s="59"/>
      <c r="F116" s="59"/>
      <c r="G116" s="59"/>
      <c r="H116" s="106"/>
      <c r="I116" s="78"/>
      <c r="J116" s="59"/>
      <c r="K116" s="59"/>
      <c r="L116" s="59"/>
      <c r="M116" s="59"/>
      <c r="N116" s="65"/>
      <c r="O116" s="65"/>
    </row>
    <row r="117" spans="1:15" ht="14">
      <c r="A117" s="59"/>
      <c r="B117" s="59"/>
      <c r="C117" s="59"/>
      <c r="D117" s="111"/>
      <c r="E117" s="59"/>
      <c r="F117" s="59"/>
      <c r="G117" s="59"/>
      <c r="H117" s="106"/>
      <c r="I117" s="78"/>
      <c r="J117" s="59"/>
      <c r="K117" s="59"/>
      <c r="L117" s="59"/>
      <c r="M117" s="59"/>
      <c r="N117" s="65"/>
      <c r="O117" s="65"/>
    </row>
    <row r="118" spans="1:15" ht="14">
      <c r="A118" s="59"/>
      <c r="B118" s="59"/>
      <c r="C118" s="59"/>
      <c r="D118" s="111"/>
      <c r="E118" s="59"/>
      <c r="F118" s="59"/>
      <c r="G118" s="59"/>
      <c r="H118" s="106"/>
      <c r="I118" s="78"/>
      <c r="J118" s="59"/>
      <c r="K118" s="59"/>
      <c r="L118" s="59"/>
      <c r="M118" s="59"/>
      <c r="N118" s="65"/>
      <c r="O118" s="65"/>
    </row>
    <row r="119" spans="1:15" ht="14">
      <c r="A119" s="59"/>
      <c r="B119" s="59"/>
      <c r="C119" s="59"/>
      <c r="D119" s="111"/>
      <c r="E119" s="59"/>
      <c r="F119" s="59"/>
      <c r="G119" s="59"/>
      <c r="H119" s="106"/>
      <c r="I119" s="78"/>
      <c r="J119" s="59"/>
      <c r="K119" s="59"/>
      <c r="L119" s="59"/>
      <c r="M119" s="59"/>
      <c r="N119" s="65"/>
      <c r="O119" s="65"/>
    </row>
    <row r="120" spans="1:15" ht="14">
      <c r="A120" s="59"/>
      <c r="B120" s="59"/>
      <c r="C120" s="59"/>
      <c r="D120" s="111"/>
      <c r="E120" s="59"/>
      <c r="F120" s="59"/>
      <c r="G120" s="59"/>
      <c r="H120" s="106"/>
      <c r="I120" s="78"/>
      <c r="J120" s="59"/>
      <c r="K120" s="59"/>
      <c r="L120" s="59"/>
      <c r="M120" s="59"/>
      <c r="N120" s="65"/>
      <c r="O120" s="65"/>
    </row>
    <row r="121" spans="1:15" ht="14">
      <c r="A121" s="59"/>
      <c r="B121" s="59"/>
      <c r="C121" s="59"/>
      <c r="D121" s="111"/>
      <c r="E121" s="59"/>
      <c r="F121" s="59"/>
      <c r="G121" s="59"/>
      <c r="H121" s="106"/>
      <c r="I121" s="78"/>
      <c r="J121" s="59"/>
      <c r="K121" s="59"/>
      <c r="L121" s="59"/>
      <c r="M121" s="59"/>
      <c r="N121" s="65"/>
      <c r="O121" s="65"/>
    </row>
    <row r="122" spans="1:15" ht="14">
      <c r="A122" s="59"/>
      <c r="B122" s="59"/>
      <c r="C122" s="59"/>
      <c r="D122" s="111"/>
      <c r="E122" s="59"/>
      <c r="F122" s="59"/>
      <c r="G122" s="59"/>
      <c r="H122" s="106"/>
      <c r="I122" s="78"/>
      <c r="J122" s="59"/>
      <c r="K122" s="59"/>
      <c r="L122" s="59"/>
      <c r="M122" s="59"/>
      <c r="N122" s="65"/>
      <c r="O122" s="65"/>
    </row>
    <row r="123" spans="1:15" ht="14">
      <c r="A123" s="59"/>
      <c r="B123" s="59"/>
      <c r="C123" s="59"/>
      <c r="D123" s="111"/>
      <c r="E123" s="59"/>
      <c r="F123" s="59"/>
      <c r="G123" s="59"/>
      <c r="H123" s="106"/>
      <c r="I123" s="78"/>
      <c r="J123" s="59"/>
      <c r="K123" s="59"/>
      <c r="L123" s="59"/>
      <c r="M123" s="59"/>
      <c r="N123" s="65"/>
      <c r="O123" s="65"/>
    </row>
    <row r="124" spans="1:15" ht="14">
      <c r="A124" s="59"/>
      <c r="B124" s="59"/>
      <c r="C124" s="59"/>
      <c r="D124" s="116"/>
      <c r="E124" s="59"/>
      <c r="F124" s="59"/>
      <c r="G124" s="59"/>
      <c r="H124" s="106"/>
      <c r="I124" s="78"/>
      <c r="J124" s="59"/>
      <c r="K124" s="59"/>
      <c r="L124" s="59"/>
      <c r="M124" s="59"/>
      <c r="N124" s="65"/>
      <c r="O124" s="65"/>
    </row>
    <row r="125" spans="1:15" ht="14">
      <c r="A125" s="59"/>
      <c r="B125" s="59"/>
      <c r="C125" s="59"/>
      <c r="D125" s="116"/>
      <c r="E125" s="59"/>
      <c r="F125" s="59"/>
      <c r="G125" s="59"/>
      <c r="H125" s="106"/>
      <c r="I125" s="78"/>
      <c r="J125" s="59"/>
      <c r="K125" s="59"/>
      <c r="L125" s="59"/>
      <c r="M125" s="59"/>
      <c r="N125" s="65"/>
      <c r="O125" s="65"/>
    </row>
    <row r="126" spans="1:15" ht="14">
      <c r="E126" s="58"/>
      <c r="F126" s="58"/>
      <c r="H126" s="127"/>
      <c r="J126" s="59"/>
      <c r="N126" s="58"/>
      <c r="O126" s="58"/>
    </row>
    <row r="127" spans="1:15" ht="14">
      <c r="A127" s="59"/>
      <c r="B127" s="59"/>
      <c r="C127" s="74"/>
      <c r="D127" s="120"/>
      <c r="E127" s="59"/>
      <c r="F127" s="59"/>
      <c r="G127" s="59"/>
      <c r="H127" s="106"/>
      <c r="I127" s="78"/>
      <c r="J127" s="59"/>
      <c r="K127" s="59"/>
      <c r="L127" s="59"/>
      <c r="M127" s="59"/>
      <c r="N127" s="65"/>
      <c r="O127" s="65"/>
    </row>
    <row r="128" spans="1:15" ht="14">
      <c r="A128" s="59"/>
      <c r="B128" s="59"/>
      <c r="C128" s="74"/>
      <c r="D128" s="120"/>
      <c r="E128" s="59"/>
      <c r="F128" s="59"/>
      <c r="G128" s="59"/>
      <c r="H128" s="106"/>
      <c r="I128" s="78"/>
      <c r="J128" s="59"/>
      <c r="K128" s="59"/>
      <c r="L128" s="59"/>
      <c r="M128" s="59"/>
      <c r="N128" s="65"/>
      <c r="O128" s="65"/>
    </row>
    <row r="129" spans="1:15" ht="14">
      <c r="A129" s="59"/>
      <c r="B129" s="59"/>
      <c r="C129" s="59"/>
      <c r="D129" s="121"/>
      <c r="E129" s="59"/>
      <c r="F129" s="59"/>
      <c r="G129" s="59"/>
      <c r="H129" s="106"/>
      <c r="I129" s="78"/>
      <c r="J129" s="59"/>
      <c r="K129" s="59"/>
      <c r="L129" s="59"/>
      <c r="M129" s="59"/>
      <c r="N129" s="65"/>
      <c r="O129" s="65"/>
    </row>
    <row r="130" spans="1:15" ht="14">
      <c r="A130" s="59"/>
      <c r="B130" s="59"/>
      <c r="C130" s="59"/>
      <c r="D130" s="116"/>
      <c r="E130" s="59"/>
      <c r="F130" s="59"/>
      <c r="G130" s="59"/>
      <c r="H130" s="106"/>
      <c r="I130" s="78"/>
      <c r="J130" s="59"/>
      <c r="K130" s="59"/>
      <c r="L130" s="59"/>
      <c r="M130" s="59"/>
      <c r="N130" s="65"/>
      <c r="O130" s="65"/>
    </row>
    <row r="131" spans="1:15" ht="14">
      <c r="A131" s="59"/>
      <c r="B131" s="59"/>
      <c r="C131" s="59"/>
      <c r="D131" s="116"/>
      <c r="E131" s="59"/>
      <c r="F131" s="59"/>
      <c r="G131" s="59"/>
      <c r="H131" s="106"/>
      <c r="I131" s="78"/>
      <c r="J131" s="59"/>
      <c r="K131" s="59"/>
      <c r="L131" s="59"/>
      <c r="M131" s="59"/>
      <c r="N131" s="65"/>
      <c r="O131" s="65"/>
    </row>
    <row r="132" spans="1:15" ht="14">
      <c r="A132" s="59"/>
      <c r="B132" s="59"/>
      <c r="C132" s="59"/>
      <c r="D132" s="116"/>
      <c r="E132" s="59"/>
      <c r="F132" s="59"/>
      <c r="G132" s="59"/>
      <c r="H132" s="106"/>
      <c r="I132" s="78"/>
      <c r="J132" s="59"/>
      <c r="K132" s="59"/>
      <c r="L132" s="59"/>
      <c r="M132" s="59"/>
      <c r="N132" s="65"/>
      <c r="O132" s="65"/>
    </row>
    <row r="133" spans="1:15" ht="14">
      <c r="E133" s="58"/>
      <c r="F133" s="58"/>
      <c r="H133" s="127"/>
      <c r="J133" s="59"/>
      <c r="N133" s="58"/>
      <c r="O133" s="58"/>
    </row>
    <row r="134" spans="1:15" ht="14">
      <c r="A134" s="59"/>
      <c r="B134" s="59"/>
      <c r="C134" s="74"/>
      <c r="D134" s="120"/>
      <c r="E134" s="59"/>
      <c r="F134" s="59"/>
      <c r="G134" s="59"/>
      <c r="H134" s="106"/>
      <c r="I134" s="78"/>
      <c r="J134" s="59"/>
      <c r="K134" s="59"/>
      <c r="L134" s="59"/>
      <c r="M134" s="59"/>
      <c r="N134" s="65"/>
      <c r="O134" s="65"/>
    </row>
    <row r="135" spans="1:15" ht="14">
      <c r="A135" s="59"/>
      <c r="B135" s="59"/>
      <c r="C135" s="74"/>
      <c r="D135" s="120"/>
      <c r="E135" s="59"/>
      <c r="F135" s="59"/>
      <c r="G135" s="59"/>
      <c r="H135" s="106"/>
      <c r="I135" s="78"/>
      <c r="J135" s="59"/>
      <c r="K135" s="59"/>
      <c r="L135" s="59"/>
      <c r="M135" s="59"/>
      <c r="N135" s="65"/>
      <c r="O135" s="65"/>
    </row>
    <row r="136" spans="1:15" ht="14">
      <c r="A136" s="59"/>
      <c r="B136" s="59"/>
      <c r="C136" s="74"/>
      <c r="D136" s="120"/>
      <c r="E136" s="59"/>
      <c r="F136" s="59"/>
      <c r="G136" s="59"/>
      <c r="H136" s="106"/>
      <c r="I136" s="78"/>
      <c r="J136" s="59"/>
      <c r="K136" s="59"/>
      <c r="L136" s="59"/>
      <c r="M136" s="59"/>
      <c r="N136" s="65"/>
      <c r="O136" s="65"/>
    </row>
    <row r="137" spans="1:15" ht="14">
      <c r="E137" s="58"/>
      <c r="F137" s="58"/>
      <c r="H137" s="127"/>
      <c r="J137" s="59"/>
      <c r="N137" s="58"/>
      <c r="O137" s="58"/>
    </row>
    <row r="138" spans="1:15" ht="14">
      <c r="E138" s="58"/>
      <c r="F138" s="58"/>
      <c r="H138" s="127"/>
      <c r="J138" s="59"/>
      <c r="N138" s="58"/>
      <c r="O138" s="58"/>
    </row>
    <row r="139" spans="1:15" ht="15" customHeight="1">
      <c r="E139" s="58"/>
      <c r="F139" s="58"/>
      <c r="H139" s="127"/>
      <c r="N139" s="58"/>
      <c r="O139" s="58"/>
    </row>
    <row r="140" spans="1:15" ht="15" customHeight="1">
      <c r="E140" s="58"/>
      <c r="F140" s="58"/>
      <c r="H140" s="127"/>
      <c r="N140" s="58"/>
      <c r="O140" s="58"/>
    </row>
    <row r="141" spans="1:15" ht="15" customHeight="1">
      <c r="E141" s="58"/>
      <c r="F141" s="58"/>
      <c r="H141" s="127"/>
      <c r="N141" s="58"/>
      <c r="O141" s="58"/>
    </row>
    <row r="142" spans="1:15" ht="15" customHeight="1">
      <c r="E142" s="58"/>
      <c r="F142" s="58"/>
      <c r="H142" s="127"/>
      <c r="N142" s="58"/>
      <c r="O142" s="58"/>
    </row>
    <row r="143" spans="1:15" ht="14">
      <c r="D143" s="122" t="s">
        <v>418</v>
      </c>
      <c r="E143" s="58"/>
      <c r="F143" s="58"/>
      <c r="H143" s="127"/>
      <c r="N143" s="58"/>
      <c r="O143" s="58"/>
    </row>
    <row r="144" spans="1:15" ht="14">
      <c r="D144" s="122"/>
      <c r="E144" s="58"/>
      <c r="F144" s="58"/>
      <c r="H144" s="127"/>
      <c r="N144" s="58"/>
      <c r="O144" s="58"/>
    </row>
    <row r="145" spans="4:15" ht="14">
      <c r="D145" s="402" t="s">
        <v>419</v>
      </c>
      <c r="E145" s="58"/>
      <c r="F145" s="58"/>
      <c r="H145" s="127"/>
      <c r="N145" s="58"/>
      <c r="O145" s="58"/>
    </row>
    <row r="146" spans="4:15" ht="14">
      <c r="D146" s="402"/>
      <c r="E146" s="58"/>
      <c r="F146" s="58"/>
      <c r="H146" s="127"/>
      <c r="N146" s="58"/>
      <c r="O146" s="58"/>
    </row>
    <row r="147" spans="4:15" ht="28">
      <c r="D147" s="123" t="s">
        <v>420</v>
      </c>
      <c r="E147" s="58"/>
      <c r="F147" s="58"/>
      <c r="H147" s="127"/>
      <c r="N147" s="58"/>
      <c r="O147" s="58"/>
    </row>
    <row r="148" spans="4:15" ht="14">
      <c r="E148" s="58"/>
      <c r="F148" s="58"/>
      <c r="H148" s="127"/>
      <c r="N148" s="58"/>
      <c r="O148" s="58"/>
    </row>
    <row r="149" spans="4:15" ht="14">
      <c r="E149" s="58"/>
      <c r="F149" s="58"/>
      <c r="H149" s="127"/>
      <c r="N149" s="58"/>
      <c r="O149" s="58"/>
    </row>
    <row r="150" spans="4:15" ht="14">
      <c r="E150" s="58"/>
      <c r="F150" s="58"/>
      <c r="H150" s="127"/>
      <c r="N150" s="58"/>
      <c r="O150" s="58"/>
    </row>
    <row r="151" spans="4:15" ht="14">
      <c r="E151" s="58"/>
      <c r="F151" s="58"/>
      <c r="H151" s="127"/>
      <c r="N151" s="58"/>
      <c r="O151" s="58"/>
    </row>
    <row r="152" spans="4:15" ht="14">
      <c r="E152" s="58"/>
      <c r="F152" s="58"/>
      <c r="H152" s="127"/>
      <c r="N152" s="58"/>
      <c r="O152" s="58"/>
    </row>
    <row r="153" spans="4:15" ht="14">
      <c r="E153" s="58"/>
      <c r="F153" s="58"/>
      <c r="H153" s="127"/>
      <c r="N153" s="58"/>
      <c r="O153" s="58"/>
    </row>
    <row r="154" spans="4:15" ht="14">
      <c r="E154" s="58"/>
      <c r="F154" s="58"/>
      <c r="H154" s="127"/>
      <c r="N154" s="58"/>
      <c r="O154" s="58"/>
    </row>
    <row r="155" spans="4:15" ht="14">
      <c r="E155" s="58"/>
      <c r="F155" s="58"/>
      <c r="H155" s="127"/>
      <c r="N155" s="58"/>
      <c r="O155" s="58"/>
    </row>
    <row r="156" spans="4:15" ht="14">
      <c r="E156" s="58"/>
      <c r="F156" s="58"/>
      <c r="H156" s="127"/>
      <c r="N156" s="58"/>
      <c r="O156" s="58"/>
    </row>
    <row r="157" spans="4:15" ht="14">
      <c r="E157" s="58"/>
      <c r="F157" s="58"/>
      <c r="H157" s="127"/>
      <c r="N157" s="58"/>
      <c r="O157" s="58"/>
    </row>
    <row r="158" spans="4:15" ht="14">
      <c r="E158" s="58"/>
      <c r="F158" s="58"/>
      <c r="H158" s="127"/>
      <c r="N158" s="58"/>
      <c r="O158" s="58"/>
    </row>
    <row r="159" spans="4:15" ht="14">
      <c r="E159" s="58"/>
      <c r="F159" s="58"/>
      <c r="H159" s="127"/>
      <c r="N159" s="58"/>
      <c r="O159" s="58"/>
    </row>
    <row r="160" spans="4:15" ht="14">
      <c r="E160" s="58"/>
      <c r="F160" s="58"/>
      <c r="H160" s="127"/>
      <c r="N160" s="58"/>
      <c r="O160" s="58"/>
    </row>
    <row r="161" spans="5:15" ht="14">
      <c r="E161" s="58"/>
      <c r="F161" s="58"/>
      <c r="H161" s="127"/>
      <c r="N161" s="58"/>
      <c r="O161" s="58"/>
    </row>
    <row r="162" spans="5:15" ht="14">
      <c r="E162" s="58"/>
      <c r="F162" s="58"/>
      <c r="H162" s="127"/>
      <c r="N162" s="58"/>
      <c r="O162" s="58"/>
    </row>
    <row r="163" spans="5:15" ht="14">
      <c r="E163" s="58"/>
      <c r="F163" s="58"/>
      <c r="H163" s="127"/>
      <c r="N163" s="58"/>
      <c r="O163" s="58"/>
    </row>
    <row r="164" spans="5:15" ht="14">
      <c r="E164" s="58"/>
      <c r="F164" s="58"/>
      <c r="H164" s="127"/>
      <c r="N164" s="58"/>
      <c r="O164" s="58"/>
    </row>
    <row r="165" spans="5:15" ht="14">
      <c r="E165" s="58"/>
      <c r="F165" s="58"/>
      <c r="H165" s="127"/>
      <c r="N165" s="58"/>
      <c r="O165" s="58"/>
    </row>
    <row r="166" spans="5:15" ht="15" customHeight="1">
      <c r="E166" s="58"/>
      <c r="F166" s="58"/>
      <c r="H166" s="127"/>
      <c r="N166" s="58"/>
      <c r="O166" s="58"/>
    </row>
    <row r="167" spans="5:15" ht="15" customHeight="1">
      <c r="E167" s="58"/>
      <c r="F167" s="58"/>
      <c r="H167" s="127"/>
      <c r="N167" s="58"/>
      <c r="O167" s="58"/>
    </row>
    <row r="168" spans="5:15" ht="15" customHeight="1">
      <c r="E168" s="58"/>
      <c r="F168" s="58"/>
      <c r="H168" s="127"/>
      <c r="N168" s="58"/>
      <c r="O168" s="58"/>
    </row>
    <row r="169" spans="5:15" ht="15" customHeight="1">
      <c r="E169" s="58"/>
      <c r="F169" s="58"/>
      <c r="H169" s="127"/>
      <c r="N169" s="58"/>
      <c r="O169" s="58"/>
    </row>
    <row r="170" spans="5:15" ht="15" customHeight="1">
      <c r="E170" s="58"/>
      <c r="F170" s="58"/>
      <c r="H170" s="127"/>
      <c r="N170" s="58"/>
      <c r="O170" s="58"/>
    </row>
    <row r="171" spans="5:15" ht="15" customHeight="1">
      <c r="E171" s="58"/>
      <c r="F171" s="58"/>
      <c r="H171" s="127"/>
      <c r="N171" s="58"/>
      <c r="O171" s="58"/>
    </row>
    <row r="172" spans="5:15" ht="15" customHeight="1">
      <c r="E172" s="58"/>
      <c r="F172" s="58"/>
      <c r="H172" s="127"/>
      <c r="N172" s="58"/>
      <c r="O172" s="58"/>
    </row>
    <row r="173" spans="5:15" ht="15" customHeight="1">
      <c r="E173" s="58"/>
      <c r="F173" s="58"/>
      <c r="H173" s="127"/>
      <c r="N173" s="58"/>
      <c r="O173" s="58"/>
    </row>
    <row r="174" spans="5:15" ht="15" customHeight="1">
      <c r="E174" s="58"/>
      <c r="F174" s="58"/>
      <c r="H174" s="127"/>
      <c r="N174" s="58"/>
      <c r="O174" s="58"/>
    </row>
    <row r="175" spans="5:15" ht="15" customHeight="1">
      <c r="E175" s="58"/>
      <c r="F175" s="58"/>
      <c r="H175" s="127"/>
      <c r="N175" s="58"/>
      <c r="O175" s="58"/>
    </row>
    <row r="176" spans="5:15" ht="15" customHeight="1">
      <c r="E176" s="58"/>
      <c r="F176" s="58"/>
      <c r="H176" s="127"/>
      <c r="N176" s="58"/>
      <c r="O176" s="58"/>
    </row>
    <row r="177" spans="5:15" ht="15" customHeight="1">
      <c r="E177" s="58"/>
      <c r="F177" s="58"/>
      <c r="H177" s="127"/>
      <c r="N177" s="58"/>
      <c r="O177" s="58"/>
    </row>
    <row r="178" spans="5:15" ht="15" customHeight="1">
      <c r="E178" s="58"/>
      <c r="F178" s="58"/>
      <c r="H178" s="127"/>
      <c r="N178" s="58"/>
      <c r="O178" s="58"/>
    </row>
    <row r="179" spans="5:15" ht="15" customHeight="1">
      <c r="E179" s="58"/>
      <c r="F179" s="58"/>
      <c r="H179" s="127"/>
      <c r="N179" s="58"/>
      <c r="O179" s="58"/>
    </row>
    <row r="180" spans="5:15" ht="15" customHeight="1">
      <c r="E180" s="58"/>
      <c r="F180" s="58"/>
      <c r="H180" s="127"/>
      <c r="N180" s="58"/>
      <c r="O180" s="58"/>
    </row>
    <row r="181" spans="5:15" ht="15" customHeight="1">
      <c r="E181" s="58"/>
      <c r="F181" s="58"/>
      <c r="H181" s="127"/>
      <c r="N181" s="58"/>
      <c r="O181" s="58"/>
    </row>
  </sheetData>
  <autoFilter ref="A1:O100" xr:uid="{314F99E3-5951-4E68-A757-2E06B1D19967}"/>
  <sortState xmlns:xlrd2="http://schemas.microsoft.com/office/spreadsheetml/2017/richdata2" ref="A2:O85">
    <sortCondition ref="K2:K85"/>
  </sortState>
  <mergeCells count="1">
    <mergeCell ref="D145:D146"/>
  </mergeCells>
  <phoneticPr fontId="5" type="noConversion"/>
  <conditionalFormatting sqref="D1:D98 D101:D1048576">
    <cfRule type="duplicateValues" dxfId="181" priority="1"/>
  </conditionalFormatting>
  <conditionalFormatting sqref="D124:D1048576 D1:D71">
    <cfRule type="duplicateValues" dxfId="180" priority="2"/>
    <cfRule type="duplicateValues" dxfId="179" priority="3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F375A-FF5F-4E86-8291-F20C338ADB76}">
  <dimension ref="A1:L176"/>
  <sheetViews>
    <sheetView zoomScale="90" workbookViewId="0">
      <pane xSplit="4" ySplit="1" topLeftCell="E98" activePane="bottomRight" state="frozen"/>
      <selection pane="topRight"/>
      <selection pane="bottomLeft"/>
      <selection pane="bottomRight" activeCell="D103" sqref="D103"/>
    </sheetView>
  </sheetViews>
  <sheetFormatPr defaultColWidth="8.81640625" defaultRowHeight="15" customHeight="1"/>
  <cols>
    <col min="1" max="1" width="8.81640625" style="58"/>
    <col min="2" max="2" width="18.1796875" style="58" bestFit="1" customWidth="1"/>
    <col min="3" max="3" width="14.453125" style="58" customWidth="1"/>
    <col min="4" max="4" width="34.81640625" style="58" customWidth="1"/>
    <col min="5" max="5" width="12.54296875" style="125" bestFit="1" customWidth="1"/>
    <col min="6" max="6" width="14.1796875" style="144" customWidth="1"/>
    <col min="7" max="7" width="14.453125" style="144" customWidth="1"/>
    <col min="8" max="8" width="12.1796875" style="128" customWidth="1"/>
    <col min="9" max="9" width="9.81640625" style="125" customWidth="1"/>
    <col min="10" max="10" width="12.1796875" style="145" customWidth="1"/>
    <col min="11" max="11" width="12" style="128" customWidth="1"/>
    <col min="12" max="12" width="13.1796875" style="124" bestFit="1" customWidth="1"/>
    <col min="13" max="16384" width="8.81640625" style="58"/>
  </cols>
  <sheetData>
    <row r="1" spans="1:12" s="132" customFormat="1" ht="30">
      <c r="A1" s="55" t="s">
        <v>421</v>
      </c>
      <c r="B1" s="55" t="s">
        <v>236</v>
      </c>
      <c r="C1" s="55" t="s">
        <v>422</v>
      </c>
      <c r="D1" s="55" t="s">
        <v>237</v>
      </c>
      <c r="E1" s="129" t="s">
        <v>241</v>
      </c>
      <c r="F1" s="130" t="s">
        <v>70</v>
      </c>
      <c r="G1" s="130" t="s">
        <v>71</v>
      </c>
      <c r="H1" s="130" t="s">
        <v>72</v>
      </c>
      <c r="I1" s="129" t="s">
        <v>73</v>
      </c>
      <c r="J1" s="131" t="s">
        <v>74</v>
      </c>
      <c r="K1" s="130" t="s">
        <v>75</v>
      </c>
      <c r="L1" s="55" t="s">
        <v>247</v>
      </c>
    </row>
    <row r="2" spans="1:12" ht="14">
      <c r="A2" s="59">
        <v>1</v>
      </c>
      <c r="B2" s="59" t="s">
        <v>49</v>
      </c>
      <c r="C2" s="59" t="s">
        <v>249</v>
      </c>
      <c r="D2" s="60" t="s">
        <v>288</v>
      </c>
      <c r="E2" s="62">
        <v>50000</v>
      </c>
      <c r="F2" s="68">
        <f>(((E2/70)+1)*0.4)</f>
        <v>286.11428571428576</v>
      </c>
      <c r="G2" s="133">
        <f>2*F2</f>
        <v>572.22857142857151</v>
      </c>
      <c r="H2" s="106">
        <f>(((E2/70)+1)*0.6)</f>
        <v>429.17142857142858</v>
      </c>
      <c r="I2" s="134">
        <f>H2+F2</f>
        <v>715.28571428571433</v>
      </c>
      <c r="J2" s="135">
        <f>I2</f>
        <v>715.28571428571433</v>
      </c>
      <c r="K2" s="106">
        <f>(E2/4000)+1</f>
        <v>13.5</v>
      </c>
      <c r="L2" s="65" t="s">
        <v>254</v>
      </c>
    </row>
    <row r="3" spans="1:12" ht="14">
      <c r="A3" s="59">
        <v>2</v>
      </c>
      <c r="B3" s="59" t="s">
        <v>49</v>
      </c>
      <c r="C3" s="59" t="s">
        <v>249</v>
      </c>
      <c r="D3" s="66" t="s">
        <v>271</v>
      </c>
      <c r="E3" s="68">
        <v>17000</v>
      </c>
      <c r="F3" s="68">
        <f t="shared" ref="F3:F48" si="0">(((E3/70)+1)*0.4)</f>
        <v>97.542857142857144</v>
      </c>
      <c r="G3" s="133">
        <f t="shared" ref="G3:G48" si="1">2*F3</f>
        <v>195.08571428571429</v>
      </c>
      <c r="H3" s="106">
        <f t="shared" ref="H3:H48" si="2">(((E3/70)+1)*0.6)</f>
        <v>146.31428571428572</v>
      </c>
      <c r="I3" s="134">
        <f t="shared" ref="I3:I48" si="3">H3+F3</f>
        <v>243.85714285714286</v>
      </c>
      <c r="J3" s="135">
        <f t="shared" ref="J3:J48" si="4">I3</f>
        <v>243.85714285714286</v>
      </c>
      <c r="K3" s="106">
        <f t="shared" ref="K3:K48" si="5">(E3/4000)+1</f>
        <v>5.25</v>
      </c>
      <c r="L3" s="65" t="s">
        <v>254</v>
      </c>
    </row>
    <row r="4" spans="1:12" ht="14">
      <c r="A4" s="59">
        <v>3</v>
      </c>
      <c r="B4" s="59" t="s">
        <v>49</v>
      </c>
      <c r="C4" s="70" t="s">
        <v>249</v>
      </c>
      <c r="D4" s="71" t="s">
        <v>274</v>
      </c>
      <c r="E4" s="75">
        <v>15500</v>
      </c>
      <c r="F4" s="68">
        <f t="shared" si="0"/>
        <v>88.971428571428575</v>
      </c>
      <c r="G4" s="133">
        <f t="shared" si="1"/>
        <v>177.94285714285715</v>
      </c>
      <c r="H4" s="106">
        <f t="shared" si="2"/>
        <v>133.45714285714286</v>
      </c>
      <c r="I4" s="134">
        <f t="shared" si="3"/>
        <v>222.42857142857144</v>
      </c>
      <c r="J4" s="135">
        <f t="shared" si="4"/>
        <v>222.42857142857144</v>
      </c>
      <c r="K4" s="106">
        <f t="shared" si="5"/>
        <v>4.875</v>
      </c>
      <c r="L4" s="65" t="s">
        <v>254</v>
      </c>
    </row>
    <row r="5" spans="1:12" ht="14">
      <c r="A5" s="59">
        <v>4</v>
      </c>
      <c r="B5" s="59" t="s">
        <v>49</v>
      </c>
      <c r="C5" s="70" t="s">
        <v>249</v>
      </c>
      <c r="D5" s="71" t="s">
        <v>291</v>
      </c>
      <c r="E5" s="75">
        <v>3500</v>
      </c>
      <c r="F5" s="68">
        <f t="shared" si="0"/>
        <v>20.400000000000002</v>
      </c>
      <c r="G5" s="133">
        <f t="shared" si="1"/>
        <v>40.800000000000004</v>
      </c>
      <c r="H5" s="106">
        <f t="shared" si="2"/>
        <v>30.599999999999998</v>
      </c>
      <c r="I5" s="134">
        <f t="shared" si="3"/>
        <v>51</v>
      </c>
      <c r="J5" s="135">
        <f t="shared" si="4"/>
        <v>51</v>
      </c>
      <c r="K5" s="106">
        <f t="shared" si="5"/>
        <v>1.875</v>
      </c>
      <c r="L5" s="65" t="s">
        <v>254</v>
      </c>
    </row>
    <row r="6" spans="1:12" ht="14">
      <c r="A6" s="59">
        <v>5</v>
      </c>
      <c r="B6" s="59" t="s">
        <v>49</v>
      </c>
      <c r="C6" s="70" t="s">
        <v>249</v>
      </c>
      <c r="D6" s="77" t="s">
        <v>323</v>
      </c>
      <c r="E6" s="62">
        <v>76000</v>
      </c>
      <c r="F6" s="68">
        <f t="shared" si="0"/>
        <v>434.68571428571431</v>
      </c>
      <c r="G6" s="133">
        <f t="shared" si="1"/>
        <v>869.37142857142862</v>
      </c>
      <c r="H6" s="106">
        <f t="shared" si="2"/>
        <v>652.02857142857147</v>
      </c>
      <c r="I6" s="134">
        <f t="shared" si="3"/>
        <v>1086.7142857142858</v>
      </c>
      <c r="J6" s="135">
        <f t="shared" si="4"/>
        <v>1086.7142857142858</v>
      </c>
      <c r="K6" s="106">
        <f t="shared" si="5"/>
        <v>20</v>
      </c>
      <c r="L6" s="65" t="s">
        <v>254</v>
      </c>
    </row>
    <row r="7" spans="1:12" ht="14">
      <c r="A7" s="59">
        <v>6</v>
      </c>
      <c r="B7" s="59" t="s">
        <v>49</v>
      </c>
      <c r="C7" s="70" t="s">
        <v>249</v>
      </c>
      <c r="D7" s="77" t="s">
        <v>348</v>
      </c>
      <c r="E7" s="62">
        <v>35000</v>
      </c>
      <c r="F7" s="68">
        <f t="shared" si="0"/>
        <v>200.4</v>
      </c>
      <c r="G7" s="133">
        <f t="shared" si="1"/>
        <v>400.8</v>
      </c>
      <c r="H7" s="106">
        <f t="shared" si="2"/>
        <v>300.59999999999997</v>
      </c>
      <c r="I7" s="134">
        <f t="shared" si="3"/>
        <v>501</v>
      </c>
      <c r="J7" s="135">
        <f t="shared" si="4"/>
        <v>501</v>
      </c>
      <c r="K7" s="106">
        <f t="shared" si="5"/>
        <v>9.75</v>
      </c>
      <c r="L7" s="65" t="s">
        <v>254</v>
      </c>
    </row>
    <row r="8" spans="1:12" ht="14">
      <c r="A8" s="59">
        <v>7</v>
      </c>
      <c r="B8" s="59" t="s">
        <v>58</v>
      </c>
      <c r="C8" s="70" t="s">
        <v>11</v>
      </c>
      <c r="D8" s="77" t="s">
        <v>350</v>
      </c>
      <c r="E8" s="62">
        <v>40000</v>
      </c>
      <c r="F8" s="68">
        <f t="shared" ref="F8" si="6">(((E8/70)+1)*0.4)</f>
        <v>228.97142857142859</v>
      </c>
      <c r="G8" s="133">
        <f t="shared" ref="G8" si="7">2*F8</f>
        <v>457.94285714285718</v>
      </c>
      <c r="H8" s="106">
        <f t="shared" ref="H8" si="8">(((E8/70)+1)*0.6)</f>
        <v>343.45714285714286</v>
      </c>
      <c r="I8" s="134">
        <f t="shared" ref="I8" si="9">H8+F8</f>
        <v>572.42857142857144</v>
      </c>
      <c r="J8" s="135">
        <f t="shared" ref="J8" si="10">I8</f>
        <v>572.42857142857144</v>
      </c>
      <c r="K8" s="106">
        <f t="shared" ref="K8" si="11">(E8/4000)+1</f>
        <v>11</v>
      </c>
      <c r="L8" s="65" t="s">
        <v>254</v>
      </c>
    </row>
    <row r="9" spans="1:12" ht="14">
      <c r="A9" s="59">
        <v>8</v>
      </c>
      <c r="B9" s="59" t="s">
        <v>49</v>
      </c>
      <c r="C9" s="70" t="s">
        <v>249</v>
      </c>
      <c r="D9" s="77" t="s">
        <v>352</v>
      </c>
      <c r="E9" s="62">
        <v>67000</v>
      </c>
      <c r="F9" s="68">
        <f t="shared" si="0"/>
        <v>383.25714285714287</v>
      </c>
      <c r="G9" s="133">
        <f t="shared" si="1"/>
        <v>766.51428571428573</v>
      </c>
      <c r="H9" s="106">
        <f t="shared" si="2"/>
        <v>574.88571428571424</v>
      </c>
      <c r="I9" s="134">
        <f t="shared" si="3"/>
        <v>958.14285714285711</v>
      </c>
      <c r="J9" s="135">
        <f t="shared" si="4"/>
        <v>958.14285714285711</v>
      </c>
      <c r="K9" s="106">
        <f t="shared" si="5"/>
        <v>17.75</v>
      </c>
      <c r="L9" s="65" t="s">
        <v>254</v>
      </c>
    </row>
    <row r="10" spans="1:12" ht="14">
      <c r="A10" s="59">
        <v>9</v>
      </c>
      <c r="B10" s="59" t="s">
        <v>57</v>
      </c>
      <c r="C10" s="70" t="s">
        <v>11</v>
      </c>
      <c r="D10" s="77" t="s">
        <v>413</v>
      </c>
      <c r="E10" s="62">
        <v>5000</v>
      </c>
      <c r="F10" s="68">
        <f t="shared" si="0"/>
        <v>28.971428571428575</v>
      </c>
      <c r="G10" s="133">
        <f t="shared" si="1"/>
        <v>57.94285714285715</v>
      </c>
      <c r="H10" s="106">
        <f t="shared" si="2"/>
        <v>43.457142857142856</v>
      </c>
      <c r="I10" s="134">
        <f t="shared" si="3"/>
        <v>72.428571428571431</v>
      </c>
      <c r="J10" s="135">
        <f t="shared" si="4"/>
        <v>72.428571428571431</v>
      </c>
      <c r="K10" s="106">
        <f t="shared" si="5"/>
        <v>2.25</v>
      </c>
      <c r="L10" s="65" t="s">
        <v>254</v>
      </c>
    </row>
    <row r="11" spans="1:12" ht="14">
      <c r="A11" s="59">
        <v>10</v>
      </c>
      <c r="B11" s="59" t="s">
        <v>57</v>
      </c>
      <c r="C11" s="70" t="s">
        <v>11</v>
      </c>
      <c r="D11" s="77" t="s">
        <v>355</v>
      </c>
      <c r="E11" s="62">
        <v>77000</v>
      </c>
      <c r="F11" s="68">
        <f t="shared" si="0"/>
        <v>440.40000000000003</v>
      </c>
      <c r="G11" s="133">
        <f t="shared" si="1"/>
        <v>880.80000000000007</v>
      </c>
      <c r="H11" s="106">
        <f t="shared" si="2"/>
        <v>660.6</v>
      </c>
      <c r="I11" s="134">
        <f t="shared" si="3"/>
        <v>1101</v>
      </c>
      <c r="J11" s="135">
        <f t="shared" si="4"/>
        <v>1101</v>
      </c>
      <c r="K11" s="106">
        <f t="shared" si="5"/>
        <v>20.25</v>
      </c>
      <c r="L11" s="65" t="s">
        <v>254</v>
      </c>
    </row>
    <row r="12" spans="1:12" ht="14">
      <c r="A12" s="59">
        <v>11</v>
      </c>
      <c r="B12" s="59" t="s">
        <v>49</v>
      </c>
      <c r="C12" s="70" t="s">
        <v>249</v>
      </c>
      <c r="D12" s="77" t="s">
        <v>357</v>
      </c>
      <c r="E12" s="62">
        <v>15000</v>
      </c>
      <c r="F12" s="68">
        <f t="shared" si="0"/>
        <v>86.114285714285714</v>
      </c>
      <c r="G12" s="133">
        <f t="shared" si="1"/>
        <v>172.22857142857143</v>
      </c>
      <c r="H12" s="106">
        <f t="shared" si="2"/>
        <v>129.17142857142855</v>
      </c>
      <c r="I12" s="134">
        <f t="shared" si="3"/>
        <v>215.28571428571428</v>
      </c>
      <c r="J12" s="135">
        <f t="shared" si="4"/>
        <v>215.28571428571428</v>
      </c>
      <c r="K12" s="106">
        <f t="shared" si="5"/>
        <v>4.75</v>
      </c>
      <c r="L12" s="65" t="s">
        <v>254</v>
      </c>
    </row>
    <row r="13" spans="1:12" ht="14">
      <c r="A13" s="59">
        <v>12</v>
      </c>
      <c r="B13" s="59" t="s">
        <v>49</v>
      </c>
      <c r="C13" s="70" t="s">
        <v>249</v>
      </c>
      <c r="D13" s="77" t="s">
        <v>360</v>
      </c>
      <c r="E13" s="62">
        <v>73000</v>
      </c>
      <c r="F13" s="68">
        <f t="shared" si="0"/>
        <v>417.5428571428572</v>
      </c>
      <c r="G13" s="133">
        <f t="shared" si="1"/>
        <v>835.0857142857144</v>
      </c>
      <c r="H13" s="106">
        <f t="shared" si="2"/>
        <v>626.31428571428569</v>
      </c>
      <c r="I13" s="134">
        <f t="shared" si="3"/>
        <v>1043.8571428571429</v>
      </c>
      <c r="J13" s="135">
        <f t="shared" si="4"/>
        <v>1043.8571428571429</v>
      </c>
      <c r="K13" s="106">
        <f t="shared" si="5"/>
        <v>19.25</v>
      </c>
      <c r="L13" s="65" t="s">
        <v>254</v>
      </c>
    </row>
    <row r="14" spans="1:12" ht="14">
      <c r="A14" s="59">
        <v>13</v>
      </c>
      <c r="B14" s="59" t="s">
        <v>423</v>
      </c>
      <c r="C14" s="70" t="s">
        <v>249</v>
      </c>
      <c r="D14" s="71" t="s">
        <v>325</v>
      </c>
      <c r="E14" s="75">
        <v>89000</v>
      </c>
      <c r="F14" s="68">
        <f t="shared" si="0"/>
        <v>508.97142857142853</v>
      </c>
      <c r="G14" s="133">
        <f t="shared" si="1"/>
        <v>1017.9428571428571</v>
      </c>
      <c r="H14" s="106">
        <f t="shared" si="2"/>
        <v>763.4571428571428</v>
      </c>
      <c r="I14" s="134">
        <f t="shared" si="3"/>
        <v>1272.4285714285713</v>
      </c>
      <c r="J14" s="135">
        <f t="shared" si="4"/>
        <v>1272.4285714285713</v>
      </c>
      <c r="K14" s="106">
        <f t="shared" si="5"/>
        <v>23.25</v>
      </c>
      <c r="L14" s="65" t="s">
        <v>254</v>
      </c>
    </row>
    <row r="15" spans="1:12" ht="14">
      <c r="A15" s="59">
        <v>14</v>
      </c>
      <c r="B15" s="59" t="s">
        <v>423</v>
      </c>
      <c r="C15" s="70" t="s">
        <v>249</v>
      </c>
      <c r="D15" s="71" t="s">
        <v>293</v>
      </c>
      <c r="E15" s="75">
        <v>61000</v>
      </c>
      <c r="F15" s="68">
        <f t="shared" si="0"/>
        <v>348.97142857142859</v>
      </c>
      <c r="G15" s="133">
        <f t="shared" si="1"/>
        <v>697.94285714285718</v>
      </c>
      <c r="H15" s="106">
        <f t="shared" si="2"/>
        <v>523.4571428571428</v>
      </c>
      <c r="I15" s="134">
        <f t="shared" si="3"/>
        <v>872.42857142857133</v>
      </c>
      <c r="J15" s="135">
        <f t="shared" si="4"/>
        <v>872.42857142857133</v>
      </c>
      <c r="K15" s="106">
        <f t="shared" si="5"/>
        <v>16.25</v>
      </c>
      <c r="L15" s="65" t="s">
        <v>254</v>
      </c>
    </row>
    <row r="16" spans="1:12" ht="14">
      <c r="A16" s="59">
        <v>15</v>
      </c>
      <c r="B16" s="59" t="s">
        <v>423</v>
      </c>
      <c r="C16" s="70" t="s">
        <v>249</v>
      </c>
      <c r="D16" s="71" t="s">
        <v>362</v>
      </c>
      <c r="E16" s="75">
        <v>87000</v>
      </c>
      <c r="F16" s="68">
        <f t="shared" si="0"/>
        <v>497.5428571428572</v>
      </c>
      <c r="G16" s="133">
        <f t="shared" si="1"/>
        <v>995.0857142857144</v>
      </c>
      <c r="H16" s="106">
        <f t="shared" si="2"/>
        <v>746.31428571428569</v>
      </c>
      <c r="I16" s="134">
        <f t="shared" si="3"/>
        <v>1243.8571428571429</v>
      </c>
      <c r="J16" s="135">
        <f t="shared" si="4"/>
        <v>1243.8571428571429</v>
      </c>
      <c r="K16" s="106">
        <f t="shared" si="5"/>
        <v>22.75</v>
      </c>
      <c r="L16" s="65" t="s">
        <v>254</v>
      </c>
    </row>
    <row r="17" spans="1:12" ht="14">
      <c r="A17" s="59">
        <v>16</v>
      </c>
      <c r="B17" s="59" t="s">
        <v>423</v>
      </c>
      <c r="C17" s="70" t="s">
        <v>249</v>
      </c>
      <c r="D17" s="71" t="s">
        <v>364</v>
      </c>
      <c r="E17" s="75">
        <v>71000</v>
      </c>
      <c r="F17" s="68">
        <f t="shared" si="0"/>
        <v>406.11428571428576</v>
      </c>
      <c r="G17" s="133">
        <f t="shared" si="1"/>
        <v>812.22857142857151</v>
      </c>
      <c r="H17" s="106">
        <f t="shared" si="2"/>
        <v>609.17142857142858</v>
      </c>
      <c r="I17" s="134">
        <f t="shared" si="3"/>
        <v>1015.2857142857143</v>
      </c>
      <c r="J17" s="135">
        <f t="shared" si="4"/>
        <v>1015.2857142857143</v>
      </c>
      <c r="K17" s="106">
        <f t="shared" si="5"/>
        <v>18.75</v>
      </c>
      <c r="L17" s="65" t="s">
        <v>254</v>
      </c>
    </row>
    <row r="18" spans="1:12" ht="14">
      <c r="A18" s="59">
        <v>17</v>
      </c>
      <c r="B18" s="59" t="s">
        <v>423</v>
      </c>
      <c r="C18" s="70" t="s">
        <v>249</v>
      </c>
      <c r="D18" s="71" t="s">
        <v>366</v>
      </c>
      <c r="E18" s="75">
        <v>72000</v>
      </c>
      <c r="F18" s="68">
        <f t="shared" si="0"/>
        <v>411.82857142857148</v>
      </c>
      <c r="G18" s="133">
        <f t="shared" si="1"/>
        <v>823.65714285714296</v>
      </c>
      <c r="H18" s="106">
        <f t="shared" si="2"/>
        <v>617.74285714285713</v>
      </c>
      <c r="I18" s="134">
        <f t="shared" si="3"/>
        <v>1029.5714285714287</v>
      </c>
      <c r="J18" s="135">
        <f t="shared" si="4"/>
        <v>1029.5714285714287</v>
      </c>
      <c r="K18" s="106">
        <f t="shared" si="5"/>
        <v>19</v>
      </c>
      <c r="L18" s="65" t="s">
        <v>254</v>
      </c>
    </row>
    <row r="19" spans="1:12" ht="14">
      <c r="A19" s="59">
        <v>18</v>
      </c>
      <c r="B19" s="59" t="s">
        <v>423</v>
      </c>
      <c r="C19" s="70" t="s">
        <v>249</v>
      </c>
      <c r="D19" s="71" t="s">
        <v>368</v>
      </c>
      <c r="E19" s="75">
        <v>25000</v>
      </c>
      <c r="F19" s="68">
        <f t="shared" si="0"/>
        <v>143.25714285714287</v>
      </c>
      <c r="G19" s="133">
        <f t="shared" si="1"/>
        <v>286.51428571428573</v>
      </c>
      <c r="H19" s="106">
        <f t="shared" si="2"/>
        <v>214.8857142857143</v>
      </c>
      <c r="I19" s="134">
        <f t="shared" si="3"/>
        <v>358.14285714285717</v>
      </c>
      <c r="J19" s="135">
        <f t="shared" si="4"/>
        <v>358.14285714285717</v>
      </c>
      <c r="K19" s="106">
        <f t="shared" si="5"/>
        <v>7.25</v>
      </c>
      <c r="L19" s="65" t="s">
        <v>254</v>
      </c>
    </row>
    <row r="20" spans="1:12" ht="14">
      <c r="A20" s="59">
        <v>19</v>
      </c>
      <c r="B20" s="59" t="s">
        <v>423</v>
      </c>
      <c r="C20" s="70" t="s">
        <v>249</v>
      </c>
      <c r="D20" s="71" t="s">
        <v>369</v>
      </c>
      <c r="E20" s="75">
        <v>74000</v>
      </c>
      <c r="F20" s="68">
        <f t="shared" si="0"/>
        <v>423.25714285714287</v>
      </c>
      <c r="G20" s="133">
        <f t="shared" si="1"/>
        <v>846.51428571428573</v>
      </c>
      <c r="H20" s="106">
        <f t="shared" si="2"/>
        <v>634.88571428571424</v>
      </c>
      <c r="I20" s="134">
        <f t="shared" si="3"/>
        <v>1058.1428571428571</v>
      </c>
      <c r="J20" s="135">
        <f t="shared" si="4"/>
        <v>1058.1428571428571</v>
      </c>
      <c r="K20" s="106">
        <f t="shared" si="5"/>
        <v>19.5</v>
      </c>
      <c r="L20" s="65" t="s">
        <v>254</v>
      </c>
    </row>
    <row r="21" spans="1:12" ht="14">
      <c r="A21" s="59">
        <v>20</v>
      </c>
      <c r="B21" s="59" t="s">
        <v>423</v>
      </c>
      <c r="C21" s="70" t="s">
        <v>249</v>
      </c>
      <c r="D21" s="71" t="s">
        <v>371</v>
      </c>
      <c r="E21" s="75">
        <v>40000</v>
      </c>
      <c r="F21" s="68">
        <f t="shared" si="0"/>
        <v>228.97142857142859</v>
      </c>
      <c r="G21" s="133">
        <f t="shared" si="1"/>
        <v>457.94285714285718</v>
      </c>
      <c r="H21" s="106">
        <f t="shared" si="2"/>
        <v>343.45714285714286</v>
      </c>
      <c r="I21" s="134">
        <f t="shared" si="3"/>
        <v>572.42857142857144</v>
      </c>
      <c r="J21" s="135">
        <f t="shared" si="4"/>
        <v>572.42857142857144</v>
      </c>
      <c r="K21" s="106">
        <f t="shared" si="5"/>
        <v>11</v>
      </c>
      <c r="L21" s="65" t="s">
        <v>254</v>
      </c>
    </row>
    <row r="22" spans="1:12" ht="14">
      <c r="A22" s="59">
        <v>21</v>
      </c>
      <c r="B22" s="59" t="s">
        <v>424</v>
      </c>
      <c r="C22" s="70" t="s">
        <v>249</v>
      </c>
      <c r="D22" s="71" t="s">
        <v>296</v>
      </c>
      <c r="E22" s="75">
        <v>6000</v>
      </c>
      <c r="F22" s="68">
        <f t="shared" si="0"/>
        <v>34.685714285714283</v>
      </c>
      <c r="G22" s="133">
        <f t="shared" si="1"/>
        <v>69.371428571428567</v>
      </c>
      <c r="H22" s="106">
        <f t="shared" si="2"/>
        <v>52.028571428571425</v>
      </c>
      <c r="I22" s="134">
        <f t="shared" si="3"/>
        <v>86.714285714285708</v>
      </c>
      <c r="J22" s="135">
        <f t="shared" si="4"/>
        <v>86.714285714285708</v>
      </c>
      <c r="K22" s="106">
        <f t="shared" si="5"/>
        <v>2.5</v>
      </c>
      <c r="L22" s="65" t="s">
        <v>254</v>
      </c>
    </row>
    <row r="23" spans="1:12" ht="14">
      <c r="A23" s="59">
        <v>22</v>
      </c>
      <c r="B23" s="59" t="s">
        <v>424</v>
      </c>
      <c r="C23" s="70" t="s">
        <v>249</v>
      </c>
      <c r="D23" s="83" t="s">
        <v>299</v>
      </c>
      <c r="E23" s="62">
        <v>96000</v>
      </c>
      <c r="F23" s="68">
        <f t="shared" si="0"/>
        <v>548.97142857142853</v>
      </c>
      <c r="G23" s="133">
        <f t="shared" si="1"/>
        <v>1097.9428571428571</v>
      </c>
      <c r="H23" s="106">
        <f t="shared" si="2"/>
        <v>823.4571428571428</v>
      </c>
      <c r="I23" s="134">
        <f t="shared" si="3"/>
        <v>1372.4285714285713</v>
      </c>
      <c r="J23" s="135">
        <f t="shared" si="4"/>
        <v>1372.4285714285713</v>
      </c>
      <c r="K23" s="106">
        <f t="shared" si="5"/>
        <v>25</v>
      </c>
      <c r="L23" s="65" t="s">
        <v>254</v>
      </c>
    </row>
    <row r="24" spans="1:12" ht="14">
      <c r="A24" s="59">
        <v>23</v>
      </c>
      <c r="B24" s="59" t="s">
        <v>424</v>
      </c>
      <c r="C24" s="70" t="s">
        <v>249</v>
      </c>
      <c r="D24" s="85" t="s">
        <v>302</v>
      </c>
      <c r="E24" s="62">
        <v>87000</v>
      </c>
      <c r="F24" s="68">
        <f t="shared" si="0"/>
        <v>497.5428571428572</v>
      </c>
      <c r="G24" s="133">
        <f t="shared" si="1"/>
        <v>995.0857142857144</v>
      </c>
      <c r="H24" s="106">
        <f t="shared" si="2"/>
        <v>746.31428571428569</v>
      </c>
      <c r="I24" s="134">
        <f t="shared" si="3"/>
        <v>1243.8571428571429</v>
      </c>
      <c r="J24" s="135">
        <f t="shared" si="4"/>
        <v>1243.8571428571429</v>
      </c>
      <c r="K24" s="106">
        <f t="shared" si="5"/>
        <v>22.75</v>
      </c>
      <c r="L24" s="65" t="s">
        <v>254</v>
      </c>
    </row>
    <row r="25" spans="1:12" ht="14">
      <c r="A25" s="59">
        <v>24</v>
      </c>
      <c r="B25" s="59" t="s">
        <v>424</v>
      </c>
      <c r="C25" s="70" t="s">
        <v>249</v>
      </c>
      <c r="D25" s="83" t="s">
        <v>275</v>
      </c>
      <c r="E25" s="62">
        <v>26000</v>
      </c>
      <c r="F25" s="68">
        <f t="shared" si="0"/>
        <v>148.97142857142859</v>
      </c>
      <c r="G25" s="133">
        <f t="shared" si="1"/>
        <v>297.94285714285718</v>
      </c>
      <c r="H25" s="106">
        <f t="shared" si="2"/>
        <v>223.45714285714286</v>
      </c>
      <c r="I25" s="134">
        <f t="shared" si="3"/>
        <v>372.42857142857144</v>
      </c>
      <c r="J25" s="135">
        <f t="shared" si="4"/>
        <v>372.42857142857144</v>
      </c>
      <c r="K25" s="106">
        <f t="shared" si="5"/>
        <v>7.5</v>
      </c>
      <c r="L25" s="65" t="s">
        <v>254</v>
      </c>
    </row>
    <row r="26" spans="1:12" ht="14">
      <c r="A26" s="59">
        <v>25</v>
      </c>
      <c r="B26" s="59" t="s">
        <v>424</v>
      </c>
      <c r="C26" s="70" t="s">
        <v>249</v>
      </c>
      <c r="D26" s="71" t="s">
        <v>261</v>
      </c>
      <c r="E26" s="75">
        <v>54400</v>
      </c>
      <c r="F26" s="68">
        <f t="shared" si="0"/>
        <v>311.25714285714287</v>
      </c>
      <c r="G26" s="133">
        <f t="shared" si="1"/>
        <v>622.51428571428573</v>
      </c>
      <c r="H26" s="106">
        <f t="shared" si="2"/>
        <v>466.88571428571424</v>
      </c>
      <c r="I26" s="134">
        <f t="shared" si="3"/>
        <v>778.14285714285711</v>
      </c>
      <c r="J26" s="135">
        <f t="shared" si="4"/>
        <v>778.14285714285711</v>
      </c>
      <c r="K26" s="106">
        <f t="shared" si="5"/>
        <v>14.6</v>
      </c>
      <c r="L26" s="65" t="s">
        <v>254</v>
      </c>
    </row>
    <row r="27" spans="1:12" ht="14">
      <c r="A27" s="59">
        <v>26</v>
      </c>
      <c r="B27" s="59" t="s">
        <v>424</v>
      </c>
      <c r="C27" s="70" t="s">
        <v>249</v>
      </c>
      <c r="D27" s="71" t="s">
        <v>304</v>
      </c>
      <c r="E27" s="75">
        <v>75000</v>
      </c>
      <c r="F27" s="68">
        <f t="shared" si="0"/>
        <v>428.97142857142853</v>
      </c>
      <c r="G27" s="133">
        <f t="shared" si="1"/>
        <v>857.94285714285706</v>
      </c>
      <c r="H27" s="106">
        <f t="shared" si="2"/>
        <v>643.4571428571428</v>
      </c>
      <c r="I27" s="134">
        <f t="shared" si="3"/>
        <v>1072.4285714285713</v>
      </c>
      <c r="J27" s="135">
        <f t="shared" si="4"/>
        <v>1072.4285714285713</v>
      </c>
      <c r="K27" s="106">
        <f t="shared" si="5"/>
        <v>19.75</v>
      </c>
      <c r="L27" s="65" t="s">
        <v>254</v>
      </c>
    </row>
    <row r="28" spans="1:12" ht="14.9" customHeight="1">
      <c r="A28" s="59">
        <v>27</v>
      </c>
      <c r="B28" s="59" t="s">
        <v>424</v>
      </c>
      <c r="C28" s="70" t="s">
        <v>249</v>
      </c>
      <c r="D28" s="71" t="s">
        <v>306</v>
      </c>
      <c r="E28" s="75">
        <v>35000</v>
      </c>
      <c r="F28" s="68">
        <f t="shared" si="0"/>
        <v>200.4</v>
      </c>
      <c r="G28" s="133">
        <f t="shared" si="1"/>
        <v>400.8</v>
      </c>
      <c r="H28" s="106">
        <f t="shared" si="2"/>
        <v>300.59999999999997</v>
      </c>
      <c r="I28" s="134">
        <f t="shared" si="3"/>
        <v>501</v>
      </c>
      <c r="J28" s="135">
        <f t="shared" si="4"/>
        <v>501</v>
      </c>
      <c r="K28" s="106">
        <f t="shared" si="5"/>
        <v>9.75</v>
      </c>
      <c r="L28" s="65" t="s">
        <v>254</v>
      </c>
    </row>
    <row r="29" spans="1:12" ht="14">
      <c r="A29" s="59">
        <v>28</v>
      </c>
      <c r="B29" s="59" t="s">
        <v>425</v>
      </c>
      <c r="C29" s="70" t="s">
        <v>249</v>
      </c>
      <c r="D29" s="66" t="s">
        <v>327</v>
      </c>
      <c r="E29" s="75">
        <v>59000</v>
      </c>
      <c r="F29" s="68">
        <f t="shared" si="0"/>
        <v>337.5428571428572</v>
      </c>
      <c r="G29" s="133">
        <f t="shared" si="1"/>
        <v>675.0857142857144</v>
      </c>
      <c r="H29" s="106">
        <f t="shared" si="2"/>
        <v>506.31428571428569</v>
      </c>
      <c r="I29" s="134">
        <f t="shared" si="3"/>
        <v>843.85714285714289</v>
      </c>
      <c r="J29" s="135">
        <f t="shared" si="4"/>
        <v>843.85714285714289</v>
      </c>
      <c r="K29" s="106">
        <f t="shared" si="5"/>
        <v>15.75</v>
      </c>
      <c r="L29" s="65" t="s">
        <v>254</v>
      </c>
    </row>
    <row r="30" spans="1:12" ht="14">
      <c r="A30" s="59">
        <v>29</v>
      </c>
      <c r="B30" s="59" t="s">
        <v>425</v>
      </c>
      <c r="C30" s="70" t="s">
        <v>249</v>
      </c>
      <c r="D30" s="66" t="s">
        <v>309</v>
      </c>
      <c r="E30" s="75">
        <v>20000</v>
      </c>
      <c r="F30" s="68">
        <f t="shared" si="0"/>
        <v>114.6857142857143</v>
      </c>
      <c r="G30" s="133">
        <f t="shared" si="1"/>
        <v>229.37142857142859</v>
      </c>
      <c r="H30" s="106">
        <f t="shared" si="2"/>
        <v>172.02857142857144</v>
      </c>
      <c r="I30" s="134">
        <f t="shared" si="3"/>
        <v>286.71428571428572</v>
      </c>
      <c r="J30" s="135">
        <f t="shared" si="4"/>
        <v>286.71428571428572</v>
      </c>
      <c r="K30" s="106">
        <f t="shared" si="5"/>
        <v>6</v>
      </c>
      <c r="L30" s="65" t="s">
        <v>254</v>
      </c>
    </row>
    <row r="31" spans="1:12" ht="14">
      <c r="A31" s="59">
        <v>30</v>
      </c>
      <c r="B31" s="59" t="s">
        <v>425</v>
      </c>
      <c r="C31" s="70" t="s">
        <v>249</v>
      </c>
      <c r="D31" s="66" t="s">
        <v>312</v>
      </c>
      <c r="E31" s="75">
        <v>4500</v>
      </c>
      <c r="F31" s="68">
        <f t="shared" si="0"/>
        <v>26.114285714285717</v>
      </c>
      <c r="G31" s="133">
        <f t="shared" si="1"/>
        <v>52.228571428571435</v>
      </c>
      <c r="H31" s="106">
        <f t="shared" si="2"/>
        <v>39.171428571428571</v>
      </c>
      <c r="I31" s="134">
        <f t="shared" si="3"/>
        <v>65.285714285714292</v>
      </c>
      <c r="J31" s="135">
        <f t="shared" si="4"/>
        <v>65.285714285714292</v>
      </c>
      <c r="K31" s="106">
        <f t="shared" si="5"/>
        <v>2.125</v>
      </c>
      <c r="L31" s="65" t="s">
        <v>254</v>
      </c>
    </row>
    <row r="32" spans="1:12" ht="14">
      <c r="A32" s="59">
        <v>31</v>
      </c>
      <c r="B32" s="59" t="s">
        <v>425</v>
      </c>
      <c r="C32" s="70" t="s">
        <v>249</v>
      </c>
      <c r="D32" s="66" t="s">
        <v>265</v>
      </c>
      <c r="E32" s="75">
        <v>18500</v>
      </c>
      <c r="F32" s="68">
        <f t="shared" si="0"/>
        <v>106.11428571428571</v>
      </c>
      <c r="G32" s="133">
        <f t="shared" si="1"/>
        <v>212.22857142857143</v>
      </c>
      <c r="H32" s="106">
        <f t="shared" si="2"/>
        <v>159.17142857142855</v>
      </c>
      <c r="I32" s="134">
        <f t="shared" si="3"/>
        <v>265.28571428571428</v>
      </c>
      <c r="J32" s="135">
        <f t="shared" si="4"/>
        <v>265.28571428571428</v>
      </c>
      <c r="K32" s="106">
        <f t="shared" si="5"/>
        <v>5.625</v>
      </c>
      <c r="L32" s="65" t="s">
        <v>254</v>
      </c>
    </row>
    <row r="33" spans="1:12" ht="14">
      <c r="A33" s="59">
        <v>32</v>
      </c>
      <c r="B33" s="59" t="s">
        <v>425</v>
      </c>
      <c r="C33" s="70" t="s">
        <v>249</v>
      </c>
      <c r="D33" s="66" t="s">
        <v>268</v>
      </c>
      <c r="E33" s="75">
        <v>43000</v>
      </c>
      <c r="F33" s="68">
        <f t="shared" si="0"/>
        <v>246.11428571428576</v>
      </c>
      <c r="G33" s="133">
        <f t="shared" si="1"/>
        <v>492.22857142857151</v>
      </c>
      <c r="H33" s="106">
        <f t="shared" si="2"/>
        <v>369.17142857142858</v>
      </c>
      <c r="I33" s="134">
        <f t="shared" si="3"/>
        <v>615.28571428571433</v>
      </c>
      <c r="J33" s="135">
        <f t="shared" si="4"/>
        <v>615.28571428571433</v>
      </c>
      <c r="K33" s="106">
        <f t="shared" si="5"/>
        <v>11.75</v>
      </c>
      <c r="L33" s="65" t="s">
        <v>254</v>
      </c>
    </row>
    <row r="34" spans="1:12" ht="14">
      <c r="A34" s="59">
        <v>33</v>
      </c>
      <c r="B34" s="59" t="s">
        <v>425</v>
      </c>
      <c r="C34" s="70" t="s">
        <v>249</v>
      </c>
      <c r="D34" s="66" t="s">
        <v>277</v>
      </c>
      <c r="E34" s="75">
        <v>4400</v>
      </c>
      <c r="F34" s="68">
        <f t="shared" ref="F34" si="12">(((E34/70)+1)*0.4)</f>
        <v>25.542857142857144</v>
      </c>
      <c r="G34" s="133">
        <f t="shared" ref="G34" si="13">2*F34</f>
        <v>51.085714285714289</v>
      </c>
      <c r="H34" s="106">
        <f t="shared" ref="H34" si="14">(((E34/70)+1)*0.6)</f>
        <v>38.31428571428571</v>
      </c>
      <c r="I34" s="134">
        <f t="shared" ref="I34" si="15">H34+F34</f>
        <v>63.857142857142854</v>
      </c>
      <c r="J34" s="135">
        <f t="shared" ref="J34" si="16">I34</f>
        <v>63.857142857142854</v>
      </c>
      <c r="K34" s="106">
        <f t="shared" ref="K34" si="17">(E34/4000)+1</f>
        <v>2.1</v>
      </c>
      <c r="L34" s="65" t="s">
        <v>254</v>
      </c>
    </row>
    <row r="35" spans="1:12" ht="14">
      <c r="A35" s="59">
        <v>34</v>
      </c>
      <c r="B35" s="59" t="s">
        <v>425</v>
      </c>
      <c r="C35" s="70" t="s">
        <v>249</v>
      </c>
      <c r="D35" s="66" t="s">
        <v>250</v>
      </c>
      <c r="E35" s="75">
        <v>44000</v>
      </c>
      <c r="F35" s="68">
        <f t="shared" si="0"/>
        <v>251.82857142857142</v>
      </c>
      <c r="G35" s="133">
        <f t="shared" si="1"/>
        <v>503.65714285714284</v>
      </c>
      <c r="H35" s="106">
        <f t="shared" si="2"/>
        <v>377.74285714285713</v>
      </c>
      <c r="I35" s="134">
        <f t="shared" si="3"/>
        <v>629.57142857142856</v>
      </c>
      <c r="J35" s="135">
        <f t="shared" si="4"/>
        <v>629.57142857142856</v>
      </c>
      <c r="K35" s="106">
        <f t="shared" si="5"/>
        <v>12</v>
      </c>
      <c r="L35" s="65" t="s">
        <v>254</v>
      </c>
    </row>
    <row r="36" spans="1:12" ht="14">
      <c r="A36" s="59">
        <v>35</v>
      </c>
      <c r="B36" s="59" t="s">
        <v>425</v>
      </c>
      <c r="C36" s="70" t="s">
        <v>249</v>
      </c>
      <c r="D36" s="66" t="s">
        <v>255</v>
      </c>
      <c r="E36" s="75">
        <v>53300</v>
      </c>
      <c r="F36" s="68">
        <f t="shared" si="0"/>
        <v>304.97142857142859</v>
      </c>
      <c r="G36" s="133">
        <f t="shared" si="1"/>
        <v>609.94285714285718</v>
      </c>
      <c r="H36" s="106">
        <f t="shared" si="2"/>
        <v>457.45714285714286</v>
      </c>
      <c r="I36" s="134">
        <f t="shared" si="3"/>
        <v>762.42857142857144</v>
      </c>
      <c r="J36" s="135">
        <f t="shared" si="4"/>
        <v>762.42857142857144</v>
      </c>
      <c r="K36" s="106">
        <f t="shared" si="5"/>
        <v>14.324999999999999</v>
      </c>
      <c r="L36" s="65" t="s">
        <v>254</v>
      </c>
    </row>
    <row r="37" spans="1:12" ht="14">
      <c r="A37" s="59">
        <v>36</v>
      </c>
      <c r="B37" s="59" t="s">
        <v>425</v>
      </c>
      <c r="C37" s="70" t="s">
        <v>249</v>
      </c>
      <c r="D37" s="66" t="s">
        <v>313</v>
      </c>
      <c r="E37" s="75">
        <v>28000</v>
      </c>
      <c r="F37" s="68">
        <f t="shared" si="0"/>
        <v>160.4</v>
      </c>
      <c r="G37" s="133">
        <f t="shared" si="1"/>
        <v>320.8</v>
      </c>
      <c r="H37" s="106">
        <f t="shared" si="2"/>
        <v>240.6</v>
      </c>
      <c r="I37" s="134">
        <f t="shared" si="3"/>
        <v>401</v>
      </c>
      <c r="J37" s="135">
        <f t="shared" si="4"/>
        <v>401</v>
      </c>
      <c r="K37" s="106">
        <f t="shared" si="5"/>
        <v>8</v>
      </c>
      <c r="L37" s="65" t="s">
        <v>254</v>
      </c>
    </row>
    <row r="38" spans="1:12" ht="14">
      <c r="A38" s="59">
        <v>37</v>
      </c>
      <c r="B38" s="59" t="s">
        <v>425</v>
      </c>
      <c r="C38" s="70" t="s">
        <v>249</v>
      </c>
      <c r="D38" s="66" t="s">
        <v>279</v>
      </c>
      <c r="E38" s="75">
        <v>21000</v>
      </c>
      <c r="F38" s="68">
        <f t="shared" si="0"/>
        <v>120.4</v>
      </c>
      <c r="G38" s="133">
        <f t="shared" si="1"/>
        <v>240.8</v>
      </c>
      <c r="H38" s="106">
        <f t="shared" si="2"/>
        <v>180.6</v>
      </c>
      <c r="I38" s="134">
        <f t="shared" si="3"/>
        <v>301</v>
      </c>
      <c r="J38" s="135">
        <f t="shared" si="4"/>
        <v>301</v>
      </c>
      <c r="K38" s="106">
        <f t="shared" si="5"/>
        <v>6.25</v>
      </c>
      <c r="L38" s="65" t="s">
        <v>254</v>
      </c>
    </row>
    <row r="39" spans="1:12" ht="14">
      <c r="A39" s="59">
        <v>38</v>
      </c>
      <c r="B39" s="59" t="s">
        <v>425</v>
      </c>
      <c r="C39" s="70" t="s">
        <v>249</v>
      </c>
      <c r="D39" s="91" t="s">
        <v>314</v>
      </c>
      <c r="E39" s="62">
        <v>12700</v>
      </c>
      <c r="F39" s="68">
        <f t="shared" si="0"/>
        <v>72.971428571428575</v>
      </c>
      <c r="G39" s="133">
        <f t="shared" si="1"/>
        <v>145.94285714285715</v>
      </c>
      <c r="H39" s="106">
        <f t="shared" si="2"/>
        <v>109.45714285714284</v>
      </c>
      <c r="I39" s="134">
        <f t="shared" si="3"/>
        <v>182.42857142857142</v>
      </c>
      <c r="J39" s="135">
        <f t="shared" si="4"/>
        <v>182.42857142857142</v>
      </c>
      <c r="K39" s="106">
        <f t="shared" si="5"/>
        <v>4.1749999999999998</v>
      </c>
      <c r="L39" s="65" t="s">
        <v>254</v>
      </c>
    </row>
    <row r="40" spans="1:12" ht="14">
      <c r="A40" s="59">
        <v>39</v>
      </c>
      <c r="B40" s="59" t="s">
        <v>425</v>
      </c>
      <c r="C40" s="70" t="s">
        <v>249</v>
      </c>
      <c r="D40" s="91" t="s">
        <v>282</v>
      </c>
      <c r="E40" s="75">
        <v>26000</v>
      </c>
      <c r="F40" s="68">
        <f t="shared" si="0"/>
        <v>148.97142857142859</v>
      </c>
      <c r="G40" s="133">
        <f t="shared" si="1"/>
        <v>297.94285714285718</v>
      </c>
      <c r="H40" s="106">
        <f t="shared" si="2"/>
        <v>223.45714285714286</v>
      </c>
      <c r="I40" s="134">
        <f t="shared" si="3"/>
        <v>372.42857142857144</v>
      </c>
      <c r="J40" s="135">
        <f t="shared" si="4"/>
        <v>372.42857142857144</v>
      </c>
      <c r="K40" s="106">
        <f t="shared" si="5"/>
        <v>7.5</v>
      </c>
      <c r="L40" s="65" t="s">
        <v>254</v>
      </c>
    </row>
    <row r="41" spans="1:12" ht="14">
      <c r="A41" s="59">
        <v>40</v>
      </c>
      <c r="B41" s="59" t="s">
        <v>425</v>
      </c>
      <c r="C41" s="70" t="s">
        <v>249</v>
      </c>
      <c r="D41" s="93" t="s">
        <v>284</v>
      </c>
      <c r="E41" s="75">
        <v>26000</v>
      </c>
      <c r="F41" s="68">
        <f t="shared" si="0"/>
        <v>148.97142857142859</v>
      </c>
      <c r="G41" s="133">
        <f t="shared" si="1"/>
        <v>297.94285714285718</v>
      </c>
      <c r="H41" s="106">
        <f t="shared" si="2"/>
        <v>223.45714285714286</v>
      </c>
      <c r="I41" s="134">
        <f t="shared" si="3"/>
        <v>372.42857142857144</v>
      </c>
      <c r="J41" s="135">
        <f t="shared" si="4"/>
        <v>372.42857142857144</v>
      </c>
      <c r="K41" s="106">
        <f t="shared" si="5"/>
        <v>7.5</v>
      </c>
      <c r="L41" s="65" t="s">
        <v>254</v>
      </c>
    </row>
    <row r="42" spans="1:12" ht="14">
      <c r="A42" s="59">
        <v>41</v>
      </c>
      <c r="B42" s="59" t="s">
        <v>425</v>
      </c>
      <c r="C42" s="70" t="s">
        <v>249</v>
      </c>
      <c r="D42" s="94" t="s">
        <v>316</v>
      </c>
      <c r="E42" s="75">
        <v>26500</v>
      </c>
      <c r="F42" s="68">
        <f t="shared" si="0"/>
        <v>151.82857142857142</v>
      </c>
      <c r="G42" s="133">
        <f t="shared" si="1"/>
        <v>303.65714285714284</v>
      </c>
      <c r="H42" s="106">
        <f t="shared" si="2"/>
        <v>227.74285714285713</v>
      </c>
      <c r="I42" s="134">
        <f t="shared" si="3"/>
        <v>379.57142857142856</v>
      </c>
      <c r="J42" s="135">
        <f t="shared" si="4"/>
        <v>379.57142857142856</v>
      </c>
      <c r="K42" s="106">
        <f t="shared" si="5"/>
        <v>7.625</v>
      </c>
      <c r="L42" s="65" t="s">
        <v>426</v>
      </c>
    </row>
    <row r="43" spans="1:12" ht="14">
      <c r="A43" s="59">
        <v>42</v>
      </c>
      <c r="B43" s="59" t="s">
        <v>425</v>
      </c>
      <c r="C43" s="70" t="s">
        <v>249</v>
      </c>
      <c r="D43" s="94" t="s">
        <v>329</v>
      </c>
      <c r="E43" s="75">
        <v>17000</v>
      </c>
      <c r="F43" s="68">
        <f t="shared" si="0"/>
        <v>97.542857142857144</v>
      </c>
      <c r="G43" s="133">
        <f t="shared" si="1"/>
        <v>195.08571428571429</v>
      </c>
      <c r="H43" s="106">
        <f t="shared" si="2"/>
        <v>146.31428571428572</v>
      </c>
      <c r="I43" s="134">
        <f t="shared" si="3"/>
        <v>243.85714285714286</v>
      </c>
      <c r="J43" s="135">
        <f t="shared" si="4"/>
        <v>243.85714285714286</v>
      </c>
      <c r="K43" s="106">
        <f t="shared" si="5"/>
        <v>5.25</v>
      </c>
      <c r="L43" s="65" t="s">
        <v>426</v>
      </c>
    </row>
    <row r="44" spans="1:12" ht="14">
      <c r="A44" s="59">
        <v>43</v>
      </c>
      <c r="B44" s="59" t="s">
        <v>425</v>
      </c>
      <c r="C44" s="70" t="s">
        <v>249</v>
      </c>
      <c r="D44" s="94" t="s">
        <v>373</v>
      </c>
      <c r="E44" s="75">
        <v>4000</v>
      </c>
      <c r="F44" s="68">
        <f t="shared" si="0"/>
        <v>23.25714285714286</v>
      </c>
      <c r="G44" s="133">
        <f t="shared" si="1"/>
        <v>46.51428571428572</v>
      </c>
      <c r="H44" s="106">
        <f t="shared" si="2"/>
        <v>34.885714285714286</v>
      </c>
      <c r="I44" s="134">
        <f t="shared" si="3"/>
        <v>58.142857142857146</v>
      </c>
      <c r="J44" s="135">
        <f t="shared" si="4"/>
        <v>58.142857142857146</v>
      </c>
      <c r="K44" s="106">
        <f t="shared" si="5"/>
        <v>2</v>
      </c>
      <c r="L44" s="65" t="s">
        <v>254</v>
      </c>
    </row>
    <row r="45" spans="1:12" ht="14">
      <c r="A45" s="59">
        <v>44</v>
      </c>
      <c r="B45" s="59" t="s">
        <v>425</v>
      </c>
      <c r="C45" s="70" t="s">
        <v>249</v>
      </c>
      <c r="D45" s="66" t="s">
        <v>318</v>
      </c>
      <c r="E45" s="75">
        <v>22000</v>
      </c>
      <c r="F45" s="68">
        <f t="shared" si="0"/>
        <v>126.11428571428571</v>
      </c>
      <c r="G45" s="133">
        <f t="shared" si="1"/>
        <v>252.22857142857143</v>
      </c>
      <c r="H45" s="106">
        <f t="shared" si="2"/>
        <v>189.17142857142855</v>
      </c>
      <c r="I45" s="134">
        <f t="shared" si="3"/>
        <v>315.28571428571428</v>
      </c>
      <c r="J45" s="135">
        <f t="shared" si="4"/>
        <v>315.28571428571428</v>
      </c>
      <c r="K45" s="106">
        <f t="shared" si="5"/>
        <v>6.5</v>
      </c>
      <c r="L45" s="65" t="s">
        <v>254</v>
      </c>
    </row>
    <row r="46" spans="1:12" ht="14">
      <c r="A46" s="59">
        <v>45</v>
      </c>
      <c r="B46" s="59" t="s">
        <v>425</v>
      </c>
      <c r="C46" s="70" t="s">
        <v>249</v>
      </c>
      <c r="D46" s="66" t="s">
        <v>285</v>
      </c>
      <c r="E46" s="75">
        <v>0</v>
      </c>
      <c r="F46" s="68">
        <f t="shared" si="0"/>
        <v>0.4</v>
      </c>
      <c r="G46" s="133">
        <f t="shared" si="1"/>
        <v>0.8</v>
      </c>
      <c r="H46" s="106">
        <f t="shared" si="2"/>
        <v>0.6</v>
      </c>
      <c r="I46" s="134">
        <f t="shared" si="3"/>
        <v>1</v>
      </c>
      <c r="J46" s="135">
        <f t="shared" si="4"/>
        <v>1</v>
      </c>
      <c r="K46" s="106">
        <f t="shared" si="5"/>
        <v>1</v>
      </c>
      <c r="L46" s="65" t="s">
        <v>254</v>
      </c>
    </row>
    <row r="47" spans="1:12" ht="14">
      <c r="A47" s="59">
        <v>46</v>
      </c>
      <c r="B47" s="59" t="s">
        <v>425</v>
      </c>
      <c r="C47" s="70" t="s">
        <v>249</v>
      </c>
      <c r="D47" s="66" t="s">
        <v>287</v>
      </c>
      <c r="E47" s="75">
        <v>8100</v>
      </c>
      <c r="F47" s="68">
        <f t="shared" si="0"/>
        <v>46.685714285714283</v>
      </c>
      <c r="G47" s="133">
        <f t="shared" si="1"/>
        <v>93.371428571428567</v>
      </c>
      <c r="H47" s="106">
        <f t="shared" si="2"/>
        <v>70.028571428571425</v>
      </c>
      <c r="I47" s="134">
        <f t="shared" si="3"/>
        <v>116.71428571428571</v>
      </c>
      <c r="J47" s="135">
        <f t="shared" si="4"/>
        <v>116.71428571428571</v>
      </c>
      <c r="K47" s="106">
        <f t="shared" si="5"/>
        <v>3.0249999999999999</v>
      </c>
      <c r="L47" s="65" t="s">
        <v>254</v>
      </c>
    </row>
    <row r="48" spans="1:12" ht="14">
      <c r="A48" s="59">
        <v>47</v>
      </c>
      <c r="B48" s="59" t="s">
        <v>425</v>
      </c>
      <c r="C48" s="70" t="s">
        <v>249</v>
      </c>
      <c r="D48" s="66" t="s">
        <v>330</v>
      </c>
      <c r="E48" s="62">
        <v>3000</v>
      </c>
      <c r="F48" s="68">
        <f t="shared" si="0"/>
        <v>17.542857142857141</v>
      </c>
      <c r="G48" s="133">
        <f t="shared" si="1"/>
        <v>35.085714285714282</v>
      </c>
      <c r="H48" s="106">
        <f t="shared" si="2"/>
        <v>26.314285714285713</v>
      </c>
      <c r="I48" s="134">
        <f t="shared" si="3"/>
        <v>43.857142857142854</v>
      </c>
      <c r="J48" s="135">
        <f t="shared" si="4"/>
        <v>43.857142857142854</v>
      </c>
      <c r="K48" s="106">
        <f t="shared" si="5"/>
        <v>1.75</v>
      </c>
      <c r="L48" s="65" t="s">
        <v>254</v>
      </c>
    </row>
    <row r="49" spans="1:12" ht="14">
      <c r="A49" s="59">
        <v>48</v>
      </c>
      <c r="B49" s="59" t="s">
        <v>425</v>
      </c>
      <c r="C49" s="70" t="s">
        <v>249</v>
      </c>
      <c r="D49" s="66" t="s">
        <v>269</v>
      </c>
      <c r="E49" s="62">
        <v>2800</v>
      </c>
      <c r="F49" s="68">
        <f t="shared" ref="F49:F68" si="18">(((E49/70)+1)*0.4)</f>
        <v>16.400000000000002</v>
      </c>
      <c r="G49" s="133">
        <f t="shared" ref="G49:G68" si="19">2*F49</f>
        <v>32.800000000000004</v>
      </c>
      <c r="H49" s="106">
        <f t="shared" ref="H49:H68" si="20">(((E49/70)+1)*0.6)</f>
        <v>24.599999999999998</v>
      </c>
      <c r="I49" s="134">
        <f t="shared" ref="I49:I68" si="21">H49+F49</f>
        <v>41</v>
      </c>
      <c r="J49" s="135">
        <f t="shared" ref="J49:J68" si="22">I49</f>
        <v>41</v>
      </c>
      <c r="K49" s="106">
        <f t="shared" ref="K49:K68" si="23">(E49/4000)+1</f>
        <v>1.7</v>
      </c>
      <c r="L49" s="65" t="s">
        <v>254</v>
      </c>
    </row>
    <row r="50" spans="1:12" ht="14">
      <c r="A50" s="59">
        <v>49</v>
      </c>
      <c r="B50" s="59" t="s">
        <v>427</v>
      </c>
      <c r="C50" s="70" t="s">
        <v>249</v>
      </c>
      <c r="D50" s="66" t="s">
        <v>258</v>
      </c>
      <c r="E50" s="96">
        <v>27000</v>
      </c>
      <c r="F50" s="68">
        <f t="shared" si="18"/>
        <v>154.68571428571431</v>
      </c>
      <c r="G50" s="133">
        <f t="shared" si="19"/>
        <v>309.37142857142862</v>
      </c>
      <c r="H50" s="106">
        <f t="shared" si="20"/>
        <v>232.02857142857141</v>
      </c>
      <c r="I50" s="134">
        <f t="shared" si="21"/>
        <v>386.71428571428572</v>
      </c>
      <c r="J50" s="135">
        <f t="shared" si="22"/>
        <v>386.71428571428572</v>
      </c>
      <c r="K50" s="106">
        <f t="shared" si="23"/>
        <v>7.75</v>
      </c>
      <c r="L50" s="65" t="s">
        <v>254</v>
      </c>
    </row>
    <row r="51" spans="1:12" ht="14">
      <c r="A51" s="59">
        <v>50</v>
      </c>
      <c r="B51" s="59" t="s">
        <v>427</v>
      </c>
      <c r="C51" s="70" t="s">
        <v>249</v>
      </c>
      <c r="D51" s="97" t="s">
        <v>333</v>
      </c>
      <c r="E51" s="62">
        <v>30000</v>
      </c>
      <c r="F51" s="68">
        <f t="shared" si="18"/>
        <v>171.82857142857142</v>
      </c>
      <c r="G51" s="133">
        <f t="shared" si="19"/>
        <v>343.65714285714284</v>
      </c>
      <c r="H51" s="106">
        <f t="shared" si="20"/>
        <v>257.74285714285713</v>
      </c>
      <c r="I51" s="134">
        <f t="shared" si="21"/>
        <v>429.57142857142856</v>
      </c>
      <c r="J51" s="135">
        <f t="shared" si="22"/>
        <v>429.57142857142856</v>
      </c>
      <c r="K51" s="106">
        <f t="shared" si="23"/>
        <v>8.5</v>
      </c>
      <c r="L51" s="65" t="s">
        <v>254</v>
      </c>
    </row>
    <row r="52" spans="1:12" ht="14">
      <c r="A52" s="59">
        <v>51</v>
      </c>
      <c r="B52" s="59" t="s">
        <v>427</v>
      </c>
      <c r="C52" s="70" t="s">
        <v>249</v>
      </c>
      <c r="D52" s="77" t="s">
        <v>335</v>
      </c>
      <c r="E52" s="62">
        <v>55000</v>
      </c>
      <c r="F52" s="68">
        <f t="shared" si="18"/>
        <v>314.68571428571431</v>
      </c>
      <c r="G52" s="133">
        <f t="shared" si="19"/>
        <v>629.37142857142862</v>
      </c>
      <c r="H52" s="106">
        <f t="shared" si="20"/>
        <v>472.02857142857135</v>
      </c>
      <c r="I52" s="134">
        <f t="shared" si="21"/>
        <v>786.71428571428567</v>
      </c>
      <c r="J52" s="135">
        <f t="shared" si="22"/>
        <v>786.71428571428567</v>
      </c>
      <c r="K52" s="106">
        <f t="shared" si="23"/>
        <v>14.75</v>
      </c>
      <c r="L52" s="65" t="s">
        <v>254</v>
      </c>
    </row>
    <row r="53" spans="1:12" ht="14">
      <c r="A53" s="59">
        <v>52</v>
      </c>
      <c r="B53" s="59" t="s">
        <v>427</v>
      </c>
      <c r="C53" s="70" t="s">
        <v>249</v>
      </c>
      <c r="D53" s="98" t="s">
        <v>375</v>
      </c>
      <c r="E53" s="62">
        <v>71000</v>
      </c>
      <c r="F53" s="68">
        <f t="shared" si="18"/>
        <v>406.11428571428576</v>
      </c>
      <c r="G53" s="133">
        <f t="shared" si="19"/>
        <v>812.22857142857151</v>
      </c>
      <c r="H53" s="106">
        <f t="shared" si="20"/>
        <v>609.17142857142858</v>
      </c>
      <c r="I53" s="134">
        <f t="shared" si="21"/>
        <v>1015.2857142857143</v>
      </c>
      <c r="J53" s="135">
        <f t="shared" si="22"/>
        <v>1015.2857142857143</v>
      </c>
      <c r="K53" s="106">
        <f t="shared" si="23"/>
        <v>18.75</v>
      </c>
      <c r="L53" s="65" t="s">
        <v>254</v>
      </c>
    </row>
    <row r="54" spans="1:12" ht="14">
      <c r="A54" s="59">
        <v>53</v>
      </c>
      <c r="B54" s="59" t="s">
        <v>427</v>
      </c>
      <c r="C54" s="70" t="s">
        <v>249</v>
      </c>
      <c r="D54" s="98" t="s">
        <v>377</v>
      </c>
      <c r="E54" s="62">
        <v>44406</v>
      </c>
      <c r="F54" s="68">
        <f t="shared" si="18"/>
        <v>254.14857142857147</v>
      </c>
      <c r="G54" s="133">
        <f t="shared" si="19"/>
        <v>508.29714285714294</v>
      </c>
      <c r="H54" s="106">
        <f t="shared" si="20"/>
        <v>381.22285714285715</v>
      </c>
      <c r="I54" s="134">
        <f t="shared" si="21"/>
        <v>635.37142857142862</v>
      </c>
      <c r="J54" s="135">
        <f t="shared" si="22"/>
        <v>635.37142857142862</v>
      </c>
      <c r="K54" s="106">
        <f t="shared" si="23"/>
        <v>12.1015</v>
      </c>
      <c r="L54" s="65" t="s">
        <v>254</v>
      </c>
    </row>
    <row r="55" spans="1:12" ht="14">
      <c r="A55" s="59">
        <v>54</v>
      </c>
      <c r="B55" s="59" t="s">
        <v>427</v>
      </c>
      <c r="C55" s="70" t="s">
        <v>249</v>
      </c>
      <c r="D55" s="60" t="s">
        <v>320</v>
      </c>
      <c r="E55" s="62">
        <v>72529.8</v>
      </c>
      <c r="F55" s="68">
        <f t="shared" si="18"/>
        <v>414.85600000000005</v>
      </c>
      <c r="G55" s="133">
        <f t="shared" si="19"/>
        <v>829.7120000000001</v>
      </c>
      <c r="H55" s="106">
        <f t="shared" si="20"/>
        <v>622.28399999999999</v>
      </c>
      <c r="I55" s="134">
        <f t="shared" si="21"/>
        <v>1037.1400000000001</v>
      </c>
      <c r="J55" s="135">
        <f t="shared" si="22"/>
        <v>1037.1400000000001</v>
      </c>
      <c r="K55" s="106">
        <f t="shared" si="23"/>
        <v>19.132450000000002</v>
      </c>
      <c r="L55" s="65" t="s">
        <v>254</v>
      </c>
    </row>
    <row r="56" spans="1:12" ht="14">
      <c r="A56" s="59">
        <v>55</v>
      </c>
      <c r="B56" s="59" t="s">
        <v>49</v>
      </c>
      <c r="C56" s="70" t="s">
        <v>249</v>
      </c>
      <c r="D56" s="97" t="s">
        <v>338</v>
      </c>
      <c r="E56" s="62">
        <v>82000</v>
      </c>
      <c r="F56" s="68">
        <f t="shared" si="18"/>
        <v>468.97142857142853</v>
      </c>
      <c r="G56" s="133">
        <f t="shared" si="19"/>
        <v>937.94285714285706</v>
      </c>
      <c r="H56" s="106">
        <f t="shared" si="20"/>
        <v>703.4571428571428</v>
      </c>
      <c r="I56" s="134">
        <f t="shared" si="21"/>
        <v>1172.4285714285713</v>
      </c>
      <c r="J56" s="135">
        <f t="shared" si="22"/>
        <v>1172.4285714285713</v>
      </c>
      <c r="K56" s="106">
        <f t="shared" si="23"/>
        <v>21.5</v>
      </c>
      <c r="L56" s="65" t="s">
        <v>254</v>
      </c>
    </row>
    <row r="57" spans="1:12" ht="14">
      <c r="A57" s="59">
        <v>56</v>
      </c>
      <c r="B57" s="19" t="s">
        <v>55</v>
      </c>
      <c r="C57" s="70" t="s">
        <v>249</v>
      </c>
      <c r="D57" s="99" t="s">
        <v>341</v>
      </c>
      <c r="E57" s="101">
        <v>69000</v>
      </c>
      <c r="F57" s="68">
        <f t="shared" si="18"/>
        <v>394.68571428571431</v>
      </c>
      <c r="G57" s="133">
        <f t="shared" si="19"/>
        <v>789.37142857142862</v>
      </c>
      <c r="H57" s="106">
        <f t="shared" si="20"/>
        <v>592.02857142857135</v>
      </c>
      <c r="I57" s="134">
        <f t="shared" si="21"/>
        <v>986.71428571428567</v>
      </c>
      <c r="J57" s="135">
        <f t="shared" si="22"/>
        <v>986.71428571428567</v>
      </c>
      <c r="K57" s="106">
        <f t="shared" si="23"/>
        <v>18.25</v>
      </c>
      <c r="L57" s="65" t="s">
        <v>254</v>
      </c>
    </row>
    <row r="58" spans="1:12" ht="14">
      <c r="A58" s="59">
        <v>57</v>
      </c>
      <c r="B58" s="19" t="s">
        <v>55</v>
      </c>
      <c r="C58" s="70" t="s">
        <v>249</v>
      </c>
      <c r="D58" s="99" t="s">
        <v>342</v>
      </c>
      <c r="E58" s="103">
        <v>70000</v>
      </c>
      <c r="F58" s="68">
        <f t="shared" si="18"/>
        <v>400.40000000000003</v>
      </c>
      <c r="G58" s="133">
        <f t="shared" si="19"/>
        <v>800.80000000000007</v>
      </c>
      <c r="H58" s="106">
        <f t="shared" si="20"/>
        <v>600.6</v>
      </c>
      <c r="I58" s="134">
        <f t="shared" si="21"/>
        <v>1001</v>
      </c>
      <c r="J58" s="135">
        <f t="shared" si="22"/>
        <v>1001</v>
      </c>
      <c r="K58" s="106">
        <f t="shared" si="23"/>
        <v>18.5</v>
      </c>
      <c r="L58" s="65" t="s">
        <v>254</v>
      </c>
    </row>
    <row r="59" spans="1:12" ht="14">
      <c r="A59" s="59">
        <v>58</v>
      </c>
      <c r="B59" s="19" t="s">
        <v>55</v>
      </c>
      <c r="C59" s="70" t="s">
        <v>249</v>
      </c>
      <c r="D59" s="72" t="s">
        <v>344</v>
      </c>
      <c r="E59" s="62">
        <v>50000</v>
      </c>
      <c r="F59" s="68">
        <f t="shared" si="18"/>
        <v>286.11428571428576</v>
      </c>
      <c r="G59" s="133">
        <f t="shared" si="19"/>
        <v>572.22857142857151</v>
      </c>
      <c r="H59" s="106">
        <f t="shared" si="20"/>
        <v>429.17142857142858</v>
      </c>
      <c r="I59" s="134">
        <f t="shared" si="21"/>
        <v>715.28571428571433</v>
      </c>
      <c r="J59" s="135">
        <f t="shared" si="22"/>
        <v>715.28571428571433</v>
      </c>
      <c r="K59" s="106">
        <f t="shared" si="23"/>
        <v>13.5</v>
      </c>
      <c r="L59" s="65" t="s">
        <v>254</v>
      </c>
    </row>
    <row r="60" spans="1:12" ht="14">
      <c r="A60" s="59">
        <v>59</v>
      </c>
      <c r="B60" s="19" t="s">
        <v>55</v>
      </c>
      <c r="C60" s="70" t="s">
        <v>249</v>
      </c>
      <c r="D60" s="60" t="s">
        <v>346</v>
      </c>
      <c r="E60" s="62">
        <v>85000</v>
      </c>
      <c r="F60" s="68">
        <f t="shared" si="18"/>
        <v>486.1142857142857</v>
      </c>
      <c r="G60" s="133">
        <f t="shared" si="19"/>
        <v>972.2285714285714</v>
      </c>
      <c r="H60" s="106">
        <f t="shared" si="20"/>
        <v>729.17142857142846</v>
      </c>
      <c r="I60" s="134">
        <f t="shared" si="21"/>
        <v>1215.2857142857142</v>
      </c>
      <c r="J60" s="135">
        <f t="shared" si="22"/>
        <v>1215.2857142857142</v>
      </c>
      <c r="K60" s="106">
        <f t="shared" si="23"/>
        <v>22.25</v>
      </c>
      <c r="L60" s="65" t="s">
        <v>254</v>
      </c>
    </row>
    <row r="61" spans="1:12" ht="14">
      <c r="A61" s="59">
        <v>60</v>
      </c>
      <c r="B61" s="19" t="s">
        <v>56</v>
      </c>
      <c r="C61" s="70" t="s">
        <v>249</v>
      </c>
      <c r="D61" s="60" t="s">
        <v>378</v>
      </c>
      <c r="E61" s="62">
        <v>71000</v>
      </c>
      <c r="F61" s="68">
        <f t="shared" si="18"/>
        <v>406.11428571428576</v>
      </c>
      <c r="G61" s="133">
        <f t="shared" si="19"/>
        <v>812.22857142857151</v>
      </c>
      <c r="H61" s="106">
        <f t="shared" si="20"/>
        <v>609.17142857142858</v>
      </c>
      <c r="I61" s="134">
        <f t="shared" si="21"/>
        <v>1015.2857142857143</v>
      </c>
      <c r="J61" s="135">
        <f t="shared" si="22"/>
        <v>1015.2857142857143</v>
      </c>
      <c r="K61" s="106">
        <f t="shared" si="23"/>
        <v>18.75</v>
      </c>
      <c r="L61" s="65" t="s">
        <v>254</v>
      </c>
    </row>
    <row r="62" spans="1:12" ht="14">
      <c r="A62" s="59">
        <v>61</v>
      </c>
      <c r="B62" s="19" t="s">
        <v>56</v>
      </c>
      <c r="C62" s="70" t="s">
        <v>249</v>
      </c>
      <c r="D62" s="60" t="s">
        <v>380</v>
      </c>
      <c r="E62" s="62">
        <v>76000</v>
      </c>
      <c r="F62" s="68">
        <f t="shared" si="18"/>
        <v>434.68571428571431</v>
      </c>
      <c r="G62" s="133">
        <f t="shared" si="19"/>
        <v>869.37142857142862</v>
      </c>
      <c r="H62" s="106">
        <f t="shared" si="20"/>
        <v>652.02857142857147</v>
      </c>
      <c r="I62" s="134">
        <f t="shared" si="21"/>
        <v>1086.7142857142858</v>
      </c>
      <c r="J62" s="135">
        <f t="shared" si="22"/>
        <v>1086.7142857142858</v>
      </c>
      <c r="K62" s="106">
        <f t="shared" si="23"/>
        <v>20</v>
      </c>
      <c r="L62" s="65" t="s">
        <v>254</v>
      </c>
    </row>
    <row r="63" spans="1:12" ht="14">
      <c r="A63" s="59">
        <v>62</v>
      </c>
      <c r="B63" s="19" t="s">
        <v>55</v>
      </c>
      <c r="C63" s="70" t="s">
        <v>249</v>
      </c>
      <c r="D63" s="60" t="s">
        <v>382</v>
      </c>
      <c r="E63" s="62">
        <v>55000</v>
      </c>
      <c r="F63" s="68">
        <f t="shared" si="18"/>
        <v>314.68571428571431</v>
      </c>
      <c r="G63" s="133">
        <f t="shared" si="19"/>
        <v>629.37142857142862</v>
      </c>
      <c r="H63" s="106">
        <f t="shared" si="20"/>
        <v>472.02857142857135</v>
      </c>
      <c r="I63" s="134">
        <f t="shared" si="21"/>
        <v>786.71428571428567</v>
      </c>
      <c r="J63" s="135">
        <f t="shared" si="22"/>
        <v>786.71428571428567</v>
      </c>
      <c r="K63" s="106">
        <f t="shared" si="23"/>
        <v>14.75</v>
      </c>
      <c r="L63" s="65" t="s">
        <v>254</v>
      </c>
    </row>
    <row r="64" spans="1:12" ht="14">
      <c r="A64" s="59">
        <v>63</v>
      </c>
      <c r="B64" s="19" t="s">
        <v>55</v>
      </c>
      <c r="C64" s="70" t="s">
        <v>249</v>
      </c>
      <c r="D64" s="60" t="s">
        <v>385</v>
      </c>
      <c r="E64" s="96">
        <v>72000</v>
      </c>
      <c r="F64" s="68">
        <f t="shared" si="18"/>
        <v>411.82857142857148</v>
      </c>
      <c r="G64" s="133">
        <f t="shared" si="19"/>
        <v>823.65714285714296</v>
      </c>
      <c r="H64" s="106">
        <f t="shared" si="20"/>
        <v>617.74285714285713</v>
      </c>
      <c r="I64" s="134">
        <f t="shared" si="21"/>
        <v>1029.5714285714287</v>
      </c>
      <c r="J64" s="135">
        <f t="shared" si="22"/>
        <v>1029.5714285714287</v>
      </c>
      <c r="K64" s="106">
        <f t="shared" si="23"/>
        <v>19</v>
      </c>
      <c r="L64" s="65" t="s">
        <v>254</v>
      </c>
    </row>
    <row r="65" spans="1:12" ht="14">
      <c r="A65" s="59">
        <v>64</v>
      </c>
      <c r="B65" s="59" t="s">
        <v>428</v>
      </c>
      <c r="C65" s="59" t="s">
        <v>11</v>
      </c>
      <c r="D65" s="60" t="s">
        <v>387</v>
      </c>
      <c r="E65" s="96">
        <v>69000</v>
      </c>
      <c r="F65" s="68">
        <f t="shared" si="18"/>
        <v>394.68571428571431</v>
      </c>
      <c r="G65" s="133">
        <f t="shared" si="19"/>
        <v>789.37142857142862</v>
      </c>
      <c r="H65" s="106">
        <f t="shared" si="20"/>
        <v>592.02857142857135</v>
      </c>
      <c r="I65" s="134">
        <f t="shared" si="21"/>
        <v>986.71428571428567</v>
      </c>
      <c r="J65" s="135">
        <f t="shared" si="22"/>
        <v>986.71428571428567</v>
      </c>
      <c r="K65" s="106">
        <f t="shared" si="23"/>
        <v>18.25</v>
      </c>
      <c r="L65" s="65" t="s">
        <v>254</v>
      </c>
    </row>
    <row r="66" spans="1:12" ht="14">
      <c r="A66" s="59">
        <v>65</v>
      </c>
      <c r="B66" s="59" t="s">
        <v>428</v>
      </c>
      <c r="C66" s="59" t="s">
        <v>11</v>
      </c>
      <c r="D66" s="105" t="s">
        <v>389</v>
      </c>
      <c r="E66" s="106">
        <v>80000</v>
      </c>
      <c r="F66" s="68">
        <f t="shared" si="18"/>
        <v>457.5428571428572</v>
      </c>
      <c r="G66" s="133">
        <f t="shared" si="19"/>
        <v>915.0857142857144</v>
      </c>
      <c r="H66" s="106">
        <f t="shared" si="20"/>
        <v>686.31428571428569</v>
      </c>
      <c r="I66" s="134">
        <f t="shared" si="21"/>
        <v>1143.8571428571429</v>
      </c>
      <c r="J66" s="135">
        <f t="shared" si="22"/>
        <v>1143.8571428571429</v>
      </c>
      <c r="K66" s="106">
        <f t="shared" si="23"/>
        <v>21</v>
      </c>
      <c r="L66" s="65" t="s">
        <v>254</v>
      </c>
    </row>
    <row r="67" spans="1:12" ht="14">
      <c r="A67" s="59">
        <v>66</v>
      </c>
      <c r="B67" s="59" t="s">
        <v>428</v>
      </c>
      <c r="C67" s="59" t="s">
        <v>11</v>
      </c>
      <c r="D67" s="107" t="s">
        <v>391</v>
      </c>
      <c r="E67" s="108">
        <v>58000</v>
      </c>
      <c r="F67" s="68">
        <f t="shared" si="18"/>
        <v>331.82857142857142</v>
      </c>
      <c r="G67" s="133">
        <f t="shared" si="19"/>
        <v>663.65714285714284</v>
      </c>
      <c r="H67" s="106">
        <f t="shared" si="20"/>
        <v>497.74285714285713</v>
      </c>
      <c r="I67" s="134">
        <f t="shared" si="21"/>
        <v>829.57142857142856</v>
      </c>
      <c r="J67" s="135">
        <f t="shared" si="22"/>
        <v>829.57142857142856</v>
      </c>
      <c r="K67" s="106">
        <f t="shared" si="23"/>
        <v>15.5</v>
      </c>
      <c r="L67" s="65" t="s">
        <v>254</v>
      </c>
    </row>
    <row r="68" spans="1:12" ht="14">
      <c r="A68" s="59">
        <v>67</v>
      </c>
      <c r="B68" s="110" t="s">
        <v>429</v>
      </c>
      <c r="C68" s="110" t="s">
        <v>11</v>
      </c>
      <c r="D68" s="107" t="s">
        <v>393</v>
      </c>
      <c r="E68" s="108">
        <v>61000</v>
      </c>
      <c r="F68" s="68">
        <f t="shared" si="18"/>
        <v>348.97142857142859</v>
      </c>
      <c r="G68" s="133">
        <f t="shared" si="19"/>
        <v>697.94285714285718</v>
      </c>
      <c r="H68" s="106">
        <f t="shared" si="20"/>
        <v>523.4571428571428</v>
      </c>
      <c r="I68" s="134">
        <f t="shared" si="21"/>
        <v>872.42857142857133</v>
      </c>
      <c r="J68" s="135">
        <f t="shared" si="22"/>
        <v>872.42857142857133</v>
      </c>
      <c r="K68" s="106">
        <f t="shared" si="23"/>
        <v>16.25</v>
      </c>
      <c r="L68" s="65" t="s">
        <v>254</v>
      </c>
    </row>
    <row r="69" spans="1:12" ht="14">
      <c r="A69" s="59">
        <v>68</v>
      </c>
      <c r="B69" s="110" t="s">
        <v>429</v>
      </c>
      <c r="C69" s="110" t="s">
        <v>11</v>
      </c>
      <c r="D69" s="107" t="s">
        <v>395</v>
      </c>
      <c r="E69" s="108">
        <v>63000</v>
      </c>
      <c r="F69" s="68">
        <f t="shared" ref="F69:F71" si="24">(((E69/70)+1)*0.4)</f>
        <v>360.40000000000003</v>
      </c>
      <c r="G69" s="133">
        <f t="shared" ref="G69:G71" si="25">2*F69</f>
        <v>720.80000000000007</v>
      </c>
      <c r="H69" s="106">
        <f t="shared" ref="H69:H71" si="26">(((E69/70)+1)*0.6)</f>
        <v>540.6</v>
      </c>
      <c r="I69" s="134">
        <f t="shared" ref="I69:I71" si="27">H69+F69</f>
        <v>901</v>
      </c>
      <c r="J69" s="135">
        <f t="shared" ref="J69:J71" si="28">I69</f>
        <v>901</v>
      </c>
      <c r="K69" s="106">
        <f t="shared" ref="K69:K71" si="29">(E69/4000)+1</f>
        <v>16.75</v>
      </c>
      <c r="L69" s="65" t="s">
        <v>254</v>
      </c>
    </row>
    <row r="70" spans="1:12" ht="14">
      <c r="A70" s="59">
        <v>69</v>
      </c>
      <c r="B70" s="110" t="s">
        <v>62</v>
      </c>
      <c r="C70" s="110" t="s">
        <v>11</v>
      </c>
      <c r="D70" s="107" t="s">
        <v>397</v>
      </c>
      <c r="E70" s="108">
        <v>63000</v>
      </c>
      <c r="F70" s="68">
        <f t="shared" si="24"/>
        <v>360.40000000000003</v>
      </c>
      <c r="G70" s="133">
        <f t="shared" si="25"/>
        <v>720.80000000000007</v>
      </c>
      <c r="H70" s="106">
        <f t="shared" si="26"/>
        <v>540.6</v>
      </c>
      <c r="I70" s="134">
        <f t="shared" si="27"/>
        <v>901</v>
      </c>
      <c r="J70" s="135">
        <f t="shared" si="28"/>
        <v>901</v>
      </c>
      <c r="K70" s="106">
        <f t="shared" si="29"/>
        <v>16.75</v>
      </c>
      <c r="L70" s="65" t="s">
        <v>254</v>
      </c>
    </row>
    <row r="71" spans="1:12" ht="14">
      <c r="A71" s="59">
        <v>70</v>
      </c>
      <c r="B71" s="110" t="s">
        <v>63</v>
      </c>
      <c r="C71" s="110" t="s">
        <v>11</v>
      </c>
      <c r="D71" s="107" t="s">
        <v>399</v>
      </c>
      <c r="E71" s="108">
        <v>79000</v>
      </c>
      <c r="F71" s="68">
        <f t="shared" si="24"/>
        <v>451.82857142857148</v>
      </c>
      <c r="G71" s="133">
        <f t="shared" si="25"/>
        <v>903.65714285714296</v>
      </c>
      <c r="H71" s="106">
        <f t="shared" si="26"/>
        <v>677.74285714285713</v>
      </c>
      <c r="I71" s="134">
        <f t="shared" si="27"/>
        <v>1129.5714285714287</v>
      </c>
      <c r="J71" s="135">
        <f t="shared" si="28"/>
        <v>1129.5714285714287</v>
      </c>
      <c r="K71" s="106">
        <f t="shared" si="29"/>
        <v>20.75</v>
      </c>
      <c r="L71" s="65" t="s">
        <v>254</v>
      </c>
    </row>
    <row r="72" spans="1:12" ht="14">
      <c r="A72" s="59">
        <v>71</v>
      </c>
      <c r="B72" s="59" t="s">
        <v>424</v>
      </c>
      <c r="C72" s="70" t="s">
        <v>249</v>
      </c>
      <c r="D72" s="111" t="s">
        <v>401</v>
      </c>
      <c r="E72" s="62">
        <v>86000</v>
      </c>
      <c r="F72" s="68">
        <f t="shared" ref="F72:F85" si="30">(((E72/70)+1)*0.4)</f>
        <v>491.82857142857148</v>
      </c>
      <c r="G72" s="133">
        <f t="shared" ref="G72:G85" si="31">2*F72</f>
        <v>983.65714285714296</v>
      </c>
      <c r="H72" s="106">
        <f t="shared" ref="H72:H85" si="32">(((E72/70)+1)*0.6)</f>
        <v>737.74285714285713</v>
      </c>
      <c r="I72" s="134">
        <f t="shared" ref="I72:I85" si="33">H72+F72</f>
        <v>1229.5714285714287</v>
      </c>
      <c r="J72" s="135">
        <f t="shared" ref="J72:J85" si="34">I72</f>
        <v>1229.5714285714287</v>
      </c>
      <c r="K72" s="106">
        <f t="shared" ref="K72:K85" si="35">(E72/4000)+1</f>
        <v>22.5</v>
      </c>
      <c r="L72" s="65" t="s">
        <v>254</v>
      </c>
    </row>
    <row r="73" spans="1:12" ht="14">
      <c r="A73" s="59">
        <v>72</v>
      </c>
      <c r="B73" s="59" t="s">
        <v>424</v>
      </c>
      <c r="C73" s="70" t="s">
        <v>249</v>
      </c>
      <c r="D73" s="111" t="s">
        <v>402</v>
      </c>
      <c r="E73" s="62">
        <v>56000</v>
      </c>
      <c r="F73" s="68">
        <f t="shared" si="30"/>
        <v>320.40000000000003</v>
      </c>
      <c r="G73" s="133">
        <f t="shared" si="31"/>
        <v>640.80000000000007</v>
      </c>
      <c r="H73" s="106">
        <f t="shared" si="32"/>
        <v>480.59999999999997</v>
      </c>
      <c r="I73" s="134">
        <f t="shared" si="33"/>
        <v>801</v>
      </c>
      <c r="J73" s="135">
        <f t="shared" si="34"/>
        <v>801</v>
      </c>
      <c r="K73" s="106">
        <f t="shared" si="35"/>
        <v>15</v>
      </c>
      <c r="L73" s="65" t="s">
        <v>254</v>
      </c>
    </row>
    <row r="74" spans="1:12" ht="14">
      <c r="A74" s="59">
        <v>73</v>
      </c>
      <c r="B74" s="59" t="s">
        <v>425</v>
      </c>
      <c r="C74" s="70" t="s">
        <v>249</v>
      </c>
      <c r="D74" s="113" t="s">
        <v>430</v>
      </c>
      <c r="E74" s="62">
        <v>87000</v>
      </c>
      <c r="F74" s="68">
        <f t="shared" si="30"/>
        <v>497.5428571428572</v>
      </c>
      <c r="G74" s="133">
        <f t="shared" si="31"/>
        <v>995.0857142857144</v>
      </c>
      <c r="H74" s="106">
        <f t="shared" si="32"/>
        <v>746.31428571428569</v>
      </c>
      <c r="I74" s="134">
        <f t="shared" si="33"/>
        <v>1243.8571428571429</v>
      </c>
      <c r="J74" s="135">
        <f t="shared" si="34"/>
        <v>1243.8571428571429</v>
      </c>
      <c r="K74" s="106">
        <f t="shared" si="35"/>
        <v>22.75</v>
      </c>
      <c r="L74" s="65" t="s">
        <v>254</v>
      </c>
    </row>
    <row r="75" spans="1:12" ht="14">
      <c r="A75" s="59">
        <v>74</v>
      </c>
      <c r="B75" s="59" t="s">
        <v>425</v>
      </c>
      <c r="C75" s="70" t="s">
        <v>249</v>
      </c>
      <c r="D75" s="111" t="s">
        <v>431</v>
      </c>
      <c r="E75" s="62">
        <v>40000</v>
      </c>
      <c r="F75" s="68">
        <f t="shared" si="30"/>
        <v>228.97142857142859</v>
      </c>
      <c r="G75" s="133">
        <f t="shared" si="31"/>
        <v>457.94285714285718</v>
      </c>
      <c r="H75" s="106">
        <f t="shared" si="32"/>
        <v>343.45714285714286</v>
      </c>
      <c r="I75" s="134">
        <f t="shared" si="33"/>
        <v>572.42857142857144</v>
      </c>
      <c r="J75" s="135">
        <f t="shared" si="34"/>
        <v>572.42857142857144</v>
      </c>
      <c r="K75" s="106">
        <f t="shared" si="35"/>
        <v>11</v>
      </c>
      <c r="L75" s="65" t="s">
        <v>254</v>
      </c>
    </row>
    <row r="76" spans="1:12" ht="14">
      <c r="A76" s="59">
        <v>75</v>
      </c>
      <c r="B76" s="59" t="s">
        <v>428</v>
      </c>
      <c r="C76" s="59" t="s">
        <v>11</v>
      </c>
      <c r="D76" s="111" t="s">
        <v>403</v>
      </c>
      <c r="E76" s="62">
        <v>58000</v>
      </c>
      <c r="F76" s="68">
        <f t="shared" si="30"/>
        <v>331.82857142857142</v>
      </c>
      <c r="G76" s="133">
        <f t="shared" si="31"/>
        <v>663.65714285714284</v>
      </c>
      <c r="H76" s="106">
        <f t="shared" si="32"/>
        <v>497.74285714285713</v>
      </c>
      <c r="I76" s="134">
        <f t="shared" si="33"/>
        <v>829.57142857142856</v>
      </c>
      <c r="J76" s="135">
        <f t="shared" si="34"/>
        <v>829.57142857142856</v>
      </c>
      <c r="K76" s="106">
        <f t="shared" si="35"/>
        <v>15.5</v>
      </c>
      <c r="L76" s="65" t="s">
        <v>254</v>
      </c>
    </row>
    <row r="77" spans="1:12" ht="14">
      <c r="A77" s="59">
        <v>76</v>
      </c>
      <c r="B77" s="59" t="s">
        <v>60</v>
      </c>
      <c r="C77" s="59" t="s">
        <v>11</v>
      </c>
      <c r="D77" s="111" t="s">
        <v>404</v>
      </c>
      <c r="E77" s="62">
        <v>63000</v>
      </c>
      <c r="F77" s="68">
        <f t="shared" si="30"/>
        <v>360.40000000000003</v>
      </c>
      <c r="G77" s="133">
        <f t="shared" si="31"/>
        <v>720.80000000000007</v>
      </c>
      <c r="H77" s="106">
        <f t="shared" si="32"/>
        <v>540.6</v>
      </c>
      <c r="I77" s="134">
        <f t="shared" si="33"/>
        <v>901</v>
      </c>
      <c r="J77" s="135">
        <f t="shared" si="34"/>
        <v>901</v>
      </c>
      <c r="K77" s="106">
        <f t="shared" si="35"/>
        <v>16.75</v>
      </c>
      <c r="L77" s="65" t="s">
        <v>254</v>
      </c>
    </row>
    <row r="78" spans="1:12" ht="14">
      <c r="A78" s="59">
        <v>77</v>
      </c>
      <c r="B78" s="59" t="s">
        <v>60</v>
      </c>
      <c r="C78" s="59" t="s">
        <v>11</v>
      </c>
      <c r="D78" s="111" t="s">
        <v>405</v>
      </c>
      <c r="E78" s="62">
        <v>34000</v>
      </c>
      <c r="F78" s="68">
        <f t="shared" si="30"/>
        <v>194.68571428571431</v>
      </c>
      <c r="G78" s="133">
        <f t="shared" si="31"/>
        <v>389.37142857142862</v>
      </c>
      <c r="H78" s="106">
        <f t="shared" si="32"/>
        <v>292.02857142857141</v>
      </c>
      <c r="I78" s="134">
        <f t="shared" si="33"/>
        <v>486.71428571428572</v>
      </c>
      <c r="J78" s="135">
        <f t="shared" si="34"/>
        <v>486.71428571428572</v>
      </c>
      <c r="K78" s="106">
        <f>(E78/4000)+1</f>
        <v>9.5</v>
      </c>
      <c r="L78" s="65" t="s">
        <v>254</v>
      </c>
    </row>
    <row r="79" spans="1:12" ht="14">
      <c r="A79" s="59">
        <v>78</v>
      </c>
      <c r="B79" s="59" t="s">
        <v>60</v>
      </c>
      <c r="C79" s="59" t="s">
        <v>11</v>
      </c>
      <c r="D79" s="111" t="s">
        <v>406</v>
      </c>
      <c r="E79" s="62">
        <v>62000</v>
      </c>
      <c r="F79" s="68">
        <f t="shared" si="30"/>
        <v>354.68571428571431</v>
      </c>
      <c r="G79" s="133">
        <f t="shared" si="31"/>
        <v>709.37142857142862</v>
      </c>
      <c r="H79" s="106">
        <f t="shared" si="32"/>
        <v>532.02857142857135</v>
      </c>
      <c r="I79" s="134">
        <f t="shared" si="33"/>
        <v>886.71428571428567</v>
      </c>
      <c r="J79" s="135">
        <f t="shared" si="34"/>
        <v>886.71428571428567</v>
      </c>
      <c r="K79" s="106">
        <f t="shared" si="35"/>
        <v>16.5</v>
      </c>
      <c r="L79" s="65" t="s">
        <v>254</v>
      </c>
    </row>
    <row r="80" spans="1:12" ht="14">
      <c r="A80" s="59">
        <v>79</v>
      </c>
      <c r="B80" s="59" t="s">
        <v>64</v>
      </c>
      <c r="C80" s="59" t="s">
        <v>11</v>
      </c>
      <c r="D80" s="111" t="s">
        <v>407</v>
      </c>
      <c r="E80" s="62">
        <v>51000</v>
      </c>
      <c r="F80" s="68">
        <f t="shared" si="30"/>
        <v>291.82857142857142</v>
      </c>
      <c r="G80" s="133">
        <f t="shared" si="31"/>
        <v>583.65714285714284</v>
      </c>
      <c r="H80" s="106">
        <f t="shared" si="32"/>
        <v>437.74285714285713</v>
      </c>
      <c r="I80" s="134">
        <f t="shared" si="33"/>
        <v>729.57142857142856</v>
      </c>
      <c r="J80" s="135">
        <f t="shared" si="34"/>
        <v>729.57142857142856</v>
      </c>
      <c r="K80" s="106">
        <f t="shared" si="35"/>
        <v>13.75</v>
      </c>
      <c r="L80" s="65" t="s">
        <v>254</v>
      </c>
    </row>
    <row r="81" spans="1:12" ht="14">
      <c r="A81" s="59">
        <v>80</v>
      </c>
      <c r="B81" s="59" t="s">
        <v>64</v>
      </c>
      <c r="C81" s="59" t="s">
        <v>11</v>
      </c>
      <c r="D81" s="111" t="s">
        <v>408</v>
      </c>
      <c r="E81" s="62">
        <v>81000</v>
      </c>
      <c r="F81" s="68">
        <f t="shared" si="30"/>
        <v>463.25714285714287</v>
      </c>
      <c r="G81" s="133">
        <f t="shared" si="31"/>
        <v>926.51428571428573</v>
      </c>
      <c r="H81" s="106">
        <f t="shared" si="32"/>
        <v>694.88571428571424</v>
      </c>
      <c r="I81" s="134">
        <f t="shared" si="33"/>
        <v>1158.1428571428571</v>
      </c>
      <c r="J81" s="135">
        <f t="shared" si="34"/>
        <v>1158.1428571428571</v>
      </c>
      <c r="K81" s="106">
        <f t="shared" si="35"/>
        <v>21.25</v>
      </c>
      <c r="L81" s="65" t="s">
        <v>254</v>
      </c>
    </row>
    <row r="82" spans="1:12" ht="14">
      <c r="A82" s="59">
        <v>81</v>
      </c>
      <c r="B82" s="59" t="s">
        <v>64</v>
      </c>
      <c r="C82" s="59" t="s">
        <v>11</v>
      </c>
      <c r="D82" s="111" t="s">
        <v>409</v>
      </c>
      <c r="E82" s="62">
        <v>68000</v>
      </c>
      <c r="F82" s="68">
        <f t="shared" si="30"/>
        <v>388.97142857142859</v>
      </c>
      <c r="G82" s="133">
        <f t="shared" si="31"/>
        <v>777.94285714285718</v>
      </c>
      <c r="H82" s="106">
        <f t="shared" si="32"/>
        <v>583.4571428571428</v>
      </c>
      <c r="I82" s="134">
        <f t="shared" si="33"/>
        <v>972.42857142857133</v>
      </c>
      <c r="J82" s="135">
        <f t="shared" si="34"/>
        <v>972.42857142857133</v>
      </c>
      <c r="K82" s="106">
        <f t="shared" si="35"/>
        <v>18</v>
      </c>
      <c r="L82" s="65" t="s">
        <v>254</v>
      </c>
    </row>
    <row r="83" spans="1:12" ht="14">
      <c r="A83" s="59">
        <v>82</v>
      </c>
      <c r="B83" s="59" t="s">
        <v>64</v>
      </c>
      <c r="C83" s="59" t="s">
        <v>11</v>
      </c>
      <c r="D83" s="111" t="s">
        <v>410</v>
      </c>
      <c r="E83" s="62">
        <v>79000</v>
      </c>
      <c r="F83" s="68">
        <f t="shared" si="30"/>
        <v>451.82857142857148</v>
      </c>
      <c r="G83" s="133">
        <f t="shared" si="31"/>
        <v>903.65714285714296</v>
      </c>
      <c r="H83" s="106">
        <f t="shared" si="32"/>
        <v>677.74285714285713</v>
      </c>
      <c r="I83" s="134">
        <f t="shared" si="33"/>
        <v>1129.5714285714287</v>
      </c>
      <c r="J83" s="135">
        <f t="shared" si="34"/>
        <v>1129.5714285714287</v>
      </c>
      <c r="K83" s="106">
        <f t="shared" si="35"/>
        <v>20.75</v>
      </c>
      <c r="L83" s="65" t="s">
        <v>254</v>
      </c>
    </row>
    <row r="84" spans="1:12" ht="14">
      <c r="A84" s="59">
        <v>83</v>
      </c>
      <c r="B84" s="59" t="s">
        <v>63</v>
      </c>
      <c r="C84" s="59" t="s">
        <v>11</v>
      </c>
      <c r="D84" s="111" t="s">
        <v>411</v>
      </c>
      <c r="E84" s="62">
        <v>79000</v>
      </c>
      <c r="F84" s="68">
        <f t="shared" si="30"/>
        <v>451.82857142857148</v>
      </c>
      <c r="G84" s="133">
        <f t="shared" si="31"/>
        <v>903.65714285714296</v>
      </c>
      <c r="H84" s="106">
        <f t="shared" si="32"/>
        <v>677.74285714285713</v>
      </c>
      <c r="I84" s="134">
        <f t="shared" si="33"/>
        <v>1129.5714285714287</v>
      </c>
      <c r="J84" s="135">
        <f t="shared" si="34"/>
        <v>1129.5714285714287</v>
      </c>
      <c r="K84" s="106">
        <f t="shared" si="35"/>
        <v>20.75</v>
      </c>
      <c r="L84" s="65" t="s">
        <v>254</v>
      </c>
    </row>
    <row r="85" spans="1:12" ht="14.5" thickBot="1">
      <c r="A85" s="59">
        <v>84</v>
      </c>
      <c r="B85" s="59" t="s">
        <v>432</v>
      </c>
      <c r="C85" s="59" t="s">
        <v>11</v>
      </c>
      <c r="D85" s="114" t="s">
        <v>412</v>
      </c>
      <c r="E85" s="62">
        <v>43000</v>
      </c>
      <c r="F85" s="68">
        <f t="shared" si="30"/>
        <v>246.11428571428576</v>
      </c>
      <c r="G85" s="133">
        <f t="shared" si="31"/>
        <v>492.22857142857151</v>
      </c>
      <c r="H85" s="106">
        <f t="shared" si="32"/>
        <v>369.17142857142858</v>
      </c>
      <c r="I85" s="134">
        <f t="shared" si="33"/>
        <v>615.28571428571433</v>
      </c>
      <c r="J85" s="135">
        <f t="shared" si="34"/>
        <v>615.28571428571433</v>
      </c>
      <c r="K85" s="106">
        <f t="shared" si="35"/>
        <v>11.75</v>
      </c>
      <c r="L85" s="65" t="s">
        <v>254</v>
      </c>
    </row>
    <row r="86" spans="1:12" ht="14">
      <c r="A86" s="59">
        <v>85</v>
      </c>
      <c r="B86" s="59" t="s">
        <v>56</v>
      </c>
      <c r="C86" s="59" t="s">
        <v>249</v>
      </c>
      <c r="D86" s="332" t="s">
        <v>416</v>
      </c>
      <c r="E86" s="62">
        <v>87000</v>
      </c>
      <c r="F86" s="68">
        <f t="shared" ref="F86:F102" si="36">(((E86/70)+1)*0.4)</f>
        <v>497.5428571428572</v>
      </c>
      <c r="G86" s="133">
        <f t="shared" ref="G86:G102" si="37">2*F86</f>
        <v>995.0857142857144</v>
      </c>
      <c r="H86" s="106">
        <f t="shared" ref="H86:H102" si="38">(((E86/70)+1)*0.6)</f>
        <v>746.31428571428569</v>
      </c>
      <c r="I86" s="134">
        <f t="shared" ref="I86:I102" si="39">H86+F86</f>
        <v>1243.8571428571429</v>
      </c>
      <c r="J86" s="135">
        <f t="shared" ref="J86:J102" si="40">I86</f>
        <v>1243.8571428571429</v>
      </c>
      <c r="K86" s="106">
        <f t="shared" ref="K86:K102" si="41">(E86/4000)+1</f>
        <v>22.75</v>
      </c>
      <c r="L86" s="65" t="s">
        <v>254</v>
      </c>
    </row>
    <row r="87" spans="1:12" ht="14">
      <c r="A87" s="59">
        <v>86</v>
      </c>
      <c r="B87" s="59" t="s">
        <v>63</v>
      </c>
      <c r="C87" s="59" t="s">
        <v>11</v>
      </c>
      <c r="D87" s="332" t="s">
        <v>417</v>
      </c>
      <c r="E87" s="62">
        <v>93000</v>
      </c>
      <c r="F87" s="68">
        <f t="shared" si="36"/>
        <v>531.82857142857154</v>
      </c>
      <c r="G87" s="133">
        <f t="shared" si="37"/>
        <v>1063.6571428571431</v>
      </c>
      <c r="H87" s="106">
        <f t="shared" si="38"/>
        <v>797.74285714285713</v>
      </c>
      <c r="I87" s="134">
        <f t="shared" si="39"/>
        <v>1329.5714285714287</v>
      </c>
      <c r="J87" s="135">
        <f t="shared" si="40"/>
        <v>1329.5714285714287</v>
      </c>
      <c r="K87" s="106">
        <f t="shared" si="41"/>
        <v>24.25</v>
      </c>
      <c r="L87" s="65" t="s">
        <v>254</v>
      </c>
    </row>
    <row r="88" spans="1:12" ht="14">
      <c r="A88" s="59">
        <v>87</v>
      </c>
      <c r="B88" s="59" t="s">
        <v>49</v>
      </c>
      <c r="C88" s="59" t="s">
        <v>249</v>
      </c>
      <c r="D88" s="332" t="s">
        <v>4239</v>
      </c>
      <c r="E88" s="62">
        <v>38400</v>
      </c>
      <c r="F88" s="68">
        <f t="shared" si="36"/>
        <v>219.82857142857142</v>
      </c>
      <c r="G88" s="133">
        <f t="shared" si="37"/>
        <v>439.65714285714284</v>
      </c>
      <c r="H88" s="106">
        <f t="shared" si="38"/>
        <v>329.74285714285713</v>
      </c>
      <c r="I88" s="134">
        <f t="shared" si="39"/>
        <v>549.57142857142856</v>
      </c>
      <c r="J88" s="135">
        <f t="shared" si="40"/>
        <v>549.57142857142856</v>
      </c>
      <c r="K88" s="106">
        <f t="shared" si="41"/>
        <v>10.6</v>
      </c>
      <c r="L88" s="65" t="s">
        <v>254</v>
      </c>
    </row>
    <row r="89" spans="1:12" ht="14">
      <c r="A89" s="59">
        <v>88</v>
      </c>
      <c r="B89" s="59" t="s">
        <v>49</v>
      </c>
      <c r="C89" s="59" t="s">
        <v>249</v>
      </c>
      <c r="D89" s="332" t="s">
        <v>4240</v>
      </c>
      <c r="E89" s="62">
        <v>55400</v>
      </c>
      <c r="F89" s="68">
        <f t="shared" si="36"/>
        <v>316.97142857142859</v>
      </c>
      <c r="G89" s="133">
        <f t="shared" si="37"/>
        <v>633.94285714285718</v>
      </c>
      <c r="H89" s="106">
        <f t="shared" si="38"/>
        <v>475.45714285714286</v>
      </c>
      <c r="I89" s="134">
        <f t="shared" si="39"/>
        <v>792.42857142857144</v>
      </c>
      <c r="J89" s="135">
        <f t="shared" si="40"/>
        <v>792.42857142857144</v>
      </c>
      <c r="K89" s="106">
        <f t="shared" si="41"/>
        <v>14.85</v>
      </c>
      <c r="L89" s="65" t="s">
        <v>254</v>
      </c>
    </row>
    <row r="90" spans="1:12" ht="14">
      <c r="A90" s="59">
        <v>89</v>
      </c>
      <c r="B90" s="59" t="s">
        <v>59</v>
      </c>
      <c r="C90" s="59" t="s">
        <v>11</v>
      </c>
      <c r="D90" s="332" t="s">
        <v>4250</v>
      </c>
      <c r="E90" s="62">
        <v>55470</v>
      </c>
      <c r="F90" s="68">
        <f t="shared" si="36"/>
        <v>317.37142857142862</v>
      </c>
      <c r="G90" s="133">
        <f t="shared" si="37"/>
        <v>634.74285714285725</v>
      </c>
      <c r="H90" s="106">
        <f t="shared" si="38"/>
        <v>476.05714285714282</v>
      </c>
      <c r="I90" s="134">
        <f t="shared" si="39"/>
        <v>793.42857142857144</v>
      </c>
      <c r="J90" s="135">
        <f t="shared" si="40"/>
        <v>793.42857142857144</v>
      </c>
      <c r="K90" s="106">
        <f t="shared" si="41"/>
        <v>14.8675</v>
      </c>
      <c r="L90" s="65" t="s">
        <v>254</v>
      </c>
    </row>
    <row r="91" spans="1:12" ht="14">
      <c r="A91" s="59">
        <v>90</v>
      </c>
      <c r="B91" s="59" t="s">
        <v>59</v>
      </c>
      <c r="C91" s="59" t="s">
        <v>11</v>
      </c>
      <c r="D91" s="332" t="s">
        <v>4241</v>
      </c>
      <c r="E91" s="62">
        <v>90131</v>
      </c>
      <c r="F91" s="68">
        <f t="shared" si="36"/>
        <v>515.43428571428569</v>
      </c>
      <c r="G91" s="133">
        <f t="shared" si="37"/>
        <v>1030.8685714285714</v>
      </c>
      <c r="H91" s="106">
        <f t="shared" si="38"/>
        <v>773.15142857142848</v>
      </c>
      <c r="I91" s="134">
        <f t="shared" si="39"/>
        <v>1288.5857142857142</v>
      </c>
      <c r="J91" s="135">
        <f t="shared" si="40"/>
        <v>1288.5857142857142</v>
      </c>
      <c r="K91" s="106">
        <f t="shared" si="41"/>
        <v>23.53275</v>
      </c>
      <c r="L91" s="65" t="s">
        <v>254</v>
      </c>
    </row>
    <row r="92" spans="1:12" ht="14">
      <c r="A92" s="59">
        <v>91</v>
      </c>
      <c r="B92" s="59" t="s">
        <v>53</v>
      </c>
      <c r="C92" s="59" t="s">
        <v>249</v>
      </c>
      <c r="D92" s="332" t="s">
        <v>4242</v>
      </c>
      <c r="E92" s="62">
        <v>75600</v>
      </c>
      <c r="F92" s="68">
        <f t="shared" si="36"/>
        <v>432.40000000000003</v>
      </c>
      <c r="G92" s="133">
        <f t="shared" si="37"/>
        <v>864.80000000000007</v>
      </c>
      <c r="H92" s="106">
        <f t="shared" si="38"/>
        <v>648.6</v>
      </c>
      <c r="I92" s="134">
        <f t="shared" si="39"/>
        <v>1081</v>
      </c>
      <c r="J92" s="135">
        <f t="shared" si="40"/>
        <v>1081</v>
      </c>
      <c r="K92" s="106">
        <f t="shared" si="41"/>
        <v>19.899999999999999</v>
      </c>
      <c r="L92" s="65" t="s">
        <v>254</v>
      </c>
    </row>
    <row r="93" spans="1:12" ht="14">
      <c r="A93" s="59">
        <v>92</v>
      </c>
      <c r="B93" s="59" t="s">
        <v>53</v>
      </c>
      <c r="C93" s="59" t="s">
        <v>249</v>
      </c>
      <c r="D93" s="332" t="s">
        <v>4243</v>
      </c>
      <c r="E93" s="62">
        <v>77350</v>
      </c>
      <c r="F93" s="68">
        <f t="shared" si="36"/>
        <v>442.40000000000003</v>
      </c>
      <c r="G93" s="133">
        <f t="shared" si="37"/>
        <v>884.80000000000007</v>
      </c>
      <c r="H93" s="106">
        <f t="shared" si="38"/>
        <v>663.6</v>
      </c>
      <c r="I93" s="134">
        <f t="shared" si="39"/>
        <v>1106</v>
      </c>
      <c r="J93" s="135">
        <f t="shared" si="40"/>
        <v>1106</v>
      </c>
      <c r="K93" s="106">
        <f t="shared" si="41"/>
        <v>20.337499999999999</v>
      </c>
      <c r="L93" s="65" t="s">
        <v>254</v>
      </c>
    </row>
    <row r="94" spans="1:12" ht="14">
      <c r="A94" s="59">
        <v>93</v>
      </c>
      <c r="B94" s="59" t="s">
        <v>53</v>
      </c>
      <c r="C94" s="59" t="s">
        <v>249</v>
      </c>
      <c r="D94" s="332" t="s">
        <v>4244</v>
      </c>
      <c r="E94" s="62">
        <v>43750</v>
      </c>
      <c r="F94" s="68">
        <f t="shared" si="36"/>
        <v>250.4</v>
      </c>
      <c r="G94" s="133">
        <f t="shared" si="37"/>
        <v>500.8</v>
      </c>
      <c r="H94" s="106">
        <f t="shared" si="38"/>
        <v>375.59999999999997</v>
      </c>
      <c r="I94" s="134">
        <f t="shared" si="39"/>
        <v>626</v>
      </c>
      <c r="J94" s="135">
        <f t="shared" si="40"/>
        <v>626</v>
      </c>
      <c r="K94" s="106">
        <f t="shared" si="41"/>
        <v>11.9375</v>
      </c>
      <c r="L94" s="65" t="s">
        <v>254</v>
      </c>
    </row>
    <row r="95" spans="1:12" ht="14">
      <c r="A95" s="59">
        <v>94</v>
      </c>
      <c r="B95" s="59" t="s">
        <v>53</v>
      </c>
      <c r="C95" s="59" t="s">
        <v>249</v>
      </c>
      <c r="D95" s="332" t="s">
        <v>4245</v>
      </c>
      <c r="E95" s="62">
        <v>1500</v>
      </c>
      <c r="F95" s="68">
        <f t="shared" si="36"/>
        <v>8.9714285714285715</v>
      </c>
      <c r="G95" s="133">
        <f t="shared" si="37"/>
        <v>17.942857142857143</v>
      </c>
      <c r="H95" s="106">
        <f t="shared" si="38"/>
        <v>13.457142857142856</v>
      </c>
      <c r="I95" s="134">
        <f t="shared" si="39"/>
        <v>22.428571428571427</v>
      </c>
      <c r="J95" s="135">
        <f t="shared" si="40"/>
        <v>22.428571428571427</v>
      </c>
      <c r="K95" s="106">
        <f t="shared" si="41"/>
        <v>1.375</v>
      </c>
      <c r="L95" s="65" t="s">
        <v>254</v>
      </c>
    </row>
    <row r="96" spans="1:12" ht="14">
      <c r="A96" s="59">
        <v>95</v>
      </c>
      <c r="B96" s="59" t="s">
        <v>53</v>
      </c>
      <c r="C96" s="59" t="s">
        <v>249</v>
      </c>
      <c r="D96" s="332" t="s">
        <v>4246</v>
      </c>
      <c r="E96" s="62">
        <v>55000</v>
      </c>
      <c r="F96" s="68">
        <f t="shared" si="36"/>
        <v>314.68571428571431</v>
      </c>
      <c r="G96" s="133">
        <f t="shared" si="37"/>
        <v>629.37142857142862</v>
      </c>
      <c r="H96" s="106">
        <f t="shared" si="38"/>
        <v>472.02857142857135</v>
      </c>
      <c r="I96" s="134">
        <f t="shared" si="39"/>
        <v>786.71428571428567</v>
      </c>
      <c r="J96" s="135">
        <f t="shared" si="40"/>
        <v>786.71428571428567</v>
      </c>
      <c r="K96" s="106">
        <f t="shared" si="41"/>
        <v>14.75</v>
      </c>
      <c r="L96" s="65" t="s">
        <v>254</v>
      </c>
    </row>
    <row r="97" spans="1:12" ht="14">
      <c r="A97" s="59">
        <v>96</v>
      </c>
      <c r="B97" s="59" t="s">
        <v>53</v>
      </c>
      <c r="C97" s="59" t="s">
        <v>249</v>
      </c>
      <c r="D97" s="332" t="s">
        <v>4247</v>
      </c>
      <c r="E97" s="62">
        <v>95000</v>
      </c>
      <c r="F97" s="68">
        <f t="shared" si="36"/>
        <v>543.25714285714287</v>
      </c>
      <c r="G97" s="133">
        <f t="shared" si="37"/>
        <v>1086.5142857142857</v>
      </c>
      <c r="H97" s="106">
        <f t="shared" si="38"/>
        <v>814.88571428571424</v>
      </c>
      <c r="I97" s="134">
        <f t="shared" si="39"/>
        <v>1358.1428571428571</v>
      </c>
      <c r="J97" s="135">
        <f t="shared" si="40"/>
        <v>1358.1428571428571</v>
      </c>
      <c r="K97" s="106">
        <f t="shared" si="41"/>
        <v>24.75</v>
      </c>
      <c r="L97" s="65" t="s">
        <v>254</v>
      </c>
    </row>
    <row r="98" spans="1:12" ht="14">
      <c r="A98" s="59">
        <v>97</v>
      </c>
      <c r="B98" s="59" t="s">
        <v>53</v>
      </c>
      <c r="C98" s="59" t="s">
        <v>249</v>
      </c>
      <c r="D98" s="332" t="s">
        <v>4248</v>
      </c>
      <c r="E98" s="62">
        <v>43000</v>
      </c>
      <c r="F98" s="68">
        <f t="shared" si="36"/>
        <v>246.11428571428576</v>
      </c>
      <c r="G98" s="133">
        <f t="shared" si="37"/>
        <v>492.22857142857151</v>
      </c>
      <c r="H98" s="106">
        <f t="shared" si="38"/>
        <v>369.17142857142858</v>
      </c>
      <c r="I98" s="134">
        <f t="shared" si="39"/>
        <v>615.28571428571433</v>
      </c>
      <c r="J98" s="135">
        <f t="shared" si="40"/>
        <v>615.28571428571433</v>
      </c>
      <c r="K98" s="106">
        <f t="shared" si="41"/>
        <v>11.75</v>
      </c>
      <c r="L98" s="65" t="s">
        <v>254</v>
      </c>
    </row>
    <row r="99" spans="1:12" ht="14">
      <c r="A99" s="59">
        <v>98</v>
      </c>
      <c r="B99" s="59" t="s">
        <v>61</v>
      </c>
      <c r="C99" s="59" t="s">
        <v>11</v>
      </c>
      <c r="D99" s="332" t="s">
        <v>4249</v>
      </c>
      <c r="E99" s="62">
        <v>70000</v>
      </c>
      <c r="F99" s="68">
        <f t="shared" si="36"/>
        <v>400.40000000000003</v>
      </c>
      <c r="G99" s="133">
        <f t="shared" si="37"/>
        <v>800.80000000000007</v>
      </c>
      <c r="H99" s="106">
        <f t="shared" si="38"/>
        <v>600.6</v>
      </c>
      <c r="I99" s="134">
        <f t="shared" si="39"/>
        <v>1001</v>
      </c>
      <c r="J99" s="135">
        <f t="shared" si="40"/>
        <v>1001</v>
      </c>
      <c r="K99" s="106">
        <f t="shared" si="41"/>
        <v>18.5</v>
      </c>
      <c r="L99" s="65" t="s">
        <v>254</v>
      </c>
    </row>
    <row r="100" spans="1:12" ht="14">
      <c r="A100" s="59">
        <v>99</v>
      </c>
      <c r="B100" s="59" t="s">
        <v>52</v>
      </c>
      <c r="C100" s="59" t="s">
        <v>249</v>
      </c>
      <c r="D100" s="332" t="s">
        <v>4532</v>
      </c>
      <c r="E100" s="62">
        <v>1000</v>
      </c>
      <c r="F100" s="68">
        <f t="shared" si="36"/>
        <v>6.1142857142857148</v>
      </c>
      <c r="G100" s="133">
        <f t="shared" si="37"/>
        <v>12.22857142857143</v>
      </c>
      <c r="H100" s="106">
        <f t="shared" si="38"/>
        <v>9.1714285714285708</v>
      </c>
      <c r="I100" s="134">
        <f t="shared" si="39"/>
        <v>15.285714285714285</v>
      </c>
      <c r="J100" s="135">
        <f t="shared" si="40"/>
        <v>15.285714285714285</v>
      </c>
      <c r="K100" s="106">
        <f t="shared" si="41"/>
        <v>1.25</v>
      </c>
      <c r="L100" s="65" t="s">
        <v>254</v>
      </c>
    </row>
    <row r="101" spans="1:12" ht="14">
      <c r="A101" s="59">
        <v>100</v>
      </c>
      <c r="B101" s="158" t="s">
        <v>61</v>
      </c>
      <c r="C101" s="158" t="s">
        <v>11</v>
      </c>
      <c r="D101" s="158" t="s">
        <v>4869</v>
      </c>
      <c r="E101" s="62">
        <v>65000</v>
      </c>
      <c r="F101" s="68">
        <f t="shared" si="36"/>
        <v>371.82857142857142</v>
      </c>
      <c r="G101" s="133">
        <f t="shared" si="37"/>
        <v>743.65714285714284</v>
      </c>
      <c r="H101" s="106">
        <f t="shared" si="38"/>
        <v>557.74285714285713</v>
      </c>
      <c r="I101" s="134">
        <f t="shared" si="39"/>
        <v>929.57142857142856</v>
      </c>
      <c r="J101" s="135">
        <f t="shared" si="40"/>
        <v>929.57142857142856</v>
      </c>
      <c r="K101" s="106">
        <f t="shared" si="41"/>
        <v>17.25</v>
      </c>
      <c r="L101" s="65" t="s">
        <v>254</v>
      </c>
    </row>
    <row r="102" spans="1:12" ht="14">
      <c r="A102" s="59">
        <v>101</v>
      </c>
      <c r="B102" s="158" t="s">
        <v>61</v>
      </c>
      <c r="C102" s="158" t="s">
        <v>11</v>
      </c>
      <c r="D102" s="158" t="s">
        <v>4870</v>
      </c>
      <c r="E102" s="62">
        <v>75000</v>
      </c>
      <c r="F102" s="68">
        <f t="shared" si="36"/>
        <v>428.97142857142853</v>
      </c>
      <c r="G102" s="133">
        <f t="shared" si="37"/>
        <v>857.94285714285706</v>
      </c>
      <c r="H102" s="106">
        <f t="shared" si="38"/>
        <v>643.4571428571428</v>
      </c>
      <c r="I102" s="134">
        <f t="shared" si="39"/>
        <v>1072.4285714285713</v>
      </c>
      <c r="J102" s="135">
        <f t="shared" si="40"/>
        <v>1072.4285714285713</v>
      </c>
      <c r="K102" s="106">
        <f t="shared" si="41"/>
        <v>19.75</v>
      </c>
      <c r="L102" s="65" t="s">
        <v>254</v>
      </c>
    </row>
    <row r="103" spans="1:12" ht="14">
      <c r="A103" s="59"/>
      <c r="B103" s="59"/>
      <c r="C103" s="59"/>
      <c r="D103" s="341"/>
      <c r="E103" s="62"/>
      <c r="F103" s="68"/>
      <c r="G103" s="133"/>
      <c r="H103" s="106"/>
      <c r="I103" s="134"/>
      <c r="J103" s="135"/>
      <c r="K103" s="106"/>
      <c r="L103" s="65"/>
    </row>
    <row r="104" spans="1:12" ht="14">
      <c r="A104" s="59"/>
      <c r="B104" s="59"/>
      <c r="C104" s="59"/>
      <c r="D104" s="341"/>
      <c r="E104" s="62"/>
      <c r="F104" s="68"/>
      <c r="G104" s="133"/>
      <c r="H104" s="106"/>
      <c r="I104" s="134"/>
      <c r="J104" s="135"/>
      <c r="K104" s="106"/>
      <c r="L104" s="65"/>
    </row>
    <row r="105" spans="1:12" ht="14">
      <c r="A105" s="59"/>
      <c r="B105" s="59"/>
      <c r="C105" s="59"/>
      <c r="D105" s="341"/>
      <c r="E105" s="62"/>
      <c r="F105" s="68"/>
      <c r="G105" s="133"/>
      <c r="H105" s="106"/>
      <c r="I105" s="134"/>
      <c r="J105" s="135"/>
      <c r="K105" s="106"/>
      <c r="L105" s="65"/>
    </row>
    <row r="106" spans="1:12" ht="14">
      <c r="A106" s="59"/>
      <c r="B106" s="59"/>
      <c r="C106" s="59"/>
      <c r="D106" s="341"/>
      <c r="E106" s="62"/>
      <c r="F106" s="68"/>
      <c r="G106" s="133"/>
      <c r="H106" s="106"/>
      <c r="I106" s="134"/>
      <c r="J106" s="135"/>
      <c r="K106" s="106"/>
      <c r="L106" s="65"/>
    </row>
    <row r="107" spans="1:12" ht="14">
      <c r="A107" s="59"/>
      <c r="B107" s="110"/>
      <c r="C107" s="110"/>
      <c r="D107" s="107"/>
      <c r="E107" s="108"/>
      <c r="F107" s="68"/>
      <c r="G107" s="133"/>
      <c r="H107" s="106"/>
      <c r="I107" s="134"/>
      <c r="J107" s="135"/>
      <c r="K107" s="106"/>
      <c r="L107" s="65"/>
    </row>
    <row r="108" spans="1:12" ht="14">
      <c r="A108" s="59"/>
      <c r="B108" s="59"/>
      <c r="C108" s="59"/>
      <c r="D108" s="136"/>
      <c r="E108" s="134"/>
      <c r="F108" s="68"/>
      <c r="G108" s="68"/>
      <c r="H108" s="68"/>
      <c r="I108" s="68"/>
      <c r="J108" s="68"/>
      <c r="K108" s="68"/>
      <c r="L108" s="65"/>
    </row>
    <row r="109" spans="1:12" ht="14">
      <c r="A109" s="59"/>
      <c r="B109" s="59"/>
      <c r="C109" s="59"/>
      <c r="D109" s="121"/>
      <c r="E109" s="106"/>
      <c r="F109" s="106"/>
      <c r="G109" s="106"/>
      <c r="H109" s="106"/>
      <c r="I109" s="106"/>
      <c r="J109" s="137"/>
      <c r="K109" s="106"/>
      <c r="L109" s="65"/>
    </row>
    <row r="110" spans="1:12" ht="14">
      <c r="A110" s="59"/>
      <c r="B110" s="59"/>
      <c r="C110" s="59"/>
      <c r="D110" s="121"/>
      <c r="E110" s="106"/>
      <c r="F110" s="106"/>
      <c r="G110" s="106"/>
      <c r="H110" s="106"/>
      <c r="I110" s="106"/>
      <c r="J110" s="137"/>
      <c r="K110" s="106"/>
      <c r="L110" s="65"/>
    </row>
    <row r="111" spans="1:12" ht="14">
      <c r="A111" s="59"/>
      <c r="B111" s="59"/>
      <c r="C111" s="59"/>
      <c r="D111" s="121"/>
      <c r="E111" s="106"/>
      <c r="F111" s="106"/>
      <c r="G111" s="106"/>
      <c r="H111" s="106"/>
      <c r="I111" s="106"/>
      <c r="J111" s="137"/>
      <c r="K111" s="106"/>
      <c r="L111" s="65"/>
    </row>
    <row r="112" spans="1:12" s="139" customFormat="1">
      <c r="A112" s="54"/>
      <c r="B112" s="54"/>
      <c r="C112" s="54"/>
      <c r="D112" s="138" t="s">
        <v>20</v>
      </c>
      <c r="E112" s="56">
        <f>SUM(E2:E102)</f>
        <v>5127736.8</v>
      </c>
      <c r="F112" s="56">
        <f t="shared" ref="F112:K112" si="42">SUM(F2:F102)</f>
        <v>29341.753142857146</v>
      </c>
      <c r="G112" s="56">
        <f t="shared" si="42"/>
        <v>58683.506285714291</v>
      </c>
      <c r="H112" s="56">
        <f t="shared" si="42"/>
        <v>44012.629714285686</v>
      </c>
      <c r="I112" s="56">
        <f t="shared" si="42"/>
        <v>73354.382857142846</v>
      </c>
      <c r="J112" s="56">
        <f t="shared" si="42"/>
        <v>73354.382857142846</v>
      </c>
      <c r="K112" s="56">
        <f t="shared" si="42"/>
        <v>1382.9342000000001</v>
      </c>
      <c r="L112" s="55"/>
    </row>
    <row r="113" spans="1:12" ht="15.5">
      <c r="A113" s="107"/>
      <c r="B113" s="107"/>
      <c r="C113" s="107"/>
      <c r="D113" s="107"/>
      <c r="E113" s="140"/>
      <c r="F113" s="108"/>
      <c r="G113" s="108"/>
      <c r="H113" s="108"/>
      <c r="I113" s="140"/>
      <c r="J113" s="141"/>
      <c r="K113" s="108"/>
      <c r="L113" s="107"/>
    </row>
    <row r="114" spans="1:12" ht="15.5">
      <c r="A114" s="59"/>
      <c r="B114" s="59"/>
      <c r="C114" s="74"/>
      <c r="D114" s="120"/>
      <c r="E114" s="115"/>
      <c r="F114" s="106"/>
      <c r="G114" s="106"/>
      <c r="H114" s="106"/>
      <c r="I114" s="115"/>
      <c r="J114" s="137"/>
      <c r="K114" s="106"/>
      <c r="L114" s="65"/>
    </row>
    <row r="115" spans="1:12" ht="15.5">
      <c r="A115" s="59"/>
      <c r="B115" s="59"/>
      <c r="C115" s="74"/>
      <c r="D115" s="120"/>
      <c r="E115" s="115"/>
      <c r="F115" s="106"/>
      <c r="G115" s="106"/>
      <c r="H115" s="106"/>
      <c r="I115" s="115"/>
      <c r="J115" s="137"/>
      <c r="K115" s="106"/>
      <c r="L115" s="65"/>
    </row>
    <row r="116" spans="1:12" ht="15.5">
      <c r="A116" s="59"/>
      <c r="B116" s="59"/>
      <c r="C116" s="59"/>
      <c r="D116" s="121"/>
      <c r="E116" s="115"/>
      <c r="F116" s="106"/>
      <c r="G116" s="106"/>
      <c r="H116" s="106"/>
      <c r="I116" s="115"/>
      <c r="J116" s="137"/>
      <c r="K116" s="106"/>
      <c r="L116" s="65"/>
    </row>
    <row r="117" spans="1:12" ht="15.5">
      <c r="A117" s="59"/>
      <c r="B117" s="59"/>
      <c r="C117" s="59"/>
      <c r="D117" s="116"/>
      <c r="E117" s="115"/>
      <c r="F117" s="106"/>
      <c r="G117" s="106"/>
      <c r="H117" s="106"/>
      <c r="I117" s="115"/>
      <c r="J117" s="137"/>
      <c r="K117" s="106"/>
      <c r="L117" s="65"/>
    </row>
    <row r="118" spans="1:12" ht="15.5">
      <c r="A118" s="59"/>
      <c r="B118" s="59"/>
      <c r="C118" s="59"/>
      <c r="D118" s="116"/>
      <c r="E118" s="115"/>
      <c r="F118" s="106"/>
      <c r="G118" s="106"/>
      <c r="H118" s="106"/>
      <c r="I118" s="115"/>
      <c r="J118" s="137"/>
      <c r="K118" s="106"/>
      <c r="L118" s="65"/>
    </row>
    <row r="119" spans="1:12" ht="15.5">
      <c r="A119" s="59"/>
      <c r="B119" s="59"/>
      <c r="C119" s="59"/>
      <c r="D119" s="116"/>
      <c r="E119" s="115"/>
      <c r="F119" s="106"/>
      <c r="G119" s="106"/>
      <c r="H119" s="106"/>
      <c r="I119" s="115"/>
      <c r="J119" s="137"/>
      <c r="K119" s="106"/>
      <c r="L119" s="65"/>
    </row>
    <row r="120" spans="1:12" ht="15.5">
      <c r="A120" s="59"/>
      <c r="B120" s="59"/>
      <c r="C120" s="59"/>
      <c r="D120" s="116"/>
      <c r="E120" s="115"/>
      <c r="F120" s="106"/>
      <c r="G120" s="106"/>
      <c r="H120" s="106"/>
      <c r="I120" s="115"/>
      <c r="J120" s="137"/>
      <c r="K120" s="106"/>
      <c r="L120" s="65"/>
    </row>
    <row r="121" spans="1:12" ht="15.5">
      <c r="E121" s="117"/>
      <c r="F121" s="127"/>
      <c r="G121" s="127"/>
      <c r="H121" s="127"/>
      <c r="I121" s="117"/>
      <c r="J121" s="142"/>
      <c r="K121" s="127"/>
      <c r="L121" s="58"/>
    </row>
    <row r="122" spans="1:12" ht="15.5">
      <c r="A122" s="59"/>
      <c r="B122" s="59"/>
      <c r="C122" s="74"/>
      <c r="D122" s="120"/>
      <c r="E122" s="115"/>
      <c r="F122" s="106"/>
      <c r="G122" s="106"/>
      <c r="H122" s="106"/>
      <c r="I122" s="115"/>
      <c r="J122" s="137"/>
      <c r="K122" s="106"/>
      <c r="L122" s="65"/>
    </row>
    <row r="123" spans="1:12" ht="15.5">
      <c r="A123" s="59"/>
      <c r="B123" s="59"/>
      <c r="C123" s="74"/>
      <c r="D123" s="120"/>
      <c r="E123" s="115"/>
      <c r="F123" s="106"/>
      <c r="G123" s="106"/>
      <c r="H123" s="106"/>
      <c r="I123" s="115"/>
      <c r="J123" s="137"/>
      <c r="K123" s="106"/>
      <c r="L123" s="65"/>
    </row>
    <row r="124" spans="1:12" ht="15.5">
      <c r="A124" s="59"/>
      <c r="B124" s="59"/>
      <c r="C124" s="59"/>
      <c r="D124" s="121"/>
      <c r="E124" s="115"/>
      <c r="F124" s="106"/>
      <c r="G124" s="106"/>
      <c r="H124" s="106"/>
      <c r="I124" s="115"/>
      <c r="J124" s="137"/>
      <c r="K124" s="106"/>
      <c r="L124" s="65"/>
    </row>
    <row r="125" spans="1:12" ht="15.5">
      <c r="A125" s="59"/>
      <c r="B125" s="59"/>
      <c r="C125" s="59"/>
      <c r="D125" s="116"/>
      <c r="E125" s="115"/>
      <c r="F125" s="106"/>
      <c r="G125" s="106"/>
      <c r="H125" s="106"/>
      <c r="I125" s="115"/>
      <c r="J125" s="137"/>
      <c r="K125" s="106"/>
      <c r="L125" s="65"/>
    </row>
    <row r="126" spans="1:12" ht="15.5">
      <c r="A126" s="59"/>
      <c r="B126" s="59"/>
      <c r="C126" s="59"/>
      <c r="D126" s="116"/>
      <c r="E126" s="115"/>
      <c r="F126" s="106"/>
      <c r="G126" s="106"/>
      <c r="H126" s="106"/>
      <c r="I126" s="115"/>
      <c r="J126" s="137"/>
      <c r="K126" s="106"/>
      <c r="L126" s="65"/>
    </row>
    <row r="127" spans="1:12" ht="15.5">
      <c r="A127" s="59"/>
      <c r="B127" s="59"/>
      <c r="C127" s="59"/>
      <c r="D127" s="116"/>
      <c r="E127" s="115"/>
      <c r="F127" s="106"/>
      <c r="G127" s="106"/>
      <c r="H127" s="106"/>
      <c r="I127" s="115"/>
      <c r="J127" s="137"/>
      <c r="K127" s="106"/>
      <c r="L127" s="65"/>
    </row>
    <row r="128" spans="1:12" ht="15.5">
      <c r="E128" s="117"/>
      <c r="F128" s="127"/>
      <c r="G128" s="127"/>
      <c r="H128" s="127"/>
      <c r="I128" s="117"/>
      <c r="J128" s="142"/>
      <c r="K128" s="127"/>
      <c r="L128" s="58"/>
    </row>
    <row r="129" spans="1:12" ht="15.5">
      <c r="A129" s="59"/>
      <c r="B129" s="59"/>
      <c r="C129" s="74"/>
      <c r="D129" s="120"/>
      <c r="E129" s="115"/>
      <c r="F129" s="106"/>
      <c r="G129" s="106"/>
      <c r="H129" s="106"/>
      <c r="I129" s="115"/>
      <c r="J129" s="137"/>
      <c r="K129" s="106"/>
      <c r="L129" s="65"/>
    </row>
    <row r="130" spans="1:12" ht="15.5">
      <c r="A130" s="59"/>
      <c r="B130" s="59"/>
      <c r="C130" s="74"/>
      <c r="D130" s="120"/>
      <c r="E130" s="115"/>
      <c r="F130" s="106"/>
      <c r="G130" s="106"/>
      <c r="H130" s="106"/>
      <c r="I130" s="115"/>
      <c r="J130" s="137"/>
      <c r="K130" s="106"/>
      <c r="L130" s="65"/>
    </row>
    <row r="131" spans="1:12" ht="15.5">
      <c r="A131" s="59"/>
      <c r="B131" s="59"/>
      <c r="C131" s="74"/>
      <c r="D131" s="120"/>
      <c r="E131" s="115"/>
      <c r="F131" s="106"/>
      <c r="G131" s="106"/>
      <c r="H131" s="106"/>
      <c r="I131" s="115"/>
      <c r="J131" s="137"/>
      <c r="K131" s="106"/>
      <c r="L131" s="65"/>
    </row>
    <row r="132" spans="1:12" ht="15.5">
      <c r="E132" s="117"/>
      <c r="F132" s="127"/>
      <c r="G132" s="127"/>
      <c r="H132" s="127"/>
      <c r="I132" s="117"/>
      <c r="J132" s="142"/>
      <c r="K132" s="127"/>
      <c r="L132" s="58"/>
    </row>
    <row r="133" spans="1:12" ht="15.5">
      <c r="E133" s="117"/>
      <c r="F133" s="127"/>
      <c r="G133" s="127"/>
      <c r="H133" s="127"/>
      <c r="I133" s="117"/>
      <c r="J133" s="142"/>
      <c r="K133" s="127"/>
      <c r="L133" s="58"/>
    </row>
    <row r="134" spans="1:12" ht="15" customHeight="1">
      <c r="E134" s="117"/>
      <c r="F134" s="127"/>
      <c r="G134" s="127"/>
      <c r="H134" s="127"/>
      <c r="I134" s="117"/>
      <c r="J134" s="142"/>
      <c r="K134" s="127"/>
      <c r="L134" s="58"/>
    </row>
    <row r="135" spans="1:12" ht="15" customHeight="1">
      <c r="E135" s="117"/>
      <c r="F135" s="127"/>
      <c r="G135" s="127"/>
      <c r="H135" s="127"/>
      <c r="I135" s="117"/>
      <c r="J135" s="142"/>
      <c r="K135" s="127"/>
      <c r="L135" s="58"/>
    </row>
    <row r="136" spans="1:12" ht="15" customHeight="1">
      <c r="E136" s="117"/>
      <c r="F136" s="127"/>
      <c r="G136" s="127"/>
      <c r="H136" s="127"/>
      <c r="I136" s="117"/>
      <c r="J136" s="142"/>
      <c r="K136" s="127"/>
      <c r="L136" s="58"/>
    </row>
    <row r="137" spans="1:12" ht="15" customHeight="1">
      <c r="E137" s="117"/>
      <c r="F137" s="127"/>
      <c r="G137" s="127"/>
      <c r="H137" s="127"/>
      <c r="I137" s="117"/>
      <c r="J137" s="142"/>
      <c r="K137" s="127"/>
      <c r="L137" s="58"/>
    </row>
    <row r="138" spans="1:12" ht="15.5">
      <c r="D138" s="143" t="s">
        <v>418</v>
      </c>
      <c r="E138" s="117"/>
      <c r="F138" s="127"/>
      <c r="G138" s="127"/>
      <c r="H138" s="127"/>
      <c r="I138" s="117"/>
      <c r="J138" s="142"/>
      <c r="K138" s="127"/>
      <c r="L138" s="58"/>
    </row>
    <row r="139" spans="1:12" ht="15.5">
      <c r="D139" s="122"/>
      <c r="E139" s="117"/>
      <c r="F139" s="127"/>
      <c r="G139" s="127"/>
      <c r="H139" s="127"/>
      <c r="I139" s="117"/>
      <c r="J139" s="142"/>
      <c r="K139" s="127"/>
      <c r="L139" s="58"/>
    </row>
    <row r="140" spans="1:12" ht="15.5">
      <c r="D140" s="402" t="s">
        <v>433</v>
      </c>
      <c r="E140" s="117"/>
      <c r="F140" s="127"/>
      <c r="G140" s="127"/>
      <c r="H140" s="127"/>
      <c r="I140" s="117"/>
      <c r="J140" s="142"/>
      <c r="K140" s="127"/>
      <c r="L140" s="58"/>
    </row>
    <row r="141" spans="1:12" ht="15.5">
      <c r="D141" s="402"/>
      <c r="E141" s="117"/>
      <c r="F141" s="127"/>
      <c r="G141" s="127"/>
      <c r="H141" s="127"/>
      <c r="I141" s="117"/>
      <c r="J141" s="142"/>
      <c r="K141" s="127"/>
      <c r="L141" s="58"/>
    </row>
    <row r="142" spans="1:12" ht="28.5">
      <c r="D142" s="123" t="s">
        <v>434</v>
      </c>
      <c r="E142" s="117"/>
      <c r="F142" s="127"/>
      <c r="G142" s="127"/>
      <c r="H142" s="127"/>
      <c r="I142" s="117"/>
      <c r="J142" s="142"/>
      <c r="K142" s="127"/>
      <c r="L142" s="58"/>
    </row>
    <row r="143" spans="1:12" ht="15.5">
      <c r="E143" s="117"/>
      <c r="F143" s="127"/>
      <c r="G143" s="127"/>
      <c r="H143" s="127"/>
      <c r="I143" s="117"/>
      <c r="J143" s="142"/>
      <c r="K143" s="127"/>
      <c r="L143" s="58"/>
    </row>
    <row r="144" spans="1:12" ht="15.5">
      <c r="E144" s="117"/>
      <c r="F144" s="127"/>
      <c r="G144" s="127"/>
      <c r="H144" s="127"/>
      <c r="I144" s="117"/>
      <c r="J144" s="142"/>
      <c r="K144" s="127"/>
      <c r="L144" s="58"/>
    </row>
    <row r="145" spans="5:12" ht="15.5">
      <c r="E145" s="117"/>
      <c r="F145" s="127"/>
      <c r="G145" s="127"/>
      <c r="H145" s="127"/>
      <c r="I145" s="117"/>
      <c r="J145" s="142"/>
      <c r="K145" s="127"/>
      <c r="L145" s="58"/>
    </row>
    <row r="146" spans="5:12" ht="15.5">
      <c r="E146" s="117"/>
      <c r="F146" s="127"/>
      <c r="G146" s="127"/>
      <c r="H146" s="127"/>
      <c r="I146" s="117"/>
      <c r="J146" s="142"/>
      <c r="K146" s="127"/>
      <c r="L146" s="58"/>
    </row>
    <row r="147" spans="5:12" ht="15.5">
      <c r="E147" s="117"/>
      <c r="F147" s="127"/>
      <c r="G147" s="127"/>
      <c r="H147" s="127"/>
      <c r="I147" s="117"/>
      <c r="J147" s="142"/>
      <c r="K147" s="127"/>
      <c r="L147" s="58"/>
    </row>
    <row r="148" spans="5:12" ht="15.5">
      <c r="E148" s="117"/>
      <c r="F148" s="127"/>
      <c r="G148" s="127"/>
      <c r="H148" s="127"/>
      <c r="I148" s="117"/>
      <c r="J148" s="142"/>
      <c r="K148" s="127"/>
      <c r="L148" s="58"/>
    </row>
    <row r="149" spans="5:12" ht="15.5">
      <c r="E149" s="117"/>
      <c r="F149" s="127"/>
      <c r="G149" s="127"/>
      <c r="H149" s="127"/>
      <c r="I149" s="117"/>
      <c r="J149" s="142"/>
      <c r="K149" s="127"/>
      <c r="L149" s="58"/>
    </row>
    <row r="150" spans="5:12" ht="15.5">
      <c r="E150" s="117"/>
      <c r="F150" s="127"/>
      <c r="G150" s="127"/>
      <c r="H150" s="127"/>
      <c r="I150" s="117"/>
      <c r="J150" s="142"/>
      <c r="K150" s="127"/>
      <c r="L150" s="58"/>
    </row>
    <row r="151" spans="5:12" ht="15.5">
      <c r="E151" s="117"/>
      <c r="F151" s="127"/>
      <c r="G151" s="127"/>
      <c r="H151" s="127"/>
      <c r="I151" s="117"/>
      <c r="J151" s="142"/>
      <c r="K151" s="127"/>
      <c r="L151" s="58"/>
    </row>
    <row r="152" spans="5:12" ht="15.5">
      <c r="E152" s="117"/>
      <c r="F152" s="127"/>
      <c r="G152" s="127"/>
      <c r="H152" s="127"/>
      <c r="I152" s="117"/>
      <c r="J152" s="142"/>
      <c r="K152" s="127"/>
      <c r="L152" s="58"/>
    </row>
    <row r="153" spans="5:12" ht="15.5">
      <c r="E153" s="117"/>
      <c r="F153" s="127"/>
      <c r="G153" s="127"/>
      <c r="H153" s="127"/>
      <c r="I153" s="117"/>
      <c r="J153" s="142"/>
      <c r="K153" s="127"/>
      <c r="L153" s="58"/>
    </row>
    <row r="154" spans="5:12" ht="15.5">
      <c r="E154" s="117"/>
      <c r="F154" s="127"/>
      <c r="G154" s="127"/>
      <c r="H154" s="127"/>
      <c r="I154" s="117"/>
      <c r="J154" s="142"/>
      <c r="K154" s="127"/>
      <c r="L154" s="58"/>
    </row>
    <row r="155" spans="5:12" ht="15.5">
      <c r="E155" s="117"/>
      <c r="F155" s="127"/>
      <c r="G155" s="127"/>
      <c r="H155" s="127"/>
      <c r="I155" s="117"/>
      <c r="J155" s="142"/>
      <c r="K155" s="127"/>
      <c r="L155" s="58"/>
    </row>
    <row r="156" spans="5:12" ht="15.5">
      <c r="E156" s="117"/>
      <c r="F156" s="127"/>
      <c r="G156" s="127"/>
      <c r="H156" s="127"/>
      <c r="I156" s="117"/>
      <c r="J156" s="142"/>
      <c r="K156" s="127"/>
      <c r="L156" s="58"/>
    </row>
    <row r="157" spans="5:12" ht="15.5">
      <c r="E157" s="117"/>
      <c r="F157" s="127"/>
      <c r="G157" s="127"/>
      <c r="H157" s="127"/>
      <c r="I157" s="117"/>
      <c r="J157" s="142"/>
      <c r="K157" s="127"/>
      <c r="L157" s="58"/>
    </row>
    <row r="158" spans="5:12" ht="15.5">
      <c r="E158" s="117"/>
      <c r="F158" s="127"/>
      <c r="G158" s="127"/>
      <c r="H158" s="127"/>
      <c r="I158" s="117"/>
      <c r="J158" s="142"/>
      <c r="K158" s="127"/>
      <c r="L158" s="58"/>
    </row>
    <row r="159" spans="5:12" ht="15.5">
      <c r="E159" s="117"/>
      <c r="F159" s="127"/>
      <c r="G159" s="127"/>
      <c r="H159" s="127"/>
      <c r="I159" s="117"/>
      <c r="J159" s="142"/>
      <c r="K159" s="127"/>
      <c r="L159" s="58"/>
    </row>
    <row r="160" spans="5:12" ht="15.5">
      <c r="E160" s="117"/>
      <c r="F160" s="127"/>
      <c r="G160" s="127"/>
      <c r="H160" s="127"/>
      <c r="I160" s="117"/>
      <c r="J160" s="142"/>
      <c r="K160" s="127"/>
      <c r="L160" s="58"/>
    </row>
    <row r="161" spans="5:12" ht="15" customHeight="1">
      <c r="E161" s="117"/>
      <c r="F161" s="127"/>
      <c r="G161" s="127"/>
      <c r="H161" s="127"/>
      <c r="I161" s="117"/>
      <c r="J161" s="142"/>
      <c r="K161" s="127"/>
      <c r="L161" s="58"/>
    </row>
    <row r="162" spans="5:12" ht="15" customHeight="1">
      <c r="E162" s="117"/>
      <c r="F162" s="127"/>
      <c r="G162" s="127"/>
      <c r="H162" s="127"/>
      <c r="I162" s="117"/>
      <c r="J162" s="142"/>
      <c r="K162" s="127"/>
      <c r="L162" s="58"/>
    </row>
    <row r="163" spans="5:12" ht="15" customHeight="1">
      <c r="E163" s="117"/>
      <c r="F163" s="127"/>
      <c r="G163" s="127"/>
      <c r="H163" s="127"/>
      <c r="I163" s="117"/>
      <c r="J163" s="142"/>
      <c r="K163" s="127"/>
      <c r="L163" s="58"/>
    </row>
    <row r="164" spans="5:12" ht="15" customHeight="1">
      <c r="E164" s="117"/>
      <c r="F164" s="127"/>
      <c r="G164" s="127"/>
      <c r="H164" s="127"/>
      <c r="I164" s="117"/>
      <c r="J164" s="142"/>
      <c r="K164" s="127"/>
      <c r="L164" s="58"/>
    </row>
    <row r="165" spans="5:12" ht="15" customHeight="1">
      <c r="E165" s="117"/>
      <c r="F165" s="127"/>
      <c r="G165" s="127"/>
      <c r="H165" s="127"/>
      <c r="I165" s="117"/>
      <c r="J165" s="142"/>
      <c r="K165" s="127"/>
      <c r="L165" s="58"/>
    </row>
    <row r="166" spans="5:12" ht="15" customHeight="1">
      <c r="E166" s="117"/>
      <c r="F166" s="127"/>
      <c r="G166" s="127"/>
      <c r="H166" s="127"/>
      <c r="I166" s="117"/>
      <c r="J166" s="142"/>
      <c r="K166" s="127"/>
      <c r="L166" s="58"/>
    </row>
    <row r="167" spans="5:12" ht="15" customHeight="1">
      <c r="E167" s="117"/>
      <c r="F167" s="127"/>
      <c r="G167" s="127"/>
      <c r="H167" s="127"/>
      <c r="I167" s="117"/>
      <c r="J167" s="142"/>
      <c r="K167" s="127"/>
      <c r="L167" s="58"/>
    </row>
    <row r="168" spans="5:12" ht="15" customHeight="1">
      <c r="E168" s="117"/>
      <c r="F168" s="127"/>
      <c r="G168" s="127"/>
      <c r="H168" s="127"/>
      <c r="I168" s="117"/>
      <c r="J168" s="142"/>
      <c r="K168" s="127"/>
      <c r="L168" s="58"/>
    </row>
    <row r="169" spans="5:12" ht="15" customHeight="1">
      <c r="E169" s="117"/>
      <c r="F169" s="127"/>
      <c r="G169" s="127"/>
      <c r="H169" s="127"/>
      <c r="I169" s="117"/>
      <c r="J169" s="142"/>
      <c r="K169" s="127"/>
      <c r="L169" s="58"/>
    </row>
    <row r="170" spans="5:12" ht="15" customHeight="1">
      <c r="E170" s="117"/>
      <c r="F170" s="127"/>
      <c r="G170" s="127"/>
      <c r="H170" s="127"/>
      <c r="I170" s="117"/>
      <c r="J170" s="142"/>
      <c r="K170" s="127"/>
      <c r="L170" s="58"/>
    </row>
    <row r="171" spans="5:12" ht="15" customHeight="1">
      <c r="E171" s="117"/>
      <c r="F171" s="127"/>
      <c r="G171" s="127"/>
      <c r="H171" s="127"/>
      <c r="I171" s="117"/>
      <c r="J171" s="142"/>
      <c r="K171" s="127"/>
      <c r="L171" s="58"/>
    </row>
    <row r="172" spans="5:12" ht="15" customHeight="1">
      <c r="E172" s="117"/>
      <c r="F172" s="127"/>
      <c r="G172" s="127"/>
      <c r="H172" s="127"/>
      <c r="I172" s="117"/>
      <c r="J172" s="142"/>
      <c r="K172" s="127"/>
      <c r="L172" s="58"/>
    </row>
    <row r="173" spans="5:12" ht="15" customHeight="1">
      <c r="E173" s="117"/>
      <c r="F173" s="127"/>
      <c r="G173" s="127"/>
      <c r="H173" s="127"/>
      <c r="I173" s="117"/>
      <c r="J173" s="142"/>
      <c r="K173" s="127"/>
      <c r="L173" s="58"/>
    </row>
    <row r="174" spans="5:12" ht="15" customHeight="1">
      <c r="E174" s="117"/>
      <c r="F174" s="127"/>
      <c r="G174" s="127"/>
      <c r="H174" s="127"/>
      <c r="I174" s="117"/>
      <c r="J174" s="142"/>
      <c r="K174" s="127"/>
      <c r="L174" s="58"/>
    </row>
    <row r="175" spans="5:12" ht="15" customHeight="1">
      <c r="E175" s="117"/>
      <c r="F175" s="127"/>
      <c r="G175" s="127"/>
      <c r="H175" s="127"/>
      <c r="I175" s="117"/>
      <c r="J175" s="142"/>
      <c r="K175" s="127"/>
      <c r="L175" s="58"/>
    </row>
    <row r="176" spans="5:12" ht="15" customHeight="1">
      <c r="E176" s="117"/>
      <c r="F176" s="127"/>
      <c r="G176" s="127"/>
      <c r="H176" s="127"/>
      <c r="I176" s="117"/>
      <c r="J176" s="142"/>
      <c r="K176" s="127"/>
      <c r="L176" s="58"/>
    </row>
  </sheetData>
  <autoFilter ref="A1:L102" xr:uid="{BA9F375A-FF5F-4E86-8291-F20C338ADB76}"/>
  <mergeCells count="1">
    <mergeCell ref="D140:D141"/>
  </mergeCells>
  <conditionalFormatting sqref="D2:D71">
    <cfRule type="duplicateValues" dxfId="178" priority="3"/>
    <cfRule type="duplicateValues" dxfId="177" priority="4"/>
  </conditionalFormatting>
  <conditionalFormatting sqref="D2:D85 D103:D106">
    <cfRule type="duplicateValues" dxfId="176" priority="675"/>
  </conditionalFormatting>
  <conditionalFormatting sqref="D107">
    <cfRule type="duplicateValues" dxfId="175" priority="5"/>
    <cfRule type="duplicateValues" dxfId="174" priority="6"/>
  </conditionalFormatting>
  <conditionalFormatting sqref="D108:D1048576 D1">
    <cfRule type="duplicateValues" dxfId="173" priority="11"/>
    <cfRule type="duplicateValues" dxfId="172" priority="12"/>
  </conditionalFormatting>
  <conditionalFormatting sqref="D86:D100">
    <cfRule type="duplicateValues" dxfId="171" priority="1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</sheetPr>
  <dimension ref="A1:XFA2391"/>
  <sheetViews>
    <sheetView zoomScale="70" zoomScaleNormal="90" workbookViewId="0">
      <selection activeCell="D308" sqref="D1:D1048576"/>
    </sheetView>
  </sheetViews>
  <sheetFormatPr defaultColWidth="9.1796875" defaultRowHeight="15" customHeight="1"/>
  <cols>
    <col min="1" max="1" width="6.54296875" style="90" customWidth="1"/>
    <col min="2" max="2" width="17.54296875" style="283" bestFit="1" customWidth="1"/>
    <col min="3" max="3" width="13.7265625" style="90" bestFit="1" customWidth="1"/>
    <col min="4" max="4" width="56" style="150" customWidth="1"/>
    <col min="5" max="5" width="38.453125" style="151" hidden="1" customWidth="1"/>
    <col min="6" max="6" width="23.81640625" style="90" hidden="1" customWidth="1"/>
    <col min="7" max="7" width="9.1796875" style="90" hidden="1" customWidth="1"/>
    <col min="8" max="8" width="23.7265625" style="90" bestFit="1" customWidth="1"/>
    <col min="9" max="9" width="9.1796875" style="283" customWidth="1"/>
    <col min="10" max="10" width="20.26953125" style="146" bestFit="1" customWidth="1"/>
    <col min="11" max="11" width="16.453125" style="90" bestFit="1" customWidth="1"/>
    <col min="12" max="12" width="13" style="90" customWidth="1"/>
    <col min="13" max="13" width="21" style="189" customWidth="1"/>
    <col min="14" max="14" width="11.453125" style="90" bestFit="1" customWidth="1"/>
    <col min="15" max="15" width="9.1796875" style="90" customWidth="1"/>
    <col min="16" max="16" width="14.453125" style="283" bestFit="1" customWidth="1"/>
    <col min="17" max="17" width="11.7265625" style="90" bestFit="1" customWidth="1"/>
    <col min="18" max="18" width="13.453125" style="90" bestFit="1" customWidth="1"/>
    <col min="19" max="19" width="10.81640625" style="90" bestFit="1" customWidth="1"/>
    <col min="20" max="20" width="12.1796875" style="90" bestFit="1" customWidth="1"/>
    <col min="21" max="21" width="9.1796875" style="90" customWidth="1"/>
    <col min="22" max="23" width="9.1796875" style="90"/>
    <col min="24" max="27" width="18.1796875" style="90" bestFit="1" customWidth="1"/>
    <col min="28" max="16384" width="9.1796875" style="90"/>
  </cols>
  <sheetData>
    <row r="1" spans="1:91" ht="56">
      <c r="A1" s="231"/>
      <c r="B1" s="284" t="s">
        <v>21</v>
      </c>
      <c r="C1" s="232" t="s">
        <v>435</v>
      </c>
      <c r="D1" s="247" t="s">
        <v>436</v>
      </c>
      <c r="E1" s="232" t="s">
        <v>437</v>
      </c>
      <c r="F1" s="232" t="s">
        <v>438</v>
      </c>
      <c r="G1" s="233" t="s">
        <v>439</v>
      </c>
      <c r="H1" s="233" t="s">
        <v>77</v>
      </c>
      <c r="I1" s="280" t="s">
        <v>440</v>
      </c>
      <c r="J1" s="234" t="s">
        <v>441</v>
      </c>
      <c r="K1" s="233" t="s">
        <v>442</v>
      </c>
      <c r="L1" s="233" t="s">
        <v>443</v>
      </c>
      <c r="M1" s="321" t="s">
        <v>14</v>
      </c>
      <c r="N1" s="233" t="s">
        <v>444</v>
      </c>
      <c r="O1" s="232" t="s">
        <v>12</v>
      </c>
      <c r="P1" s="284" t="s">
        <v>445</v>
      </c>
      <c r="Q1" s="232" t="s">
        <v>446</v>
      </c>
      <c r="R1" s="232" t="s">
        <v>447</v>
      </c>
      <c r="S1" s="233" t="s">
        <v>448</v>
      </c>
      <c r="T1" s="233" t="s">
        <v>248</v>
      </c>
      <c r="U1" s="197" t="s">
        <v>4272</v>
      </c>
      <c r="V1" s="90" t="s">
        <v>4273</v>
      </c>
      <c r="W1" s="90" t="s">
        <v>4274</v>
      </c>
      <c r="X1" s="90" t="s">
        <v>4276</v>
      </c>
      <c r="Y1" s="90" t="s">
        <v>4277</v>
      </c>
      <c r="Z1" s="90" t="s">
        <v>4278</v>
      </c>
      <c r="AA1" s="90" t="s">
        <v>4279</v>
      </c>
      <c r="AB1" s="90" t="s">
        <v>4280</v>
      </c>
      <c r="AC1" s="90" t="s">
        <v>4281</v>
      </c>
      <c r="AD1" s="90" t="s">
        <v>4282</v>
      </c>
      <c r="AE1" s="90" t="s">
        <v>4283</v>
      </c>
      <c r="AF1" s="90" t="s">
        <v>4284</v>
      </c>
      <c r="AG1" s="90" t="s">
        <v>4285</v>
      </c>
      <c r="AH1" s="90" t="s">
        <v>4286</v>
      </c>
      <c r="AI1" s="90" t="s">
        <v>4287</v>
      </c>
      <c r="AJ1" s="90" t="s">
        <v>4288</v>
      </c>
      <c r="AK1" s="90" t="s">
        <v>4289</v>
      </c>
      <c r="AL1" s="90" t="s">
        <v>4290</v>
      </c>
      <c r="AM1" s="90" t="s">
        <v>4291</v>
      </c>
      <c r="AN1" s="90" t="s">
        <v>4292</v>
      </c>
      <c r="AO1" s="90" t="s">
        <v>4293</v>
      </c>
      <c r="AP1" s="90" t="s">
        <v>4294</v>
      </c>
      <c r="AQ1" s="90" t="s">
        <v>4295</v>
      </c>
      <c r="AR1" s="90" t="s">
        <v>4296</v>
      </c>
      <c r="AS1" s="90" t="s">
        <v>4297</v>
      </c>
      <c r="AT1" s="90" t="s">
        <v>4298</v>
      </c>
      <c r="AU1" s="90" t="s">
        <v>4299</v>
      </c>
      <c r="AV1" s="90" t="s">
        <v>4300</v>
      </c>
      <c r="AW1" s="90" t="s">
        <v>4301</v>
      </c>
      <c r="AX1" s="90" t="s">
        <v>4302</v>
      </c>
      <c r="AY1" s="90" t="s">
        <v>4303</v>
      </c>
      <c r="AZ1" s="90" t="s">
        <v>4304</v>
      </c>
      <c r="BA1" s="90" t="s">
        <v>4305</v>
      </c>
      <c r="BB1" s="90" t="s">
        <v>4306</v>
      </c>
      <c r="BC1" s="90" t="s">
        <v>4307</v>
      </c>
      <c r="BD1" s="90" t="s">
        <v>4308</v>
      </c>
      <c r="BE1" s="90" t="s">
        <v>4309</v>
      </c>
      <c r="BF1" s="90" t="s">
        <v>4310</v>
      </c>
      <c r="BG1" s="90" t="s">
        <v>4311</v>
      </c>
      <c r="BH1" s="90" t="s">
        <v>4312</v>
      </c>
      <c r="BI1" s="90" t="s">
        <v>4313</v>
      </c>
      <c r="BJ1" s="90" t="s">
        <v>4314</v>
      </c>
      <c r="BK1" s="90" t="s">
        <v>4315</v>
      </c>
      <c r="BL1" s="90" t="s">
        <v>4316</v>
      </c>
      <c r="BM1" s="90" t="s">
        <v>4317</v>
      </c>
      <c r="BN1" s="90" t="s">
        <v>4318</v>
      </c>
      <c r="BO1" s="90" t="s">
        <v>4319</v>
      </c>
      <c r="BP1" s="90" t="s">
        <v>4320</v>
      </c>
      <c r="BQ1" s="90" t="s">
        <v>4321</v>
      </c>
      <c r="BR1" s="90" t="s">
        <v>4322</v>
      </c>
      <c r="BS1" s="90" t="s">
        <v>4323</v>
      </c>
      <c r="BT1" s="90" t="s">
        <v>4324</v>
      </c>
      <c r="BU1" s="90" t="s">
        <v>4325</v>
      </c>
      <c r="BV1" s="90" t="s">
        <v>4326</v>
      </c>
      <c r="BW1" s="90" t="s">
        <v>4327</v>
      </c>
      <c r="BX1" s="90" t="s">
        <v>4328</v>
      </c>
      <c r="BY1" s="90" t="s">
        <v>4329</v>
      </c>
      <c r="BZ1" s="90" t="s">
        <v>4330</v>
      </c>
      <c r="CA1" s="90" t="s">
        <v>4331</v>
      </c>
      <c r="CB1" s="90" t="s">
        <v>4332</v>
      </c>
      <c r="CC1" s="90" t="s">
        <v>4333</v>
      </c>
      <c r="CD1" s="90" t="s">
        <v>4334</v>
      </c>
      <c r="CE1" s="90" t="s">
        <v>4335</v>
      </c>
      <c r="CF1" s="90" t="s">
        <v>4336</v>
      </c>
      <c r="CG1" s="90" t="s">
        <v>4337</v>
      </c>
      <c r="CH1" s="90" t="s">
        <v>4338</v>
      </c>
      <c r="CI1" s="90" t="s">
        <v>4339</v>
      </c>
      <c r="CJ1" s="90" t="s">
        <v>4340</v>
      </c>
      <c r="CK1" s="90" t="s">
        <v>4341</v>
      </c>
      <c r="CL1" s="90" t="s">
        <v>4342</v>
      </c>
      <c r="CM1" s="90" t="s">
        <v>4343</v>
      </c>
    </row>
    <row r="2" spans="1:91" ht="14">
      <c r="A2" s="231" cm="1">
        <f t="array" ref="A2:A2391">_xlfn.SEQUENCE(COUNTA(D$2:D$1048576))</f>
        <v>1</v>
      </c>
      <c r="B2" s="235" t="s">
        <v>49</v>
      </c>
      <c r="C2" s="231" t="s">
        <v>10</v>
      </c>
      <c r="D2" s="248" t="s">
        <v>449</v>
      </c>
      <c r="E2" s="239" t="s">
        <v>450</v>
      </c>
      <c r="F2" s="231" t="s">
        <v>451</v>
      </c>
      <c r="G2" s="231" cm="1">
        <f t="array" ref="G2">_xlfn.IFS(J2&lt;301,2,J2&gt;300,48)</f>
        <v>48</v>
      </c>
      <c r="H2" s="231" t="s">
        <v>452</v>
      </c>
      <c r="I2" s="281">
        <v>0</v>
      </c>
      <c r="J2" s="249">
        <v>2100</v>
      </c>
      <c r="K2" s="231" t="b">
        <f t="shared" ref="K2:K65" si="0">IF(M2="ONT",20,IF(M2="N/A","N/A",IF(M2="MIKROTIK",IF(J2&lt;3000,10,IF(3000&lt;J2&gt;10000,20,IF(10000&lt;J2&gt;20000,40,IF(20000&lt;J2&gt;40000,60,IF(J2&gt;40000,80,IF(J2&lt;300,3,)))))))))</f>
        <v>0</v>
      </c>
      <c r="L2" s="231"/>
      <c r="M2" s="231" t="s">
        <v>4539</v>
      </c>
      <c r="N2" s="231" t="s">
        <v>253</v>
      </c>
      <c r="O2" s="231">
        <v>2021</v>
      </c>
      <c r="P2" s="281"/>
      <c r="Q2" s="231"/>
      <c r="R2" s="231"/>
      <c r="S2" s="236" t="s">
        <v>453</v>
      </c>
      <c r="T2" s="236" t="s">
        <v>264</v>
      </c>
    </row>
    <row r="3" spans="1:91" ht="14">
      <c r="A3" s="231">
        <v>2</v>
      </c>
      <c r="B3" s="235" t="s">
        <v>49</v>
      </c>
      <c r="C3" s="231" t="s">
        <v>10</v>
      </c>
      <c r="D3" s="250" t="s">
        <v>454</v>
      </c>
      <c r="E3" s="239" t="s">
        <v>455</v>
      </c>
      <c r="F3" s="231" t="s">
        <v>451</v>
      </c>
      <c r="G3" s="231" cm="1">
        <f t="array" ref="G3">_xlfn.IFS(J3&lt;301,2,J3&gt;300,48)</f>
        <v>48</v>
      </c>
      <c r="H3" s="231" t="s">
        <v>452</v>
      </c>
      <c r="I3" s="281">
        <v>0</v>
      </c>
      <c r="J3" s="249">
        <v>2200</v>
      </c>
      <c r="K3" s="231" t="str">
        <f t="shared" si="0"/>
        <v>N/A</v>
      </c>
      <c r="L3" s="231"/>
      <c r="M3" s="231" t="s">
        <v>456</v>
      </c>
      <c r="N3" s="231" t="s">
        <v>253</v>
      </c>
      <c r="O3" s="231">
        <v>2020</v>
      </c>
      <c r="P3" s="281"/>
      <c r="Q3" s="231"/>
      <c r="R3" s="231"/>
      <c r="S3" s="236" t="s">
        <v>457</v>
      </c>
      <c r="T3" s="236" t="s">
        <v>264</v>
      </c>
    </row>
    <row r="4" spans="1:91" ht="14">
      <c r="A4" s="231">
        <v>3</v>
      </c>
      <c r="B4" s="235" t="s">
        <v>49</v>
      </c>
      <c r="C4" s="231" t="s">
        <v>10</v>
      </c>
      <c r="D4" s="250" t="s">
        <v>458</v>
      </c>
      <c r="E4" s="239" t="s">
        <v>459</v>
      </c>
      <c r="F4" s="231" t="s">
        <v>451</v>
      </c>
      <c r="G4" s="231" cm="1">
        <f t="array" ref="G4">_xlfn.IFS(J4&lt;301,2,J4&gt;300,48)</f>
        <v>48</v>
      </c>
      <c r="H4" s="231" t="s">
        <v>452</v>
      </c>
      <c r="I4" s="281">
        <v>0</v>
      </c>
      <c r="J4" s="249">
        <v>1500</v>
      </c>
      <c r="K4" s="231" t="b">
        <f t="shared" si="0"/>
        <v>0</v>
      </c>
      <c r="L4" s="231"/>
      <c r="M4" s="231" t="s">
        <v>4539</v>
      </c>
      <c r="N4" s="231" t="s">
        <v>253</v>
      </c>
      <c r="O4" s="231">
        <v>2020</v>
      </c>
      <c r="P4" s="281"/>
      <c r="Q4" s="231"/>
      <c r="R4" s="231"/>
      <c r="S4" s="236" t="s">
        <v>453</v>
      </c>
      <c r="T4" s="236" t="s">
        <v>264</v>
      </c>
    </row>
    <row r="5" spans="1:91" ht="14">
      <c r="A5" s="231">
        <v>4</v>
      </c>
      <c r="B5" s="235" t="s">
        <v>49</v>
      </c>
      <c r="C5" s="231" t="s">
        <v>10</v>
      </c>
      <c r="D5" s="250" t="s">
        <v>460</v>
      </c>
      <c r="E5" s="239" t="s">
        <v>461</v>
      </c>
      <c r="F5" s="239" t="s">
        <v>451</v>
      </c>
      <c r="G5" s="231" cm="1">
        <f t="array" ref="G5">_xlfn.IFS(J5&lt;301,2,J5&gt;300,48)</f>
        <v>2</v>
      </c>
      <c r="H5" s="231" t="s">
        <v>452</v>
      </c>
      <c r="I5" s="281">
        <v>150</v>
      </c>
      <c r="J5" s="249">
        <v>0</v>
      </c>
      <c r="K5" s="231" t="b">
        <f t="shared" si="0"/>
        <v>0</v>
      </c>
      <c r="L5" s="231"/>
      <c r="M5" s="231" t="s">
        <v>4539</v>
      </c>
      <c r="N5" s="231" t="s">
        <v>253</v>
      </c>
      <c r="O5" s="231">
        <v>2020</v>
      </c>
      <c r="P5" s="281"/>
      <c r="Q5" s="231"/>
      <c r="R5" s="231"/>
      <c r="S5" s="236" t="s">
        <v>453</v>
      </c>
      <c r="T5" s="236" t="s">
        <v>264</v>
      </c>
    </row>
    <row r="6" spans="1:91" ht="14">
      <c r="A6" s="231">
        <v>5</v>
      </c>
      <c r="B6" s="235" t="s">
        <v>49</v>
      </c>
      <c r="C6" s="231" t="s">
        <v>10</v>
      </c>
      <c r="D6" s="250" t="s">
        <v>462</v>
      </c>
      <c r="E6" s="239" t="s">
        <v>463</v>
      </c>
      <c r="F6" s="231" t="s">
        <v>464</v>
      </c>
      <c r="G6" s="231" cm="1">
        <f t="array" ref="G6">_xlfn.IFS(J6&lt;301,2,J6&gt;300,48)</f>
        <v>48</v>
      </c>
      <c r="H6" s="231" t="s">
        <v>452</v>
      </c>
      <c r="I6" s="281">
        <v>0</v>
      </c>
      <c r="J6" s="249">
        <v>3575</v>
      </c>
      <c r="K6" s="231" t="b">
        <f t="shared" si="0"/>
        <v>0</v>
      </c>
      <c r="L6" s="231"/>
      <c r="M6" s="231" t="s">
        <v>4539</v>
      </c>
      <c r="N6" s="231" t="s">
        <v>253</v>
      </c>
      <c r="O6" s="231">
        <v>2020</v>
      </c>
      <c r="P6" s="281"/>
      <c r="Q6" s="231"/>
      <c r="R6" s="231"/>
      <c r="S6" s="236" t="s">
        <v>453</v>
      </c>
      <c r="T6" s="236" t="s">
        <v>264</v>
      </c>
    </row>
    <row r="7" spans="1:91" ht="14">
      <c r="A7" s="231">
        <v>6</v>
      </c>
      <c r="B7" s="235" t="s">
        <v>49</v>
      </c>
      <c r="C7" s="231" t="s">
        <v>10</v>
      </c>
      <c r="D7" s="250" t="s">
        <v>465</v>
      </c>
      <c r="E7" s="239" t="s">
        <v>466</v>
      </c>
      <c r="F7" s="231" t="s">
        <v>451</v>
      </c>
      <c r="G7" s="231" cm="1">
        <f t="array" ref="G7">_xlfn.IFS(J7&lt;301,2,J7&gt;300,48)</f>
        <v>48</v>
      </c>
      <c r="H7" s="231" t="s">
        <v>452</v>
      </c>
      <c r="I7" s="281">
        <v>0</v>
      </c>
      <c r="J7" s="249">
        <v>800</v>
      </c>
      <c r="K7" s="231" t="b">
        <f t="shared" si="0"/>
        <v>0</v>
      </c>
      <c r="L7" s="231"/>
      <c r="M7" s="231" t="s">
        <v>4539</v>
      </c>
      <c r="N7" s="231" t="s">
        <v>253</v>
      </c>
      <c r="O7" s="231">
        <v>2020</v>
      </c>
      <c r="P7" s="281"/>
      <c r="Q7" s="231"/>
      <c r="R7" s="231"/>
      <c r="S7" s="236" t="s">
        <v>453</v>
      </c>
      <c r="T7" s="236" t="s">
        <v>264</v>
      </c>
    </row>
    <row r="8" spans="1:91" ht="14">
      <c r="A8" s="231">
        <v>7</v>
      </c>
      <c r="B8" s="235" t="s">
        <v>49</v>
      </c>
      <c r="C8" s="231" t="s">
        <v>10</v>
      </c>
      <c r="D8" s="250" t="s">
        <v>467</v>
      </c>
      <c r="E8" s="239" t="s">
        <v>468</v>
      </c>
      <c r="F8" s="231" t="s">
        <v>464</v>
      </c>
      <c r="G8" s="231" cm="1">
        <f t="array" ref="G8">_xlfn.IFS(J8&lt;301,2,J8&gt;300,48)</f>
        <v>48</v>
      </c>
      <c r="H8" s="231" t="s">
        <v>452</v>
      </c>
      <c r="I8" s="281">
        <v>0</v>
      </c>
      <c r="J8" s="249">
        <v>400</v>
      </c>
      <c r="K8" s="231" t="b">
        <f t="shared" si="0"/>
        <v>0</v>
      </c>
      <c r="L8" s="231"/>
      <c r="M8" s="231" t="s">
        <v>4539</v>
      </c>
      <c r="N8" s="231" t="s">
        <v>253</v>
      </c>
      <c r="O8" s="231">
        <v>2020</v>
      </c>
      <c r="P8" s="281"/>
      <c r="Q8" s="231"/>
      <c r="R8" s="231"/>
      <c r="S8" s="236" t="s">
        <v>453</v>
      </c>
      <c r="T8" s="236" t="s">
        <v>264</v>
      </c>
    </row>
    <row r="9" spans="1:91" ht="14">
      <c r="A9" s="231">
        <v>8</v>
      </c>
      <c r="B9" s="235" t="s">
        <v>49</v>
      </c>
      <c r="C9" s="231" t="s">
        <v>10</v>
      </c>
      <c r="D9" s="250" t="s">
        <v>469</v>
      </c>
      <c r="E9" s="239" t="s">
        <v>470</v>
      </c>
      <c r="F9" s="231" t="s">
        <v>464</v>
      </c>
      <c r="G9" s="231" cm="1">
        <f t="array" ref="G9">_xlfn.IFS(J9&lt;301,2,J9&gt;300,48)</f>
        <v>48</v>
      </c>
      <c r="H9" s="231" t="s">
        <v>452</v>
      </c>
      <c r="I9" s="281">
        <v>0</v>
      </c>
      <c r="J9" s="249">
        <v>1200</v>
      </c>
      <c r="K9" s="231" t="b">
        <f t="shared" si="0"/>
        <v>0</v>
      </c>
      <c r="L9" s="231"/>
      <c r="M9" s="231" t="s">
        <v>4539</v>
      </c>
      <c r="N9" s="231" t="s">
        <v>253</v>
      </c>
      <c r="O9" s="231">
        <v>2020</v>
      </c>
      <c r="P9" s="281"/>
      <c r="Q9" s="231"/>
      <c r="R9" s="231"/>
      <c r="S9" s="236" t="s">
        <v>453</v>
      </c>
      <c r="T9" s="236" t="s">
        <v>264</v>
      </c>
    </row>
    <row r="10" spans="1:91" ht="14">
      <c r="A10" s="231">
        <v>9</v>
      </c>
      <c r="B10" s="235" t="s">
        <v>49</v>
      </c>
      <c r="C10" s="231" t="s">
        <v>10</v>
      </c>
      <c r="D10" s="250" t="s">
        <v>471</v>
      </c>
      <c r="E10" s="239" t="s">
        <v>472</v>
      </c>
      <c r="F10" s="231" t="s">
        <v>451</v>
      </c>
      <c r="G10" s="231" cm="1">
        <f t="array" ref="G10">_xlfn.IFS(J10&lt;301,2,J10&gt;300,48)</f>
        <v>48</v>
      </c>
      <c r="H10" s="231" t="s">
        <v>452</v>
      </c>
      <c r="I10" s="281">
        <v>0</v>
      </c>
      <c r="J10" s="249">
        <v>500</v>
      </c>
      <c r="K10" s="231" t="b">
        <f t="shared" si="0"/>
        <v>0</v>
      </c>
      <c r="L10" s="231"/>
      <c r="M10" s="231" t="s">
        <v>4539</v>
      </c>
      <c r="N10" s="231" t="s">
        <v>253</v>
      </c>
      <c r="O10" s="231">
        <v>2020</v>
      </c>
      <c r="P10" s="281"/>
      <c r="Q10" s="231"/>
      <c r="R10" s="231"/>
      <c r="S10" s="236" t="s">
        <v>453</v>
      </c>
      <c r="T10" s="236" t="s">
        <v>264</v>
      </c>
    </row>
    <row r="11" spans="1:91" ht="14">
      <c r="A11" s="231">
        <v>10</v>
      </c>
      <c r="B11" s="235" t="s">
        <v>49</v>
      </c>
      <c r="C11" s="231" t="s">
        <v>10</v>
      </c>
      <c r="D11" s="250" t="s">
        <v>473</v>
      </c>
      <c r="E11" s="239" t="s">
        <v>474</v>
      </c>
      <c r="F11" s="231" t="s">
        <v>464</v>
      </c>
      <c r="G11" s="231" cm="1">
        <f t="array" ref="G11">_xlfn.IFS(J11&lt;301,2,J11&gt;300,48)</f>
        <v>48</v>
      </c>
      <c r="H11" s="231" t="s">
        <v>475</v>
      </c>
      <c r="I11" s="281">
        <v>0</v>
      </c>
      <c r="J11" s="249">
        <v>426</v>
      </c>
      <c r="K11" s="231" t="b">
        <f t="shared" si="0"/>
        <v>0</v>
      </c>
      <c r="L11" s="231"/>
      <c r="M11" s="231" t="s">
        <v>4539</v>
      </c>
      <c r="N11" s="231" t="s">
        <v>253</v>
      </c>
      <c r="O11" s="231">
        <v>2020</v>
      </c>
      <c r="P11" s="281"/>
      <c r="Q11" s="231"/>
      <c r="R11" s="231"/>
      <c r="S11" s="236" t="s">
        <v>453</v>
      </c>
      <c r="T11" s="236" t="s">
        <v>264</v>
      </c>
    </row>
    <row r="12" spans="1:91" ht="14">
      <c r="A12" s="231">
        <v>11</v>
      </c>
      <c r="B12" s="235" t="s">
        <v>49</v>
      </c>
      <c r="C12" s="231" t="s">
        <v>10</v>
      </c>
      <c r="D12" s="250" t="s">
        <v>476</v>
      </c>
      <c r="E12" s="239" t="s">
        <v>477</v>
      </c>
      <c r="F12" s="231" t="s">
        <v>464</v>
      </c>
      <c r="G12" s="231" cm="1">
        <f t="array" ref="G12">_xlfn.IFS(J12&lt;301,2,J12&gt;300,48)</f>
        <v>48</v>
      </c>
      <c r="H12" s="231" t="s">
        <v>478</v>
      </c>
      <c r="I12" s="281">
        <v>0</v>
      </c>
      <c r="J12" s="249">
        <v>2500</v>
      </c>
      <c r="K12" s="231" t="str">
        <f t="shared" si="0"/>
        <v>N/A</v>
      </c>
      <c r="L12" s="231"/>
      <c r="M12" s="231" t="s">
        <v>456</v>
      </c>
      <c r="N12" s="231" t="s">
        <v>253</v>
      </c>
      <c r="O12" s="231">
        <v>2020</v>
      </c>
      <c r="P12" s="281"/>
      <c r="Q12" s="231"/>
      <c r="R12" s="231"/>
      <c r="S12" s="236" t="s">
        <v>453</v>
      </c>
      <c r="T12" s="236" t="s">
        <v>264</v>
      </c>
    </row>
    <row r="13" spans="1:91" ht="14">
      <c r="A13" s="231">
        <v>12</v>
      </c>
      <c r="B13" s="235" t="s">
        <v>49</v>
      </c>
      <c r="C13" s="231" t="s">
        <v>10</v>
      </c>
      <c r="D13" s="250" t="s">
        <v>479</v>
      </c>
      <c r="E13" s="239" t="s">
        <v>480</v>
      </c>
      <c r="F13" s="231" t="s">
        <v>451</v>
      </c>
      <c r="G13" s="231" cm="1">
        <f t="array" ref="G13">_xlfn.IFS(J13&lt;301,2,J13&gt;300,48)</f>
        <v>48</v>
      </c>
      <c r="H13" s="231" t="s">
        <v>452</v>
      </c>
      <c r="I13" s="281">
        <v>0</v>
      </c>
      <c r="J13" s="249">
        <v>1100</v>
      </c>
      <c r="K13" s="231" t="b">
        <f t="shared" si="0"/>
        <v>0</v>
      </c>
      <c r="L13" s="231"/>
      <c r="M13" s="231" t="s">
        <v>4539</v>
      </c>
      <c r="N13" s="231" t="s">
        <v>253</v>
      </c>
      <c r="O13" s="231">
        <v>2020</v>
      </c>
      <c r="P13" s="281"/>
      <c r="Q13" s="231"/>
      <c r="R13" s="231"/>
      <c r="S13" s="236" t="s">
        <v>453</v>
      </c>
      <c r="T13" s="236" t="s">
        <v>264</v>
      </c>
    </row>
    <row r="14" spans="1:91" ht="14">
      <c r="A14" s="231">
        <v>13</v>
      </c>
      <c r="B14" s="235" t="s">
        <v>49</v>
      </c>
      <c r="C14" s="231" t="s">
        <v>10</v>
      </c>
      <c r="D14" s="250" t="s">
        <v>481</v>
      </c>
      <c r="E14" s="239" t="s">
        <v>482</v>
      </c>
      <c r="F14" s="231" t="s">
        <v>464</v>
      </c>
      <c r="G14" s="231" cm="1">
        <f t="array" ref="G14">_xlfn.IFS(J14&lt;301,2,J14&gt;300,48)</f>
        <v>48</v>
      </c>
      <c r="H14" s="231" t="s">
        <v>452</v>
      </c>
      <c r="I14" s="281">
        <v>0</v>
      </c>
      <c r="J14" s="249">
        <v>629</v>
      </c>
      <c r="K14" s="231" t="b">
        <f t="shared" si="0"/>
        <v>0</v>
      </c>
      <c r="L14" s="231"/>
      <c r="M14" s="231" t="s">
        <v>4539</v>
      </c>
      <c r="N14" s="231" t="s">
        <v>253</v>
      </c>
      <c r="O14" s="231">
        <v>2020</v>
      </c>
      <c r="P14" s="281"/>
      <c r="Q14" s="231"/>
      <c r="R14" s="231"/>
      <c r="S14" s="236" t="s">
        <v>453</v>
      </c>
      <c r="T14" s="236" t="s">
        <v>264</v>
      </c>
    </row>
    <row r="15" spans="1:91" ht="14">
      <c r="A15" s="231">
        <v>14</v>
      </c>
      <c r="B15" s="235" t="s">
        <v>49</v>
      </c>
      <c r="C15" s="231" t="s">
        <v>10</v>
      </c>
      <c r="D15" s="250" t="s">
        <v>483</v>
      </c>
      <c r="E15" s="239" t="s">
        <v>484</v>
      </c>
      <c r="F15" s="231" t="s">
        <v>464</v>
      </c>
      <c r="G15" s="231" cm="1">
        <f t="array" ref="G15">_xlfn.IFS(J15&lt;301,2,J15&gt;300,48)</f>
        <v>48</v>
      </c>
      <c r="H15" s="231" t="s">
        <v>452</v>
      </c>
      <c r="I15" s="281">
        <v>0</v>
      </c>
      <c r="J15" s="249">
        <v>4000</v>
      </c>
      <c r="K15" s="231" t="b">
        <f t="shared" si="0"/>
        <v>0</v>
      </c>
      <c r="L15" s="231"/>
      <c r="M15" s="231" t="s">
        <v>4539</v>
      </c>
      <c r="N15" s="231" t="s">
        <v>253</v>
      </c>
      <c r="O15" s="231">
        <v>2020</v>
      </c>
      <c r="P15" s="281"/>
      <c r="Q15" s="231"/>
      <c r="R15" s="231"/>
      <c r="S15" s="236" t="s">
        <v>453</v>
      </c>
      <c r="T15" s="236" t="s">
        <v>264</v>
      </c>
    </row>
    <row r="16" spans="1:91" ht="14">
      <c r="A16" s="231">
        <v>15</v>
      </c>
      <c r="B16" s="235" t="s">
        <v>49</v>
      </c>
      <c r="C16" s="231" t="s">
        <v>10</v>
      </c>
      <c r="D16" s="250" t="s">
        <v>485</v>
      </c>
      <c r="E16" s="239" t="s">
        <v>486</v>
      </c>
      <c r="F16" s="231" t="s">
        <v>451</v>
      </c>
      <c r="G16" s="231" cm="1">
        <f t="array" ref="G16">_xlfn.IFS(J16&lt;301,2,J16&gt;300,48)</f>
        <v>48</v>
      </c>
      <c r="H16" s="231" t="s">
        <v>452</v>
      </c>
      <c r="I16" s="281">
        <v>0</v>
      </c>
      <c r="J16" s="249">
        <v>4000</v>
      </c>
      <c r="K16" s="231" t="b">
        <f t="shared" si="0"/>
        <v>0</v>
      </c>
      <c r="L16" s="231"/>
      <c r="M16" s="231" t="s">
        <v>4539</v>
      </c>
      <c r="N16" s="231" t="s">
        <v>253</v>
      </c>
      <c r="O16" s="231">
        <v>2020</v>
      </c>
      <c r="P16" s="281"/>
      <c r="Q16" s="231"/>
      <c r="R16" s="231"/>
      <c r="S16" s="236" t="s">
        <v>453</v>
      </c>
      <c r="T16" s="236" t="s">
        <v>264</v>
      </c>
    </row>
    <row r="17" spans="1:20" ht="14">
      <c r="A17" s="231">
        <v>16</v>
      </c>
      <c r="B17" s="235" t="s">
        <v>49</v>
      </c>
      <c r="C17" s="231" t="s">
        <v>10</v>
      </c>
      <c r="D17" s="250" t="s">
        <v>487</v>
      </c>
      <c r="E17" s="239" t="s">
        <v>488</v>
      </c>
      <c r="F17" s="231" t="s">
        <v>451</v>
      </c>
      <c r="G17" s="231" cm="1">
        <f t="array" ref="G17">_xlfn.IFS(J17&lt;301,2,J17&gt;300,48)</f>
        <v>2</v>
      </c>
      <c r="H17" s="231" t="s">
        <v>452</v>
      </c>
      <c r="I17" s="281">
        <v>0</v>
      </c>
      <c r="J17" s="249">
        <v>300</v>
      </c>
      <c r="K17" s="231" t="b">
        <f t="shared" si="0"/>
        <v>0</v>
      </c>
      <c r="L17" s="231"/>
      <c r="M17" s="231" t="s">
        <v>4539</v>
      </c>
      <c r="N17" s="231" t="s">
        <v>253</v>
      </c>
      <c r="O17" s="231">
        <v>2020</v>
      </c>
      <c r="P17" s="281"/>
      <c r="Q17" s="231"/>
      <c r="R17" s="231"/>
      <c r="S17" s="236" t="s">
        <v>453</v>
      </c>
      <c r="T17" s="236" t="s">
        <v>264</v>
      </c>
    </row>
    <row r="18" spans="1:20" ht="14">
      <c r="A18" s="231">
        <v>17</v>
      </c>
      <c r="B18" s="235" t="s">
        <v>49</v>
      </c>
      <c r="C18" s="231" t="s">
        <v>10</v>
      </c>
      <c r="D18" s="250" t="s">
        <v>489</v>
      </c>
      <c r="E18" s="239" t="s">
        <v>490</v>
      </c>
      <c r="F18" s="231" t="s">
        <v>464</v>
      </c>
      <c r="G18" s="231" cm="1">
        <f t="array" ref="G18">_xlfn.IFS(J18&lt;301,2,J18&gt;300,48)</f>
        <v>48</v>
      </c>
      <c r="H18" s="231" t="s">
        <v>452</v>
      </c>
      <c r="I18" s="281">
        <v>0</v>
      </c>
      <c r="J18" s="249">
        <v>4400</v>
      </c>
      <c r="K18" s="231" t="b">
        <f t="shared" si="0"/>
        <v>0</v>
      </c>
      <c r="L18" s="231"/>
      <c r="M18" s="231" t="s">
        <v>4539</v>
      </c>
      <c r="N18" s="231" t="s">
        <v>253</v>
      </c>
      <c r="O18" s="231">
        <v>2020</v>
      </c>
      <c r="P18" s="281"/>
      <c r="Q18" s="231"/>
      <c r="R18" s="231"/>
      <c r="S18" s="236" t="s">
        <v>453</v>
      </c>
      <c r="T18" s="236" t="s">
        <v>264</v>
      </c>
    </row>
    <row r="19" spans="1:20" ht="14">
      <c r="A19" s="231">
        <v>18</v>
      </c>
      <c r="B19" s="235" t="s">
        <v>49</v>
      </c>
      <c r="C19" s="231" t="s">
        <v>10</v>
      </c>
      <c r="D19" s="250" t="s">
        <v>491</v>
      </c>
      <c r="E19" s="239" t="s">
        <v>492</v>
      </c>
      <c r="F19" s="231" t="s">
        <v>451</v>
      </c>
      <c r="G19" s="231" cm="1">
        <f t="array" ref="G19">_xlfn.IFS(J19&lt;301,2,J19&gt;300,48)</f>
        <v>48</v>
      </c>
      <c r="H19" s="231" t="s">
        <v>452</v>
      </c>
      <c r="I19" s="281">
        <v>0</v>
      </c>
      <c r="J19" s="249">
        <v>3230</v>
      </c>
      <c r="K19" s="231" t="b">
        <f t="shared" si="0"/>
        <v>0</v>
      </c>
      <c r="L19" s="231"/>
      <c r="M19" s="231" t="s">
        <v>4539</v>
      </c>
      <c r="N19" s="231" t="s">
        <v>253</v>
      </c>
      <c r="O19" s="231">
        <v>2020</v>
      </c>
      <c r="P19" s="281"/>
      <c r="Q19" s="231"/>
      <c r="R19" s="231"/>
      <c r="S19" s="236" t="s">
        <v>453</v>
      </c>
      <c r="T19" s="236" t="s">
        <v>264</v>
      </c>
    </row>
    <row r="20" spans="1:20" ht="14">
      <c r="A20" s="231">
        <v>19</v>
      </c>
      <c r="B20" s="235" t="s">
        <v>49</v>
      </c>
      <c r="C20" s="231" t="s">
        <v>10</v>
      </c>
      <c r="D20" s="250" t="s">
        <v>493</v>
      </c>
      <c r="E20" s="239" t="s">
        <v>494</v>
      </c>
      <c r="F20" s="231" t="s">
        <v>451</v>
      </c>
      <c r="G20" s="231" cm="1">
        <f t="array" ref="G20">_xlfn.IFS(J20&lt;301,2,J20&gt;300,48)</f>
        <v>48</v>
      </c>
      <c r="H20" s="231" t="s">
        <v>452</v>
      </c>
      <c r="I20" s="281">
        <v>0</v>
      </c>
      <c r="J20" s="249">
        <v>800</v>
      </c>
      <c r="K20" s="231" t="b">
        <f t="shared" si="0"/>
        <v>0</v>
      </c>
      <c r="L20" s="231"/>
      <c r="M20" s="231" t="s">
        <v>4539</v>
      </c>
      <c r="N20" s="231" t="s">
        <v>253</v>
      </c>
      <c r="O20" s="231">
        <v>2020</v>
      </c>
      <c r="P20" s="281"/>
      <c r="Q20" s="231"/>
      <c r="R20" s="231"/>
      <c r="S20" s="236" t="s">
        <v>453</v>
      </c>
      <c r="T20" s="236" t="s">
        <v>264</v>
      </c>
    </row>
    <row r="21" spans="1:20" ht="14">
      <c r="A21" s="231">
        <v>20</v>
      </c>
      <c r="B21" s="235" t="s">
        <v>49</v>
      </c>
      <c r="C21" s="231" t="s">
        <v>10</v>
      </c>
      <c r="D21" s="250" t="s">
        <v>495</v>
      </c>
      <c r="E21" s="239" t="s">
        <v>496</v>
      </c>
      <c r="F21" s="231" t="s">
        <v>451</v>
      </c>
      <c r="G21" s="231" cm="1">
        <f t="array" ref="G21">_xlfn.IFS(J21&lt;301,2,J21&gt;300,48)</f>
        <v>48</v>
      </c>
      <c r="H21" s="231" t="s">
        <v>452</v>
      </c>
      <c r="I21" s="281">
        <v>0</v>
      </c>
      <c r="J21" s="249">
        <v>900</v>
      </c>
      <c r="K21" s="231" t="b">
        <f t="shared" si="0"/>
        <v>0</v>
      </c>
      <c r="L21" s="231"/>
      <c r="M21" s="231" t="s">
        <v>4539</v>
      </c>
      <c r="N21" s="231" t="s">
        <v>253</v>
      </c>
      <c r="O21" s="231">
        <v>2020</v>
      </c>
      <c r="P21" s="281"/>
      <c r="Q21" s="231"/>
      <c r="R21" s="231"/>
      <c r="S21" s="236" t="s">
        <v>453</v>
      </c>
      <c r="T21" s="236" t="s">
        <v>264</v>
      </c>
    </row>
    <row r="22" spans="1:20" ht="14">
      <c r="A22" s="231">
        <v>21</v>
      </c>
      <c r="B22" s="235" t="s">
        <v>49</v>
      </c>
      <c r="C22" s="231" t="s">
        <v>10</v>
      </c>
      <c r="D22" s="250" t="s">
        <v>497</v>
      </c>
      <c r="E22" s="239" t="s">
        <v>498</v>
      </c>
      <c r="F22" s="231" t="s">
        <v>464</v>
      </c>
      <c r="G22" s="231" cm="1">
        <f t="array" ref="G22">_xlfn.IFS(J22&lt;301,2,J22&gt;300,48)</f>
        <v>48</v>
      </c>
      <c r="H22" s="231" t="s">
        <v>499</v>
      </c>
      <c r="I22" s="281">
        <v>0</v>
      </c>
      <c r="J22" s="249">
        <v>2400</v>
      </c>
      <c r="K22" s="231" t="b">
        <f t="shared" si="0"/>
        <v>0</v>
      </c>
      <c r="L22" s="231"/>
      <c r="M22" s="231" t="s">
        <v>4539</v>
      </c>
      <c r="N22" s="231" t="s">
        <v>253</v>
      </c>
      <c r="O22" s="231">
        <v>2020</v>
      </c>
      <c r="P22" s="281"/>
      <c r="Q22" s="231"/>
      <c r="R22" s="231"/>
      <c r="S22" s="236" t="s">
        <v>453</v>
      </c>
      <c r="T22" s="236" t="s">
        <v>264</v>
      </c>
    </row>
    <row r="23" spans="1:20" ht="14">
      <c r="A23" s="231">
        <v>22</v>
      </c>
      <c r="B23" s="235" t="s">
        <v>49</v>
      </c>
      <c r="C23" s="231" t="s">
        <v>10</v>
      </c>
      <c r="D23" s="250" t="s">
        <v>500</v>
      </c>
      <c r="E23" s="239" t="s">
        <v>501</v>
      </c>
      <c r="F23" s="231" t="s">
        <v>464</v>
      </c>
      <c r="G23" s="231" cm="1">
        <f t="array" ref="G23">_xlfn.IFS(J23&lt;301,2,J23&gt;300,48)</f>
        <v>48</v>
      </c>
      <c r="H23" s="231" t="s">
        <v>452</v>
      </c>
      <c r="I23" s="281">
        <v>0</v>
      </c>
      <c r="J23" s="249">
        <v>1500</v>
      </c>
      <c r="K23" s="231" t="b">
        <f t="shared" si="0"/>
        <v>0</v>
      </c>
      <c r="L23" s="231"/>
      <c r="M23" s="231" t="s">
        <v>4539</v>
      </c>
      <c r="N23" s="231" t="s">
        <v>253</v>
      </c>
      <c r="O23" s="231">
        <v>2020</v>
      </c>
      <c r="P23" s="281"/>
      <c r="Q23" s="231"/>
      <c r="R23" s="231"/>
      <c r="S23" s="236" t="s">
        <v>453</v>
      </c>
      <c r="T23" s="236" t="s">
        <v>264</v>
      </c>
    </row>
    <row r="24" spans="1:20" ht="14">
      <c r="A24" s="231">
        <v>23</v>
      </c>
      <c r="B24" s="235" t="s">
        <v>49</v>
      </c>
      <c r="C24" s="231" t="s">
        <v>10</v>
      </c>
      <c r="D24" s="250" t="s">
        <v>502</v>
      </c>
      <c r="E24" s="239" t="s">
        <v>503</v>
      </c>
      <c r="F24" s="231" t="s">
        <v>451</v>
      </c>
      <c r="G24" s="231" cm="1">
        <f t="array" ref="G24">_xlfn.IFS(J24&lt;301,2,J24&gt;300,48)</f>
        <v>48</v>
      </c>
      <c r="H24" s="231" t="s">
        <v>504</v>
      </c>
      <c r="I24" s="281">
        <v>0</v>
      </c>
      <c r="J24" s="249">
        <v>700</v>
      </c>
      <c r="K24" s="231" t="b">
        <f t="shared" si="0"/>
        <v>0</v>
      </c>
      <c r="L24" s="231"/>
      <c r="M24" s="231" t="s">
        <v>4539</v>
      </c>
      <c r="N24" s="231" t="s">
        <v>253</v>
      </c>
      <c r="O24" s="231">
        <v>2020</v>
      </c>
      <c r="P24" s="281"/>
      <c r="Q24" s="231"/>
      <c r="R24" s="231"/>
      <c r="S24" s="236" t="s">
        <v>453</v>
      </c>
      <c r="T24" s="236" t="s">
        <v>264</v>
      </c>
    </row>
    <row r="25" spans="1:20" ht="14">
      <c r="A25" s="231">
        <v>24</v>
      </c>
      <c r="B25" s="235" t="s">
        <v>49</v>
      </c>
      <c r="C25" s="231" t="s">
        <v>10</v>
      </c>
      <c r="D25" s="250" t="s">
        <v>505</v>
      </c>
      <c r="E25" s="239" t="s">
        <v>506</v>
      </c>
      <c r="F25" s="231" t="s">
        <v>451</v>
      </c>
      <c r="G25" s="231" cm="1">
        <f t="array" ref="G25">_xlfn.IFS(J25&lt;301,2,J25&gt;300,48)</f>
        <v>48</v>
      </c>
      <c r="H25" s="231" t="s">
        <v>452</v>
      </c>
      <c r="I25" s="281">
        <v>0</v>
      </c>
      <c r="J25" s="249">
        <v>2785</v>
      </c>
      <c r="K25" s="231" t="b">
        <f t="shared" si="0"/>
        <v>0</v>
      </c>
      <c r="L25" s="231"/>
      <c r="M25" s="231" t="s">
        <v>4539</v>
      </c>
      <c r="N25" s="231" t="s">
        <v>253</v>
      </c>
      <c r="O25" s="231">
        <v>2020</v>
      </c>
      <c r="P25" s="281"/>
      <c r="Q25" s="231"/>
      <c r="R25" s="231"/>
      <c r="S25" s="236" t="s">
        <v>453</v>
      </c>
      <c r="T25" s="236" t="s">
        <v>264</v>
      </c>
    </row>
    <row r="26" spans="1:20" ht="14">
      <c r="A26" s="231">
        <v>25</v>
      </c>
      <c r="B26" s="235" t="s">
        <v>49</v>
      </c>
      <c r="C26" s="231" t="s">
        <v>10</v>
      </c>
      <c r="D26" s="250" t="s">
        <v>507</v>
      </c>
      <c r="E26" s="239" t="s">
        <v>508</v>
      </c>
      <c r="F26" s="231" t="s">
        <v>451</v>
      </c>
      <c r="G26" s="231" cm="1">
        <f t="array" ref="G26">_xlfn.IFS(J26&lt;301,2,J26&gt;300,48)</f>
        <v>48</v>
      </c>
      <c r="H26" s="231" t="s">
        <v>452</v>
      </c>
      <c r="I26" s="281">
        <v>0</v>
      </c>
      <c r="J26" s="249">
        <v>6000</v>
      </c>
      <c r="K26" s="231">
        <f t="shared" si="0"/>
        <v>20</v>
      </c>
      <c r="L26" s="231"/>
      <c r="M26" s="299" t="s">
        <v>15</v>
      </c>
      <c r="N26" s="231" t="s">
        <v>253</v>
      </c>
      <c r="O26" s="231">
        <v>2020</v>
      </c>
      <c r="P26" s="281"/>
      <c r="Q26" s="231"/>
      <c r="R26" s="231"/>
      <c r="S26" s="236" t="s">
        <v>453</v>
      </c>
      <c r="T26" s="236" t="s">
        <v>264</v>
      </c>
    </row>
    <row r="27" spans="1:20" ht="14">
      <c r="A27" s="231">
        <v>26</v>
      </c>
      <c r="B27" s="235" t="s">
        <v>49</v>
      </c>
      <c r="C27" s="231" t="s">
        <v>10</v>
      </c>
      <c r="D27" s="250" t="s">
        <v>509</v>
      </c>
      <c r="E27" s="239" t="s">
        <v>510</v>
      </c>
      <c r="F27" s="231" t="s">
        <v>451</v>
      </c>
      <c r="G27" s="231" cm="1">
        <f t="array" ref="G27">_xlfn.IFS(J27&lt;301,2,J27&gt;300,48)</f>
        <v>48</v>
      </c>
      <c r="H27" s="231" t="s">
        <v>452</v>
      </c>
      <c r="I27" s="281">
        <v>0</v>
      </c>
      <c r="J27" s="249">
        <v>3800</v>
      </c>
      <c r="K27" s="231">
        <f t="shared" si="0"/>
        <v>20</v>
      </c>
      <c r="L27" s="231"/>
      <c r="M27" s="299" t="s">
        <v>15</v>
      </c>
      <c r="N27" s="231" t="s">
        <v>253</v>
      </c>
      <c r="O27" s="231">
        <v>2020</v>
      </c>
      <c r="P27" s="281"/>
      <c r="Q27" s="231"/>
      <c r="R27" s="231"/>
      <c r="S27" s="236" t="s">
        <v>453</v>
      </c>
      <c r="T27" s="236" t="s">
        <v>264</v>
      </c>
    </row>
    <row r="28" spans="1:20" ht="14">
      <c r="A28" s="231">
        <v>27</v>
      </c>
      <c r="B28" s="235" t="s">
        <v>49</v>
      </c>
      <c r="C28" s="231" t="s">
        <v>10</v>
      </c>
      <c r="D28" s="250" t="s">
        <v>511</v>
      </c>
      <c r="E28" s="239" t="s">
        <v>512</v>
      </c>
      <c r="F28" s="231" t="s">
        <v>451</v>
      </c>
      <c r="G28" s="231" cm="1">
        <f t="array" ref="G28">_xlfn.IFS(J28&lt;301,2,J28&gt;300,48)</f>
        <v>48</v>
      </c>
      <c r="H28" s="231" t="s">
        <v>452</v>
      </c>
      <c r="I28" s="281">
        <v>0</v>
      </c>
      <c r="J28" s="249">
        <v>6000</v>
      </c>
      <c r="K28" s="231">
        <f t="shared" si="0"/>
        <v>20</v>
      </c>
      <c r="L28" s="231"/>
      <c r="M28" s="231" t="s">
        <v>16</v>
      </c>
      <c r="N28" s="231" t="s">
        <v>253</v>
      </c>
      <c r="O28" s="231">
        <v>2020</v>
      </c>
      <c r="P28" s="281"/>
      <c r="Q28" s="231"/>
      <c r="R28" s="231"/>
      <c r="S28" s="236" t="s">
        <v>453</v>
      </c>
      <c r="T28" s="236" t="s">
        <v>264</v>
      </c>
    </row>
    <row r="29" spans="1:20" ht="14">
      <c r="A29" s="231">
        <v>28</v>
      </c>
      <c r="B29" s="235" t="s">
        <v>49</v>
      </c>
      <c r="C29" s="231" t="s">
        <v>10</v>
      </c>
      <c r="D29" s="250" t="s">
        <v>513</v>
      </c>
      <c r="E29" s="239" t="s">
        <v>514</v>
      </c>
      <c r="F29" s="231" t="s">
        <v>451</v>
      </c>
      <c r="G29" s="231" cm="1">
        <f t="array" ref="G29">_xlfn.IFS(J29&lt;301,2,J29&gt;300,48)</f>
        <v>48</v>
      </c>
      <c r="H29" s="231" t="s">
        <v>452</v>
      </c>
      <c r="I29" s="281">
        <v>0</v>
      </c>
      <c r="J29" s="249">
        <v>800</v>
      </c>
      <c r="K29" s="231">
        <f t="shared" si="0"/>
        <v>20</v>
      </c>
      <c r="L29" s="231"/>
      <c r="M29" s="231" t="s">
        <v>16</v>
      </c>
      <c r="N29" s="231" t="s">
        <v>253</v>
      </c>
      <c r="O29" s="231">
        <v>2020</v>
      </c>
      <c r="P29" s="281"/>
      <c r="Q29" s="231"/>
      <c r="R29" s="231"/>
      <c r="S29" s="236" t="s">
        <v>453</v>
      </c>
      <c r="T29" s="236" t="s">
        <v>264</v>
      </c>
    </row>
    <row r="30" spans="1:20" ht="14">
      <c r="A30" s="231">
        <v>29</v>
      </c>
      <c r="B30" s="235" t="s">
        <v>49</v>
      </c>
      <c r="C30" s="231" t="s">
        <v>10</v>
      </c>
      <c r="D30" s="250" t="s">
        <v>515</v>
      </c>
      <c r="E30" s="239" t="s">
        <v>516</v>
      </c>
      <c r="F30" s="231" t="s">
        <v>451</v>
      </c>
      <c r="G30" s="231" cm="1">
        <f t="array" ref="G30">_xlfn.IFS(J30&lt;301,2,J30&gt;300,48)</f>
        <v>48</v>
      </c>
      <c r="H30" s="231" t="s">
        <v>452</v>
      </c>
      <c r="I30" s="281">
        <v>0</v>
      </c>
      <c r="J30" s="249">
        <v>2500</v>
      </c>
      <c r="K30" s="231">
        <f t="shared" si="0"/>
        <v>20</v>
      </c>
      <c r="L30" s="231"/>
      <c r="M30" s="231" t="s">
        <v>16</v>
      </c>
      <c r="N30" s="231" t="s">
        <v>253</v>
      </c>
      <c r="O30" s="231">
        <v>2020</v>
      </c>
      <c r="P30" s="281"/>
      <c r="Q30" s="231"/>
      <c r="R30" s="231"/>
      <c r="S30" s="236" t="s">
        <v>453</v>
      </c>
      <c r="T30" s="236" t="s">
        <v>264</v>
      </c>
    </row>
    <row r="31" spans="1:20" ht="14">
      <c r="A31" s="231">
        <v>30</v>
      </c>
      <c r="B31" s="235" t="s">
        <v>49</v>
      </c>
      <c r="C31" s="231" t="s">
        <v>10</v>
      </c>
      <c r="D31" s="250" t="s">
        <v>517</v>
      </c>
      <c r="E31" s="239" t="s">
        <v>518</v>
      </c>
      <c r="F31" s="231" t="s">
        <v>451</v>
      </c>
      <c r="G31" s="231" cm="1">
        <f t="array" ref="G31">_xlfn.IFS(J31&lt;301,2,J31&gt;300,48)</f>
        <v>48</v>
      </c>
      <c r="H31" s="231" t="s">
        <v>452</v>
      </c>
      <c r="I31" s="281">
        <v>0</v>
      </c>
      <c r="J31" s="249">
        <v>700</v>
      </c>
      <c r="K31" s="231">
        <f t="shared" si="0"/>
        <v>20</v>
      </c>
      <c r="L31" s="231"/>
      <c r="M31" s="231" t="s">
        <v>16</v>
      </c>
      <c r="N31" s="231" t="s">
        <v>253</v>
      </c>
      <c r="O31" s="231">
        <v>2020</v>
      </c>
      <c r="P31" s="281"/>
      <c r="Q31" s="231"/>
      <c r="R31" s="231"/>
      <c r="S31" s="236" t="s">
        <v>453</v>
      </c>
      <c r="T31" s="236" t="s">
        <v>264</v>
      </c>
    </row>
    <row r="32" spans="1:20" ht="14">
      <c r="A32" s="231">
        <v>31</v>
      </c>
      <c r="B32" s="235" t="s">
        <v>49</v>
      </c>
      <c r="C32" s="231" t="s">
        <v>10</v>
      </c>
      <c r="D32" s="250" t="s">
        <v>519</v>
      </c>
      <c r="E32" s="239" t="s">
        <v>520</v>
      </c>
      <c r="F32" s="231" t="s">
        <v>451</v>
      </c>
      <c r="G32" s="231" cm="1">
        <f t="array" ref="G32">_xlfn.IFS(J32&lt;301,2,J32&gt;300,48)</f>
        <v>48</v>
      </c>
      <c r="H32" s="231" t="s">
        <v>452</v>
      </c>
      <c r="I32" s="281">
        <v>0</v>
      </c>
      <c r="J32" s="249">
        <v>5000</v>
      </c>
      <c r="K32" s="231" t="str">
        <f t="shared" si="0"/>
        <v>N/A</v>
      </c>
      <c r="L32" s="231"/>
      <c r="M32" s="231" t="s">
        <v>456</v>
      </c>
      <c r="N32" s="231" t="s">
        <v>253</v>
      </c>
      <c r="O32" s="231">
        <v>2020</v>
      </c>
      <c r="P32" s="281"/>
      <c r="Q32" s="231"/>
      <c r="R32" s="231"/>
      <c r="S32" s="236" t="s">
        <v>453</v>
      </c>
      <c r="T32" s="236" t="s">
        <v>264</v>
      </c>
    </row>
    <row r="33" spans="1:20" ht="14">
      <c r="A33" s="231">
        <v>32</v>
      </c>
      <c r="B33" s="235" t="s">
        <v>49</v>
      </c>
      <c r="C33" s="231" t="s">
        <v>10</v>
      </c>
      <c r="D33" s="250" t="s">
        <v>521</v>
      </c>
      <c r="E33" s="239" t="s">
        <v>522</v>
      </c>
      <c r="F33" s="231" t="s">
        <v>451</v>
      </c>
      <c r="G33" s="231" cm="1">
        <f t="array" ref="G33">_xlfn.IFS(J33&lt;301,2,J33&gt;300,48)</f>
        <v>48</v>
      </c>
      <c r="H33" s="231" t="s">
        <v>523</v>
      </c>
      <c r="I33" s="281">
        <v>0</v>
      </c>
      <c r="J33" s="249">
        <v>1500</v>
      </c>
      <c r="K33" s="231">
        <f t="shared" si="0"/>
        <v>20</v>
      </c>
      <c r="L33" s="231"/>
      <c r="M33" s="231" t="s">
        <v>16</v>
      </c>
      <c r="N33" s="231" t="s">
        <v>253</v>
      </c>
      <c r="O33" s="231">
        <v>2020</v>
      </c>
      <c r="P33" s="281"/>
      <c r="Q33" s="231"/>
      <c r="R33" s="231"/>
      <c r="S33" s="236" t="s">
        <v>453</v>
      </c>
      <c r="T33" s="236" t="s">
        <v>264</v>
      </c>
    </row>
    <row r="34" spans="1:20" ht="14">
      <c r="A34" s="231">
        <v>33</v>
      </c>
      <c r="B34" s="235" t="s">
        <v>49</v>
      </c>
      <c r="C34" s="231" t="s">
        <v>10</v>
      </c>
      <c r="D34" s="250" t="s">
        <v>524</v>
      </c>
      <c r="E34" s="239" t="s">
        <v>525</v>
      </c>
      <c r="F34" s="231" t="s">
        <v>451</v>
      </c>
      <c r="G34" s="231" cm="1">
        <f t="array" ref="G34">_xlfn.IFS(J34&lt;301,2,J34&gt;300,48)</f>
        <v>48</v>
      </c>
      <c r="H34" s="231" t="s">
        <v>452</v>
      </c>
      <c r="I34" s="281">
        <v>0</v>
      </c>
      <c r="J34" s="249">
        <v>1288</v>
      </c>
      <c r="K34" s="231">
        <f t="shared" si="0"/>
        <v>20</v>
      </c>
      <c r="L34" s="231"/>
      <c r="M34" s="231" t="s">
        <v>16</v>
      </c>
      <c r="N34" s="231" t="s">
        <v>253</v>
      </c>
      <c r="O34" s="231">
        <v>2020</v>
      </c>
      <c r="P34" s="281"/>
      <c r="Q34" s="231"/>
      <c r="R34" s="231"/>
      <c r="S34" s="236" t="s">
        <v>453</v>
      </c>
      <c r="T34" s="236" t="s">
        <v>264</v>
      </c>
    </row>
    <row r="35" spans="1:20" ht="14">
      <c r="A35" s="231">
        <v>34</v>
      </c>
      <c r="B35" s="235" t="s">
        <v>49</v>
      </c>
      <c r="C35" s="231" t="s">
        <v>10</v>
      </c>
      <c r="D35" s="250" t="s">
        <v>526</v>
      </c>
      <c r="E35" s="239" t="s">
        <v>527</v>
      </c>
      <c r="F35" s="231" t="s">
        <v>451</v>
      </c>
      <c r="G35" s="231" cm="1">
        <f t="array" ref="G35">_xlfn.IFS(J35&lt;301,2,J35&gt;300,48)</f>
        <v>2</v>
      </c>
      <c r="H35" s="231" t="s">
        <v>452</v>
      </c>
      <c r="I35" s="281">
        <v>0</v>
      </c>
      <c r="J35" s="249">
        <v>150</v>
      </c>
      <c r="K35" s="231">
        <f t="shared" si="0"/>
        <v>20</v>
      </c>
      <c r="L35" s="231"/>
      <c r="M35" s="231" t="s">
        <v>16</v>
      </c>
      <c r="N35" s="231" t="s">
        <v>253</v>
      </c>
      <c r="O35" s="231">
        <v>2020</v>
      </c>
      <c r="P35" s="281"/>
      <c r="Q35" s="231"/>
      <c r="R35" s="231"/>
      <c r="S35" s="236" t="s">
        <v>453</v>
      </c>
      <c r="T35" s="236" t="s">
        <v>264</v>
      </c>
    </row>
    <row r="36" spans="1:20" ht="14">
      <c r="A36" s="231">
        <v>35</v>
      </c>
      <c r="B36" s="235" t="s">
        <v>49</v>
      </c>
      <c r="C36" s="231" t="s">
        <v>10</v>
      </c>
      <c r="D36" s="250" t="s">
        <v>528</v>
      </c>
      <c r="E36" s="239" t="s">
        <v>529</v>
      </c>
      <c r="F36" s="231" t="s">
        <v>451</v>
      </c>
      <c r="G36" s="231" cm="1">
        <f t="array" ref="G36">_xlfn.IFS(J36&lt;301,2,J36&gt;300,48)</f>
        <v>48</v>
      </c>
      <c r="H36" s="231" t="s">
        <v>452</v>
      </c>
      <c r="I36" s="281">
        <v>0</v>
      </c>
      <c r="J36" s="249">
        <v>1500</v>
      </c>
      <c r="K36" s="231">
        <f t="shared" si="0"/>
        <v>20</v>
      </c>
      <c r="L36" s="231"/>
      <c r="M36" s="231" t="s">
        <v>16</v>
      </c>
      <c r="N36" s="231" t="s">
        <v>253</v>
      </c>
      <c r="O36" s="231">
        <v>2020</v>
      </c>
      <c r="P36" s="281"/>
      <c r="Q36" s="231"/>
      <c r="R36" s="231"/>
      <c r="S36" s="236" t="s">
        <v>453</v>
      </c>
      <c r="T36" s="236" t="s">
        <v>264</v>
      </c>
    </row>
    <row r="37" spans="1:20" ht="14">
      <c r="A37" s="231">
        <v>36</v>
      </c>
      <c r="B37" s="235" t="s">
        <v>49</v>
      </c>
      <c r="C37" s="231" t="s">
        <v>10</v>
      </c>
      <c r="D37" s="250" t="s">
        <v>530</v>
      </c>
      <c r="E37" s="239" t="s">
        <v>531</v>
      </c>
      <c r="F37" s="231" t="s">
        <v>451</v>
      </c>
      <c r="G37" s="231" cm="1">
        <f t="array" ref="G37">_xlfn.IFS(J37&lt;301,2,J37&gt;300,48)</f>
        <v>48</v>
      </c>
      <c r="H37" s="231" t="s">
        <v>452</v>
      </c>
      <c r="I37" s="281">
        <v>0</v>
      </c>
      <c r="J37" s="249">
        <v>400</v>
      </c>
      <c r="K37" s="231" t="str">
        <f t="shared" si="0"/>
        <v>N/A</v>
      </c>
      <c r="L37" s="231"/>
      <c r="M37" s="231" t="s">
        <v>456</v>
      </c>
      <c r="N37" s="231" t="s">
        <v>253</v>
      </c>
      <c r="O37" s="231">
        <v>2020</v>
      </c>
      <c r="P37" s="281"/>
      <c r="Q37" s="231"/>
      <c r="R37" s="231"/>
      <c r="S37" s="236" t="s">
        <v>453</v>
      </c>
      <c r="T37" s="236" t="s">
        <v>264</v>
      </c>
    </row>
    <row r="38" spans="1:20" ht="14">
      <c r="A38" s="231">
        <v>37</v>
      </c>
      <c r="B38" s="235" t="s">
        <v>49</v>
      </c>
      <c r="C38" s="231" t="s">
        <v>10</v>
      </c>
      <c r="D38" s="250" t="s">
        <v>532</v>
      </c>
      <c r="E38" s="239" t="s">
        <v>533</v>
      </c>
      <c r="F38" s="231" t="s">
        <v>451</v>
      </c>
      <c r="G38" s="231" cm="1">
        <f t="array" ref="G38">_xlfn.IFS(J38&lt;301,2,J38&gt;300,48)</f>
        <v>48</v>
      </c>
      <c r="H38" s="231" t="s">
        <v>523</v>
      </c>
      <c r="I38" s="281">
        <v>0</v>
      </c>
      <c r="J38" s="249">
        <v>2640</v>
      </c>
      <c r="K38" s="231">
        <f t="shared" si="0"/>
        <v>10</v>
      </c>
      <c r="L38" s="231"/>
      <c r="M38" s="299" t="s">
        <v>15</v>
      </c>
      <c r="N38" s="231" t="s">
        <v>253</v>
      </c>
      <c r="O38" s="231">
        <v>2020</v>
      </c>
      <c r="P38" s="281"/>
      <c r="Q38" s="231"/>
      <c r="R38" s="231"/>
      <c r="S38" s="236" t="s">
        <v>453</v>
      </c>
      <c r="T38" s="236" t="s">
        <v>264</v>
      </c>
    </row>
    <row r="39" spans="1:20" ht="14">
      <c r="A39" s="231">
        <v>38</v>
      </c>
      <c r="B39" s="235" t="s">
        <v>49</v>
      </c>
      <c r="C39" s="231" t="s">
        <v>10</v>
      </c>
      <c r="D39" s="250" t="s">
        <v>534</v>
      </c>
      <c r="E39" s="239" t="s">
        <v>535</v>
      </c>
      <c r="F39" s="231" t="s">
        <v>464</v>
      </c>
      <c r="G39" s="231" cm="1">
        <f t="array" ref="G39">_xlfn.IFS(J39&lt;301,2,J39&gt;300,48)</f>
        <v>2</v>
      </c>
      <c r="H39" s="231" t="s">
        <v>536</v>
      </c>
      <c r="I39" s="281">
        <v>0</v>
      </c>
      <c r="J39" s="249">
        <v>200</v>
      </c>
      <c r="K39" s="231">
        <f t="shared" si="0"/>
        <v>10</v>
      </c>
      <c r="L39" s="231"/>
      <c r="M39" s="299" t="s">
        <v>15</v>
      </c>
      <c r="N39" s="231" t="s">
        <v>253</v>
      </c>
      <c r="O39" s="231">
        <v>2020</v>
      </c>
      <c r="P39" s="281"/>
      <c r="Q39" s="231"/>
      <c r="R39" s="231"/>
      <c r="S39" s="236" t="s">
        <v>453</v>
      </c>
      <c r="T39" s="236" t="s">
        <v>264</v>
      </c>
    </row>
    <row r="40" spans="1:20" ht="14">
      <c r="A40" s="231">
        <v>39</v>
      </c>
      <c r="B40" s="235" t="s">
        <v>49</v>
      </c>
      <c r="C40" s="231" t="s">
        <v>10</v>
      </c>
      <c r="D40" s="248" t="s">
        <v>537</v>
      </c>
      <c r="E40" s="239" t="s">
        <v>538</v>
      </c>
      <c r="F40" s="231" t="s">
        <v>464</v>
      </c>
      <c r="G40" s="231" cm="1">
        <f t="array" ref="G40">_xlfn.IFS(J40&lt;301,2,J40&gt;300,48)</f>
        <v>2</v>
      </c>
      <c r="H40" s="231" t="s">
        <v>452</v>
      </c>
      <c r="I40" s="281">
        <v>0</v>
      </c>
      <c r="J40" s="249">
        <v>200</v>
      </c>
      <c r="K40" s="231" t="str">
        <f t="shared" si="0"/>
        <v>N/A</v>
      </c>
      <c r="L40" s="231"/>
      <c r="M40" s="231" t="s">
        <v>456</v>
      </c>
      <c r="N40" s="231" t="s">
        <v>253</v>
      </c>
      <c r="O40" s="231">
        <v>2020</v>
      </c>
      <c r="P40" s="281"/>
      <c r="Q40" s="231"/>
      <c r="R40" s="231"/>
      <c r="S40" s="236" t="s">
        <v>457</v>
      </c>
      <c r="T40" s="236" t="s">
        <v>264</v>
      </c>
    </row>
    <row r="41" spans="1:20" ht="14">
      <c r="A41" s="231">
        <v>40</v>
      </c>
      <c r="B41" s="235" t="s">
        <v>49</v>
      </c>
      <c r="C41" s="231" t="s">
        <v>10</v>
      </c>
      <c r="D41" s="250" t="s">
        <v>539</v>
      </c>
      <c r="E41" s="239" t="s">
        <v>540</v>
      </c>
      <c r="F41" s="231" t="s">
        <v>451</v>
      </c>
      <c r="G41" s="231" cm="1">
        <f t="array" ref="G41">_xlfn.IFS(J41&lt;301,2,J41&gt;300,48)</f>
        <v>48</v>
      </c>
      <c r="H41" s="231" t="s">
        <v>452</v>
      </c>
      <c r="I41" s="281">
        <v>0</v>
      </c>
      <c r="J41" s="249">
        <v>700</v>
      </c>
      <c r="K41" s="231">
        <f t="shared" si="0"/>
        <v>20</v>
      </c>
      <c r="L41" s="231"/>
      <c r="M41" s="231" t="s">
        <v>16</v>
      </c>
      <c r="N41" s="231" t="s">
        <v>253</v>
      </c>
      <c r="O41" s="231">
        <v>2020</v>
      </c>
      <c r="P41" s="281"/>
      <c r="Q41" s="231"/>
      <c r="R41" s="231"/>
      <c r="S41" s="236" t="s">
        <v>453</v>
      </c>
      <c r="T41" s="236" t="s">
        <v>264</v>
      </c>
    </row>
    <row r="42" spans="1:20" ht="14">
      <c r="A42" s="231">
        <v>41</v>
      </c>
      <c r="B42" s="235" t="s">
        <v>49</v>
      </c>
      <c r="C42" s="231" t="s">
        <v>10</v>
      </c>
      <c r="D42" s="250" t="s">
        <v>541</v>
      </c>
      <c r="E42" s="239" t="s">
        <v>542</v>
      </c>
      <c r="F42" s="239" t="s">
        <v>451</v>
      </c>
      <c r="G42" s="231" cm="1">
        <f t="array" ref="G42">_xlfn.IFS(J42&lt;301,2,J42&gt;300,48)</f>
        <v>48</v>
      </c>
      <c r="H42" s="231" t="s">
        <v>543</v>
      </c>
      <c r="I42" s="281">
        <v>0</v>
      </c>
      <c r="J42" s="249">
        <v>1866</v>
      </c>
      <c r="K42" s="231">
        <f t="shared" si="0"/>
        <v>20</v>
      </c>
      <c r="L42" s="231"/>
      <c r="M42" s="231" t="s">
        <v>16</v>
      </c>
      <c r="N42" s="231" t="s">
        <v>253</v>
      </c>
      <c r="O42" s="231">
        <v>2020</v>
      </c>
      <c r="P42" s="281"/>
      <c r="Q42" s="231"/>
      <c r="R42" s="231"/>
      <c r="S42" s="236" t="s">
        <v>453</v>
      </c>
      <c r="T42" s="236" t="s">
        <v>264</v>
      </c>
    </row>
    <row r="43" spans="1:20" ht="14">
      <c r="A43" s="231">
        <v>42</v>
      </c>
      <c r="B43" s="235" t="s">
        <v>49</v>
      </c>
      <c r="C43" s="231" t="s">
        <v>10</v>
      </c>
      <c r="D43" s="250" t="s">
        <v>544</v>
      </c>
      <c r="E43" s="239" t="s">
        <v>545</v>
      </c>
      <c r="F43" s="231" t="s">
        <v>451</v>
      </c>
      <c r="G43" s="231" cm="1">
        <f t="array" ref="G43">_xlfn.IFS(J43&lt;301,2,J43&gt;300,48)</f>
        <v>48</v>
      </c>
      <c r="H43" s="231" t="s">
        <v>536</v>
      </c>
      <c r="I43" s="281">
        <v>0</v>
      </c>
      <c r="J43" s="249">
        <v>1000</v>
      </c>
      <c r="K43" s="231">
        <f t="shared" si="0"/>
        <v>10</v>
      </c>
      <c r="L43" s="231"/>
      <c r="M43" s="299" t="s">
        <v>15</v>
      </c>
      <c r="N43" s="231" t="s">
        <v>253</v>
      </c>
      <c r="O43" s="231">
        <v>2020</v>
      </c>
      <c r="P43" s="281"/>
      <c r="Q43" s="231"/>
      <c r="R43" s="231"/>
      <c r="S43" s="236" t="s">
        <v>453</v>
      </c>
      <c r="T43" s="236" t="s">
        <v>264</v>
      </c>
    </row>
    <row r="44" spans="1:20" ht="14">
      <c r="A44" s="231">
        <v>43</v>
      </c>
      <c r="B44" s="235" t="s">
        <v>49</v>
      </c>
      <c r="C44" s="231" t="s">
        <v>10</v>
      </c>
      <c r="D44" s="250" t="s">
        <v>546</v>
      </c>
      <c r="E44" s="239" t="s">
        <v>547</v>
      </c>
      <c r="F44" s="231" t="s">
        <v>451</v>
      </c>
      <c r="G44" s="231" cm="1">
        <f t="array" ref="G44">_xlfn.IFS(J44&lt;301,2,J44&gt;300,48)</f>
        <v>48</v>
      </c>
      <c r="H44" s="231" t="s">
        <v>478</v>
      </c>
      <c r="I44" s="281">
        <v>0</v>
      </c>
      <c r="J44" s="249">
        <v>600</v>
      </c>
      <c r="K44" s="231" t="str">
        <f t="shared" si="0"/>
        <v>N/A</v>
      </c>
      <c r="L44" s="231"/>
      <c r="M44" s="231" t="s">
        <v>456</v>
      </c>
      <c r="N44" s="231" t="s">
        <v>253</v>
      </c>
      <c r="O44" s="231">
        <v>2020</v>
      </c>
      <c r="P44" s="281"/>
      <c r="Q44" s="231"/>
      <c r="R44" s="231"/>
      <c r="S44" s="236" t="s">
        <v>453</v>
      </c>
      <c r="T44" s="236" t="s">
        <v>264</v>
      </c>
    </row>
    <row r="45" spans="1:20" ht="28">
      <c r="A45" s="231">
        <v>44</v>
      </c>
      <c r="B45" s="235" t="s">
        <v>49</v>
      </c>
      <c r="C45" s="231" t="s">
        <v>10</v>
      </c>
      <c r="D45" s="248" t="s">
        <v>548</v>
      </c>
      <c r="E45" s="239" t="s">
        <v>549</v>
      </c>
      <c r="F45" s="231" t="s">
        <v>550</v>
      </c>
      <c r="G45" s="231" cm="1">
        <f t="array" ref="G45">_xlfn.IFS(J45&lt;301,2,J45&gt;300,48)</f>
        <v>48</v>
      </c>
      <c r="H45" s="231" t="s">
        <v>452</v>
      </c>
      <c r="I45" s="281">
        <v>0</v>
      </c>
      <c r="J45" s="249">
        <v>3250</v>
      </c>
      <c r="K45" s="231" t="str">
        <f t="shared" si="0"/>
        <v>N/A</v>
      </c>
      <c r="L45" s="231"/>
      <c r="M45" s="231" t="s">
        <v>456</v>
      </c>
      <c r="N45" s="231" t="s">
        <v>253</v>
      </c>
      <c r="O45" s="231">
        <v>2020</v>
      </c>
      <c r="P45" s="281"/>
      <c r="Q45" s="231"/>
      <c r="R45" s="231"/>
      <c r="S45" s="236" t="s">
        <v>453</v>
      </c>
      <c r="T45" s="236" t="s">
        <v>264</v>
      </c>
    </row>
    <row r="46" spans="1:20" ht="28">
      <c r="A46" s="231">
        <v>45</v>
      </c>
      <c r="B46" s="235" t="s">
        <v>49</v>
      </c>
      <c r="C46" s="231" t="s">
        <v>10</v>
      </c>
      <c r="D46" s="248" t="s">
        <v>551</v>
      </c>
      <c r="E46" s="239" t="s">
        <v>552</v>
      </c>
      <c r="F46" s="251" t="s">
        <v>553</v>
      </c>
      <c r="G46" s="231" cm="1">
        <f t="array" ref="G46">_xlfn.IFS(J46&lt;301,2,J46&gt;300,48)</f>
        <v>48</v>
      </c>
      <c r="H46" s="231" t="s">
        <v>452</v>
      </c>
      <c r="I46" s="281">
        <v>0</v>
      </c>
      <c r="J46" s="249">
        <v>900</v>
      </c>
      <c r="K46" s="231" t="str">
        <f t="shared" si="0"/>
        <v>N/A</v>
      </c>
      <c r="L46" s="231"/>
      <c r="M46" s="231" t="s">
        <v>456</v>
      </c>
      <c r="N46" s="231" t="s">
        <v>253</v>
      </c>
      <c r="O46" s="231">
        <v>2021</v>
      </c>
      <c r="P46" s="281"/>
      <c r="Q46" s="231"/>
      <c r="R46" s="231"/>
      <c r="S46" s="236" t="s">
        <v>453</v>
      </c>
      <c r="T46" s="236" t="s">
        <v>264</v>
      </c>
    </row>
    <row r="47" spans="1:20" ht="14">
      <c r="A47" s="231">
        <v>46</v>
      </c>
      <c r="B47" s="235" t="s">
        <v>49</v>
      </c>
      <c r="C47" s="231" t="s">
        <v>10</v>
      </c>
      <c r="D47" s="250" t="s">
        <v>554</v>
      </c>
      <c r="E47" s="239" t="s">
        <v>555</v>
      </c>
      <c r="F47" s="231" t="s">
        <v>451</v>
      </c>
      <c r="G47" s="231" cm="1">
        <f t="array" ref="G47">_xlfn.IFS(J47&lt;301,2,J47&gt;300,48)</f>
        <v>48</v>
      </c>
      <c r="H47" s="231" t="s">
        <v>452</v>
      </c>
      <c r="I47" s="281">
        <v>0</v>
      </c>
      <c r="J47" s="249">
        <v>1400</v>
      </c>
      <c r="K47" s="231">
        <f t="shared" si="0"/>
        <v>20</v>
      </c>
      <c r="L47" s="231"/>
      <c r="M47" s="231" t="s">
        <v>16</v>
      </c>
      <c r="N47" s="231" t="s">
        <v>253</v>
      </c>
      <c r="O47" s="231">
        <v>2020</v>
      </c>
      <c r="P47" s="281"/>
      <c r="Q47" s="231"/>
      <c r="R47" s="231"/>
      <c r="S47" s="236" t="s">
        <v>453</v>
      </c>
      <c r="T47" s="236" t="s">
        <v>264</v>
      </c>
    </row>
    <row r="48" spans="1:20" ht="14">
      <c r="A48" s="231">
        <v>47</v>
      </c>
      <c r="B48" s="235" t="s">
        <v>49</v>
      </c>
      <c r="C48" s="231" t="s">
        <v>10</v>
      </c>
      <c r="D48" s="250" t="s">
        <v>556</v>
      </c>
      <c r="E48" s="239" t="s">
        <v>557</v>
      </c>
      <c r="F48" s="231" t="s">
        <v>451</v>
      </c>
      <c r="G48" s="231" cm="1">
        <f t="array" ref="G48">_xlfn.IFS(J48&lt;301,2,J48&gt;300,48)</f>
        <v>48</v>
      </c>
      <c r="H48" s="231" t="s">
        <v>558</v>
      </c>
      <c r="I48" s="281">
        <v>0</v>
      </c>
      <c r="J48" s="249">
        <v>900</v>
      </c>
      <c r="K48" s="231">
        <f t="shared" si="0"/>
        <v>10</v>
      </c>
      <c r="L48" s="231"/>
      <c r="M48" s="299" t="s">
        <v>15</v>
      </c>
      <c r="N48" s="231" t="s">
        <v>253</v>
      </c>
      <c r="O48" s="231">
        <v>2020</v>
      </c>
      <c r="P48" s="281"/>
      <c r="Q48" s="231"/>
      <c r="R48" s="231"/>
      <c r="S48" s="236" t="s">
        <v>453</v>
      </c>
      <c r="T48" s="236" t="s">
        <v>264</v>
      </c>
    </row>
    <row r="49" spans="1:20" ht="14">
      <c r="A49" s="231">
        <v>48</v>
      </c>
      <c r="B49" s="235" t="s">
        <v>49</v>
      </c>
      <c r="C49" s="231" t="s">
        <v>10</v>
      </c>
      <c r="D49" s="250" t="s">
        <v>559</v>
      </c>
      <c r="E49" s="239" t="s">
        <v>560</v>
      </c>
      <c r="F49" s="231" t="s">
        <v>561</v>
      </c>
      <c r="G49" s="231" cm="1">
        <f t="array" ref="G49">_xlfn.IFS(J49&lt;301,2,J49&gt;300,48)</f>
        <v>48</v>
      </c>
      <c r="H49" s="231" t="s">
        <v>562</v>
      </c>
      <c r="I49" s="281">
        <v>0</v>
      </c>
      <c r="J49" s="249">
        <v>3500</v>
      </c>
      <c r="K49" s="231" t="str">
        <f t="shared" si="0"/>
        <v>N/A</v>
      </c>
      <c r="L49" s="231"/>
      <c r="M49" s="231" t="s">
        <v>456</v>
      </c>
      <c r="N49" s="231" t="s">
        <v>253</v>
      </c>
      <c r="O49" s="231">
        <v>2021</v>
      </c>
      <c r="P49" s="281"/>
      <c r="Q49" s="231"/>
      <c r="R49" s="231"/>
      <c r="S49" s="236" t="s">
        <v>453</v>
      </c>
      <c r="T49" s="236" t="s">
        <v>264</v>
      </c>
    </row>
    <row r="50" spans="1:20" ht="14">
      <c r="A50" s="231">
        <v>49</v>
      </c>
      <c r="B50" s="235" t="s">
        <v>49</v>
      </c>
      <c r="C50" s="231" t="s">
        <v>10</v>
      </c>
      <c r="D50" s="250" t="s">
        <v>563</v>
      </c>
      <c r="E50" s="239" t="s">
        <v>564</v>
      </c>
      <c r="F50" s="251" t="s">
        <v>565</v>
      </c>
      <c r="G50" s="231" cm="1">
        <f t="array" ref="G50">_xlfn.IFS(J50&lt;301,2,J50&gt;300,48)</f>
        <v>48</v>
      </c>
      <c r="H50" s="231" t="s">
        <v>562</v>
      </c>
      <c r="I50" s="281">
        <v>0</v>
      </c>
      <c r="J50" s="249">
        <v>2000</v>
      </c>
      <c r="K50" s="231" t="str">
        <f t="shared" si="0"/>
        <v>N/A</v>
      </c>
      <c r="L50" s="231"/>
      <c r="M50" s="231" t="s">
        <v>456</v>
      </c>
      <c r="N50" s="231" t="s">
        <v>253</v>
      </c>
      <c r="O50" s="231">
        <v>2021</v>
      </c>
      <c r="P50" s="281"/>
      <c r="Q50" s="231"/>
      <c r="R50" s="231"/>
      <c r="S50" s="236" t="s">
        <v>453</v>
      </c>
      <c r="T50" s="236" t="s">
        <v>264</v>
      </c>
    </row>
    <row r="51" spans="1:20" ht="14">
      <c r="A51" s="231">
        <v>50</v>
      </c>
      <c r="B51" s="235" t="s">
        <v>49</v>
      </c>
      <c r="C51" s="231" t="s">
        <v>10</v>
      </c>
      <c r="D51" s="250" t="s">
        <v>566</v>
      </c>
      <c r="E51" s="239" t="s">
        <v>567</v>
      </c>
      <c r="F51" s="231" t="s">
        <v>568</v>
      </c>
      <c r="G51" s="231" cm="1">
        <f t="array" ref="G51">_xlfn.IFS(J51&lt;301,2,J51&gt;300,48)</f>
        <v>48</v>
      </c>
      <c r="H51" s="231" t="s">
        <v>562</v>
      </c>
      <c r="I51" s="281">
        <v>0</v>
      </c>
      <c r="J51" s="249">
        <v>400</v>
      </c>
      <c r="K51" s="231" t="str">
        <f t="shared" si="0"/>
        <v>N/A</v>
      </c>
      <c r="L51" s="231"/>
      <c r="M51" s="231" t="s">
        <v>456</v>
      </c>
      <c r="N51" s="231" t="s">
        <v>253</v>
      </c>
      <c r="O51" s="231">
        <v>2021</v>
      </c>
      <c r="P51" s="281"/>
      <c r="Q51" s="231"/>
      <c r="R51" s="231"/>
      <c r="S51" s="236" t="s">
        <v>453</v>
      </c>
      <c r="T51" s="236" t="s">
        <v>264</v>
      </c>
    </row>
    <row r="52" spans="1:20" ht="14">
      <c r="A52" s="231">
        <v>51</v>
      </c>
      <c r="B52" s="235" t="s">
        <v>49</v>
      </c>
      <c r="C52" s="231" t="s">
        <v>10</v>
      </c>
      <c r="D52" s="250" t="s">
        <v>569</v>
      </c>
      <c r="E52" s="239" t="s">
        <v>570</v>
      </c>
      <c r="F52" s="231" t="s">
        <v>451</v>
      </c>
      <c r="G52" s="231" cm="1">
        <f t="array" ref="G52">_xlfn.IFS(J52&lt;301,2,J52&gt;300,48)</f>
        <v>48</v>
      </c>
      <c r="H52" s="231" t="s">
        <v>452</v>
      </c>
      <c r="I52" s="281">
        <v>0</v>
      </c>
      <c r="J52" s="249">
        <v>400</v>
      </c>
      <c r="K52" s="231">
        <f t="shared" si="0"/>
        <v>20</v>
      </c>
      <c r="L52" s="231"/>
      <c r="M52" s="231" t="s">
        <v>16</v>
      </c>
      <c r="N52" s="231" t="s">
        <v>253</v>
      </c>
      <c r="O52" s="231">
        <v>2021</v>
      </c>
      <c r="P52" s="281"/>
      <c r="Q52" s="231"/>
      <c r="R52" s="231"/>
      <c r="S52" s="236" t="s">
        <v>453</v>
      </c>
      <c r="T52" s="236" t="s">
        <v>264</v>
      </c>
    </row>
    <row r="53" spans="1:20" ht="14">
      <c r="A53" s="231">
        <v>52</v>
      </c>
      <c r="B53" s="235" t="s">
        <v>49</v>
      </c>
      <c r="C53" s="231" t="s">
        <v>10</v>
      </c>
      <c r="D53" s="250" t="s">
        <v>571</v>
      </c>
      <c r="E53" s="239" t="s">
        <v>572</v>
      </c>
      <c r="F53" s="231" t="s">
        <v>464</v>
      </c>
      <c r="G53" s="231" cm="1">
        <f t="array" ref="G53">_xlfn.IFS(J53&lt;301,2,J53&gt;300,48)</f>
        <v>48</v>
      </c>
      <c r="H53" s="231" t="s">
        <v>452</v>
      </c>
      <c r="I53" s="281">
        <v>0</v>
      </c>
      <c r="J53" s="249">
        <v>1500</v>
      </c>
      <c r="K53" s="231">
        <f t="shared" si="0"/>
        <v>10</v>
      </c>
      <c r="L53" s="231"/>
      <c r="M53" s="299" t="s">
        <v>15</v>
      </c>
      <c r="N53" s="231" t="s">
        <v>253</v>
      </c>
      <c r="O53" s="231">
        <v>2021</v>
      </c>
      <c r="P53" s="281"/>
      <c r="Q53" s="231"/>
      <c r="R53" s="231"/>
      <c r="S53" s="236" t="s">
        <v>453</v>
      </c>
      <c r="T53" s="236" t="s">
        <v>264</v>
      </c>
    </row>
    <row r="54" spans="1:20" ht="14">
      <c r="A54" s="231">
        <v>53</v>
      </c>
      <c r="B54" s="235" t="s">
        <v>49</v>
      </c>
      <c r="C54" s="231" t="s">
        <v>10</v>
      </c>
      <c r="D54" s="250" t="s">
        <v>573</v>
      </c>
      <c r="E54" s="239" t="s">
        <v>574</v>
      </c>
      <c r="F54" s="231" t="s">
        <v>464</v>
      </c>
      <c r="G54" s="231" cm="1">
        <f t="array" ref="G54">_xlfn.IFS(J54&lt;301,2,J54&gt;300,48)</f>
        <v>48</v>
      </c>
      <c r="H54" s="231" t="s">
        <v>452</v>
      </c>
      <c r="I54" s="281">
        <v>0</v>
      </c>
      <c r="J54" s="249">
        <v>1700</v>
      </c>
      <c r="K54" s="231">
        <f t="shared" si="0"/>
        <v>20</v>
      </c>
      <c r="L54" s="231"/>
      <c r="M54" s="231" t="s">
        <v>16</v>
      </c>
      <c r="N54" s="231" t="s">
        <v>253</v>
      </c>
      <c r="O54" s="231">
        <v>2021</v>
      </c>
      <c r="P54" s="281"/>
      <c r="Q54" s="231"/>
      <c r="R54" s="231"/>
      <c r="S54" s="236" t="s">
        <v>453</v>
      </c>
      <c r="T54" s="236" t="s">
        <v>264</v>
      </c>
    </row>
    <row r="55" spans="1:20" ht="14">
      <c r="A55" s="231">
        <v>54</v>
      </c>
      <c r="B55" s="235" t="s">
        <v>49</v>
      </c>
      <c r="C55" s="231" t="s">
        <v>10</v>
      </c>
      <c r="D55" s="250" t="s">
        <v>575</v>
      </c>
      <c r="E55" s="239" t="s">
        <v>576</v>
      </c>
      <c r="F55" s="231" t="s">
        <v>464</v>
      </c>
      <c r="G55" s="231" cm="1">
        <f t="array" ref="G55">_xlfn.IFS(J55&lt;301,2,J55&gt;300,48)</f>
        <v>48</v>
      </c>
      <c r="H55" s="231" t="s">
        <v>452</v>
      </c>
      <c r="I55" s="281">
        <v>0</v>
      </c>
      <c r="J55" s="249">
        <v>1800</v>
      </c>
      <c r="K55" s="231">
        <f t="shared" si="0"/>
        <v>20</v>
      </c>
      <c r="L55" s="231"/>
      <c r="M55" s="231" t="s">
        <v>16</v>
      </c>
      <c r="N55" s="231" t="s">
        <v>253</v>
      </c>
      <c r="O55" s="231">
        <v>2021</v>
      </c>
      <c r="P55" s="285">
        <v>44400</v>
      </c>
      <c r="Q55" s="231" t="s">
        <v>577</v>
      </c>
      <c r="R55" s="231"/>
      <c r="S55" s="236" t="s">
        <v>453</v>
      </c>
      <c r="T55" s="236" t="s">
        <v>264</v>
      </c>
    </row>
    <row r="56" spans="1:20" ht="14">
      <c r="A56" s="231">
        <v>55</v>
      </c>
      <c r="B56" s="235" t="s">
        <v>49</v>
      </c>
      <c r="C56" s="231" t="s">
        <v>10</v>
      </c>
      <c r="D56" s="250" t="s">
        <v>578</v>
      </c>
      <c r="E56" s="239" t="s">
        <v>579</v>
      </c>
      <c r="F56" s="231" t="s">
        <v>464</v>
      </c>
      <c r="G56" s="231" cm="1">
        <f t="array" ref="G56">_xlfn.IFS(J56&lt;301,2,J56&gt;300,48)</f>
        <v>48</v>
      </c>
      <c r="H56" s="231" t="s">
        <v>452</v>
      </c>
      <c r="I56" s="281">
        <v>0</v>
      </c>
      <c r="J56" s="249">
        <v>1800</v>
      </c>
      <c r="K56" s="231">
        <f t="shared" si="0"/>
        <v>10</v>
      </c>
      <c r="L56" s="231"/>
      <c r="M56" s="299" t="s">
        <v>15</v>
      </c>
      <c r="N56" s="231" t="s">
        <v>253</v>
      </c>
      <c r="O56" s="231">
        <v>2021</v>
      </c>
      <c r="P56" s="285">
        <v>44400</v>
      </c>
      <c r="Q56" s="231" t="s">
        <v>577</v>
      </c>
      <c r="R56" s="231"/>
      <c r="S56" s="236" t="s">
        <v>453</v>
      </c>
      <c r="T56" s="236" t="s">
        <v>264</v>
      </c>
    </row>
    <row r="57" spans="1:20" ht="14">
      <c r="A57" s="231">
        <v>56</v>
      </c>
      <c r="B57" s="235" t="s">
        <v>49</v>
      </c>
      <c r="C57" s="231" t="s">
        <v>10</v>
      </c>
      <c r="D57" s="250" t="s">
        <v>580</v>
      </c>
      <c r="E57" s="239" t="s">
        <v>581</v>
      </c>
      <c r="F57" s="231" t="s">
        <v>267</v>
      </c>
      <c r="G57" s="231" cm="1">
        <f t="array" ref="G57">_xlfn.IFS(J57&lt;301,2,J57&gt;300,48)</f>
        <v>48</v>
      </c>
      <c r="H57" s="231" t="s">
        <v>582</v>
      </c>
      <c r="I57" s="281">
        <v>0</v>
      </c>
      <c r="J57" s="249">
        <v>2500</v>
      </c>
      <c r="K57" s="231">
        <f t="shared" si="0"/>
        <v>20</v>
      </c>
      <c r="L57" s="231"/>
      <c r="M57" s="231" t="s">
        <v>16</v>
      </c>
      <c r="N57" s="231" t="s">
        <v>253</v>
      </c>
      <c r="O57" s="231">
        <v>2021</v>
      </c>
      <c r="P57" s="285">
        <v>44383</v>
      </c>
      <c r="Q57" s="231" t="s">
        <v>577</v>
      </c>
      <c r="R57" s="231"/>
      <c r="S57" s="236" t="s">
        <v>453</v>
      </c>
      <c r="T57" s="236" t="s">
        <v>264</v>
      </c>
    </row>
    <row r="58" spans="1:20" ht="14">
      <c r="A58" s="231">
        <v>57</v>
      </c>
      <c r="B58" s="235" t="s">
        <v>49</v>
      </c>
      <c r="C58" s="231" t="s">
        <v>10</v>
      </c>
      <c r="D58" s="250" t="s">
        <v>583</v>
      </c>
      <c r="E58" s="239" t="s">
        <v>584</v>
      </c>
      <c r="F58" s="231" t="s">
        <v>267</v>
      </c>
      <c r="G58" s="231" cm="1">
        <f t="array" ref="G58">_xlfn.IFS(J58&lt;301,2,J58&gt;300,48)</f>
        <v>48</v>
      </c>
      <c r="H58" s="231" t="s">
        <v>452</v>
      </c>
      <c r="I58" s="281">
        <v>0</v>
      </c>
      <c r="J58" s="249">
        <v>1500</v>
      </c>
      <c r="K58" s="231">
        <f t="shared" si="0"/>
        <v>20</v>
      </c>
      <c r="L58" s="231"/>
      <c r="M58" s="231" t="s">
        <v>16</v>
      </c>
      <c r="N58" s="231" t="s">
        <v>253</v>
      </c>
      <c r="O58" s="231">
        <v>2022</v>
      </c>
      <c r="P58" s="285">
        <v>44568</v>
      </c>
      <c r="Q58" s="231" t="s">
        <v>585</v>
      </c>
      <c r="R58" s="231"/>
      <c r="S58" s="236" t="s">
        <v>453</v>
      </c>
      <c r="T58" s="236" t="s">
        <v>264</v>
      </c>
    </row>
    <row r="59" spans="1:20" ht="14">
      <c r="A59" s="231">
        <v>58</v>
      </c>
      <c r="B59" s="235" t="s">
        <v>49</v>
      </c>
      <c r="C59" s="231" t="s">
        <v>10</v>
      </c>
      <c r="D59" s="250" t="s">
        <v>586</v>
      </c>
      <c r="E59" s="239" t="s">
        <v>587</v>
      </c>
      <c r="F59" s="231" t="s">
        <v>464</v>
      </c>
      <c r="G59" s="231" cm="1">
        <f t="array" ref="G59">_xlfn.IFS(J59&lt;301,2,J59&gt;300,48)</f>
        <v>48</v>
      </c>
      <c r="H59" s="231" t="s">
        <v>588</v>
      </c>
      <c r="I59" s="281">
        <v>0</v>
      </c>
      <c r="J59" s="249">
        <v>400</v>
      </c>
      <c r="K59" s="231">
        <f t="shared" si="0"/>
        <v>20</v>
      </c>
      <c r="L59" s="231"/>
      <c r="M59" s="231" t="s">
        <v>16</v>
      </c>
      <c r="N59" s="231" t="s">
        <v>253</v>
      </c>
      <c r="O59" s="231">
        <v>2021</v>
      </c>
      <c r="P59" s="281"/>
      <c r="Q59" s="231"/>
      <c r="R59" s="231"/>
      <c r="S59" s="236" t="s">
        <v>453</v>
      </c>
      <c r="T59" s="236" t="s">
        <v>264</v>
      </c>
    </row>
    <row r="60" spans="1:20" ht="14">
      <c r="A60" s="231">
        <v>59</v>
      </c>
      <c r="B60" s="235" t="s">
        <v>49</v>
      </c>
      <c r="C60" s="231" t="s">
        <v>10</v>
      </c>
      <c r="D60" s="250" t="s">
        <v>589</v>
      </c>
      <c r="E60" s="239" t="s">
        <v>590</v>
      </c>
      <c r="F60" s="231" t="s">
        <v>464</v>
      </c>
      <c r="G60" s="231" cm="1">
        <f t="array" ref="G60">_xlfn.IFS(J60&lt;301,2,J60&gt;300,48)</f>
        <v>48</v>
      </c>
      <c r="H60" s="231" t="s">
        <v>452</v>
      </c>
      <c r="I60" s="281">
        <v>0</v>
      </c>
      <c r="J60" s="249">
        <v>800</v>
      </c>
      <c r="K60" s="231">
        <f t="shared" si="0"/>
        <v>20</v>
      </c>
      <c r="L60" s="231"/>
      <c r="M60" s="231" t="s">
        <v>16</v>
      </c>
      <c r="N60" s="231" t="s">
        <v>253</v>
      </c>
      <c r="O60" s="231">
        <v>2021</v>
      </c>
      <c r="P60" s="281"/>
      <c r="Q60" s="231"/>
      <c r="R60" s="231"/>
      <c r="S60" s="236" t="s">
        <v>453</v>
      </c>
      <c r="T60" s="236" t="s">
        <v>264</v>
      </c>
    </row>
    <row r="61" spans="1:20" ht="14">
      <c r="A61" s="231">
        <v>60</v>
      </c>
      <c r="B61" s="235" t="s">
        <v>49</v>
      </c>
      <c r="C61" s="231" t="s">
        <v>10</v>
      </c>
      <c r="D61" s="250" t="s">
        <v>591</v>
      </c>
      <c r="E61" s="239" t="s">
        <v>592</v>
      </c>
      <c r="F61" s="231" t="s">
        <v>464</v>
      </c>
      <c r="G61" s="231" cm="1">
        <f t="array" ref="G61">_xlfn.IFS(J61&lt;301,2,J61&gt;300,48)</f>
        <v>48</v>
      </c>
      <c r="H61" s="231" t="s">
        <v>523</v>
      </c>
      <c r="I61" s="281">
        <v>0</v>
      </c>
      <c r="J61" s="249">
        <v>400</v>
      </c>
      <c r="K61" s="231">
        <f t="shared" si="0"/>
        <v>20</v>
      </c>
      <c r="L61" s="231"/>
      <c r="M61" s="231" t="s">
        <v>16</v>
      </c>
      <c r="N61" s="231" t="s">
        <v>253</v>
      </c>
      <c r="O61" s="231">
        <v>2021</v>
      </c>
      <c r="P61" s="281"/>
      <c r="Q61" s="231"/>
      <c r="R61" s="231"/>
      <c r="S61" s="236" t="s">
        <v>453</v>
      </c>
      <c r="T61" s="236" t="s">
        <v>264</v>
      </c>
    </row>
    <row r="62" spans="1:20" ht="14">
      <c r="A62" s="231">
        <v>61</v>
      </c>
      <c r="B62" s="235" t="s">
        <v>49</v>
      </c>
      <c r="C62" s="231" t="s">
        <v>10</v>
      </c>
      <c r="D62" s="250" t="s">
        <v>593</v>
      </c>
      <c r="E62" s="239" t="s">
        <v>594</v>
      </c>
      <c r="F62" s="231" t="s">
        <v>451</v>
      </c>
      <c r="G62" s="231" cm="1">
        <f t="array" ref="G62">_xlfn.IFS(J62&lt;301,2,J62&gt;300,48)</f>
        <v>48</v>
      </c>
      <c r="H62" s="231" t="s">
        <v>504</v>
      </c>
      <c r="I62" s="281">
        <v>0</v>
      </c>
      <c r="J62" s="249">
        <v>400</v>
      </c>
      <c r="K62" s="231">
        <f t="shared" si="0"/>
        <v>20</v>
      </c>
      <c r="L62" s="231"/>
      <c r="M62" s="231" t="s">
        <v>16</v>
      </c>
      <c r="N62" s="231" t="s">
        <v>253</v>
      </c>
      <c r="O62" s="231">
        <v>2021</v>
      </c>
      <c r="P62" s="281"/>
      <c r="Q62" s="231"/>
      <c r="R62" s="231"/>
      <c r="S62" s="236" t="s">
        <v>453</v>
      </c>
      <c r="T62" s="236" t="s">
        <v>264</v>
      </c>
    </row>
    <row r="63" spans="1:20" ht="14">
      <c r="A63" s="231">
        <v>62</v>
      </c>
      <c r="B63" s="235" t="s">
        <v>49</v>
      </c>
      <c r="C63" s="231" t="s">
        <v>10</v>
      </c>
      <c r="D63" s="250" t="s">
        <v>595</v>
      </c>
      <c r="E63" s="239" t="s">
        <v>596</v>
      </c>
      <c r="F63" s="231" t="s">
        <v>451</v>
      </c>
      <c r="G63" s="231" cm="1">
        <f t="array" ref="G63">_xlfn.IFS(J63&lt;301,2,J63&gt;300,48)</f>
        <v>2</v>
      </c>
      <c r="H63" s="231" t="s">
        <v>597</v>
      </c>
      <c r="I63" s="281">
        <v>0</v>
      </c>
      <c r="J63" s="249">
        <v>300</v>
      </c>
      <c r="K63" s="231">
        <f t="shared" si="0"/>
        <v>20</v>
      </c>
      <c r="L63" s="231"/>
      <c r="M63" s="231" t="s">
        <v>16</v>
      </c>
      <c r="N63" s="231" t="s">
        <v>253</v>
      </c>
      <c r="O63" s="231">
        <v>2021</v>
      </c>
      <c r="P63" s="281"/>
      <c r="Q63" s="231"/>
      <c r="R63" s="231"/>
      <c r="S63" s="236" t="s">
        <v>453</v>
      </c>
      <c r="T63" s="236" t="s">
        <v>264</v>
      </c>
    </row>
    <row r="64" spans="1:20" ht="14">
      <c r="A64" s="231">
        <v>63</v>
      </c>
      <c r="B64" s="235" t="s">
        <v>49</v>
      </c>
      <c r="C64" s="231" t="s">
        <v>10</v>
      </c>
      <c r="D64" s="250" t="s">
        <v>598</v>
      </c>
      <c r="E64" s="239" t="s">
        <v>599</v>
      </c>
      <c r="F64" s="231" t="s">
        <v>451</v>
      </c>
      <c r="G64" s="231" cm="1">
        <f t="array" ref="G64">_xlfn.IFS(J64&lt;301,2,J64&gt;300,48)</f>
        <v>48</v>
      </c>
      <c r="H64" s="231" t="s">
        <v>600</v>
      </c>
      <c r="I64" s="281">
        <v>0</v>
      </c>
      <c r="J64" s="249">
        <v>350</v>
      </c>
      <c r="K64" s="231">
        <f t="shared" si="0"/>
        <v>20</v>
      </c>
      <c r="L64" s="231"/>
      <c r="M64" s="231" t="s">
        <v>16</v>
      </c>
      <c r="N64" s="231" t="s">
        <v>253</v>
      </c>
      <c r="O64" s="231">
        <v>2021</v>
      </c>
      <c r="P64" s="281"/>
      <c r="Q64" s="231"/>
      <c r="R64" s="231"/>
      <c r="S64" s="236" t="s">
        <v>453</v>
      </c>
      <c r="T64" s="236" t="s">
        <v>264</v>
      </c>
    </row>
    <row r="65" spans="1:92" ht="14">
      <c r="A65" s="231">
        <v>64</v>
      </c>
      <c r="B65" s="235" t="s">
        <v>49</v>
      </c>
      <c r="C65" s="231" t="s">
        <v>10</v>
      </c>
      <c r="D65" s="250" t="s">
        <v>601</v>
      </c>
      <c r="E65" s="239" t="s">
        <v>602</v>
      </c>
      <c r="F65" s="231" t="s">
        <v>451</v>
      </c>
      <c r="G65" s="231" cm="1">
        <f t="array" ref="G65">_xlfn.IFS(J65&lt;301,2,J65&gt;300,48)</f>
        <v>48</v>
      </c>
      <c r="H65" s="231" t="s">
        <v>603</v>
      </c>
      <c r="I65" s="281">
        <v>0</v>
      </c>
      <c r="J65" s="249">
        <v>700</v>
      </c>
      <c r="K65" s="231">
        <f t="shared" si="0"/>
        <v>20</v>
      </c>
      <c r="L65" s="231"/>
      <c r="M65" s="231" t="s">
        <v>16</v>
      </c>
      <c r="N65" s="231" t="s">
        <v>253</v>
      </c>
      <c r="O65" s="231">
        <v>2021</v>
      </c>
      <c r="P65" s="285">
        <v>44534</v>
      </c>
      <c r="Q65" s="231" t="s">
        <v>604</v>
      </c>
      <c r="R65" s="231"/>
      <c r="S65" s="236" t="s">
        <v>453</v>
      </c>
      <c r="T65" s="236" t="s">
        <v>264</v>
      </c>
    </row>
    <row r="66" spans="1:92" ht="14">
      <c r="A66" s="231">
        <v>65</v>
      </c>
      <c r="B66" s="235" t="s">
        <v>49</v>
      </c>
      <c r="C66" s="231" t="s">
        <v>10</v>
      </c>
      <c r="D66" s="250" t="s">
        <v>605</v>
      </c>
      <c r="E66" s="239" t="s">
        <v>606</v>
      </c>
      <c r="F66" s="231" t="s">
        <v>451</v>
      </c>
      <c r="G66" s="231" cm="1">
        <f t="array" ref="G66">_xlfn.IFS(J66&lt;301,2,J66&gt;300,48)</f>
        <v>48</v>
      </c>
      <c r="H66" s="231" t="s">
        <v>452</v>
      </c>
      <c r="I66" s="281">
        <v>0</v>
      </c>
      <c r="J66" s="249">
        <v>700</v>
      </c>
      <c r="K66" s="231">
        <f t="shared" ref="K66:K129" si="1">IF(M66="ONT",20,IF(M66="N/A","N/A",IF(M66="MIKROTIK",IF(J66&lt;3000,10,IF(3000&lt;J66&gt;10000,20,IF(10000&lt;J66&gt;20000,40,IF(20000&lt;J66&gt;40000,60,IF(J66&gt;40000,80,IF(J66&lt;300,3,)))))))))</f>
        <v>20</v>
      </c>
      <c r="L66" s="231"/>
      <c r="M66" s="231" t="s">
        <v>16</v>
      </c>
      <c r="N66" s="231" t="s">
        <v>253</v>
      </c>
      <c r="O66" s="231">
        <v>2021</v>
      </c>
      <c r="P66" s="281"/>
      <c r="Q66" s="231"/>
      <c r="R66" s="231"/>
      <c r="S66" s="236" t="s">
        <v>453</v>
      </c>
      <c r="T66" s="236" t="s">
        <v>264</v>
      </c>
    </row>
    <row r="67" spans="1:92" ht="14">
      <c r="A67" s="231">
        <v>66</v>
      </c>
      <c r="B67" s="235" t="s">
        <v>49</v>
      </c>
      <c r="C67" s="231" t="s">
        <v>10</v>
      </c>
      <c r="D67" s="250" t="s">
        <v>607</v>
      </c>
      <c r="E67" s="239" t="s">
        <v>608</v>
      </c>
      <c r="F67" s="231" t="s">
        <v>451</v>
      </c>
      <c r="G67" s="231" cm="1">
        <f t="array" ref="G67">_xlfn.IFS(J67&lt;301,2,J67&gt;300,48)</f>
        <v>48</v>
      </c>
      <c r="H67" s="231" t="s">
        <v>452</v>
      </c>
      <c r="I67" s="281">
        <v>0</v>
      </c>
      <c r="J67" s="249">
        <v>3500</v>
      </c>
      <c r="K67" s="231">
        <f t="shared" si="1"/>
        <v>20</v>
      </c>
      <c r="L67" s="231"/>
      <c r="M67" s="299" t="s">
        <v>15</v>
      </c>
      <c r="N67" s="231" t="s">
        <v>253</v>
      </c>
      <c r="O67" s="231">
        <v>2021</v>
      </c>
      <c r="P67" s="281"/>
      <c r="Q67" s="231"/>
      <c r="R67" s="231"/>
      <c r="S67" s="236" t="s">
        <v>453</v>
      </c>
      <c r="T67" s="236" t="s">
        <v>264</v>
      </c>
    </row>
    <row r="68" spans="1:92" s="147" customFormat="1" ht="14">
      <c r="A68" s="231">
        <v>67</v>
      </c>
      <c r="B68" s="235" t="s">
        <v>49</v>
      </c>
      <c r="C68" s="231" t="s">
        <v>10</v>
      </c>
      <c r="D68" s="250" t="s">
        <v>609</v>
      </c>
      <c r="E68" s="239" t="s">
        <v>610</v>
      </c>
      <c r="F68" s="231" t="s">
        <v>451</v>
      </c>
      <c r="G68" s="231" cm="1">
        <f t="array" ref="G68">_xlfn.IFS(J68&lt;301,2,J68&gt;300,48)</f>
        <v>48</v>
      </c>
      <c r="H68" s="231" t="s">
        <v>452</v>
      </c>
      <c r="I68" s="281">
        <v>0</v>
      </c>
      <c r="J68" s="249">
        <v>1129.8</v>
      </c>
      <c r="K68" s="231" t="b">
        <f t="shared" si="1"/>
        <v>0</v>
      </c>
      <c r="L68" s="231"/>
      <c r="M68" s="299" t="s">
        <v>3276</v>
      </c>
      <c r="N68" s="231" t="s">
        <v>253</v>
      </c>
      <c r="O68" s="231">
        <v>2021</v>
      </c>
      <c r="P68" s="281"/>
      <c r="Q68" s="231"/>
      <c r="R68" s="231"/>
      <c r="S68" s="236" t="s">
        <v>453</v>
      </c>
      <c r="T68" s="236" t="s">
        <v>264</v>
      </c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0"/>
      <c r="AV68" s="90"/>
      <c r="AW68" s="90"/>
      <c r="AX68" s="90"/>
      <c r="AY68" s="90"/>
      <c r="AZ68" s="90"/>
      <c r="BA68" s="90"/>
      <c r="BB68" s="90"/>
      <c r="BC68" s="90"/>
      <c r="BD68" s="90"/>
      <c r="BE68" s="90"/>
      <c r="BF68" s="90"/>
      <c r="BG68" s="90"/>
      <c r="BH68" s="90"/>
      <c r="BI68" s="90"/>
      <c r="BJ68" s="90"/>
      <c r="BK68" s="90"/>
      <c r="BL68" s="90"/>
      <c r="BM68" s="90"/>
      <c r="BN68" s="90"/>
      <c r="BO68" s="90"/>
      <c r="BP68" s="90"/>
      <c r="BQ68" s="90"/>
      <c r="BR68" s="90"/>
      <c r="BS68" s="90"/>
      <c r="BT68" s="90"/>
      <c r="BU68" s="90"/>
      <c r="BV68" s="90"/>
      <c r="BW68" s="90"/>
      <c r="BX68" s="90"/>
      <c r="BY68" s="90"/>
      <c r="BZ68" s="90"/>
      <c r="CA68" s="90"/>
      <c r="CB68" s="90"/>
      <c r="CC68" s="90"/>
      <c r="CD68" s="90"/>
      <c r="CE68" s="90"/>
      <c r="CF68" s="90"/>
      <c r="CG68" s="90"/>
      <c r="CH68" s="90"/>
      <c r="CI68" s="90"/>
      <c r="CJ68" s="90"/>
      <c r="CK68" s="90"/>
      <c r="CL68" s="90"/>
      <c r="CM68" s="90"/>
      <c r="CN68" s="90"/>
    </row>
    <row r="69" spans="1:92" ht="14">
      <c r="A69" s="231">
        <v>68</v>
      </c>
      <c r="B69" s="235" t="s">
        <v>49</v>
      </c>
      <c r="C69" s="231" t="s">
        <v>10</v>
      </c>
      <c r="D69" s="250" t="s">
        <v>611</v>
      </c>
      <c r="E69" s="239" t="s">
        <v>612</v>
      </c>
      <c r="F69" s="231" t="s">
        <v>451</v>
      </c>
      <c r="G69" s="231" cm="1">
        <f t="array" ref="G69">_xlfn.IFS(J69&lt;301,2,J69&gt;300,48)</f>
        <v>48</v>
      </c>
      <c r="H69" s="231" t="s">
        <v>452</v>
      </c>
      <c r="I69" s="281">
        <v>0</v>
      </c>
      <c r="J69" s="249">
        <v>577.5</v>
      </c>
      <c r="K69" s="231">
        <f t="shared" si="1"/>
        <v>10</v>
      </c>
      <c r="L69" s="231"/>
      <c r="M69" s="299" t="s">
        <v>15</v>
      </c>
      <c r="N69" s="231" t="s">
        <v>253</v>
      </c>
      <c r="O69" s="231">
        <v>2021</v>
      </c>
      <c r="P69" s="281"/>
      <c r="Q69" s="231"/>
      <c r="R69" s="231"/>
      <c r="S69" s="236" t="s">
        <v>453</v>
      </c>
      <c r="T69" s="236" t="s">
        <v>264</v>
      </c>
    </row>
    <row r="70" spans="1:92" ht="14">
      <c r="A70" s="231">
        <v>69</v>
      </c>
      <c r="B70" s="235" t="s">
        <v>49</v>
      </c>
      <c r="C70" s="231" t="s">
        <v>10</v>
      </c>
      <c r="D70" s="250" t="s">
        <v>613</v>
      </c>
      <c r="E70" s="239" t="s">
        <v>614</v>
      </c>
      <c r="F70" s="231" t="s">
        <v>451</v>
      </c>
      <c r="G70" s="231" cm="1">
        <f t="array" ref="G70">_xlfn.IFS(J70&lt;301,2,J70&gt;300,48)</f>
        <v>48</v>
      </c>
      <c r="H70" s="231" t="s">
        <v>452</v>
      </c>
      <c r="I70" s="281">
        <v>0</v>
      </c>
      <c r="J70" s="249">
        <v>3715.95</v>
      </c>
      <c r="K70" s="231">
        <f t="shared" si="1"/>
        <v>20</v>
      </c>
      <c r="L70" s="231"/>
      <c r="M70" s="299" t="s">
        <v>15</v>
      </c>
      <c r="N70" s="231" t="s">
        <v>253</v>
      </c>
      <c r="O70" s="231">
        <v>2021</v>
      </c>
      <c r="P70" s="281"/>
      <c r="Q70" s="231"/>
      <c r="R70" s="231"/>
      <c r="S70" s="236" t="s">
        <v>453</v>
      </c>
      <c r="T70" s="236" t="s">
        <v>264</v>
      </c>
    </row>
    <row r="71" spans="1:92" ht="14">
      <c r="A71" s="231">
        <v>70</v>
      </c>
      <c r="B71" s="235" t="s">
        <v>49</v>
      </c>
      <c r="C71" s="231" t="s">
        <v>10</v>
      </c>
      <c r="D71" s="250" t="s">
        <v>615</v>
      </c>
      <c r="E71" s="239" t="s">
        <v>616</v>
      </c>
      <c r="F71" s="231" t="s">
        <v>550</v>
      </c>
      <c r="G71" s="231">
        <v>24</v>
      </c>
      <c r="H71" s="231" t="s">
        <v>452</v>
      </c>
      <c r="I71" s="281">
        <v>0</v>
      </c>
      <c r="J71" s="249">
        <v>4048.8</v>
      </c>
      <c r="K71" s="231" t="str">
        <f t="shared" si="1"/>
        <v>N/A</v>
      </c>
      <c r="L71" s="231"/>
      <c r="M71" s="231" t="s">
        <v>456</v>
      </c>
      <c r="N71" s="231" t="s">
        <v>253</v>
      </c>
      <c r="O71" s="231">
        <v>2022</v>
      </c>
      <c r="P71" s="281"/>
      <c r="Q71" s="231"/>
      <c r="R71" s="231"/>
      <c r="S71" s="236" t="s">
        <v>453</v>
      </c>
      <c r="T71" s="236" t="s">
        <v>264</v>
      </c>
    </row>
    <row r="72" spans="1:92" s="147" customFormat="1" ht="14">
      <c r="A72" s="231">
        <v>71</v>
      </c>
      <c r="B72" s="235" t="s">
        <v>49</v>
      </c>
      <c r="C72" s="231" t="s">
        <v>10</v>
      </c>
      <c r="D72" s="250" t="s">
        <v>617</v>
      </c>
      <c r="E72" s="239" t="s">
        <v>618</v>
      </c>
      <c r="F72" s="231" t="s">
        <v>464</v>
      </c>
      <c r="G72" s="231" cm="1">
        <f t="array" ref="G72">_xlfn.IFS(J72&lt;301,2,J72&gt;300,48)</f>
        <v>48</v>
      </c>
      <c r="H72" s="231" t="s">
        <v>452</v>
      </c>
      <c r="I72" s="281">
        <v>0</v>
      </c>
      <c r="J72" s="249">
        <v>567</v>
      </c>
      <c r="K72" s="231">
        <f t="shared" si="1"/>
        <v>10</v>
      </c>
      <c r="L72" s="231"/>
      <c r="M72" s="299" t="s">
        <v>15</v>
      </c>
      <c r="N72" s="231" t="s">
        <v>253</v>
      </c>
      <c r="O72" s="231">
        <v>2020</v>
      </c>
      <c r="P72" s="281"/>
      <c r="Q72" s="231"/>
      <c r="R72" s="231"/>
      <c r="S72" s="236" t="s">
        <v>453</v>
      </c>
      <c r="T72" s="236" t="s">
        <v>264</v>
      </c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0"/>
      <c r="AV72" s="90"/>
      <c r="AW72" s="90"/>
      <c r="AX72" s="90"/>
      <c r="AY72" s="90"/>
      <c r="AZ72" s="90"/>
      <c r="BA72" s="90"/>
      <c r="BB72" s="90"/>
      <c r="BC72" s="90"/>
      <c r="BD72" s="90"/>
      <c r="BE72" s="90"/>
      <c r="BF72" s="90"/>
      <c r="BG72" s="90"/>
      <c r="BH72" s="90"/>
      <c r="BI72" s="90"/>
      <c r="BJ72" s="90"/>
      <c r="BK72" s="90"/>
      <c r="BL72" s="90"/>
      <c r="BM72" s="90"/>
      <c r="BN72" s="90"/>
      <c r="BO72" s="90"/>
      <c r="BP72" s="90"/>
      <c r="BQ72" s="90"/>
      <c r="BR72" s="90"/>
      <c r="BS72" s="90"/>
      <c r="BT72" s="90"/>
      <c r="BU72" s="90"/>
      <c r="BV72" s="90"/>
      <c r="BW72" s="90"/>
      <c r="BX72" s="90"/>
      <c r="BY72" s="90"/>
      <c r="BZ72" s="90"/>
      <c r="CA72" s="90"/>
      <c r="CB72" s="90"/>
      <c r="CC72" s="90"/>
      <c r="CD72" s="90"/>
      <c r="CE72" s="90"/>
      <c r="CF72" s="90"/>
      <c r="CG72" s="90"/>
      <c r="CH72" s="90"/>
      <c r="CI72" s="90"/>
      <c r="CJ72" s="90"/>
      <c r="CK72" s="90"/>
      <c r="CL72" s="90"/>
      <c r="CM72" s="90"/>
      <c r="CN72" s="90"/>
    </row>
    <row r="73" spans="1:92" ht="14">
      <c r="A73" s="231">
        <v>72</v>
      </c>
      <c r="B73" s="235" t="s">
        <v>49</v>
      </c>
      <c r="C73" s="231" t="s">
        <v>10</v>
      </c>
      <c r="D73" s="250" t="s">
        <v>619</v>
      </c>
      <c r="E73" s="239" t="s">
        <v>620</v>
      </c>
      <c r="F73" s="239" t="s">
        <v>464</v>
      </c>
      <c r="G73" s="231" cm="1">
        <f t="array" ref="G73">_xlfn.IFS(J73&lt;301,2,J73&gt;300,48)</f>
        <v>48</v>
      </c>
      <c r="H73" s="231" t="s">
        <v>452</v>
      </c>
      <c r="I73" s="281">
        <v>0</v>
      </c>
      <c r="J73" s="249">
        <v>315</v>
      </c>
      <c r="K73" s="231" t="str">
        <f t="shared" si="1"/>
        <v>N/A</v>
      </c>
      <c r="L73" s="231"/>
      <c r="M73" s="231" t="s">
        <v>456</v>
      </c>
      <c r="N73" s="231" t="s">
        <v>253</v>
      </c>
      <c r="O73" s="231">
        <v>2021</v>
      </c>
      <c r="P73" s="281"/>
      <c r="Q73" s="231"/>
      <c r="R73" s="231"/>
      <c r="S73" s="236" t="s">
        <v>453</v>
      </c>
      <c r="T73" s="236" t="s">
        <v>264</v>
      </c>
    </row>
    <row r="74" spans="1:92" s="147" customFormat="1" ht="14">
      <c r="A74" s="231">
        <v>73</v>
      </c>
      <c r="B74" s="235" t="s">
        <v>49</v>
      </c>
      <c r="C74" s="231" t="s">
        <v>10</v>
      </c>
      <c r="D74" s="250" t="s">
        <v>621</v>
      </c>
      <c r="E74" s="239" t="s">
        <v>622</v>
      </c>
      <c r="F74" s="231" t="s">
        <v>464</v>
      </c>
      <c r="G74" s="231" cm="1">
        <f t="array" ref="G74">_xlfn.IFS(J74&lt;301,2,J74&gt;300,48)</f>
        <v>48</v>
      </c>
      <c r="H74" s="231" t="s">
        <v>452</v>
      </c>
      <c r="I74" s="281">
        <v>0</v>
      </c>
      <c r="J74" s="249">
        <v>400</v>
      </c>
      <c r="K74" s="231">
        <f t="shared" si="1"/>
        <v>10</v>
      </c>
      <c r="L74" s="231"/>
      <c r="M74" s="299" t="s">
        <v>15</v>
      </c>
      <c r="N74" s="231" t="s">
        <v>253</v>
      </c>
      <c r="O74" s="231">
        <v>2021</v>
      </c>
      <c r="P74" s="281"/>
      <c r="Q74" s="231"/>
      <c r="R74" s="231"/>
      <c r="S74" s="236" t="s">
        <v>453</v>
      </c>
      <c r="T74" s="236" t="s">
        <v>264</v>
      </c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  <c r="AT74" s="90"/>
      <c r="AU74" s="90"/>
      <c r="AV74" s="90"/>
      <c r="AW74" s="90"/>
      <c r="AX74" s="90"/>
      <c r="AY74" s="90"/>
      <c r="AZ74" s="90"/>
      <c r="BA74" s="90"/>
      <c r="BB74" s="90"/>
      <c r="BC74" s="90"/>
      <c r="BD74" s="90"/>
      <c r="BE74" s="90"/>
      <c r="BF74" s="90"/>
      <c r="BG74" s="90"/>
      <c r="BH74" s="90"/>
      <c r="BI74" s="90"/>
      <c r="BJ74" s="90"/>
      <c r="BK74" s="90"/>
      <c r="BL74" s="90"/>
      <c r="BM74" s="90"/>
      <c r="BN74" s="90"/>
      <c r="BO74" s="90"/>
      <c r="BP74" s="90"/>
      <c r="BQ74" s="90"/>
      <c r="BR74" s="90"/>
      <c r="BS74" s="90"/>
      <c r="BT74" s="90"/>
      <c r="BU74" s="90"/>
      <c r="BV74" s="90"/>
      <c r="BW74" s="90"/>
      <c r="BX74" s="90"/>
      <c r="BY74" s="90"/>
      <c r="BZ74" s="90"/>
      <c r="CA74" s="90"/>
      <c r="CB74" s="90"/>
      <c r="CC74" s="90"/>
      <c r="CD74" s="90"/>
      <c r="CE74" s="90"/>
      <c r="CF74" s="90"/>
      <c r="CG74" s="90"/>
      <c r="CH74" s="90"/>
      <c r="CI74" s="90"/>
      <c r="CJ74" s="90"/>
      <c r="CK74" s="90"/>
      <c r="CL74" s="90"/>
      <c r="CM74" s="90"/>
      <c r="CN74" s="90"/>
    </row>
    <row r="75" spans="1:92" ht="14">
      <c r="A75" s="231">
        <v>74</v>
      </c>
      <c r="B75" s="235" t="s">
        <v>49</v>
      </c>
      <c r="C75" s="231" t="s">
        <v>10</v>
      </c>
      <c r="D75" s="250" t="s">
        <v>623</v>
      </c>
      <c r="E75" s="239" t="s">
        <v>624</v>
      </c>
      <c r="F75" s="239" t="s">
        <v>451</v>
      </c>
      <c r="G75" s="231" cm="1">
        <f t="array" ref="G75">_xlfn.IFS(J75&lt;301,2,J75&gt;300,48)</f>
        <v>48</v>
      </c>
      <c r="H75" s="231" t="s">
        <v>452</v>
      </c>
      <c r="I75" s="281">
        <v>0</v>
      </c>
      <c r="J75" s="249">
        <v>3963.75</v>
      </c>
      <c r="K75" s="231">
        <f t="shared" si="1"/>
        <v>20</v>
      </c>
      <c r="L75" s="231"/>
      <c r="M75" s="299" t="s">
        <v>15</v>
      </c>
      <c r="N75" s="231" t="s">
        <v>253</v>
      </c>
      <c r="O75" s="231">
        <v>2020</v>
      </c>
      <c r="P75" s="281"/>
      <c r="Q75" s="231"/>
      <c r="R75" s="231"/>
      <c r="S75" s="236" t="s">
        <v>453</v>
      </c>
      <c r="T75" s="236" t="s">
        <v>264</v>
      </c>
    </row>
    <row r="76" spans="1:92" ht="14">
      <c r="A76" s="231">
        <v>75</v>
      </c>
      <c r="B76" s="235" t="s">
        <v>49</v>
      </c>
      <c r="C76" s="231" t="s">
        <v>10</v>
      </c>
      <c r="D76" s="250" t="s">
        <v>625</v>
      </c>
      <c r="E76" s="239" t="s">
        <v>626</v>
      </c>
      <c r="F76" s="239" t="s">
        <v>451</v>
      </c>
      <c r="G76" s="231" cm="1">
        <f t="array" ref="G76">_xlfn.IFS(J76&lt;301,2,J76&gt;300,48)</f>
        <v>48</v>
      </c>
      <c r="H76" s="231" t="s">
        <v>452</v>
      </c>
      <c r="I76" s="281">
        <v>0</v>
      </c>
      <c r="J76" s="249">
        <v>1000</v>
      </c>
      <c r="K76" s="231">
        <f t="shared" si="1"/>
        <v>10</v>
      </c>
      <c r="L76" s="231"/>
      <c r="M76" s="299" t="s">
        <v>15</v>
      </c>
      <c r="N76" s="231" t="s">
        <v>253</v>
      </c>
      <c r="O76" s="231">
        <v>2020</v>
      </c>
      <c r="P76" s="281"/>
      <c r="Q76" s="231"/>
      <c r="R76" s="231"/>
      <c r="S76" s="236" t="s">
        <v>453</v>
      </c>
      <c r="T76" s="236" t="s">
        <v>264</v>
      </c>
    </row>
    <row r="77" spans="1:92" ht="14">
      <c r="A77" s="231">
        <v>76</v>
      </c>
      <c r="B77" s="235" t="s">
        <v>49</v>
      </c>
      <c r="C77" s="231" t="s">
        <v>10</v>
      </c>
      <c r="D77" s="250" t="s">
        <v>627</v>
      </c>
      <c r="E77" s="239" t="s">
        <v>628</v>
      </c>
      <c r="F77" s="231" t="s">
        <v>464</v>
      </c>
      <c r="G77" s="231" cm="1">
        <f t="array" ref="G77">_xlfn.IFS(J77&lt;301,2,J77&gt;300,48)</f>
        <v>48</v>
      </c>
      <c r="H77" s="231" t="s">
        <v>4541</v>
      </c>
      <c r="I77" s="281">
        <v>0</v>
      </c>
      <c r="J77" s="249">
        <v>315</v>
      </c>
      <c r="K77" s="231">
        <f t="shared" si="1"/>
        <v>20</v>
      </c>
      <c r="L77" s="231"/>
      <c r="M77" s="231" t="s">
        <v>16</v>
      </c>
      <c r="N77" s="231" t="s">
        <v>253</v>
      </c>
      <c r="O77" s="231">
        <v>2020</v>
      </c>
      <c r="P77" s="281"/>
      <c r="Q77" s="231"/>
      <c r="R77" s="231"/>
      <c r="S77" s="236" t="s">
        <v>453</v>
      </c>
      <c r="T77" s="236" t="s">
        <v>264</v>
      </c>
    </row>
    <row r="78" spans="1:92" ht="14">
      <c r="A78" s="231">
        <v>77</v>
      </c>
      <c r="B78" s="235" t="s">
        <v>49</v>
      </c>
      <c r="C78" s="231" t="s">
        <v>10</v>
      </c>
      <c r="D78" s="250" t="s">
        <v>629</v>
      </c>
      <c r="E78" s="239" t="s">
        <v>630</v>
      </c>
      <c r="F78" s="231" t="s">
        <v>451</v>
      </c>
      <c r="G78" s="231" cm="1">
        <f t="array" ref="G78">_xlfn.IFS(J78&lt;301,2,J78&gt;300,48)</f>
        <v>48</v>
      </c>
      <c r="H78" s="231" t="s">
        <v>452</v>
      </c>
      <c r="I78" s="281">
        <v>0</v>
      </c>
      <c r="J78" s="249">
        <v>8373.75</v>
      </c>
      <c r="K78" s="231" t="str">
        <f t="shared" si="1"/>
        <v>N/A</v>
      </c>
      <c r="L78" s="231"/>
      <c r="M78" s="231" t="s">
        <v>456</v>
      </c>
      <c r="N78" s="231" t="s">
        <v>253</v>
      </c>
      <c r="O78" s="231">
        <v>2021</v>
      </c>
      <c r="P78" s="281"/>
      <c r="Q78" s="231"/>
      <c r="R78" s="231"/>
      <c r="S78" s="236" t="s">
        <v>453</v>
      </c>
      <c r="T78" s="236" t="s">
        <v>264</v>
      </c>
    </row>
    <row r="79" spans="1:92" ht="14">
      <c r="A79" s="231">
        <v>78</v>
      </c>
      <c r="B79" s="235" t="s">
        <v>49</v>
      </c>
      <c r="C79" s="231" t="s">
        <v>10</v>
      </c>
      <c r="D79" s="250" t="s">
        <v>631</v>
      </c>
      <c r="E79" s="239" t="s">
        <v>632</v>
      </c>
      <c r="F79" s="231" t="s">
        <v>451</v>
      </c>
      <c r="G79" s="231" cm="1">
        <f t="array" ref="G79">_xlfn.IFS(J79&lt;301,2,J79&gt;300,48)</f>
        <v>48</v>
      </c>
      <c r="H79" s="231" t="s">
        <v>452</v>
      </c>
      <c r="I79" s="281">
        <v>0</v>
      </c>
      <c r="J79" s="249">
        <v>394.8</v>
      </c>
      <c r="K79" s="231">
        <f t="shared" si="1"/>
        <v>20</v>
      </c>
      <c r="L79" s="231"/>
      <c r="M79" s="231" t="s">
        <v>16</v>
      </c>
      <c r="N79" s="231" t="s">
        <v>253</v>
      </c>
      <c r="O79" s="231">
        <v>2021</v>
      </c>
      <c r="P79" s="281"/>
      <c r="Q79" s="231"/>
      <c r="R79" s="231"/>
      <c r="S79" s="236" t="s">
        <v>453</v>
      </c>
      <c r="T79" s="236" t="s">
        <v>264</v>
      </c>
    </row>
    <row r="80" spans="1:92" ht="14">
      <c r="A80" s="231">
        <v>79</v>
      </c>
      <c r="B80" s="235" t="s">
        <v>49</v>
      </c>
      <c r="C80" s="231" t="s">
        <v>10</v>
      </c>
      <c r="D80" s="250" t="s">
        <v>633</v>
      </c>
      <c r="E80" s="239" t="s">
        <v>634</v>
      </c>
      <c r="F80" s="231" t="s">
        <v>464</v>
      </c>
      <c r="G80" s="231" cm="1">
        <f t="array" ref="G80">_xlfn.IFS(J80&lt;301,2,J80&gt;300,48)</f>
        <v>48</v>
      </c>
      <c r="H80" s="231" t="s">
        <v>452</v>
      </c>
      <c r="I80" s="281">
        <v>0</v>
      </c>
      <c r="J80" s="249">
        <v>2206.0500000000002</v>
      </c>
      <c r="K80" s="231" t="str">
        <f t="shared" si="1"/>
        <v>N/A</v>
      </c>
      <c r="L80" s="231"/>
      <c r="M80" s="231" t="s">
        <v>456</v>
      </c>
      <c r="N80" s="231" t="s">
        <v>253</v>
      </c>
      <c r="O80" s="231">
        <v>2021</v>
      </c>
      <c r="P80" s="281"/>
      <c r="Q80" s="231"/>
      <c r="R80" s="231"/>
      <c r="S80" s="236" t="s">
        <v>453</v>
      </c>
      <c r="T80" s="236" t="s">
        <v>264</v>
      </c>
    </row>
    <row r="81" spans="1:20" ht="14">
      <c r="A81" s="231">
        <v>80</v>
      </c>
      <c r="B81" s="235" t="s">
        <v>49</v>
      </c>
      <c r="C81" s="231" t="s">
        <v>10</v>
      </c>
      <c r="D81" s="250" t="s">
        <v>635</v>
      </c>
      <c r="E81" s="239" t="s">
        <v>636</v>
      </c>
      <c r="F81" s="231" t="s">
        <v>464</v>
      </c>
      <c r="G81" s="231" cm="1">
        <f t="array" ref="G81">_xlfn.IFS(J81&lt;301,2,J81&gt;300,48)</f>
        <v>48</v>
      </c>
      <c r="H81" s="231" t="s">
        <v>452</v>
      </c>
      <c r="I81" s="281">
        <v>0</v>
      </c>
      <c r="J81" s="249">
        <v>700</v>
      </c>
      <c r="K81" s="231">
        <f t="shared" si="1"/>
        <v>10</v>
      </c>
      <c r="L81" s="231"/>
      <c r="M81" s="299" t="s">
        <v>15</v>
      </c>
      <c r="N81" s="231" t="s">
        <v>637</v>
      </c>
      <c r="O81" s="231">
        <v>2023</v>
      </c>
      <c r="P81" s="281"/>
      <c r="Q81" s="231"/>
      <c r="R81" s="231"/>
      <c r="S81" s="236" t="s">
        <v>453</v>
      </c>
      <c r="T81" s="236" t="s">
        <v>264</v>
      </c>
    </row>
    <row r="82" spans="1:20" ht="14">
      <c r="A82" s="231">
        <v>81</v>
      </c>
      <c r="B82" s="235" t="s">
        <v>49</v>
      </c>
      <c r="C82" s="231" t="s">
        <v>10</v>
      </c>
      <c r="D82" s="250" t="s">
        <v>638</v>
      </c>
      <c r="E82" s="239" t="s">
        <v>639</v>
      </c>
      <c r="F82" s="231" t="s">
        <v>464</v>
      </c>
      <c r="G82" s="231" cm="1">
        <f t="array" ref="G82">_xlfn.IFS(J82&lt;301,2,J82&gt;300,48)</f>
        <v>48</v>
      </c>
      <c r="H82" s="231" t="s">
        <v>452</v>
      </c>
      <c r="I82" s="281">
        <v>0</v>
      </c>
      <c r="J82" s="249">
        <v>500</v>
      </c>
      <c r="K82" s="231">
        <f t="shared" si="1"/>
        <v>20</v>
      </c>
      <c r="L82" s="231"/>
      <c r="M82" s="231" t="s">
        <v>16</v>
      </c>
      <c r="N82" s="231" t="s">
        <v>637</v>
      </c>
      <c r="O82" s="231">
        <v>2022</v>
      </c>
      <c r="P82" s="281"/>
      <c r="Q82" s="231"/>
      <c r="R82" s="231"/>
      <c r="S82" s="236" t="s">
        <v>453</v>
      </c>
      <c r="T82" s="236" t="s">
        <v>264</v>
      </c>
    </row>
    <row r="83" spans="1:20" ht="14">
      <c r="A83" s="231">
        <v>82</v>
      </c>
      <c r="B83" s="235" t="s">
        <v>49</v>
      </c>
      <c r="C83" s="231" t="s">
        <v>10</v>
      </c>
      <c r="D83" s="250" t="s">
        <v>640</v>
      </c>
      <c r="E83" s="239" t="s">
        <v>641</v>
      </c>
      <c r="F83" s="231" t="s">
        <v>451</v>
      </c>
      <c r="G83" s="231" cm="1">
        <f t="array" ref="G83">_xlfn.IFS(J83&lt;301,2,J83&gt;300,48)</f>
        <v>48</v>
      </c>
      <c r="H83" s="231" t="s">
        <v>452</v>
      </c>
      <c r="I83" s="281">
        <v>0</v>
      </c>
      <c r="J83" s="249">
        <v>400</v>
      </c>
      <c r="K83" s="231">
        <f t="shared" si="1"/>
        <v>20</v>
      </c>
      <c r="L83" s="231"/>
      <c r="M83" s="231" t="s">
        <v>16</v>
      </c>
      <c r="N83" s="231" t="s">
        <v>637</v>
      </c>
      <c r="O83" s="231">
        <v>2020</v>
      </c>
      <c r="P83" s="281"/>
      <c r="Q83" s="231"/>
      <c r="R83" s="231"/>
      <c r="S83" s="236" t="s">
        <v>453</v>
      </c>
      <c r="T83" s="236" t="s">
        <v>264</v>
      </c>
    </row>
    <row r="84" spans="1:20" ht="14">
      <c r="A84" s="231">
        <v>83</v>
      </c>
      <c r="B84" s="235" t="s">
        <v>49</v>
      </c>
      <c r="C84" s="231" t="s">
        <v>10</v>
      </c>
      <c r="D84" s="250" t="s">
        <v>642</v>
      </c>
      <c r="E84" s="239" t="s">
        <v>643</v>
      </c>
      <c r="F84" s="231" t="s">
        <v>451</v>
      </c>
      <c r="G84" s="231" cm="1">
        <f t="array" ref="G84">_xlfn.IFS(J84&lt;301,2,J84&gt;300,48)</f>
        <v>48</v>
      </c>
      <c r="H84" s="231" t="s">
        <v>3620</v>
      </c>
      <c r="I84" s="281">
        <v>0</v>
      </c>
      <c r="J84" s="249">
        <v>400</v>
      </c>
      <c r="K84" s="231">
        <f t="shared" si="1"/>
        <v>10</v>
      </c>
      <c r="L84" s="231"/>
      <c r="M84" s="299" t="s">
        <v>15</v>
      </c>
      <c r="N84" s="231" t="s">
        <v>637</v>
      </c>
      <c r="O84" s="231">
        <v>2023</v>
      </c>
      <c r="P84" s="281"/>
      <c r="Q84" s="231"/>
      <c r="R84" s="231"/>
      <c r="S84" s="236" t="s">
        <v>453</v>
      </c>
      <c r="T84" s="236" t="s">
        <v>264</v>
      </c>
    </row>
    <row r="85" spans="1:20" ht="14">
      <c r="A85" s="231">
        <v>84</v>
      </c>
      <c r="B85" s="235" t="s">
        <v>49</v>
      </c>
      <c r="C85" s="231" t="s">
        <v>10</v>
      </c>
      <c r="D85" s="250" t="s">
        <v>644</v>
      </c>
      <c r="E85" s="239" t="s">
        <v>645</v>
      </c>
      <c r="F85" s="231" t="s">
        <v>451</v>
      </c>
      <c r="G85" s="231" cm="1">
        <f t="array" ref="G85">_xlfn.IFS(J85&lt;301,2,J85&gt;300,48)</f>
        <v>2</v>
      </c>
      <c r="H85" s="231" t="s">
        <v>603</v>
      </c>
      <c r="I85" s="281">
        <v>0</v>
      </c>
      <c r="J85" s="249">
        <v>200</v>
      </c>
      <c r="K85" s="231">
        <f t="shared" si="1"/>
        <v>10</v>
      </c>
      <c r="L85" s="231"/>
      <c r="M85" s="299" t="s">
        <v>15</v>
      </c>
      <c r="N85" s="231" t="s">
        <v>637</v>
      </c>
      <c r="O85" s="231">
        <v>2023</v>
      </c>
      <c r="P85" s="281"/>
      <c r="Q85" s="231"/>
      <c r="R85" s="231"/>
      <c r="S85" s="236" t="s">
        <v>453</v>
      </c>
      <c r="T85" s="236" t="s">
        <v>264</v>
      </c>
    </row>
    <row r="86" spans="1:20" ht="14">
      <c r="A86" s="231">
        <v>85</v>
      </c>
      <c r="B86" s="235" t="s">
        <v>49</v>
      </c>
      <c r="C86" s="231" t="s">
        <v>10</v>
      </c>
      <c r="D86" s="250" t="s">
        <v>646</v>
      </c>
      <c r="E86" s="239" t="s">
        <v>647</v>
      </c>
      <c r="F86" s="231" t="s">
        <v>451</v>
      </c>
      <c r="G86" s="231" cm="1">
        <f t="array" ref="G86">_xlfn.IFS(J86&lt;301,2,J86&gt;300,48)</f>
        <v>48</v>
      </c>
      <c r="H86" s="231" t="s">
        <v>452</v>
      </c>
      <c r="I86" s="281">
        <v>0</v>
      </c>
      <c r="J86" s="249">
        <v>350</v>
      </c>
      <c r="K86" s="231">
        <f t="shared" si="1"/>
        <v>10</v>
      </c>
      <c r="L86" s="231"/>
      <c r="M86" s="299" t="s">
        <v>15</v>
      </c>
      <c r="N86" s="231" t="s">
        <v>637</v>
      </c>
      <c r="O86" s="231">
        <v>2023</v>
      </c>
      <c r="P86" s="281"/>
      <c r="Q86" s="231"/>
      <c r="R86" s="231"/>
      <c r="S86" s="236" t="s">
        <v>453</v>
      </c>
      <c r="T86" s="236" t="s">
        <v>264</v>
      </c>
    </row>
    <row r="87" spans="1:20" ht="14">
      <c r="A87" s="231">
        <v>86</v>
      </c>
      <c r="B87" s="235" t="s">
        <v>49</v>
      </c>
      <c r="C87" s="231" t="s">
        <v>10</v>
      </c>
      <c r="D87" s="250" t="s">
        <v>648</v>
      </c>
      <c r="E87" s="239" t="s">
        <v>649</v>
      </c>
      <c r="F87" s="231" t="s">
        <v>451</v>
      </c>
      <c r="G87" s="231" cm="1">
        <f t="array" ref="G87">_xlfn.IFS(J87&lt;301,2,J87&gt;300,48)</f>
        <v>48</v>
      </c>
      <c r="H87" s="231" t="s">
        <v>4540</v>
      </c>
      <c r="I87" s="281">
        <v>0</v>
      </c>
      <c r="J87" s="249">
        <v>1600</v>
      </c>
      <c r="K87" s="231">
        <f t="shared" si="1"/>
        <v>20</v>
      </c>
      <c r="L87" s="231"/>
      <c r="M87" s="231" t="s">
        <v>16</v>
      </c>
      <c r="N87" s="231" t="s">
        <v>637</v>
      </c>
      <c r="O87" s="231">
        <v>2023</v>
      </c>
      <c r="P87" s="281"/>
      <c r="Q87" s="231"/>
      <c r="R87" s="231"/>
      <c r="S87" s="236" t="s">
        <v>453</v>
      </c>
      <c r="T87" s="236" t="s">
        <v>264</v>
      </c>
    </row>
    <row r="88" spans="1:20" ht="14">
      <c r="A88" s="231">
        <v>87</v>
      </c>
      <c r="B88" s="235" t="s">
        <v>49</v>
      </c>
      <c r="C88" s="231" t="s">
        <v>10</v>
      </c>
      <c r="D88" s="250" t="s">
        <v>650</v>
      </c>
      <c r="E88" s="239" t="s">
        <v>651</v>
      </c>
      <c r="F88" s="231" t="s">
        <v>451</v>
      </c>
      <c r="G88" s="231" cm="1">
        <f t="array" ref="G88">_xlfn.IFS(J88&lt;301,2,J88&gt;300,48)</f>
        <v>48</v>
      </c>
      <c r="H88" s="231" t="s">
        <v>452</v>
      </c>
      <c r="I88" s="281">
        <v>0</v>
      </c>
      <c r="J88" s="249">
        <v>2219</v>
      </c>
      <c r="K88" s="231">
        <f t="shared" si="1"/>
        <v>20</v>
      </c>
      <c r="L88" s="231"/>
      <c r="M88" s="231" t="s">
        <v>16</v>
      </c>
      <c r="N88" s="231" t="s">
        <v>637</v>
      </c>
      <c r="O88" s="231">
        <v>2023</v>
      </c>
      <c r="P88" s="281"/>
      <c r="Q88" s="231"/>
      <c r="R88" s="231"/>
      <c r="S88" s="236" t="s">
        <v>453</v>
      </c>
      <c r="T88" s="236" t="s">
        <v>264</v>
      </c>
    </row>
    <row r="89" spans="1:20" ht="14">
      <c r="A89" s="231">
        <v>88</v>
      </c>
      <c r="B89" s="235" t="s">
        <v>49</v>
      </c>
      <c r="C89" s="231" t="s">
        <v>10</v>
      </c>
      <c r="D89" s="250" t="s">
        <v>652</v>
      </c>
      <c r="E89" s="239" t="s">
        <v>653</v>
      </c>
      <c r="F89" s="239" t="s">
        <v>451</v>
      </c>
      <c r="G89" s="231" cm="1">
        <f t="array" ref="G89">_xlfn.IFS(J89&lt;301,2,J89&gt;300,48)</f>
        <v>48</v>
      </c>
      <c r="H89" s="231" t="s">
        <v>452</v>
      </c>
      <c r="I89" s="281">
        <v>0</v>
      </c>
      <c r="J89" s="249">
        <v>450</v>
      </c>
      <c r="K89" s="231">
        <f t="shared" si="1"/>
        <v>10</v>
      </c>
      <c r="L89" s="231"/>
      <c r="M89" s="299" t="s">
        <v>15</v>
      </c>
      <c r="N89" s="231" t="s">
        <v>637</v>
      </c>
      <c r="O89" s="231">
        <v>2022</v>
      </c>
      <c r="P89" s="281"/>
      <c r="Q89" s="231"/>
      <c r="R89" s="231"/>
      <c r="S89" s="236" t="s">
        <v>453</v>
      </c>
      <c r="T89" s="236" t="s">
        <v>264</v>
      </c>
    </row>
    <row r="90" spans="1:20" ht="14">
      <c r="A90" s="231">
        <v>89</v>
      </c>
      <c r="B90" s="235" t="s">
        <v>50</v>
      </c>
      <c r="C90" s="231" t="s">
        <v>10</v>
      </c>
      <c r="D90" s="250" t="s">
        <v>654</v>
      </c>
      <c r="E90" s="239" t="s">
        <v>655</v>
      </c>
      <c r="F90" s="231" t="s">
        <v>656</v>
      </c>
      <c r="G90" s="231" cm="1">
        <f t="array" ref="G90">_xlfn.IFS(J90&lt;301,2,J90&gt;300,48)</f>
        <v>48</v>
      </c>
      <c r="H90" s="231" t="s">
        <v>2797</v>
      </c>
      <c r="I90" s="281">
        <v>0</v>
      </c>
      <c r="J90" s="249">
        <v>315</v>
      </c>
      <c r="K90" s="231">
        <f t="shared" si="1"/>
        <v>10</v>
      </c>
      <c r="L90" s="231"/>
      <c r="M90" s="299" t="s">
        <v>15</v>
      </c>
      <c r="N90" s="231" t="s">
        <v>253</v>
      </c>
      <c r="O90" s="231">
        <v>2020</v>
      </c>
      <c r="P90" s="281"/>
      <c r="Q90" s="231"/>
      <c r="R90" s="231"/>
      <c r="S90" s="236" t="s">
        <v>453</v>
      </c>
      <c r="T90" s="236" t="s">
        <v>264</v>
      </c>
    </row>
    <row r="91" spans="1:20" ht="14">
      <c r="A91" s="231">
        <v>90</v>
      </c>
      <c r="B91" s="235" t="s">
        <v>50</v>
      </c>
      <c r="C91" s="231" t="s">
        <v>10</v>
      </c>
      <c r="D91" s="250" t="s">
        <v>657</v>
      </c>
      <c r="E91" s="239" t="s">
        <v>658</v>
      </c>
      <c r="F91" s="231" t="s">
        <v>656</v>
      </c>
      <c r="G91" s="231" cm="1">
        <f t="array" ref="G91">_xlfn.IFS(J91&lt;301,2,J91&gt;300,48)</f>
        <v>48</v>
      </c>
      <c r="H91" s="231" t="s">
        <v>2797</v>
      </c>
      <c r="I91" s="281">
        <v>0</v>
      </c>
      <c r="J91" s="249">
        <v>315</v>
      </c>
      <c r="K91" s="231">
        <f t="shared" si="1"/>
        <v>10</v>
      </c>
      <c r="L91" s="231"/>
      <c r="M91" s="299" t="s">
        <v>15</v>
      </c>
      <c r="N91" s="231" t="s">
        <v>253</v>
      </c>
      <c r="O91" s="231">
        <v>2020</v>
      </c>
      <c r="P91" s="281"/>
      <c r="Q91" s="231"/>
      <c r="R91" s="231"/>
      <c r="S91" s="236" t="s">
        <v>453</v>
      </c>
      <c r="T91" s="236" t="s">
        <v>264</v>
      </c>
    </row>
    <row r="92" spans="1:20" ht="14">
      <c r="A92" s="231">
        <v>91</v>
      </c>
      <c r="B92" s="235" t="s">
        <v>50</v>
      </c>
      <c r="C92" s="231" t="s">
        <v>10</v>
      </c>
      <c r="D92" s="250" t="s">
        <v>659</v>
      </c>
      <c r="E92" s="251" t="s">
        <v>660</v>
      </c>
      <c r="F92" s="231" t="s">
        <v>656</v>
      </c>
      <c r="G92" s="231" cm="1">
        <f t="array" ref="G92">_xlfn.IFS(J92&lt;301,2,J92&gt;300,48)</f>
        <v>48</v>
      </c>
      <c r="H92" s="231" t="s">
        <v>2797</v>
      </c>
      <c r="I92" s="281">
        <v>0</v>
      </c>
      <c r="J92" s="249">
        <v>3058.65</v>
      </c>
      <c r="K92" s="231">
        <f t="shared" si="1"/>
        <v>20</v>
      </c>
      <c r="L92" s="231"/>
      <c r="M92" s="299" t="s">
        <v>15</v>
      </c>
      <c r="N92" s="231" t="s">
        <v>253</v>
      </c>
      <c r="O92" s="231">
        <v>2021</v>
      </c>
      <c r="P92" s="281"/>
      <c r="Q92" s="231"/>
      <c r="R92" s="231"/>
      <c r="S92" s="236" t="s">
        <v>453</v>
      </c>
      <c r="T92" s="236" t="s">
        <v>264</v>
      </c>
    </row>
    <row r="93" spans="1:20" ht="14">
      <c r="A93" s="231">
        <v>92</v>
      </c>
      <c r="B93" s="235" t="s">
        <v>50</v>
      </c>
      <c r="C93" s="231" t="s">
        <v>10</v>
      </c>
      <c r="D93" s="250" t="s">
        <v>661</v>
      </c>
      <c r="E93" s="239" t="s">
        <v>662</v>
      </c>
      <c r="F93" s="231" t="s">
        <v>656</v>
      </c>
      <c r="G93" s="231" cm="1">
        <f t="array" ref="G93">_xlfn.IFS(J93&lt;301,2,J93&gt;300,48)</f>
        <v>48</v>
      </c>
      <c r="H93" s="231" t="s">
        <v>2797</v>
      </c>
      <c r="I93" s="281">
        <v>0</v>
      </c>
      <c r="J93" s="249">
        <v>1074.1500000000001</v>
      </c>
      <c r="K93" s="231">
        <f t="shared" si="1"/>
        <v>10</v>
      </c>
      <c r="L93" s="231"/>
      <c r="M93" s="299" t="s">
        <v>15</v>
      </c>
      <c r="N93" s="231" t="s">
        <v>253</v>
      </c>
      <c r="O93" s="231">
        <v>2023</v>
      </c>
      <c r="P93" s="281"/>
      <c r="Q93" s="231"/>
      <c r="R93" s="231"/>
      <c r="S93" s="236" t="s">
        <v>453</v>
      </c>
      <c r="T93" s="236" t="s">
        <v>264</v>
      </c>
    </row>
    <row r="94" spans="1:20" ht="14">
      <c r="A94" s="231">
        <v>93</v>
      </c>
      <c r="B94" s="235" t="s">
        <v>50</v>
      </c>
      <c r="C94" s="231" t="s">
        <v>10</v>
      </c>
      <c r="D94" s="250" t="s">
        <v>663</v>
      </c>
      <c r="E94" s="239" t="s">
        <v>664</v>
      </c>
      <c r="F94" s="239" t="s">
        <v>656</v>
      </c>
      <c r="G94" s="231" cm="1">
        <f t="array" ref="G94">_xlfn.IFS(J94&lt;301,2,J94&gt;300,48)</f>
        <v>48</v>
      </c>
      <c r="H94" s="231" t="s">
        <v>2797</v>
      </c>
      <c r="I94" s="281">
        <v>0</v>
      </c>
      <c r="J94" s="249">
        <v>3000</v>
      </c>
      <c r="K94" s="231">
        <f t="shared" si="1"/>
        <v>20</v>
      </c>
      <c r="L94" s="231"/>
      <c r="M94" s="299" t="s">
        <v>15</v>
      </c>
      <c r="N94" s="231" t="s">
        <v>253</v>
      </c>
      <c r="O94" s="231">
        <v>2021</v>
      </c>
      <c r="P94" s="281"/>
      <c r="Q94" s="231"/>
      <c r="R94" s="231"/>
      <c r="S94" s="236" t="s">
        <v>453</v>
      </c>
      <c r="T94" s="236" t="s">
        <v>264</v>
      </c>
    </row>
    <row r="95" spans="1:20" ht="14">
      <c r="A95" s="231">
        <v>94</v>
      </c>
      <c r="B95" s="235" t="s">
        <v>50</v>
      </c>
      <c r="C95" s="231" t="s">
        <v>10</v>
      </c>
      <c r="D95" s="250" t="s">
        <v>665</v>
      </c>
      <c r="E95" s="239" t="s">
        <v>666</v>
      </c>
      <c r="F95" s="239" t="s">
        <v>656</v>
      </c>
      <c r="G95" s="231" cm="1">
        <f t="array" ref="G95">_xlfn.IFS(J95&lt;301,2,J95&gt;300,48)</f>
        <v>48</v>
      </c>
      <c r="H95" s="231" t="s">
        <v>2797</v>
      </c>
      <c r="I95" s="281">
        <v>0</v>
      </c>
      <c r="J95" s="249">
        <v>600</v>
      </c>
      <c r="K95" s="231">
        <f t="shared" si="1"/>
        <v>10</v>
      </c>
      <c r="L95" s="231"/>
      <c r="M95" s="299" t="s">
        <v>15</v>
      </c>
      <c r="N95" s="231" t="s">
        <v>253</v>
      </c>
      <c r="O95" s="231">
        <v>2021</v>
      </c>
      <c r="P95" s="281"/>
      <c r="Q95" s="231"/>
      <c r="R95" s="231"/>
      <c r="S95" s="236" t="s">
        <v>453</v>
      </c>
      <c r="T95" s="236" t="s">
        <v>264</v>
      </c>
    </row>
    <row r="96" spans="1:20" ht="14">
      <c r="A96" s="231">
        <v>95</v>
      </c>
      <c r="B96" s="235" t="s">
        <v>50</v>
      </c>
      <c r="C96" s="231" t="s">
        <v>10</v>
      </c>
      <c r="D96" s="250" t="s">
        <v>667</v>
      </c>
      <c r="E96" s="239" t="s">
        <v>668</v>
      </c>
      <c r="F96" s="239" t="s">
        <v>656</v>
      </c>
      <c r="G96" s="231" cm="1">
        <f t="array" ref="G96">_xlfn.IFS(J96&lt;301,2,J96&gt;300,48)</f>
        <v>48</v>
      </c>
      <c r="H96" s="231" t="s">
        <v>2797</v>
      </c>
      <c r="I96" s="281">
        <v>0</v>
      </c>
      <c r="J96" s="249">
        <v>2200</v>
      </c>
      <c r="K96" s="231">
        <f t="shared" si="1"/>
        <v>10</v>
      </c>
      <c r="L96" s="231"/>
      <c r="M96" s="299" t="s">
        <v>15</v>
      </c>
      <c r="N96" s="231" t="s">
        <v>253</v>
      </c>
      <c r="O96" s="231">
        <v>2021</v>
      </c>
      <c r="P96" s="281"/>
      <c r="Q96" s="231"/>
      <c r="R96" s="231"/>
      <c r="S96" s="236" t="s">
        <v>453</v>
      </c>
      <c r="T96" s="236" t="s">
        <v>264</v>
      </c>
    </row>
    <row r="97" spans="1:20" ht="14">
      <c r="A97" s="231">
        <v>96</v>
      </c>
      <c r="B97" s="235" t="s">
        <v>50</v>
      </c>
      <c r="C97" s="231" t="s">
        <v>10</v>
      </c>
      <c r="D97" s="248" t="s">
        <v>669</v>
      </c>
      <c r="E97" s="239" t="s">
        <v>670</v>
      </c>
      <c r="F97" s="239" t="s">
        <v>656</v>
      </c>
      <c r="G97" s="231" cm="1">
        <f t="array" ref="G97">_xlfn.IFS(J97&lt;301,2,J97&gt;300,48)</f>
        <v>48</v>
      </c>
      <c r="H97" s="231" t="s">
        <v>2797</v>
      </c>
      <c r="I97" s="281">
        <v>0</v>
      </c>
      <c r="J97" s="249">
        <v>4000</v>
      </c>
      <c r="K97" s="231">
        <f t="shared" si="1"/>
        <v>20</v>
      </c>
      <c r="L97" s="231"/>
      <c r="M97" s="299" t="s">
        <v>15</v>
      </c>
      <c r="N97" s="231" t="s">
        <v>253</v>
      </c>
      <c r="O97" s="231">
        <v>2021</v>
      </c>
      <c r="P97" s="281"/>
      <c r="Q97" s="231"/>
      <c r="R97" s="231"/>
      <c r="S97" s="236" t="s">
        <v>453</v>
      </c>
      <c r="T97" s="236" t="s">
        <v>264</v>
      </c>
    </row>
    <row r="98" spans="1:20" ht="14">
      <c r="A98" s="231">
        <v>97</v>
      </c>
      <c r="B98" s="235" t="s">
        <v>50</v>
      </c>
      <c r="C98" s="231" t="s">
        <v>10</v>
      </c>
      <c r="D98" s="250" t="s">
        <v>671</v>
      </c>
      <c r="E98" s="239" t="s">
        <v>672</v>
      </c>
      <c r="F98" s="239" t="s">
        <v>656</v>
      </c>
      <c r="G98" s="231" cm="1">
        <f t="array" ref="G98">_xlfn.IFS(J98&lt;301,2,J98&gt;300,48)</f>
        <v>48</v>
      </c>
      <c r="H98" s="231" t="s">
        <v>2797</v>
      </c>
      <c r="I98" s="281">
        <v>0</v>
      </c>
      <c r="J98" s="249">
        <v>1100</v>
      </c>
      <c r="K98" s="231">
        <f t="shared" si="1"/>
        <v>10</v>
      </c>
      <c r="L98" s="231"/>
      <c r="M98" s="299" t="s">
        <v>15</v>
      </c>
      <c r="N98" s="231" t="s">
        <v>253</v>
      </c>
      <c r="O98" s="231">
        <v>2021</v>
      </c>
      <c r="P98" s="281"/>
      <c r="Q98" s="231"/>
      <c r="R98" s="231"/>
      <c r="S98" s="236" t="s">
        <v>453</v>
      </c>
      <c r="T98" s="236" t="s">
        <v>264</v>
      </c>
    </row>
    <row r="99" spans="1:20" ht="14">
      <c r="A99" s="231">
        <v>98</v>
      </c>
      <c r="B99" s="235" t="s">
        <v>50</v>
      </c>
      <c r="C99" s="231" t="s">
        <v>10</v>
      </c>
      <c r="D99" s="250" t="s">
        <v>673</v>
      </c>
      <c r="E99" s="239" t="s">
        <v>674</v>
      </c>
      <c r="F99" s="239" t="s">
        <v>656</v>
      </c>
      <c r="G99" s="231" cm="1">
        <f t="array" ref="G99">_xlfn.IFS(J99&lt;301,2,J99&gt;300,48)</f>
        <v>48</v>
      </c>
      <c r="H99" s="231" t="s">
        <v>2797</v>
      </c>
      <c r="I99" s="281">
        <v>0</v>
      </c>
      <c r="J99" s="249">
        <v>3500</v>
      </c>
      <c r="K99" s="231">
        <f t="shared" si="1"/>
        <v>20</v>
      </c>
      <c r="L99" s="231"/>
      <c r="M99" s="299" t="s">
        <v>15</v>
      </c>
      <c r="N99" s="231" t="s">
        <v>253</v>
      </c>
      <c r="O99" s="231">
        <v>2021</v>
      </c>
      <c r="P99" s="281"/>
      <c r="Q99" s="231"/>
      <c r="R99" s="231"/>
      <c r="S99" s="236" t="s">
        <v>453</v>
      </c>
      <c r="T99" s="236" t="s">
        <v>264</v>
      </c>
    </row>
    <row r="100" spans="1:20" ht="14">
      <c r="A100" s="231">
        <v>99</v>
      </c>
      <c r="B100" s="235" t="s">
        <v>50</v>
      </c>
      <c r="C100" s="231" t="s">
        <v>10</v>
      </c>
      <c r="D100" s="250" t="s">
        <v>675</v>
      </c>
      <c r="E100" s="239" t="s">
        <v>676</v>
      </c>
      <c r="F100" s="239" t="s">
        <v>656</v>
      </c>
      <c r="G100" s="231" cm="1">
        <f t="array" ref="G100">_xlfn.IFS(J100&lt;301,2,J100&gt;300,48)</f>
        <v>2</v>
      </c>
      <c r="H100" s="231" t="s">
        <v>2797</v>
      </c>
      <c r="I100" s="281">
        <v>0</v>
      </c>
      <c r="J100" s="249">
        <v>150</v>
      </c>
      <c r="K100" s="231">
        <f t="shared" si="1"/>
        <v>10</v>
      </c>
      <c r="L100" s="231"/>
      <c r="M100" s="299" t="s">
        <v>15</v>
      </c>
      <c r="N100" s="231" t="s">
        <v>253</v>
      </c>
      <c r="O100" s="231">
        <v>2021</v>
      </c>
      <c r="P100" s="281"/>
      <c r="Q100" s="231"/>
      <c r="R100" s="231"/>
      <c r="S100" s="236" t="s">
        <v>453</v>
      </c>
      <c r="T100" s="236" t="s">
        <v>264</v>
      </c>
    </row>
    <row r="101" spans="1:20" ht="28">
      <c r="A101" s="231">
        <v>100</v>
      </c>
      <c r="B101" s="235" t="s">
        <v>49</v>
      </c>
      <c r="C101" s="231" t="s">
        <v>10</v>
      </c>
      <c r="D101" s="248" t="s">
        <v>677</v>
      </c>
      <c r="E101" s="239" t="s">
        <v>678</v>
      </c>
      <c r="F101" s="239" t="s">
        <v>656</v>
      </c>
      <c r="G101" s="231" cm="1">
        <f t="array" ref="G101">_xlfn.IFS(J101&lt;301,2,J101&gt;300,48)</f>
        <v>48</v>
      </c>
      <c r="H101" s="231" t="s">
        <v>452</v>
      </c>
      <c r="I101" s="281">
        <v>0</v>
      </c>
      <c r="J101" s="249">
        <v>3000</v>
      </c>
      <c r="K101" s="231">
        <f t="shared" si="1"/>
        <v>20</v>
      </c>
      <c r="L101" s="231"/>
      <c r="M101" s="299" t="s">
        <v>15</v>
      </c>
      <c r="N101" s="231" t="s">
        <v>253</v>
      </c>
      <c r="O101" s="231">
        <v>2021</v>
      </c>
      <c r="P101" s="281"/>
      <c r="Q101" s="231"/>
      <c r="R101" s="231"/>
      <c r="S101" s="236" t="s">
        <v>453</v>
      </c>
      <c r="T101" s="236" t="s">
        <v>264</v>
      </c>
    </row>
    <row r="102" spans="1:20" ht="14">
      <c r="A102" s="231">
        <v>101</v>
      </c>
      <c r="B102" s="235" t="s">
        <v>50</v>
      </c>
      <c r="C102" s="231" t="s">
        <v>10</v>
      </c>
      <c r="D102" s="250" t="s">
        <v>679</v>
      </c>
      <c r="E102" s="239" t="s">
        <v>680</v>
      </c>
      <c r="F102" s="239" t="s">
        <v>656</v>
      </c>
      <c r="G102" s="231" cm="1">
        <f t="array" ref="G102">_xlfn.IFS(J102&lt;301,2,J102&gt;300,48)</f>
        <v>48</v>
      </c>
      <c r="H102" s="231" t="s">
        <v>2797</v>
      </c>
      <c r="I102" s="281">
        <v>0</v>
      </c>
      <c r="J102" s="249">
        <v>2400</v>
      </c>
      <c r="K102" s="231">
        <f t="shared" si="1"/>
        <v>10</v>
      </c>
      <c r="L102" s="231"/>
      <c r="M102" s="299" t="s">
        <v>15</v>
      </c>
      <c r="N102" s="231" t="s">
        <v>253</v>
      </c>
      <c r="O102" s="231">
        <v>2021</v>
      </c>
      <c r="P102" s="281"/>
      <c r="Q102" s="231"/>
      <c r="R102" s="231"/>
      <c r="S102" s="236" t="s">
        <v>453</v>
      </c>
      <c r="T102" s="236" t="s">
        <v>264</v>
      </c>
    </row>
    <row r="103" spans="1:20" ht="14">
      <c r="A103" s="231">
        <v>102</v>
      </c>
      <c r="B103" s="235" t="s">
        <v>50</v>
      </c>
      <c r="C103" s="231" t="s">
        <v>10</v>
      </c>
      <c r="D103" s="248" t="s">
        <v>681</v>
      </c>
      <c r="E103" s="239" t="s">
        <v>682</v>
      </c>
      <c r="F103" s="239" t="s">
        <v>656</v>
      </c>
      <c r="G103" s="231" cm="1">
        <f t="array" ref="G103">_xlfn.IFS(J103&lt;301,2,J103&gt;300,48)</f>
        <v>48</v>
      </c>
      <c r="H103" s="231" t="s">
        <v>2797</v>
      </c>
      <c r="I103" s="281">
        <v>0</v>
      </c>
      <c r="J103" s="249">
        <v>4500</v>
      </c>
      <c r="K103" s="231" t="str">
        <f t="shared" si="1"/>
        <v>N/A</v>
      </c>
      <c r="L103" s="231"/>
      <c r="M103" s="231" t="s">
        <v>456</v>
      </c>
      <c r="N103" s="231" t="s">
        <v>253</v>
      </c>
      <c r="O103" s="231">
        <v>2021</v>
      </c>
      <c r="P103" s="281"/>
      <c r="Q103" s="231"/>
      <c r="R103" s="231"/>
      <c r="S103" s="236" t="s">
        <v>453</v>
      </c>
      <c r="T103" s="236" t="s">
        <v>264</v>
      </c>
    </row>
    <row r="104" spans="1:20" ht="14">
      <c r="A104" s="231">
        <v>103</v>
      </c>
      <c r="B104" s="235" t="s">
        <v>50</v>
      </c>
      <c r="C104" s="231" t="s">
        <v>10</v>
      </c>
      <c r="D104" s="250" t="s">
        <v>683</v>
      </c>
      <c r="E104" s="239" t="s">
        <v>684</v>
      </c>
      <c r="F104" s="239" t="s">
        <v>656</v>
      </c>
      <c r="G104" s="231" cm="1">
        <f t="array" ref="G104">_xlfn.IFS(J104&lt;301,2,J104&gt;300,48)</f>
        <v>48</v>
      </c>
      <c r="H104" s="231" t="s">
        <v>2797</v>
      </c>
      <c r="I104" s="281">
        <v>0</v>
      </c>
      <c r="J104" s="249">
        <v>2000</v>
      </c>
      <c r="K104" s="231">
        <f t="shared" si="1"/>
        <v>10</v>
      </c>
      <c r="L104" s="231"/>
      <c r="M104" s="299" t="s">
        <v>15</v>
      </c>
      <c r="N104" s="231" t="s">
        <v>253</v>
      </c>
      <c r="O104" s="231">
        <v>2021</v>
      </c>
      <c r="P104" s="281"/>
      <c r="Q104" s="231"/>
      <c r="R104" s="231"/>
      <c r="S104" s="236" t="s">
        <v>453</v>
      </c>
      <c r="T104" s="236" t="s">
        <v>264</v>
      </c>
    </row>
    <row r="105" spans="1:20" ht="14">
      <c r="A105" s="231">
        <v>104</v>
      </c>
      <c r="B105" s="235" t="s">
        <v>50</v>
      </c>
      <c r="C105" s="231" t="s">
        <v>10</v>
      </c>
      <c r="D105" s="250" t="s">
        <v>685</v>
      </c>
      <c r="E105" s="239" t="s">
        <v>686</v>
      </c>
      <c r="F105" s="239" t="s">
        <v>656</v>
      </c>
      <c r="G105" s="231" cm="1">
        <f t="array" ref="G105">_xlfn.IFS(J105&lt;301,2,J105&gt;300,48)</f>
        <v>48</v>
      </c>
      <c r="H105" s="231" t="s">
        <v>140</v>
      </c>
      <c r="I105" s="281">
        <v>0</v>
      </c>
      <c r="J105" s="249">
        <v>4000</v>
      </c>
      <c r="K105" s="231" t="str">
        <f t="shared" si="1"/>
        <v>N/A</v>
      </c>
      <c r="L105" s="231"/>
      <c r="M105" s="231" t="s">
        <v>456</v>
      </c>
      <c r="N105" s="231" t="s">
        <v>253</v>
      </c>
      <c r="O105" s="231">
        <v>2021</v>
      </c>
      <c r="P105" s="281"/>
      <c r="Q105" s="231"/>
      <c r="R105" s="231"/>
      <c r="S105" s="236" t="s">
        <v>453</v>
      </c>
      <c r="T105" s="236" t="s">
        <v>264</v>
      </c>
    </row>
    <row r="106" spans="1:20" ht="14">
      <c r="A106" s="231">
        <v>105</v>
      </c>
      <c r="B106" s="235" t="s">
        <v>50</v>
      </c>
      <c r="C106" s="231" t="s">
        <v>10</v>
      </c>
      <c r="D106" s="250" t="s">
        <v>687</v>
      </c>
      <c r="E106" s="239" t="s">
        <v>688</v>
      </c>
      <c r="F106" s="239" t="s">
        <v>656</v>
      </c>
      <c r="G106" s="231">
        <v>24</v>
      </c>
      <c r="H106" s="231" t="s">
        <v>4251</v>
      </c>
      <c r="I106" s="281">
        <v>0</v>
      </c>
      <c r="J106" s="249">
        <v>7500</v>
      </c>
      <c r="K106" s="231" t="str">
        <f t="shared" si="1"/>
        <v>N/A</v>
      </c>
      <c r="L106" s="231"/>
      <c r="M106" s="231" t="s">
        <v>456</v>
      </c>
      <c r="N106" s="231" t="s">
        <v>253</v>
      </c>
      <c r="O106" s="231">
        <v>2021</v>
      </c>
      <c r="P106" s="281"/>
      <c r="Q106" s="231"/>
      <c r="R106" s="231"/>
      <c r="S106" s="236" t="s">
        <v>453</v>
      </c>
      <c r="T106" s="236" t="s">
        <v>264</v>
      </c>
    </row>
    <row r="107" spans="1:20" ht="14">
      <c r="A107" s="231">
        <v>106</v>
      </c>
      <c r="B107" s="235" t="s">
        <v>50</v>
      </c>
      <c r="C107" s="231" t="s">
        <v>10</v>
      </c>
      <c r="D107" s="250" t="s">
        <v>689</v>
      </c>
      <c r="E107" s="239" t="s">
        <v>690</v>
      </c>
      <c r="F107" s="239" t="s">
        <v>656</v>
      </c>
      <c r="G107" s="231" cm="1">
        <f t="array" ref="G107">_xlfn.IFS(J107&lt;301,2,J107&gt;300,48)</f>
        <v>48</v>
      </c>
      <c r="H107" s="231" t="s">
        <v>4251</v>
      </c>
      <c r="I107" s="281">
        <v>0</v>
      </c>
      <c r="J107" s="249">
        <v>3600</v>
      </c>
      <c r="K107" s="231" t="str">
        <f t="shared" si="1"/>
        <v>N/A</v>
      </c>
      <c r="L107" s="231"/>
      <c r="M107" s="231" t="s">
        <v>456</v>
      </c>
      <c r="N107" s="231" t="s">
        <v>253</v>
      </c>
      <c r="O107" s="231">
        <v>2021</v>
      </c>
      <c r="P107" s="281"/>
      <c r="Q107" s="231"/>
      <c r="R107" s="231"/>
      <c r="S107" s="236" t="s">
        <v>453</v>
      </c>
      <c r="T107" s="236" t="s">
        <v>264</v>
      </c>
    </row>
    <row r="108" spans="1:20" ht="14">
      <c r="A108" s="231">
        <v>107</v>
      </c>
      <c r="B108" s="235" t="s">
        <v>55</v>
      </c>
      <c r="C108" s="231" t="s">
        <v>10</v>
      </c>
      <c r="D108" s="250" t="s">
        <v>691</v>
      </c>
      <c r="E108" s="239" t="s">
        <v>692</v>
      </c>
      <c r="F108" s="239" t="s">
        <v>656</v>
      </c>
      <c r="G108" s="231" cm="1">
        <f t="array" ref="G108">_xlfn.IFS(J108&lt;301,2,J108&gt;300,48)</f>
        <v>48</v>
      </c>
      <c r="H108" s="231" t="s">
        <v>2894</v>
      </c>
      <c r="I108" s="281">
        <v>0</v>
      </c>
      <c r="J108" s="249">
        <v>1500</v>
      </c>
      <c r="K108" s="231">
        <f t="shared" si="1"/>
        <v>10</v>
      </c>
      <c r="L108" s="231"/>
      <c r="M108" s="299" t="s">
        <v>15</v>
      </c>
      <c r="N108" s="231" t="s">
        <v>253</v>
      </c>
      <c r="O108" s="231">
        <v>2021</v>
      </c>
      <c r="P108" s="281"/>
      <c r="Q108" s="231"/>
      <c r="R108" s="231"/>
      <c r="S108" s="236" t="s">
        <v>453</v>
      </c>
      <c r="T108" s="236" t="s">
        <v>264</v>
      </c>
    </row>
    <row r="109" spans="1:20" ht="14">
      <c r="A109" s="231">
        <v>108</v>
      </c>
      <c r="B109" s="235" t="s">
        <v>50</v>
      </c>
      <c r="C109" s="231" t="s">
        <v>10</v>
      </c>
      <c r="D109" s="250" t="s">
        <v>693</v>
      </c>
      <c r="E109" s="239" t="s">
        <v>694</v>
      </c>
      <c r="F109" s="239" t="s">
        <v>656</v>
      </c>
      <c r="G109" s="231" cm="1">
        <f t="array" ref="G109">_xlfn.IFS(J109&lt;301,2,J109&gt;300,48)</f>
        <v>48</v>
      </c>
      <c r="H109" s="231" t="s">
        <v>2797</v>
      </c>
      <c r="I109" s="281">
        <v>0</v>
      </c>
      <c r="J109" s="249">
        <v>1400</v>
      </c>
      <c r="K109" s="231">
        <f t="shared" si="1"/>
        <v>10</v>
      </c>
      <c r="L109" s="231"/>
      <c r="M109" s="299" t="s">
        <v>15</v>
      </c>
      <c r="N109" s="231" t="s">
        <v>253</v>
      </c>
      <c r="O109" s="231">
        <v>2021</v>
      </c>
      <c r="P109" s="281"/>
      <c r="Q109" s="231"/>
      <c r="R109" s="231"/>
      <c r="S109" s="236" t="s">
        <v>453</v>
      </c>
      <c r="T109" s="236" t="s">
        <v>264</v>
      </c>
    </row>
    <row r="110" spans="1:20" ht="14">
      <c r="A110" s="231">
        <v>109</v>
      </c>
      <c r="B110" s="235" t="s">
        <v>52</v>
      </c>
      <c r="C110" s="231" t="s">
        <v>10</v>
      </c>
      <c r="D110" s="250" t="s">
        <v>695</v>
      </c>
      <c r="E110" s="239" t="s">
        <v>696</v>
      </c>
      <c r="F110" s="239" t="s">
        <v>656</v>
      </c>
      <c r="G110" s="231" cm="1">
        <f t="array" ref="G110">_xlfn.IFS(J110&lt;301,2,J110&gt;300,48)</f>
        <v>48</v>
      </c>
      <c r="H110" s="231" t="s">
        <v>4251</v>
      </c>
      <c r="I110" s="281">
        <v>0</v>
      </c>
      <c r="J110" s="249">
        <v>2000</v>
      </c>
      <c r="K110" s="231">
        <f t="shared" si="1"/>
        <v>10</v>
      </c>
      <c r="L110" s="231"/>
      <c r="M110" s="299" t="s">
        <v>15</v>
      </c>
      <c r="N110" s="231" t="s">
        <v>253</v>
      </c>
      <c r="O110" s="231">
        <v>2021</v>
      </c>
      <c r="P110" s="281"/>
      <c r="Q110" s="231"/>
      <c r="R110" s="231"/>
      <c r="S110" s="236" t="s">
        <v>453</v>
      </c>
      <c r="T110" s="236" t="s">
        <v>264</v>
      </c>
    </row>
    <row r="111" spans="1:20" ht="14">
      <c r="A111" s="231">
        <v>110</v>
      </c>
      <c r="B111" s="235" t="s">
        <v>52</v>
      </c>
      <c r="C111" s="231" t="s">
        <v>10</v>
      </c>
      <c r="D111" s="250" t="s">
        <v>697</v>
      </c>
      <c r="E111" s="239" t="s">
        <v>698</v>
      </c>
      <c r="F111" s="239" t="s">
        <v>656</v>
      </c>
      <c r="G111" s="231" cm="1">
        <f t="array" ref="G111">_xlfn.IFS(J111&lt;301,2,J111&gt;300,48)</f>
        <v>48</v>
      </c>
      <c r="H111" s="231" t="s">
        <v>4251</v>
      </c>
      <c r="I111" s="281">
        <v>0</v>
      </c>
      <c r="J111" s="249">
        <v>800</v>
      </c>
      <c r="K111" s="231">
        <f t="shared" si="1"/>
        <v>10</v>
      </c>
      <c r="L111" s="231"/>
      <c r="M111" s="299" t="s">
        <v>15</v>
      </c>
      <c r="N111" s="231" t="s">
        <v>253</v>
      </c>
      <c r="O111" s="231">
        <v>2021</v>
      </c>
      <c r="P111" s="281"/>
      <c r="Q111" s="231"/>
      <c r="R111" s="231"/>
      <c r="S111" s="236" t="s">
        <v>453</v>
      </c>
      <c r="T111" s="236" t="s">
        <v>264</v>
      </c>
    </row>
    <row r="112" spans="1:20" ht="14">
      <c r="A112" s="231">
        <v>111</v>
      </c>
      <c r="B112" s="235" t="s">
        <v>50</v>
      </c>
      <c r="C112" s="231" t="s">
        <v>10</v>
      </c>
      <c r="D112" s="250" t="s">
        <v>699</v>
      </c>
      <c r="E112" s="239" t="s">
        <v>700</v>
      </c>
      <c r="F112" s="239" t="s">
        <v>701</v>
      </c>
      <c r="G112" s="231">
        <v>24</v>
      </c>
      <c r="H112" s="231" t="s">
        <v>140</v>
      </c>
      <c r="I112" s="281">
        <v>0</v>
      </c>
      <c r="J112" s="249">
        <v>4024.65</v>
      </c>
      <c r="K112" s="231" t="str">
        <f t="shared" si="1"/>
        <v>N/A</v>
      </c>
      <c r="L112" s="231"/>
      <c r="M112" s="231" t="s">
        <v>456</v>
      </c>
      <c r="N112" s="231" t="s">
        <v>253</v>
      </c>
      <c r="O112" s="231">
        <v>2021</v>
      </c>
      <c r="P112" s="281"/>
      <c r="Q112" s="231"/>
      <c r="R112" s="231"/>
      <c r="S112" s="236" t="s">
        <v>453</v>
      </c>
      <c r="T112" s="236" t="s">
        <v>264</v>
      </c>
    </row>
    <row r="113" spans="1:20" ht="14">
      <c r="A113" s="231">
        <v>112</v>
      </c>
      <c r="B113" s="235" t="s">
        <v>50</v>
      </c>
      <c r="C113" s="231" t="s">
        <v>10</v>
      </c>
      <c r="D113" s="250" t="s">
        <v>702</v>
      </c>
      <c r="E113" s="239" t="s">
        <v>703</v>
      </c>
      <c r="F113" s="239" t="s">
        <v>656</v>
      </c>
      <c r="G113" s="231" cm="1">
        <f t="array" ref="G113">_xlfn.IFS(J113&lt;301,2,J113&gt;300,48)</f>
        <v>48</v>
      </c>
      <c r="H113" s="231" t="s">
        <v>140</v>
      </c>
      <c r="I113" s="281">
        <v>0</v>
      </c>
      <c r="J113" s="249">
        <v>315</v>
      </c>
      <c r="K113" s="231" t="str">
        <f t="shared" si="1"/>
        <v>N/A</v>
      </c>
      <c r="L113" s="231"/>
      <c r="M113" s="231" t="s">
        <v>456</v>
      </c>
      <c r="N113" s="231" t="s">
        <v>253</v>
      </c>
      <c r="O113" s="231">
        <v>2021</v>
      </c>
      <c r="P113" s="281"/>
      <c r="Q113" s="231"/>
      <c r="R113" s="231"/>
      <c r="S113" s="236" t="s">
        <v>453</v>
      </c>
      <c r="T113" s="236" t="s">
        <v>264</v>
      </c>
    </row>
    <row r="114" spans="1:20" ht="14">
      <c r="A114" s="231">
        <v>113</v>
      </c>
      <c r="B114" s="235" t="s">
        <v>50</v>
      </c>
      <c r="C114" s="231" t="s">
        <v>10</v>
      </c>
      <c r="D114" s="250" t="s">
        <v>704</v>
      </c>
      <c r="E114" s="239" t="s">
        <v>705</v>
      </c>
      <c r="F114" s="239" t="s">
        <v>656</v>
      </c>
      <c r="G114" s="231" cm="1">
        <f t="array" ref="G114">_xlfn.IFS(J114&lt;301,2,J114&gt;300,48)</f>
        <v>48</v>
      </c>
      <c r="H114" s="231" t="s">
        <v>2797</v>
      </c>
      <c r="I114" s="281">
        <v>0</v>
      </c>
      <c r="J114" s="249">
        <v>2118.9</v>
      </c>
      <c r="K114" s="231" t="b">
        <f t="shared" si="1"/>
        <v>0</v>
      </c>
      <c r="L114" s="231"/>
      <c r="M114" s="231" t="s">
        <v>706</v>
      </c>
      <c r="N114" s="231" t="s">
        <v>253</v>
      </c>
      <c r="O114" s="231">
        <v>2021</v>
      </c>
      <c r="P114" s="281"/>
      <c r="Q114" s="231"/>
      <c r="R114" s="231"/>
      <c r="S114" s="236" t="s">
        <v>453</v>
      </c>
      <c r="T114" s="236" t="s">
        <v>264</v>
      </c>
    </row>
    <row r="115" spans="1:20" ht="14">
      <c r="A115" s="231">
        <v>114</v>
      </c>
      <c r="B115" s="235" t="s">
        <v>50</v>
      </c>
      <c r="C115" s="231" t="s">
        <v>10</v>
      </c>
      <c r="D115" s="250" t="s">
        <v>707</v>
      </c>
      <c r="E115" s="239" t="s">
        <v>708</v>
      </c>
      <c r="F115" s="239" t="s">
        <v>656</v>
      </c>
      <c r="G115" s="231" cm="1">
        <f t="array" ref="G115">_xlfn.IFS(J115&lt;301,2,J115&gt;300,48)</f>
        <v>48</v>
      </c>
      <c r="H115" s="231" t="s">
        <v>2797</v>
      </c>
      <c r="I115" s="281">
        <v>0</v>
      </c>
      <c r="J115" s="249">
        <v>315</v>
      </c>
      <c r="K115" s="231" t="b">
        <f t="shared" si="1"/>
        <v>0</v>
      </c>
      <c r="L115" s="231"/>
      <c r="M115" s="231" t="s">
        <v>706</v>
      </c>
      <c r="N115" s="231" t="s">
        <v>253</v>
      </c>
      <c r="O115" s="231">
        <v>2021</v>
      </c>
      <c r="P115" s="281"/>
      <c r="Q115" s="231"/>
      <c r="R115" s="231"/>
      <c r="S115" s="236" t="s">
        <v>453</v>
      </c>
      <c r="T115" s="236" t="s">
        <v>264</v>
      </c>
    </row>
    <row r="116" spans="1:20" ht="14">
      <c r="A116" s="231">
        <v>115</v>
      </c>
      <c r="B116" s="235" t="s">
        <v>50</v>
      </c>
      <c r="C116" s="231" t="s">
        <v>10</v>
      </c>
      <c r="D116" s="250" t="s">
        <v>709</v>
      </c>
      <c r="E116" s="239" t="s">
        <v>710</v>
      </c>
      <c r="F116" s="239" t="s">
        <v>656</v>
      </c>
      <c r="G116" s="231" cm="1">
        <f t="array" ref="G116">_xlfn.IFS(J116&lt;301,2,J116&gt;300,48)</f>
        <v>48</v>
      </c>
      <c r="H116" s="231" t="s">
        <v>2797</v>
      </c>
      <c r="I116" s="281">
        <v>0</v>
      </c>
      <c r="J116" s="249">
        <v>315</v>
      </c>
      <c r="K116" s="231" t="b">
        <f t="shared" si="1"/>
        <v>0</v>
      </c>
      <c r="L116" s="231"/>
      <c r="M116" s="231" t="s">
        <v>711</v>
      </c>
      <c r="N116" s="231" t="s">
        <v>253</v>
      </c>
      <c r="O116" s="231">
        <v>2021</v>
      </c>
      <c r="P116" s="281"/>
      <c r="Q116" s="231"/>
      <c r="R116" s="231"/>
      <c r="S116" s="236" t="s">
        <v>453</v>
      </c>
      <c r="T116" s="236" t="s">
        <v>264</v>
      </c>
    </row>
    <row r="117" spans="1:20" ht="14">
      <c r="A117" s="231">
        <v>116</v>
      </c>
      <c r="B117" s="235" t="s">
        <v>50</v>
      </c>
      <c r="C117" s="231" t="s">
        <v>10</v>
      </c>
      <c r="D117" s="250" t="s">
        <v>712</v>
      </c>
      <c r="E117" s="239" t="s">
        <v>713</v>
      </c>
      <c r="F117" s="239" t="s">
        <v>656</v>
      </c>
      <c r="G117" s="231" cm="1">
        <f t="array" ref="G117">_xlfn.IFS(J117&lt;301,2,J117&gt;300,48)</f>
        <v>48</v>
      </c>
      <c r="H117" s="231" t="s">
        <v>2797</v>
      </c>
      <c r="I117" s="281">
        <v>0</v>
      </c>
      <c r="J117" s="249">
        <v>315</v>
      </c>
      <c r="K117" s="231" t="b">
        <f t="shared" si="1"/>
        <v>0</v>
      </c>
      <c r="L117" s="231"/>
      <c r="M117" s="231" t="s">
        <v>706</v>
      </c>
      <c r="N117" s="231" t="s">
        <v>253</v>
      </c>
      <c r="O117" s="231">
        <v>2021</v>
      </c>
      <c r="P117" s="281"/>
      <c r="Q117" s="231"/>
      <c r="R117" s="231"/>
      <c r="S117" s="236" t="s">
        <v>453</v>
      </c>
      <c r="T117" s="236" t="s">
        <v>264</v>
      </c>
    </row>
    <row r="118" spans="1:20" ht="14">
      <c r="A118" s="231">
        <v>117</v>
      </c>
      <c r="B118" s="235" t="s">
        <v>50</v>
      </c>
      <c r="C118" s="231" t="s">
        <v>10</v>
      </c>
      <c r="D118" s="250" t="s">
        <v>714</v>
      </c>
      <c r="E118" s="239" t="s">
        <v>715</v>
      </c>
      <c r="F118" s="239" t="s">
        <v>656</v>
      </c>
      <c r="G118" s="231" cm="1">
        <f t="array" ref="G118">_xlfn.IFS(J118&lt;301,2,J118&gt;300,48)</f>
        <v>48</v>
      </c>
      <c r="H118" s="231" t="s">
        <v>2797</v>
      </c>
      <c r="I118" s="281">
        <v>0</v>
      </c>
      <c r="J118" s="249">
        <v>315</v>
      </c>
      <c r="K118" s="231" t="b">
        <f t="shared" si="1"/>
        <v>0</v>
      </c>
      <c r="L118" s="231"/>
      <c r="M118" s="231" t="s">
        <v>706</v>
      </c>
      <c r="N118" s="231" t="s">
        <v>253</v>
      </c>
      <c r="O118" s="231">
        <v>2021</v>
      </c>
      <c r="P118" s="281"/>
      <c r="Q118" s="231"/>
      <c r="R118" s="231"/>
      <c r="S118" s="236" t="s">
        <v>453</v>
      </c>
      <c r="T118" s="236" t="s">
        <v>264</v>
      </c>
    </row>
    <row r="119" spans="1:20" ht="14">
      <c r="A119" s="231">
        <v>118</v>
      </c>
      <c r="B119" s="235" t="s">
        <v>50</v>
      </c>
      <c r="C119" s="231" t="s">
        <v>10</v>
      </c>
      <c r="D119" s="250" t="s">
        <v>716</v>
      </c>
      <c r="E119" s="239" t="s">
        <v>717</v>
      </c>
      <c r="F119" s="239" t="s">
        <v>656</v>
      </c>
      <c r="G119" s="231" cm="1">
        <f t="array" ref="G119">_xlfn.IFS(J119&lt;301,2,J119&gt;300,48)</f>
        <v>48</v>
      </c>
      <c r="H119" s="231" t="s">
        <v>2797</v>
      </c>
      <c r="I119" s="281">
        <v>0</v>
      </c>
      <c r="J119" s="249">
        <v>315</v>
      </c>
      <c r="K119" s="231" t="str">
        <f t="shared" si="1"/>
        <v>N/A</v>
      </c>
      <c r="L119" s="231"/>
      <c r="M119" s="231" t="s">
        <v>456</v>
      </c>
      <c r="N119" s="231" t="s">
        <v>253</v>
      </c>
      <c r="O119" s="231">
        <v>2021</v>
      </c>
      <c r="P119" s="281"/>
      <c r="Q119" s="231"/>
      <c r="R119" s="231"/>
      <c r="S119" s="236" t="s">
        <v>453</v>
      </c>
      <c r="T119" s="236" t="s">
        <v>264</v>
      </c>
    </row>
    <row r="120" spans="1:20" ht="14">
      <c r="A120" s="231">
        <v>119</v>
      </c>
      <c r="B120" s="235" t="s">
        <v>50</v>
      </c>
      <c r="C120" s="231" t="s">
        <v>10</v>
      </c>
      <c r="D120" s="250" t="s">
        <v>718</v>
      </c>
      <c r="E120" s="239" t="s">
        <v>719</v>
      </c>
      <c r="F120" s="239" t="s">
        <v>656</v>
      </c>
      <c r="G120" s="231" cm="1">
        <f t="array" ref="G120">_xlfn.IFS(J120&lt;301,2,J120&gt;300,48)</f>
        <v>48</v>
      </c>
      <c r="H120" s="231" t="s">
        <v>4649</v>
      </c>
      <c r="I120" s="281">
        <v>0</v>
      </c>
      <c r="J120" s="249">
        <v>9251.5499999999993</v>
      </c>
      <c r="K120" s="231">
        <f t="shared" si="1"/>
        <v>20</v>
      </c>
      <c r="L120" s="231"/>
      <c r="M120" s="299" t="s">
        <v>15</v>
      </c>
      <c r="N120" s="231" t="s">
        <v>253</v>
      </c>
      <c r="O120" s="231">
        <v>2021</v>
      </c>
      <c r="P120" s="281"/>
      <c r="Q120" s="231"/>
      <c r="R120" s="231"/>
      <c r="S120" s="236" t="s">
        <v>453</v>
      </c>
      <c r="T120" s="236" t="s">
        <v>264</v>
      </c>
    </row>
    <row r="121" spans="1:20" ht="14">
      <c r="A121" s="231">
        <v>120</v>
      </c>
      <c r="B121" s="235" t="s">
        <v>50</v>
      </c>
      <c r="C121" s="231" t="s">
        <v>10</v>
      </c>
      <c r="D121" s="250" t="s">
        <v>720</v>
      </c>
      <c r="E121" s="239" t="s">
        <v>721</v>
      </c>
      <c r="F121" s="239" t="s">
        <v>656</v>
      </c>
      <c r="G121" s="231" cm="1">
        <f t="array" ref="G121">_xlfn.IFS(J121&lt;301,2,J121&gt;300,48)</f>
        <v>48</v>
      </c>
      <c r="H121" s="231" t="s">
        <v>2797</v>
      </c>
      <c r="I121" s="281">
        <v>0</v>
      </c>
      <c r="J121" s="249">
        <v>2160.9</v>
      </c>
      <c r="K121" s="231">
        <f t="shared" si="1"/>
        <v>10</v>
      </c>
      <c r="L121" s="231"/>
      <c r="M121" s="299" t="s">
        <v>15</v>
      </c>
      <c r="N121" s="231" t="s">
        <v>253</v>
      </c>
      <c r="O121" s="231">
        <v>2021</v>
      </c>
      <c r="P121" s="281"/>
      <c r="Q121" s="231"/>
      <c r="R121" s="231"/>
      <c r="S121" s="236" t="s">
        <v>453</v>
      </c>
      <c r="T121" s="236" t="s">
        <v>264</v>
      </c>
    </row>
    <row r="122" spans="1:20" ht="14">
      <c r="A122" s="231">
        <v>121</v>
      </c>
      <c r="B122" s="235" t="s">
        <v>50</v>
      </c>
      <c r="C122" s="231" t="s">
        <v>10</v>
      </c>
      <c r="D122" s="250" t="s">
        <v>722</v>
      </c>
      <c r="E122" s="239" t="s">
        <v>723</v>
      </c>
      <c r="F122" s="239" t="s">
        <v>656</v>
      </c>
      <c r="G122" s="231" cm="1">
        <f t="array" ref="G122">_xlfn.IFS(J122&lt;301,2,J122&gt;300,48)</f>
        <v>48</v>
      </c>
      <c r="H122" s="231" t="s">
        <v>4251</v>
      </c>
      <c r="I122" s="281">
        <v>0</v>
      </c>
      <c r="J122" s="249">
        <v>3195.15</v>
      </c>
      <c r="K122" s="231" t="str">
        <f t="shared" si="1"/>
        <v>N/A</v>
      </c>
      <c r="L122" s="231"/>
      <c r="M122" s="231" t="s">
        <v>456</v>
      </c>
      <c r="N122" s="231" t="s">
        <v>253</v>
      </c>
      <c r="O122" s="231">
        <v>2021</v>
      </c>
      <c r="P122" s="281"/>
      <c r="Q122" s="231"/>
      <c r="R122" s="231"/>
      <c r="S122" s="236" t="s">
        <v>453</v>
      </c>
      <c r="T122" s="236" t="s">
        <v>264</v>
      </c>
    </row>
    <row r="123" spans="1:20" ht="14">
      <c r="A123" s="231">
        <v>122</v>
      </c>
      <c r="B123" s="235" t="s">
        <v>50</v>
      </c>
      <c r="C123" s="231" t="s">
        <v>10</v>
      </c>
      <c r="D123" s="250" t="s">
        <v>724</v>
      </c>
      <c r="E123" s="239" t="s">
        <v>725</v>
      </c>
      <c r="F123" s="239" t="s">
        <v>656</v>
      </c>
      <c r="G123" s="231" cm="1">
        <f t="array" ref="G123">_xlfn.IFS(J123&lt;301,2,J123&gt;300,48)</f>
        <v>48</v>
      </c>
      <c r="H123" s="231" t="s">
        <v>2797</v>
      </c>
      <c r="I123" s="281">
        <v>0</v>
      </c>
      <c r="J123" s="249">
        <v>315</v>
      </c>
      <c r="K123" s="231" t="b">
        <f t="shared" si="1"/>
        <v>0</v>
      </c>
      <c r="L123" s="231"/>
      <c r="M123" s="231" t="s">
        <v>711</v>
      </c>
      <c r="N123" s="231" t="s">
        <v>253</v>
      </c>
      <c r="O123" s="231">
        <v>2021</v>
      </c>
      <c r="P123" s="281"/>
      <c r="Q123" s="231"/>
      <c r="R123" s="231"/>
      <c r="S123" s="236" t="s">
        <v>453</v>
      </c>
      <c r="T123" s="236" t="s">
        <v>264</v>
      </c>
    </row>
    <row r="124" spans="1:20" ht="14">
      <c r="A124" s="231">
        <v>123</v>
      </c>
      <c r="B124" s="235" t="s">
        <v>50</v>
      </c>
      <c r="C124" s="231" t="s">
        <v>10</v>
      </c>
      <c r="D124" s="250" t="s">
        <v>726</v>
      </c>
      <c r="E124" s="239" t="s">
        <v>727</v>
      </c>
      <c r="F124" s="239" t="s">
        <v>656</v>
      </c>
      <c r="G124" s="231" cm="1">
        <f t="array" ref="G124">_xlfn.IFS(J124&lt;301,2,J124&gt;300,48)</f>
        <v>48</v>
      </c>
      <c r="H124" s="231" t="s">
        <v>2797</v>
      </c>
      <c r="I124" s="281">
        <v>0</v>
      </c>
      <c r="J124" s="249">
        <v>315</v>
      </c>
      <c r="K124" s="231" t="str">
        <f t="shared" si="1"/>
        <v>N/A</v>
      </c>
      <c r="L124" s="231"/>
      <c r="M124" s="231" t="s">
        <v>456</v>
      </c>
      <c r="N124" s="231" t="s">
        <v>253</v>
      </c>
      <c r="O124" s="231">
        <v>2021</v>
      </c>
      <c r="P124" s="281"/>
      <c r="Q124" s="231"/>
      <c r="R124" s="231"/>
      <c r="S124" s="236" t="s">
        <v>453</v>
      </c>
      <c r="T124" s="236" t="s">
        <v>264</v>
      </c>
    </row>
    <row r="125" spans="1:20" ht="14">
      <c r="A125" s="231">
        <v>124</v>
      </c>
      <c r="B125" s="235" t="s">
        <v>50</v>
      </c>
      <c r="C125" s="231" t="s">
        <v>10</v>
      </c>
      <c r="D125" s="250" t="s">
        <v>728</v>
      </c>
      <c r="E125" s="239" t="s">
        <v>729</v>
      </c>
      <c r="F125" s="239" t="s">
        <v>656</v>
      </c>
      <c r="G125" s="231" cm="1">
        <f t="array" ref="G125">_xlfn.IFS(J125&lt;301,2,J125&gt;300,48)</f>
        <v>48</v>
      </c>
      <c r="H125" s="231" t="s">
        <v>2797</v>
      </c>
      <c r="I125" s="281">
        <v>0</v>
      </c>
      <c r="J125" s="249">
        <v>315</v>
      </c>
      <c r="K125" s="231" t="str">
        <f t="shared" si="1"/>
        <v>N/A</v>
      </c>
      <c r="L125" s="231"/>
      <c r="M125" s="231" t="s">
        <v>456</v>
      </c>
      <c r="N125" s="231" t="s">
        <v>253</v>
      </c>
      <c r="O125" s="231">
        <v>2021</v>
      </c>
      <c r="P125" s="281"/>
      <c r="Q125" s="231"/>
      <c r="R125" s="231"/>
      <c r="S125" s="236" t="s">
        <v>453</v>
      </c>
      <c r="T125" s="236" t="s">
        <v>264</v>
      </c>
    </row>
    <row r="126" spans="1:20" ht="14">
      <c r="A126" s="231">
        <v>125</v>
      </c>
      <c r="B126" s="235" t="s">
        <v>50</v>
      </c>
      <c r="C126" s="231" t="s">
        <v>10</v>
      </c>
      <c r="D126" s="250" t="s">
        <v>730</v>
      </c>
      <c r="E126" s="239" t="s">
        <v>731</v>
      </c>
      <c r="F126" s="239" t="s">
        <v>656</v>
      </c>
      <c r="G126" s="231" cm="1">
        <f t="array" ref="G126">_xlfn.IFS(J126&lt;301,2,J126&gt;300,48)</f>
        <v>48</v>
      </c>
      <c r="H126" s="231" t="s">
        <v>4252</v>
      </c>
      <c r="I126" s="281">
        <v>0</v>
      </c>
      <c r="J126" s="249">
        <v>3232.95</v>
      </c>
      <c r="K126" s="231" t="str">
        <f t="shared" si="1"/>
        <v>N/A</v>
      </c>
      <c r="L126" s="231"/>
      <c r="M126" s="231" t="s">
        <v>456</v>
      </c>
      <c r="N126" s="231" t="s">
        <v>253</v>
      </c>
      <c r="O126" s="231">
        <v>2022</v>
      </c>
      <c r="P126" s="281"/>
      <c r="Q126" s="231"/>
      <c r="R126" s="231"/>
      <c r="S126" s="236" t="s">
        <v>453</v>
      </c>
      <c r="T126" s="236" t="s">
        <v>264</v>
      </c>
    </row>
    <row r="127" spans="1:20" ht="14">
      <c r="A127" s="231">
        <v>126</v>
      </c>
      <c r="B127" s="235" t="s">
        <v>50</v>
      </c>
      <c r="C127" s="231" t="s">
        <v>10</v>
      </c>
      <c r="D127" s="250" t="s">
        <v>732</v>
      </c>
      <c r="E127" s="239" t="s">
        <v>733</v>
      </c>
      <c r="F127" s="239" t="s">
        <v>656</v>
      </c>
      <c r="G127" s="231">
        <v>24</v>
      </c>
      <c r="H127" s="231" t="s">
        <v>2797</v>
      </c>
      <c r="I127" s="281">
        <v>0</v>
      </c>
      <c r="J127" s="249">
        <v>12000</v>
      </c>
      <c r="K127" s="231" t="str">
        <f t="shared" si="1"/>
        <v>N/A</v>
      </c>
      <c r="L127" s="231"/>
      <c r="M127" s="231" t="s">
        <v>456</v>
      </c>
      <c r="N127" s="231" t="s">
        <v>253</v>
      </c>
      <c r="O127" s="231">
        <v>2021</v>
      </c>
      <c r="P127" s="281"/>
      <c r="Q127" s="231"/>
      <c r="R127" s="231"/>
      <c r="S127" s="236" t="s">
        <v>453</v>
      </c>
      <c r="T127" s="236" t="s">
        <v>264</v>
      </c>
    </row>
    <row r="128" spans="1:20" ht="14">
      <c r="A128" s="231">
        <v>127</v>
      </c>
      <c r="B128" s="235" t="s">
        <v>50</v>
      </c>
      <c r="C128" s="231" t="s">
        <v>10</v>
      </c>
      <c r="D128" s="250" t="s">
        <v>734</v>
      </c>
      <c r="E128" s="239" t="s">
        <v>735</v>
      </c>
      <c r="F128" s="239" t="s">
        <v>656</v>
      </c>
      <c r="G128" s="231" cm="1">
        <f t="array" ref="G128">_xlfn.IFS(J128&lt;301,2,J128&gt;300,48)</f>
        <v>48</v>
      </c>
      <c r="H128" s="231" t="s">
        <v>2797</v>
      </c>
      <c r="I128" s="281">
        <v>0</v>
      </c>
      <c r="J128" s="249">
        <v>315</v>
      </c>
      <c r="K128" s="231" t="str">
        <f t="shared" si="1"/>
        <v>N/A</v>
      </c>
      <c r="L128" s="231"/>
      <c r="M128" s="231" t="s">
        <v>456</v>
      </c>
      <c r="N128" s="231" t="s">
        <v>253</v>
      </c>
      <c r="O128" s="231">
        <v>2021</v>
      </c>
      <c r="P128" s="281"/>
      <c r="Q128" s="231"/>
      <c r="R128" s="231"/>
      <c r="S128" s="236" t="s">
        <v>453</v>
      </c>
      <c r="T128" s="236" t="s">
        <v>264</v>
      </c>
    </row>
    <row r="129" spans="1:20" ht="14">
      <c r="A129" s="231">
        <v>128</v>
      </c>
      <c r="B129" s="235" t="s">
        <v>50</v>
      </c>
      <c r="C129" s="231" t="s">
        <v>10</v>
      </c>
      <c r="D129" s="250" t="s">
        <v>736</v>
      </c>
      <c r="E129" s="239" t="s">
        <v>737</v>
      </c>
      <c r="F129" s="239" t="s">
        <v>656</v>
      </c>
      <c r="G129" s="231" cm="1">
        <f t="array" ref="G129">_xlfn.IFS(J129&lt;301,2,J129&gt;300,48)</f>
        <v>48</v>
      </c>
      <c r="H129" s="231" t="s">
        <v>2797</v>
      </c>
      <c r="I129" s="281">
        <v>0</v>
      </c>
      <c r="J129" s="249">
        <v>1577.1</v>
      </c>
      <c r="K129" s="231" t="str">
        <f t="shared" si="1"/>
        <v>N/A</v>
      </c>
      <c r="L129" s="231"/>
      <c r="M129" s="231" t="s">
        <v>456</v>
      </c>
      <c r="N129" s="231" t="s">
        <v>253</v>
      </c>
      <c r="O129" s="231">
        <v>2021</v>
      </c>
      <c r="P129" s="281"/>
      <c r="Q129" s="231"/>
      <c r="R129" s="231"/>
      <c r="S129" s="236" t="s">
        <v>453</v>
      </c>
      <c r="T129" s="236" t="s">
        <v>264</v>
      </c>
    </row>
    <row r="130" spans="1:20" ht="14">
      <c r="A130" s="231">
        <v>129</v>
      </c>
      <c r="B130" s="235" t="s">
        <v>50</v>
      </c>
      <c r="C130" s="231" t="s">
        <v>10</v>
      </c>
      <c r="D130" s="250" t="s">
        <v>738</v>
      </c>
      <c r="E130" s="239" t="s">
        <v>739</v>
      </c>
      <c r="F130" s="231" t="s">
        <v>656</v>
      </c>
      <c r="G130" s="231" cm="1">
        <f t="array" ref="G130">_xlfn.IFS(J130&lt;301,2,J130&gt;300,48)</f>
        <v>48</v>
      </c>
      <c r="H130" s="231" t="s">
        <v>2797</v>
      </c>
      <c r="I130" s="281">
        <v>0</v>
      </c>
      <c r="J130" s="249">
        <v>315</v>
      </c>
      <c r="K130" s="231">
        <f t="shared" ref="K130:K193" si="2">IF(M130="ONT",20,IF(M130="N/A","N/A",IF(M130="MIKROTIK",IF(J130&lt;3000,10,IF(3000&lt;J130&gt;10000,20,IF(10000&lt;J130&gt;20000,40,IF(20000&lt;J130&gt;40000,60,IF(J130&gt;40000,80,IF(J130&lt;300,3,)))))))))</f>
        <v>10</v>
      </c>
      <c r="L130" s="231"/>
      <c r="M130" s="299" t="s">
        <v>15</v>
      </c>
      <c r="N130" s="231" t="s">
        <v>253</v>
      </c>
      <c r="O130" s="231">
        <v>2020</v>
      </c>
      <c r="P130" s="281"/>
      <c r="Q130" s="231"/>
      <c r="R130" s="231"/>
      <c r="S130" s="236" t="s">
        <v>453</v>
      </c>
      <c r="T130" s="236" t="s">
        <v>264</v>
      </c>
    </row>
    <row r="131" spans="1:20" ht="14">
      <c r="A131" s="231">
        <v>130</v>
      </c>
      <c r="B131" s="235" t="s">
        <v>50</v>
      </c>
      <c r="C131" s="231" t="s">
        <v>10</v>
      </c>
      <c r="D131" s="250" t="s">
        <v>740</v>
      </c>
      <c r="E131" s="239" t="s">
        <v>741</v>
      </c>
      <c r="F131" s="231" t="s">
        <v>656</v>
      </c>
      <c r="G131" s="231" cm="1">
        <f t="array" ref="G131">_xlfn.IFS(J131&lt;301,2,J131&gt;300,48)</f>
        <v>48</v>
      </c>
      <c r="H131" s="231" t="s">
        <v>2797</v>
      </c>
      <c r="I131" s="281">
        <v>0</v>
      </c>
      <c r="J131" s="249">
        <v>315</v>
      </c>
      <c r="K131" s="231">
        <f t="shared" si="2"/>
        <v>10</v>
      </c>
      <c r="L131" s="231"/>
      <c r="M131" s="299" t="s">
        <v>15</v>
      </c>
      <c r="N131" s="231" t="s">
        <v>253</v>
      </c>
      <c r="O131" s="231">
        <v>2020</v>
      </c>
      <c r="P131" s="281"/>
      <c r="Q131" s="231"/>
      <c r="R131" s="231"/>
      <c r="S131" s="236" t="s">
        <v>453</v>
      </c>
      <c r="T131" s="236" t="s">
        <v>264</v>
      </c>
    </row>
    <row r="132" spans="1:20" ht="14">
      <c r="A132" s="231">
        <v>131</v>
      </c>
      <c r="B132" s="235" t="s">
        <v>50</v>
      </c>
      <c r="C132" s="231" t="s">
        <v>10</v>
      </c>
      <c r="D132" s="250" t="s">
        <v>742</v>
      </c>
      <c r="E132" s="239" t="s">
        <v>743</v>
      </c>
      <c r="F132" s="231" t="s">
        <v>656</v>
      </c>
      <c r="G132" s="231" cm="1">
        <f t="array" ref="G132">_xlfn.IFS(J132&lt;301,2,J132&gt;300,48)</f>
        <v>48</v>
      </c>
      <c r="H132" s="231" t="s">
        <v>2797</v>
      </c>
      <c r="I132" s="281">
        <v>0</v>
      </c>
      <c r="J132" s="249">
        <v>315</v>
      </c>
      <c r="K132" s="231">
        <f t="shared" si="2"/>
        <v>10</v>
      </c>
      <c r="L132" s="231"/>
      <c r="M132" s="299" t="s">
        <v>15</v>
      </c>
      <c r="N132" s="231" t="s">
        <v>253</v>
      </c>
      <c r="O132" s="231">
        <v>2020</v>
      </c>
      <c r="P132" s="281"/>
      <c r="Q132" s="231"/>
      <c r="R132" s="231"/>
      <c r="S132" s="236" t="s">
        <v>453</v>
      </c>
      <c r="T132" s="236" t="s">
        <v>264</v>
      </c>
    </row>
    <row r="133" spans="1:20" ht="14">
      <c r="A133" s="231">
        <v>132</v>
      </c>
      <c r="B133" s="235" t="s">
        <v>50</v>
      </c>
      <c r="C133" s="231" t="s">
        <v>10</v>
      </c>
      <c r="D133" s="250" t="s">
        <v>744</v>
      </c>
      <c r="E133" s="239" t="s">
        <v>745</v>
      </c>
      <c r="F133" s="231" t="s">
        <v>656</v>
      </c>
      <c r="G133" s="231" cm="1">
        <f t="array" ref="G133">_xlfn.IFS(J133&lt;301,2,J133&gt;300,48)</f>
        <v>48</v>
      </c>
      <c r="H133" s="231" t="s">
        <v>2797</v>
      </c>
      <c r="I133" s="281">
        <v>0</v>
      </c>
      <c r="J133" s="249">
        <v>520</v>
      </c>
      <c r="K133" s="231">
        <f t="shared" si="2"/>
        <v>10</v>
      </c>
      <c r="L133" s="231"/>
      <c r="M133" s="299" t="s">
        <v>15</v>
      </c>
      <c r="N133" s="231" t="s">
        <v>637</v>
      </c>
      <c r="O133" s="231">
        <v>2022</v>
      </c>
      <c r="P133" s="281"/>
      <c r="Q133" s="231"/>
      <c r="R133" s="231"/>
      <c r="S133" s="236" t="s">
        <v>453</v>
      </c>
      <c r="T133" s="236" t="s">
        <v>264</v>
      </c>
    </row>
    <row r="134" spans="1:20" ht="14">
      <c r="A134" s="231">
        <v>133</v>
      </c>
      <c r="B134" s="235" t="s">
        <v>50</v>
      </c>
      <c r="C134" s="231" t="s">
        <v>10</v>
      </c>
      <c r="D134" s="250" t="s">
        <v>746</v>
      </c>
      <c r="E134" s="239" t="s">
        <v>747</v>
      </c>
      <c r="F134" s="231" t="s">
        <v>656</v>
      </c>
      <c r="G134" s="231" cm="1">
        <f t="array" ref="G134">_xlfn.IFS(J134&lt;301,2,J134&gt;300,48)</f>
        <v>48</v>
      </c>
      <c r="H134" s="231" t="s">
        <v>2797</v>
      </c>
      <c r="I134" s="281">
        <v>0</v>
      </c>
      <c r="J134" s="249">
        <v>3200</v>
      </c>
      <c r="K134" s="231" t="b">
        <f t="shared" si="2"/>
        <v>0</v>
      </c>
      <c r="L134" s="231"/>
      <c r="M134" s="231" t="s">
        <v>748</v>
      </c>
      <c r="N134" s="231" t="s">
        <v>637</v>
      </c>
      <c r="O134" s="231">
        <v>2020</v>
      </c>
      <c r="P134" s="281"/>
      <c r="Q134" s="231"/>
      <c r="R134" s="231"/>
      <c r="S134" s="236" t="s">
        <v>453</v>
      </c>
      <c r="T134" s="236" t="s">
        <v>264</v>
      </c>
    </row>
    <row r="135" spans="1:20" ht="14">
      <c r="A135" s="231">
        <v>134</v>
      </c>
      <c r="B135" s="235" t="s">
        <v>50</v>
      </c>
      <c r="C135" s="231" t="s">
        <v>10</v>
      </c>
      <c r="D135" s="250" t="s">
        <v>749</v>
      </c>
      <c r="E135" s="239" t="s">
        <v>750</v>
      </c>
      <c r="F135" s="231" t="s">
        <v>656</v>
      </c>
      <c r="G135" s="231" cm="1">
        <f t="array" ref="G135">_xlfn.IFS(J135&lt;301,2,J135&gt;300,48)</f>
        <v>48</v>
      </c>
      <c r="H135" s="231" t="s">
        <v>4252</v>
      </c>
      <c r="I135" s="281">
        <v>0</v>
      </c>
      <c r="J135" s="249">
        <v>600</v>
      </c>
      <c r="K135" s="231">
        <f t="shared" si="2"/>
        <v>10</v>
      </c>
      <c r="L135" s="231"/>
      <c r="M135" s="299" t="s">
        <v>15</v>
      </c>
      <c r="N135" s="231" t="s">
        <v>637</v>
      </c>
      <c r="O135" s="231">
        <v>2023</v>
      </c>
      <c r="P135" s="281"/>
      <c r="Q135" s="231"/>
      <c r="R135" s="231"/>
      <c r="S135" s="236" t="s">
        <v>453</v>
      </c>
      <c r="T135" s="236" t="s">
        <v>264</v>
      </c>
    </row>
    <row r="136" spans="1:20" ht="14">
      <c r="A136" s="231">
        <v>135</v>
      </c>
      <c r="B136" s="235" t="s">
        <v>51</v>
      </c>
      <c r="C136" s="231" t="s">
        <v>10</v>
      </c>
      <c r="D136" s="250" t="s">
        <v>751</v>
      </c>
      <c r="E136" s="239" t="s">
        <v>752</v>
      </c>
      <c r="F136" s="231" t="s">
        <v>753</v>
      </c>
      <c r="G136" s="231" cm="1">
        <f t="array" ref="G136">_xlfn.IFS(J136&lt;301,2,J136&gt;300,48)</f>
        <v>48</v>
      </c>
      <c r="H136" s="231" t="s">
        <v>4647</v>
      </c>
      <c r="I136" s="281">
        <v>0</v>
      </c>
      <c r="J136" s="249">
        <v>315</v>
      </c>
      <c r="K136" s="231">
        <f t="shared" si="2"/>
        <v>10</v>
      </c>
      <c r="L136" s="231"/>
      <c r="M136" s="299" t="s">
        <v>15</v>
      </c>
      <c r="N136" s="231" t="s">
        <v>253</v>
      </c>
      <c r="O136" s="231">
        <v>2021</v>
      </c>
      <c r="P136" s="281"/>
      <c r="Q136" s="231"/>
      <c r="R136" s="231"/>
      <c r="S136" s="236" t="s">
        <v>453</v>
      </c>
      <c r="T136" s="236" t="s">
        <v>264</v>
      </c>
    </row>
    <row r="137" spans="1:20" ht="14">
      <c r="A137" s="231">
        <v>136</v>
      </c>
      <c r="B137" s="235" t="s">
        <v>51</v>
      </c>
      <c r="C137" s="231" t="s">
        <v>10</v>
      </c>
      <c r="D137" s="250" t="s">
        <v>754</v>
      </c>
      <c r="E137" s="239" t="s">
        <v>755</v>
      </c>
      <c r="F137" s="239" t="s">
        <v>756</v>
      </c>
      <c r="G137" s="231" cm="1">
        <f t="array" ref="G137">_xlfn.IFS(J137&lt;301,2,J137&gt;300,48)</f>
        <v>48</v>
      </c>
      <c r="H137" s="231" t="s">
        <v>4650</v>
      </c>
      <c r="I137" s="281">
        <v>0</v>
      </c>
      <c r="J137" s="249">
        <v>3000</v>
      </c>
      <c r="K137" s="231">
        <f t="shared" si="2"/>
        <v>20</v>
      </c>
      <c r="L137" s="231"/>
      <c r="M137" s="299" t="s">
        <v>15</v>
      </c>
      <c r="N137" s="231" t="s">
        <v>253</v>
      </c>
      <c r="O137" s="231">
        <v>2021</v>
      </c>
      <c r="P137" s="281"/>
      <c r="Q137" s="231"/>
      <c r="R137" s="231"/>
      <c r="S137" s="236" t="s">
        <v>453</v>
      </c>
      <c r="T137" s="236" t="s">
        <v>264</v>
      </c>
    </row>
    <row r="138" spans="1:20" ht="14">
      <c r="A138" s="231">
        <v>137</v>
      </c>
      <c r="B138" s="235" t="s">
        <v>51</v>
      </c>
      <c r="C138" s="231" t="s">
        <v>10</v>
      </c>
      <c r="D138" s="250" t="s">
        <v>757</v>
      </c>
      <c r="E138" s="239" t="s">
        <v>758</v>
      </c>
      <c r="F138" s="239" t="s">
        <v>756</v>
      </c>
      <c r="G138" s="231" cm="1">
        <f t="array" ref="G138">_xlfn.IFS(J138&lt;301,2,J138&gt;300,48)</f>
        <v>2</v>
      </c>
      <c r="H138" s="231" t="s">
        <v>4650</v>
      </c>
      <c r="I138" s="281">
        <v>0</v>
      </c>
      <c r="J138" s="249">
        <v>300</v>
      </c>
      <c r="K138" s="231">
        <f t="shared" si="2"/>
        <v>10</v>
      </c>
      <c r="L138" s="231"/>
      <c r="M138" s="299" t="s">
        <v>15</v>
      </c>
      <c r="N138" s="231" t="s">
        <v>253</v>
      </c>
      <c r="O138" s="231">
        <v>2021</v>
      </c>
      <c r="P138" s="281"/>
      <c r="Q138" s="231"/>
      <c r="R138" s="231"/>
      <c r="S138" s="236" t="s">
        <v>453</v>
      </c>
      <c r="T138" s="236" t="s">
        <v>264</v>
      </c>
    </row>
    <row r="139" spans="1:20" ht="14">
      <c r="A139" s="231">
        <v>138</v>
      </c>
      <c r="B139" s="235" t="s">
        <v>51</v>
      </c>
      <c r="C139" s="231" t="s">
        <v>10</v>
      </c>
      <c r="D139" s="250" t="s">
        <v>759</v>
      </c>
      <c r="E139" s="239" t="s">
        <v>760</v>
      </c>
      <c r="F139" s="231" t="s">
        <v>753</v>
      </c>
      <c r="G139" s="231" cm="1">
        <f t="array" ref="G139">_xlfn.IFS(J139&lt;301,2,J139&gt;300,48)</f>
        <v>48</v>
      </c>
      <c r="H139" s="231" t="s">
        <v>4647</v>
      </c>
      <c r="I139" s="281">
        <v>0</v>
      </c>
      <c r="J139" s="249">
        <v>2800</v>
      </c>
      <c r="K139" s="231">
        <f t="shared" si="2"/>
        <v>10</v>
      </c>
      <c r="L139" s="231"/>
      <c r="M139" s="299" t="s">
        <v>15</v>
      </c>
      <c r="N139" s="231" t="s">
        <v>253</v>
      </c>
      <c r="O139" s="231">
        <v>2021</v>
      </c>
      <c r="P139" s="281"/>
      <c r="Q139" s="231"/>
      <c r="R139" s="231"/>
      <c r="S139" s="236" t="s">
        <v>453</v>
      </c>
      <c r="T139" s="236" t="s">
        <v>264</v>
      </c>
    </row>
    <row r="140" spans="1:20" ht="14">
      <c r="A140" s="231">
        <v>139</v>
      </c>
      <c r="B140" s="235" t="s">
        <v>49</v>
      </c>
      <c r="C140" s="231" t="s">
        <v>10</v>
      </c>
      <c r="D140" s="250" t="s">
        <v>761</v>
      </c>
      <c r="E140" s="239" t="s">
        <v>762</v>
      </c>
      <c r="F140" s="231" t="s">
        <v>763</v>
      </c>
      <c r="G140" s="231" cm="1">
        <f t="array" ref="G140">_xlfn.IFS(J140&lt;301,2,J140&gt;300,48)</f>
        <v>48</v>
      </c>
      <c r="H140" s="231" t="s">
        <v>452</v>
      </c>
      <c r="I140" s="281">
        <v>0</v>
      </c>
      <c r="J140" s="249">
        <v>500</v>
      </c>
      <c r="K140" s="231">
        <f t="shared" si="2"/>
        <v>10</v>
      </c>
      <c r="L140" s="231"/>
      <c r="M140" s="299" t="s">
        <v>15</v>
      </c>
      <c r="N140" s="231" t="s">
        <v>253</v>
      </c>
      <c r="O140" s="231">
        <v>2021</v>
      </c>
      <c r="P140" s="281"/>
      <c r="Q140" s="231"/>
      <c r="R140" s="231"/>
      <c r="S140" s="236" t="s">
        <v>453</v>
      </c>
      <c r="T140" s="236" t="s">
        <v>264</v>
      </c>
    </row>
    <row r="141" spans="1:20" ht="14">
      <c r="A141" s="231">
        <v>140</v>
      </c>
      <c r="B141" s="235" t="s">
        <v>51</v>
      </c>
      <c r="C141" s="231" t="s">
        <v>10</v>
      </c>
      <c r="D141" s="250" t="s">
        <v>764</v>
      </c>
      <c r="E141" s="239" t="s">
        <v>765</v>
      </c>
      <c r="F141" s="231" t="s">
        <v>756</v>
      </c>
      <c r="G141" s="231" cm="1">
        <f t="array" ref="G141">_xlfn.IFS(J141&lt;301,2,J141&gt;300,48)</f>
        <v>48</v>
      </c>
      <c r="H141" s="231" t="s">
        <v>160</v>
      </c>
      <c r="I141" s="281">
        <v>0</v>
      </c>
      <c r="J141" s="249">
        <v>900</v>
      </c>
      <c r="K141" s="231">
        <f t="shared" si="2"/>
        <v>10</v>
      </c>
      <c r="L141" s="231"/>
      <c r="M141" s="299" t="s">
        <v>15</v>
      </c>
      <c r="N141" s="231" t="s">
        <v>253</v>
      </c>
      <c r="O141" s="231">
        <v>2021</v>
      </c>
      <c r="P141" s="281"/>
      <c r="Q141" s="231"/>
      <c r="R141" s="231"/>
      <c r="S141" s="236" t="s">
        <v>453</v>
      </c>
      <c r="T141" s="236" t="s">
        <v>264</v>
      </c>
    </row>
    <row r="142" spans="1:20" ht="14">
      <c r="A142" s="231">
        <v>141</v>
      </c>
      <c r="B142" s="235" t="s">
        <v>51</v>
      </c>
      <c r="C142" s="231" t="s">
        <v>10</v>
      </c>
      <c r="D142" s="250" t="s">
        <v>766</v>
      </c>
      <c r="E142" s="239" t="s">
        <v>767</v>
      </c>
      <c r="F142" s="231" t="s">
        <v>753</v>
      </c>
      <c r="G142" s="231" cm="1">
        <f t="array" ref="G142">_xlfn.IFS(J142&lt;301,2,J142&gt;300,48)</f>
        <v>48</v>
      </c>
      <c r="H142" s="231" t="s">
        <v>164</v>
      </c>
      <c r="I142" s="281">
        <v>0</v>
      </c>
      <c r="J142" s="249">
        <v>10500</v>
      </c>
      <c r="K142" s="231" t="str">
        <f t="shared" si="2"/>
        <v>N/A</v>
      </c>
      <c r="L142" s="231"/>
      <c r="M142" s="231" t="s">
        <v>456</v>
      </c>
      <c r="N142" s="231" t="s">
        <v>253</v>
      </c>
      <c r="O142" s="231">
        <v>2021</v>
      </c>
      <c r="P142" s="281"/>
      <c r="Q142" s="231"/>
      <c r="R142" s="231"/>
      <c r="S142" s="236" t="s">
        <v>453</v>
      </c>
      <c r="T142" s="236" t="s">
        <v>264</v>
      </c>
    </row>
    <row r="143" spans="1:20" ht="14">
      <c r="A143" s="231">
        <v>142</v>
      </c>
      <c r="B143" s="235" t="s">
        <v>51</v>
      </c>
      <c r="C143" s="231" t="s">
        <v>10</v>
      </c>
      <c r="D143" s="250" t="s">
        <v>768</v>
      </c>
      <c r="E143" s="239" t="s">
        <v>769</v>
      </c>
      <c r="F143" s="231" t="s">
        <v>770</v>
      </c>
      <c r="G143" s="231" cm="1">
        <f t="array" ref="G143">_xlfn.IFS(J143&lt;301,2,J143&gt;300,48)</f>
        <v>48</v>
      </c>
      <c r="H143" s="231" t="s">
        <v>4255</v>
      </c>
      <c r="I143" s="281">
        <v>0</v>
      </c>
      <c r="J143" s="249">
        <v>700</v>
      </c>
      <c r="K143" s="231">
        <f t="shared" si="2"/>
        <v>10</v>
      </c>
      <c r="L143" s="231"/>
      <c r="M143" s="299" t="s">
        <v>15</v>
      </c>
      <c r="N143" s="231" t="s">
        <v>253</v>
      </c>
      <c r="O143" s="231">
        <v>2021</v>
      </c>
      <c r="P143" s="281"/>
      <c r="Q143" s="231"/>
      <c r="R143" s="231"/>
      <c r="S143" s="236" t="s">
        <v>453</v>
      </c>
      <c r="T143" s="236" t="s">
        <v>264</v>
      </c>
    </row>
    <row r="144" spans="1:20" ht="14">
      <c r="A144" s="231">
        <v>143</v>
      </c>
      <c r="B144" s="235" t="s">
        <v>51</v>
      </c>
      <c r="C144" s="231" t="s">
        <v>10</v>
      </c>
      <c r="D144" s="250" t="s">
        <v>771</v>
      </c>
      <c r="E144" s="239" t="s">
        <v>772</v>
      </c>
      <c r="F144" s="231" t="s">
        <v>756</v>
      </c>
      <c r="G144" s="231" cm="1">
        <f t="array" ref="G144">_xlfn.IFS(J144&lt;301,2,J144&gt;300,48)</f>
        <v>48</v>
      </c>
      <c r="H144" s="231" t="s">
        <v>160</v>
      </c>
      <c r="I144" s="281">
        <v>0</v>
      </c>
      <c r="J144" s="249">
        <v>1500</v>
      </c>
      <c r="K144" s="231">
        <f t="shared" si="2"/>
        <v>10</v>
      </c>
      <c r="L144" s="231"/>
      <c r="M144" s="299" t="s">
        <v>15</v>
      </c>
      <c r="N144" s="231" t="s">
        <v>253</v>
      </c>
      <c r="O144" s="231">
        <v>2021</v>
      </c>
      <c r="P144" s="281"/>
      <c r="Q144" s="231"/>
      <c r="R144" s="231"/>
      <c r="S144" s="236" t="s">
        <v>453</v>
      </c>
      <c r="T144" s="236" t="s">
        <v>264</v>
      </c>
    </row>
    <row r="145" spans="1:20" ht="14">
      <c r="A145" s="231">
        <v>144</v>
      </c>
      <c r="B145" s="235" t="s">
        <v>51</v>
      </c>
      <c r="C145" s="231" t="s">
        <v>10</v>
      </c>
      <c r="D145" s="250" t="s">
        <v>773</v>
      </c>
      <c r="E145" s="239" t="s">
        <v>774</v>
      </c>
      <c r="F145" s="231" t="s">
        <v>775</v>
      </c>
      <c r="G145" s="231" cm="1">
        <f t="array" ref="G145">_xlfn.IFS(J145&lt;301,2,J145&gt;300,48)</f>
        <v>48</v>
      </c>
      <c r="H145" s="231" t="s">
        <v>158</v>
      </c>
      <c r="I145" s="281">
        <v>0</v>
      </c>
      <c r="J145" s="249">
        <v>3000</v>
      </c>
      <c r="K145" s="231">
        <f t="shared" si="2"/>
        <v>20</v>
      </c>
      <c r="L145" s="231"/>
      <c r="M145" s="299" t="s">
        <v>15</v>
      </c>
      <c r="N145" s="231" t="s">
        <v>253</v>
      </c>
      <c r="O145" s="231">
        <v>2021</v>
      </c>
      <c r="P145" s="281"/>
      <c r="Q145" s="231"/>
      <c r="R145" s="231"/>
      <c r="S145" s="236" t="s">
        <v>453</v>
      </c>
      <c r="T145" s="236" t="s">
        <v>264</v>
      </c>
    </row>
    <row r="146" spans="1:20" ht="14">
      <c r="A146" s="231">
        <v>145</v>
      </c>
      <c r="B146" s="235" t="s">
        <v>51</v>
      </c>
      <c r="C146" s="231" t="s">
        <v>10</v>
      </c>
      <c r="D146" s="250" t="s">
        <v>776</v>
      </c>
      <c r="E146" s="239" t="s">
        <v>777</v>
      </c>
      <c r="F146" s="231" t="s">
        <v>778</v>
      </c>
      <c r="G146" s="231" cm="1">
        <f t="array" ref="G146">_xlfn.IFS(J146&lt;301,2,J146&gt;300,48)</f>
        <v>48</v>
      </c>
      <c r="H146" s="231" t="s">
        <v>148</v>
      </c>
      <c r="I146" s="281">
        <v>0</v>
      </c>
      <c r="J146" s="249">
        <v>2500</v>
      </c>
      <c r="K146" s="231">
        <f t="shared" si="2"/>
        <v>10</v>
      </c>
      <c r="L146" s="231"/>
      <c r="M146" s="299" t="s">
        <v>15</v>
      </c>
      <c r="N146" s="231" t="s">
        <v>253</v>
      </c>
      <c r="O146" s="231">
        <v>2021</v>
      </c>
      <c r="P146" s="281"/>
      <c r="Q146" s="231"/>
      <c r="R146" s="231"/>
      <c r="S146" s="236" t="s">
        <v>453</v>
      </c>
      <c r="T146" s="236" t="s">
        <v>264</v>
      </c>
    </row>
    <row r="147" spans="1:20" ht="14">
      <c r="A147" s="231">
        <v>146</v>
      </c>
      <c r="B147" s="235" t="s">
        <v>51</v>
      </c>
      <c r="C147" s="231" t="s">
        <v>10</v>
      </c>
      <c r="D147" s="250" t="s">
        <v>779</v>
      </c>
      <c r="E147" s="239" t="s">
        <v>780</v>
      </c>
      <c r="F147" s="231" t="s">
        <v>778</v>
      </c>
      <c r="G147" s="231" cm="1">
        <f t="array" ref="G147">_xlfn.IFS(J147&lt;301,2,J147&gt;300,48)</f>
        <v>48</v>
      </c>
      <c r="H147" s="231" t="s">
        <v>4651</v>
      </c>
      <c r="I147" s="281">
        <v>0</v>
      </c>
      <c r="J147" s="249">
        <v>2000</v>
      </c>
      <c r="K147" s="231">
        <f t="shared" si="2"/>
        <v>10</v>
      </c>
      <c r="L147" s="231"/>
      <c r="M147" s="299" t="s">
        <v>15</v>
      </c>
      <c r="N147" s="231" t="s">
        <v>253</v>
      </c>
      <c r="O147" s="231">
        <v>2021</v>
      </c>
      <c r="P147" s="281"/>
      <c r="Q147" s="231"/>
      <c r="R147" s="231"/>
      <c r="S147" s="236" t="s">
        <v>453</v>
      </c>
      <c r="T147" s="236" t="s">
        <v>264</v>
      </c>
    </row>
    <row r="148" spans="1:20" ht="14">
      <c r="A148" s="231">
        <v>147</v>
      </c>
      <c r="B148" s="235" t="s">
        <v>51</v>
      </c>
      <c r="C148" s="231" t="s">
        <v>10</v>
      </c>
      <c r="D148" s="250" t="s">
        <v>781</v>
      </c>
      <c r="E148" s="239" t="s">
        <v>782</v>
      </c>
      <c r="F148" s="231" t="s">
        <v>753</v>
      </c>
      <c r="G148" s="231" cm="1">
        <f t="array" ref="G148">_xlfn.IFS(J148&lt;301,2,J148&gt;300,48)</f>
        <v>48</v>
      </c>
      <c r="H148" s="231" t="s">
        <v>164</v>
      </c>
      <c r="I148" s="281">
        <v>0</v>
      </c>
      <c r="J148" s="249">
        <v>800</v>
      </c>
      <c r="K148" s="231">
        <f t="shared" si="2"/>
        <v>10</v>
      </c>
      <c r="L148" s="231"/>
      <c r="M148" s="299" t="s">
        <v>15</v>
      </c>
      <c r="N148" s="231" t="s">
        <v>253</v>
      </c>
      <c r="O148" s="231">
        <v>2021</v>
      </c>
      <c r="P148" s="281"/>
      <c r="Q148" s="231"/>
      <c r="R148" s="231"/>
      <c r="S148" s="236" t="s">
        <v>453</v>
      </c>
      <c r="T148" s="236" t="s">
        <v>264</v>
      </c>
    </row>
    <row r="149" spans="1:20" ht="14">
      <c r="A149" s="231">
        <v>148</v>
      </c>
      <c r="B149" s="235" t="s">
        <v>51</v>
      </c>
      <c r="C149" s="231" t="s">
        <v>10</v>
      </c>
      <c r="D149" s="250" t="s">
        <v>783</v>
      </c>
      <c r="E149" s="239" t="s">
        <v>784</v>
      </c>
      <c r="F149" s="231" t="s">
        <v>756</v>
      </c>
      <c r="G149" s="231" cm="1">
        <f t="array" ref="G149">_xlfn.IFS(J149&lt;301,2,J149&gt;300,48)</f>
        <v>48</v>
      </c>
      <c r="H149" s="231" t="s">
        <v>160</v>
      </c>
      <c r="I149" s="281">
        <v>0</v>
      </c>
      <c r="J149" s="249">
        <v>2800</v>
      </c>
      <c r="K149" s="231">
        <f t="shared" si="2"/>
        <v>10</v>
      </c>
      <c r="L149" s="231"/>
      <c r="M149" s="299" t="s">
        <v>15</v>
      </c>
      <c r="N149" s="231" t="s">
        <v>253</v>
      </c>
      <c r="O149" s="231">
        <v>2021</v>
      </c>
      <c r="P149" s="281"/>
      <c r="Q149" s="231"/>
      <c r="R149" s="231"/>
      <c r="S149" s="236" t="s">
        <v>453</v>
      </c>
      <c r="T149" s="236" t="s">
        <v>264</v>
      </c>
    </row>
    <row r="150" spans="1:20" ht="14">
      <c r="A150" s="231">
        <v>149</v>
      </c>
      <c r="B150" s="235" t="s">
        <v>51</v>
      </c>
      <c r="C150" s="231" t="s">
        <v>10</v>
      </c>
      <c r="D150" s="250" t="s">
        <v>785</v>
      </c>
      <c r="E150" s="239" t="s">
        <v>786</v>
      </c>
      <c r="F150" s="231" t="s">
        <v>753</v>
      </c>
      <c r="G150" s="231" cm="1">
        <f t="array" ref="G150">_xlfn.IFS(J150&lt;301,2,J150&gt;300,48)</f>
        <v>48</v>
      </c>
      <c r="H150" s="231" t="s">
        <v>164</v>
      </c>
      <c r="I150" s="281">
        <v>0</v>
      </c>
      <c r="J150" s="249">
        <v>6800</v>
      </c>
      <c r="K150" s="231">
        <f t="shared" si="2"/>
        <v>20</v>
      </c>
      <c r="L150" s="231"/>
      <c r="M150" s="299" t="s">
        <v>15</v>
      </c>
      <c r="N150" s="231" t="s">
        <v>253</v>
      </c>
      <c r="O150" s="231">
        <v>2021</v>
      </c>
      <c r="P150" s="281"/>
      <c r="Q150" s="231"/>
      <c r="R150" s="231"/>
      <c r="S150" s="236" t="s">
        <v>453</v>
      </c>
      <c r="T150" s="236" t="s">
        <v>264</v>
      </c>
    </row>
    <row r="151" spans="1:20" ht="14">
      <c r="A151" s="231">
        <v>150</v>
      </c>
      <c r="B151" s="235" t="s">
        <v>51</v>
      </c>
      <c r="C151" s="231" t="s">
        <v>10</v>
      </c>
      <c r="D151" s="250" t="s">
        <v>787</v>
      </c>
      <c r="E151" s="239" t="s">
        <v>788</v>
      </c>
      <c r="F151" s="231" t="s">
        <v>753</v>
      </c>
      <c r="G151" s="231" cm="1">
        <f t="array" ref="G151">_xlfn.IFS(J151&lt;301,2,J151&gt;300,48)</f>
        <v>48</v>
      </c>
      <c r="H151" s="231" t="s">
        <v>4652</v>
      </c>
      <c r="I151" s="281">
        <v>0</v>
      </c>
      <c r="J151" s="249">
        <v>1000</v>
      </c>
      <c r="K151" s="231">
        <f t="shared" si="2"/>
        <v>10</v>
      </c>
      <c r="L151" s="231"/>
      <c r="M151" s="299" t="s">
        <v>15</v>
      </c>
      <c r="N151" s="231" t="s">
        <v>253</v>
      </c>
      <c r="O151" s="231">
        <v>2021</v>
      </c>
      <c r="P151" s="281"/>
      <c r="Q151" s="231"/>
      <c r="R151" s="231"/>
      <c r="S151" s="236" t="s">
        <v>453</v>
      </c>
      <c r="T151" s="236" t="s">
        <v>264</v>
      </c>
    </row>
    <row r="152" spans="1:20" ht="14">
      <c r="A152" s="231">
        <v>151</v>
      </c>
      <c r="B152" s="235" t="s">
        <v>51</v>
      </c>
      <c r="C152" s="231" t="s">
        <v>10</v>
      </c>
      <c r="D152" s="250" t="s">
        <v>789</v>
      </c>
      <c r="E152" s="239" t="s">
        <v>790</v>
      </c>
      <c r="F152" s="231" t="s">
        <v>791</v>
      </c>
      <c r="G152" s="231" cm="1">
        <f t="array" ref="G152">_xlfn.IFS(J152&lt;301,2,J152&gt;300,48)</f>
        <v>48</v>
      </c>
      <c r="H152" s="231" t="s">
        <v>4593</v>
      </c>
      <c r="I152" s="281">
        <v>0</v>
      </c>
      <c r="J152" s="249">
        <v>52487</v>
      </c>
      <c r="K152" s="231">
        <f t="shared" si="2"/>
        <v>20</v>
      </c>
      <c r="L152" s="231"/>
      <c r="M152" s="299" t="s">
        <v>15</v>
      </c>
      <c r="N152" s="231" t="s">
        <v>253</v>
      </c>
      <c r="O152" s="231">
        <v>2022</v>
      </c>
      <c r="P152" s="281"/>
      <c r="Q152" s="231"/>
      <c r="R152" s="231"/>
      <c r="S152" s="236" t="s">
        <v>453</v>
      </c>
      <c r="T152" s="236" t="s">
        <v>264</v>
      </c>
    </row>
    <row r="153" spans="1:20" ht="14">
      <c r="A153" s="231">
        <v>152</v>
      </c>
      <c r="B153" s="235" t="s">
        <v>51</v>
      </c>
      <c r="C153" s="231" t="s">
        <v>10</v>
      </c>
      <c r="D153" s="250" t="s">
        <v>792</v>
      </c>
      <c r="E153" s="239" t="s">
        <v>793</v>
      </c>
      <c r="F153" s="231" t="s">
        <v>778</v>
      </c>
      <c r="G153" s="231" cm="1">
        <f t="array" ref="G153">_xlfn.IFS(J153&lt;301,2,J153&gt;300,48)</f>
        <v>48</v>
      </c>
      <c r="H153" s="231" t="s">
        <v>148</v>
      </c>
      <c r="I153" s="281">
        <v>0</v>
      </c>
      <c r="J153" s="249">
        <v>1522.5</v>
      </c>
      <c r="K153" s="231">
        <f t="shared" si="2"/>
        <v>10</v>
      </c>
      <c r="L153" s="231"/>
      <c r="M153" s="299" t="s">
        <v>15</v>
      </c>
      <c r="N153" s="231" t="s">
        <v>253</v>
      </c>
      <c r="O153" s="231">
        <v>2021</v>
      </c>
      <c r="P153" s="281"/>
      <c r="Q153" s="231"/>
      <c r="R153" s="231"/>
      <c r="S153" s="236" t="s">
        <v>453</v>
      </c>
      <c r="T153" s="236" t="s">
        <v>264</v>
      </c>
    </row>
    <row r="154" spans="1:20" ht="14">
      <c r="A154" s="231">
        <v>153</v>
      </c>
      <c r="B154" s="235" t="s">
        <v>51</v>
      </c>
      <c r="C154" s="231" t="s">
        <v>10</v>
      </c>
      <c r="D154" s="250" t="s">
        <v>794</v>
      </c>
      <c r="E154" s="239" t="s">
        <v>795</v>
      </c>
      <c r="F154" s="231" t="s">
        <v>756</v>
      </c>
      <c r="G154" s="231" cm="1">
        <f t="array" ref="G154">_xlfn.IFS(J154&lt;301,2,J154&gt;300,48)</f>
        <v>48</v>
      </c>
      <c r="H154" s="231" t="s">
        <v>160</v>
      </c>
      <c r="I154" s="281">
        <v>0</v>
      </c>
      <c r="J154" s="249">
        <v>2833.95</v>
      </c>
      <c r="K154" s="231">
        <f t="shared" si="2"/>
        <v>10</v>
      </c>
      <c r="L154" s="231"/>
      <c r="M154" s="299" t="s">
        <v>15</v>
      </c>
      <c r="N154" s="231" t="s">
        <v>253</v>
      </c>
      <c r="O154" s="231">
        <v>2021</v>
      </c>
      <c r="P154" s="281"/>
      <c r="Q154" s="231"/>
      <c r="R154" s="231"/>
      <c r="S154" s="236" t="s">
        <v>453</v>
      </c>
      <c r="T154" s="236" t="s">
        <v>264</v>
      </c>
    </row>
    <row r="155" spans="1:20" ht="14">
      <c r="A155" s="231">
        <v>154</v>
      </c>
      <c r="B155" s="235" t="s">
        <v>51</v>
      </c>
      <c r="C155" s="231" t="s">
        <v>10</v>
      </c>
      <c r="D155" s="250" t="s">
        <v>796</v>
      </c>
      <c r="E155" s="239" t="s">
        <v>797</v>
      </c>
      <c r="F155" s="231" t="s">
        <v>756</v>
      </c>
      <c r="G155" s="231" cm="1">
        <f t="array" ref="G155">_xlfn.IFS(J155&lt;301,2,J155&gt;300,48)</f>
        <v>48</v>
      </c>
      <c r="H155" s="231" t="s">
        <v>160</v>
      </c>
      <c r="I155" s="281">
        <v>0</v>
      </c>
      <c r="J155" s="249">
        <v>315</v>
      </c>
      <c r="K155" s="231">
        <f t="shared" si="2"/>
        <v>10</v>
      </c>
      <c r="L155" s="231"/>
      <c r="M155" s="299" t="s">
        <v>15</v>
      </c>
      <c r="N155" s="231" t="s">
        <v>253</v>
      </c>
      <c r="O155" s="231">
        <v>2021</v>
      </c>
      <c r="P155" s="281"/>
      <c r="Q155" s="231"/>
      <c r="R155" s="231"/>
      <c r="S155" s="236" t="s">
        <v>453</v>
      </c>
      <c r="T155" s="236" t="s">
        <v>264</v>
      </c>
    </row>
    <row r="156" spans="1:20" ht="14">
      <c r="A156" s="231">
        <v>155</v>
      </c>
      <c r="B156" s="235" t="s">
        <v>51</v>
      </c>
      <c r="C156" s="231" t="s">
        <v>10</v>
      </c>
      <c r="D156" s="250" t="s">
        <v>4253</v>
      </c>
      <c r="E156" s="239" t="s">
        <v>798</v>
      </c>
      <c r="F156" s="231" t="s">
        <v>753</v>
      </c>
      <c r="G156" s="231" cm="1">
        <f t="array" ref="G156">_xlfn.IFS(J156&lt;301,2,J156&gt;300,48)</f>
        <v>48</v>
      </c>
      <c r="H156" s="231" t="s">
        <v>164</v>
      </c>
      <c r="I156" s="281">
        <v>0</v>
      </c>
      <c r="J156" s="249">
        <v>9372.2999999999993</v>
      </c>
      <c r="K156" s="231" t="str">
        <f t="shared" si="2"/>
        <v>N/A</v>
      </c>
      <c r="L156" s="231"/>
      <c r="M156" s="231" t="s">
        <v>456</v>
      </c>
      <c r="N156" s="231" t="s">
        <v>253</v>
      </c>
      <c r="O156" s="231">
        <v>2021</v>
      </c>
      <c r="P156" s="281"/>
      <c r="Q156" s="231"/>
      <c r="R156" s="231"/>
      <c r="S156" s="236" t="s">
        <v>453</v>
      </c>
      <c r="T156" s="236" t="s">
        <v>264</v>
      </c>
    </row>
    <row r="157" spans="1:20" ht="14">
      <c r="A157" s="231">
        <v>156</v>
      </c>
      <c r="B157" s="235" t="s">
        <v>51</v>
      </c>
      <c r="C157" s="231" t="s">
        <v>10</v>
      </c>
      <c r="D157" s="250" t="s">
        <v>799</v>
      </c>
      <c r="E157" s="239" t="s">
        <v>800</v>
      </c>
      <c r="F157" s="231" t="s">
        <v>801</v>
      </c>
      <c r="G157" s="231">
        <v>24</v>
      </c>
      <c r="H157" s="231" t="s">
        <v>4255</v>
      </c>
      <c r="I157" s="281">
        <v>0</v>
      </c>
      <c r="J157" s="249">
        <v>19684.349999999999</v>
      </c>
      <c r="K157" s="231" t="str">
        <f t="shared" si="2"/>
        <v>N/A</v>
      </c>
      <c r="L157" s="231"/>
      <c r="M157" s="231" t="s">
        <v>456</v>
      </c>
      <c r="N157" s="231" t="s">
        <v>253</v>
      </c>
      <c r="O157" s="231">
        <v>2021</v>
      </c>
      <c r="P157" s="281"/>
      <c r="Q157" s="231"/>
      <c r="R157" s="231"/>
      <c r="S157" s="236" t="s">
        <v>453</v>
      </c>
      <c r="T157" s="236" t="s">
        <v>264</v>
      </c>
    </row>
    <row r="158" spans="1:20" ht="14">
      <c r="A158" s="231">
        <v>157</v>
      </c>
      <c r="B158" s="235" t="s">
        <v>51</v>
      </c>
      <c r="C158" s="231" t="s">
        <v>10</v>
      </c>
      <c r="D158" s="250" t="s">
        <v>802</v>
      </c>
      <c r="E158" s="239" t="s">
        <v>803</v>
      </c>
      <c r="F158" s="231" t="s">
        <v>753</v>
      </c>
      <c r="G158" s="231" cm="1">
        <f t="array" ref="G158">_xlfn.IFS(J158&lt;301,2,J158&gt;300,48)</f>
        <v>48</v>
      </c>
      <c r="H158" s="231" t="s">
        <v>4647</v>
      </c>
      <c r="I158" s="281">
        <v>0</v>
      </c>
      <c r="J158" s="249">
        <v>2303.6999999999998</v>
      </c>
      <c r="K158" s="231">
        <f t="shared" si="2"/>
        <v>10</v>
      </c>
      <c r="L158" s="231"/>
      <c r="M158" s="299" t="s">
        <v>15</v>
      </c>
      <c r="N158" s="231" t="s">
        <v>253</v>
      </c>
      <c r="O158" s="231">
        <v>2021</v>
      </c>
      <c r="P158" s="281"/>
      <c r="Q158" s="231"/>
      <c r="R158" s="231"/>
      <c r="S158" s="236" t="s">
        <v>453</v>
      </c>
      <c r="T158" s="236" t="s">
        <v>264</v>
      </c>
    </row>
    <row r="159" spans="1:20" ht="14">
      <c r="A159" s="231">
        <v>158</v>
      </c>
      <c r="B159" s="235" t="s">
        <v>51</v>
      </c>
      <c r="C159" s="231" t="s">
        <v>10</v>
      </c>
      <c r="D159" s="250" t="s">
        <v>804</v>
      </c>
      <c r="E159" s="239" t="s">
        <v>805</v>
      </c>
      <c r="F159" s="231" t="s">
        <v>806</v>
      </c>
      <c r="G159" s="231">
        <v>24</v>
      </c>
      <c r="H159" s="231" t="s">
        <v>158</v>
      </c>
      <c r="I159" s="281">
        <v>0</v>
      </c>
      <c r="J159" s="249">
        <v>2796.15</v>
      </c>
      <c r="K159" s="231">
        <f t="shared" si="2"/>
        <v>10</v>
      </c>
      <c r="L159" s="231"/>
      <c r="M159" s="299" t="s">
        <v>15</v>
      </c>
      <c r="N159" s="231" t="s">
        <v>253</v>
      </c>
      <c r="O159" s="231">
        <v>2021</v>
      </c>
      <c r="P159" s="281"/>
      <c r="Q159" s="231"/>
      <c r="R159" s="231"/>
      <c r="S159" s="236" t="s">
        <v>453</v>
      </c>
      <c r="T159" s="236" t="s">
        <v>264</v>
      </c>
    </row>
    <row r="160" spans="1:20" ht="14">
      <c r="A160" s="231">
        <v>159</v>
      </c>
      <c r="B160" s="235" t="s">
        <v>51</v>
      </c>
      <c r="C160" s="231" t="s">
        <v>10</v>
      </c>
      <c r="D160" s="250" t="s">
        <v>807</v>
      </c>
      <c r="E160" s="239" t="s">
        <v>808</v>
      </c>
      <c r="F160" s="231" t="s">
        <v>809</v>
      </c>
      <c r="G160" s="231">
        <v>24</v>
      </c>
      <c r="H160" s="231" t="s">
        <v>150</v>
      </c>
      <c r="I160" s="281">
        <v>0</v>
      </c>
      <c r="J160" s="249">
        <v>824.25</v>
      </c>
      <c r="K160" s="231">
        <f t="shared" si="2"/>
        <v>10</v>
      </c>
      <c r="L160" s="231"/>
      <c r="M160" s="299" t="s">
        <v>15</v>
      </c>
      <c r="N160" s="231" t="s">
        <v>253</v>
      </c>
      <c r="O160" s="231">
        <v>2021</v>
      </c>
      <c r="P160" s="281"/>
      <c r="Q160" s="231"/>
      <c r="R160" s="231"/>
      <c r="S160" s="236" t="s">
        <v>453</v>
      </c>
      <c r="T160" s="236" t="s">
        <v>264</v>
      </c>
    </row>
    <row r="161" spans="1:20" ht="14">
      <c r="A161" s="231">
        <v>160</v>
      </c>
      <c r="B161" s="235" t="s">
        <v>51</v>
      </c>
      <c r="C161" s="231" t="s">
        <v>10</v>
      </c>
      <c r="D161" s="250" t="s">
        <v>810</v>
      </c>
      <c r="E161" s="239" t="s">
        <v>811</v>
      </c>
      <c r="F161" s="231" t="s">
        <v>778</v>
      </c>
      <c r="G161" s="231" cm="1">
        <f t="array" ref="G161">_xlfn.IFS(J161&lt;301,2,J161&gt;300,48)</f>
        <v>48</v>
      </c>
      <c r="H161" s="231" t="s">
        <v>4595</v>
      </c>
      <c r="I161" s="281">
        <v>0</v>
      </c>
      <c r="J161" s="249">
        <v>11636.1</v>
      </c>
      <c r="K161" s="231">
        <f t="shared" si="2"/>
        <v>20</v>
      </c>
      <c r="L161" s="231"/>
      <c r="M161" s="299" t="s">
        <v>15</v>
      </c>
      <c r="N161" s="231" t="s">
        <v>253</v>
      </c>
      <c r="O161" s="231">
        <v>2023</v>
      </c>
      <c r="P161" s="281"/>
      <c r="Q161" s="231"/>
      <c r="R161" s="231"/>
      <c r="S161" s="236" t="s">
        <v>453</v>
      </c>
      <c r="T161" s="236" t="s">
        <v>264</v>
      </c>
    </row>
    <row r="162" spans="1:20" ht="14">
      <c r="A162" s="231">
        <v>161</v>
      </c>
      <c r="B162" s="235" t="s">
        <v>51</v>
      </c>
      <c r="C162" s="231" t="s">
        <v>10</v>
      </c>
      <c r="D162" s="250" t="s">
        <v>812</v>
      </c>
      <c r="E162" s="239" t="s">
        <v>813</v>
      </c>
      <c r="F162" s="231" t="s">
        <v>814</v>
      </c>
      <c r="G162" s="231" cm="1">
        <f t="array" ref="G162">_xlfn.IFS(J162&lt;301,2,J162&gt;300,48)</f>
        <v>48</v>
      </c>
      <c r="H162" s="231" t="s">
        <v>4640</v>
      </c>
      <c r="I162" s="281">
        <v>0</v>
      </c>
      <c r="J162" s="249">
        <v>2500</v>
      </c>
      <c r="K162" s="231">
        <f t="shared" si="2"/>
        <v>10</v>
      </c>
      <c r="L162" s="231"/>
      <c r="M162" s="299" t="s">
        <v>15</v>
      </c>
      <c r="N162" s="231" t="s">
        <v>253</v>
      </c>
      <c r="O162" s="231">
        <v>2022</v>
      </c>
      <c r="P162" s="281"/>
      <c r="Q162" s="231"/>
      <c r="R162" s="231"/>
      <c r="S162" s="236" t="s">
        <v>453</v>
      </c>
      <c r="T162" s="236" t="s">
        <v>264</v>
      </c>
    </row>
    <row r="163" spans="1:20" ht="14">
      <c r="A163" s="231">
        <v>162</v>
      </c>
      <c r="B163" s="235" t="s">
        <v>51</v>
      </c>
      <c r="C163" s="231" t="s">
        <v>10</v>
      </c>
      <c r="D163" s="250" t="s">
        <v>815</v>
      </c>
      <c r="E163" s="239" t="s">
        <v>816</v>
      </c>
      <c r="F163" s="231" t="s">
        <v>756</v>
      </c>
      <c r="G163" s="231" cm="1">
        <f t="array" ref="G163">_xlfn.IFS(J163&lt;301,2,J163&gt;300,48)</f>
        <v>48</v>
      </c>
      <c r="H163" s="231" t="s">
        <v>160</v>
      </c>
      <c r="I163" s="281">
        <v>0</v>
      </c>
      <c r="J163" s="249">
        <v>2600</v>
      </c>
      <c r="K163" s="231">
        <f t="shared" si="2"/>
        <v>10</v>
      </c>
      <c r="L163" s="231"/>
      <c r="M163" s="299" t="s">
        <v>15</v>
      </c>
      <c r="N163" s="231" t="s">
        <v>637</v>
      </c>
      <c r="O163" s="231">
        <v>2023</v>
      </c>
      <c r="P163" s="281"/>
      <c r="Q163" s="231"/>
      <c r="R163" s="231"/>
      <c r="S163" s="236" t="s">
        <v>453</v>
      </c>
      <c r="T163" s="236" t="s">
        <v>264</v>
      </c>
    </row>
    <row r="164" spans="1:20" ht="14">
      <c r="A164" s="231">
        <v>163</v>
      </c>
      <c r="B164" s="235" t="s">
        <v>51</v>
      </c>
      <c r="C164" s="231" t="s">
        <v>10</v>
      </c>
      <c r="D164" s="250" t="s">
        <v>817</v>
      </c>
      <c r="E164" s="239" t="s">
        <v>818</v>
      </c>
      <c r="F164" s="231" t="s">
        <v>791</v>
      </c>
      <c r="G164" s="231" cm="1">
        <f t="array" ref="G164">_xlfn.IFS(J164&lt;301,2,J164&gt;300,48)</f>
        <v>2</v>
      </c>
      <c r="H164" s="231" t="s">
        <v>4593</v>
      </c>
      <c r="I164" s="281">
        <v>0</v>
      </c>
      <c r="J164" s="249">
        <v>250</v>
      </c>
      <c r="K164" s="231">
        <f t="shared" si="2"/>
        <v>10</v>
      </c>
      <c r="L164" s="231"/>
      <c r="M164" s="299" t="s">
        <v>15</v>
      </c>
      <c r="N164" s="231" t="s">
        <v>637</v>
      </c>
      <c r="O164" s="231">
        <v>2023</v>
      </c>
      <c r="P164" s="281"/>
      <c r="Q164" s="231"/>
      <c r="R164" s="231"/>
      <c r="S164" s="236" t="s">
        <v>453</v>
      </c>
      <c r="T164" s="236" t="s">
        <v>264</v>
      </c>
    </row>
    <row r="165" spans="1:20" ht="14">
      <c r="A165" s="231">
        <v>164</v>
      </c>
      <c r="B165" s="235" t="s">
        <v>51</v>
      </c>
      <c r="C165" s="231" t="s">
        <v>10</v>
      </c>
      <c r="D165" s="250" t="s">
        <v>819</v>
      </c>
      <c r="E165" s="239" t="s">
        <v>820</v>
      </c>
      <c r="F165" s="231" t="s">
        <v>778</v>
      </c>
      <c r="G165" s="231" cm="1">
        <f t="array" ref="G165">_xlfn.IFS(J165&lt;301,2,J165&gt;300,48)</f>
        <v>48</v>
      </c>
      <c r="H165" s="231" t="s">
        <v>4596</v>
      </c>
      <c r="I165" s="281">
        <v>0</v>
      </c>
      <c r="J165" s="249">
        <v>12000</v>
      </c>
      <c r="K165" s="231">
        <f t="shared" si="2"/>
        <v>20</v>
      </c>
      <c r="L165" s="231"/>
      <c r="M165" s="299" t="s">
        <v>15</v>
      </c>
      <c r="N165" s="231" t="s">
        <v>637</v>
      </c>
      <c r="O165" s="231">
        <v>2023</v>
      </c>
      <c r="P165" s="281"/>
      <c r="Q165" s="231"/>
      <c r="R165" s="231"/>
      <c r="S165" s="236" t="s">
        <v>453</v>
      </c>
      <c r="T165" s="236" t="s">
        <v>264</v>
      </c>
    </row>
    <row r="166" spans="1:20" ht="14">
      <c r="A166" s="231">
        <v>165</v>
      </c>
      <c r="B166" s="235" t="s">
        <v>51</v>
      </c>
      <c r="C166" s="231" t="s">
        <v>10</v>
      </c>
      <c r="D166" s="250" t="s">
        <v>821</v>
      </c>
      <c r="E166" s="239" t="s">
        <v>822</v>
      </c>
      <c r="F166" s="231" t="s">
        <v>778</v>
      </c>
      <c r="G166" s="231" cm="1">
        <f t="array" ref="G166">_xlfn.IFS(J166&lt;301,2,J166&gt;300,48)</f>
        <v>48</v>
      </c>
      <c r="H166" s="231" t="s">
        <v>148</v>
      </c>
      <c r="I166" s="281">
        <v>0</v>
      </c>
      <c r="J166" s="249">
        <v>3100</v>
      </c>
      <c r="K166" s="231">
        <f t="shared" si="2"/>
        <v>20</v>
      </c>
      <c r="L166" s="231"/>
      <c r="M166" s="299" t="s">
        <v>15</v>
      </c>
      <c r="N166" s="231" t="s">
        <v>637</v>
      </c>
      <c r="O166" s="231">
        <v>2023</v>
      </c>
      <c r="P166" s="281"/>
      <c r="Q166" s="231"/>
      <c r="R166" s="231"/>
      <c r="S166" s="236" t="s">
        <v>453</v>
      </c>
      <c r="T166" s="236" t="s">
        <v>264</v>
      </c>
    </row>
    <row r="167" spans="1:20" ht="14">
      <c r="A167" s="231">
        <v>166</v>
      </c>
      <c r="B167" s="235" t="s">
        <v>51</v>
      </c>
      <c r="C167" s="231" t="s">
        <v>10</v>
      </c>
      <c r="D167" s="250" t="s">
        <v>823</v>
      </c>
      <c r="E167" s="239" t="s">
        <v>824</v>
      </c>
      <c r="F167" s="231" t="s">
        <v>778</v>
      </c>
      <c r="G167" s="231" cm="1">
        <f t="array" ref="G167">_xlfn.IFS(J167&lt;301,2,J167&gt;300,48)</f>
        <v>2</v>
      </c>
      <c r="H167" s="231" t="s">
        <v>148</v>
      </c>
      <c r="I167" s="281">
        <v>0</v>
      </c>
      <c r="J167" s="249">
        <v>300</v>
      </c>
      <c r="K167" s="231">
        <f t="shared" si="2"/>
        <v>10</v>
      </c>
      <c r="L167" s="231"/>
      <c r="M167" s="299" t="s">
        <v>15</v>
      </c>
      <c r="N167" s="231" t="s">
        <v>637</v>
      </c>
      <c r="O167" s="231">
        <v>2023</v>
      </c>
      <c r="P167" s="281"/>
      <c r="Q167" s="231"/>
      <c r="R167" s="231"/>
      <c r="S167" s="236" t="s">
        <v>453</v>
      </c>
      <c r="T167" s="236" t="s">
        <v>264</v>
      </c>
    </row>
    <row r="168" spans="1:20" ht="14">
      <c r="A168" s="231">
        <v>167</v>
      </c>
      <c r="B168" s="235" t="s">
        <v>51</v>
      </c>
      <c r="C168" s="231" t="s">
        <v>10</v>
      </c>
      <c r="D168" s="252" t="s">
        <v>825</v>
      </c>
      <c r="E168" s="239" t="s">
        <v>826</v>
      </c>
      <c r="F168" s="231" t="s">
        <v>756</v>
      </c>
      <c r="G168" s="231" cm="1">
        <f t="array" ref="G168">_xlfn.IFS(J168&lt;301,2,J168&gt;300,48)</f>
        <v>48</v>
      </c>
      <c r="H168" s="231" t="s">
        <v>160</v>
      </c>
      <c r="I168" s="281">
        <v>0</v>
      </c>
      <c r="J168" s="249">
        <v>3500</v>
      </c>
      <c r="K168" s="231">
        <f t="shared" si="2"/>
        <v>20</v>
      </c>
      <c r="L168" s="231"/>
      <c r="M168" s="299" t="s">
        <v>15</v>
      </c>
      <c r="N168" s="231" t="s">
        <v>637</v>
      </c>
      <c r="O168" s="231">
        <v>2020</v>
      </c>
      <c r="P168" s="281"/>
      <c r="Q168" s="231"/>
      <c r="R168" s="231"/>
      <c r="S168" s="236" t="s">
        <v>453</v>
      </c>
      <c r="T168" s="236" t="s">
        <v>264</v>
      </c>
    </row>
    <row r="169" spans="1:20" ht="14">
      <c r="A169" s="231">
        <v>168</v>
      </c>
      <c r="B169" s="235" t="s">
        <v>51</v>
      </c>
      <c r="C169" s="231" t="s">
        <v>10</v>
      </c>
      <c r="D169" s="250" t="s">
        <v>827</v>
      </c>
      <c r="E169" s="239" t="s">
        <v>828</v>
      </c>
      <c r="F169" s="231" t="s">
        <v>753</v>
      </c>
      <c r="G169" s="231" cm="1">
        <f t="array" ref="G169">_xlfn.IFS(J169&lt;301,2,J169&gt;300,48)</f>
        <v>2</v>
      </c>
      <c r="H169" s="231" t="s">
        <v>164</v>
      </c>
      <c r="I169" s="281">
        <v>0</v>
      </c>
      <c r="J169" s="249">
        <v>150</v>
      </c>
      <c r="K169" s="231">
        <f t="shared" si="2"/>
        <v>10</v>
      </c>
      <c r="L169" s="231"/>
      <c r="M169" s="299" t="s">
        <v>15</v>
      </c>
      <c r="N169" s="231" t="s">
        <v>637</v>
      </c>
      <c r="O169" s="231">
        <v>2020</v>
      </c>
      <c r="P169" s="281"/>
      <c r="Q169" s="231"/>
      <c r="R169" s="231"/>
      <c r="S169" s="236" t="s">
        <v>453</v>
      </c>
      <c r="T169" s="236" t="s">
        <v>264</v>
      </c>
    </row>
    <row r="170" spans="1:20" ht="14">
      <c r="A170" s="231">
        <v>169</v>
      </c>
      <c r="B170" s="235" t="s">
        <v>52</v>
      </c>
      <c r="C170" s="231" t="s">
        <v>10</v>
      </c>
      <c r="D170" s="250" t="s">
        <v>829</v>
      </c>
      <c r="E170" s="239" t="s">
        <v>830</v>
      </c>
      <c r="F170" s="239" t="s">
        <v>656</v>
      </c>
      <c r="G170" s="231" cm="1">
        <f t="array" ref="G170">_xlfn.IFS(J170&lt;301,2,J170&gt;300,48)</f>
        <v>48</v>
      </c>
      <c r="H170" s="231" t="s">
        <v>4262</v>
      </c>
      <c r="I170" s="281">
        <v>0</v>
      </c>
      <c r="J170" s="249">
        <v>1728.3</v>
      </c>
      <c r="K170" s="231">
        <f t="shared" si="2"/>
        <v>20</v>
      </c>
      <c r="L170" s="231"/>
      <c r="M170" s="231" t="s">
        <v>16</v>
      </c>
      <c r="N170" s="231" t="s">
        <v>253</v>
      </c>
      <c r="O170" s="231">
        <v>2021</v>
      </c>
      <c r="P170" s="281"/>
      <c r="Q170" s="231"/>
      <c r="R170" s="231"/>
      <c r="S170" s="236" t="s">
        <v>453</v>
      </c>
      <c r="T170" s="236" t="s">
        <v>264</v>
      </c>
    </row>
    <row r="171" spans="1:20" ht="14">
      <c r="A171" s="231">
        <v>170</v>
      </c>
      <c r="B171" s="235" t="s">
        <v>52</v>
      </c>
      <c r="C171" s="231" t="s">
        <v>10</v>
      </c>
      <c r="D171" s="248" t="s">
        <v>831</v>
      </c>
      <c r="E171" s="239" t="s">
        <v>832</v>
      </c>
      <c r="F171" s="231" t="s">
        <v>267</v>
      </c>
      <c r="G171" s="231" cm="1">
        <f t="array" ref="G171">_xlfn.IFS(J171&lt;301,2,J171&gt;300,48)</f>
        <v>2</v>
      </c>
      <c r="H171" s="231" t="s">
        <v>4266</v>
      </c>
      <c r="I171" s="281">
        <v>0</v>
      </c>
      <c r="J171" s="249">
        <v>100</v>
      </c>
      <c r="K171" s="231">
        <f t="shared" si="2"/>
        <v>20</v>
      </c>
      <c r="L171" s="231"/>
      <c r="M171" s="231" t="s">
        <v>16</v>
      </c>
      <c r="N171" s="231" t="s">
        <v>253</v>
      </c>
      <c r="O171" s="231">
        <v>2020</v>
      </c>
      <c r="P171" s="281"/>
      <c r="Q171" s="231"/>
      <c r="R171" s="231"/>
      <c r="S171" s="236" t="s">
        <v>453</v>
      </c>
      <c r="T171" s="236" t="s">
        <v>264</v>
      </c>
    </row>
    <row r="172" spans="1:20" ht="14">
      <c r="A172" s="231">
        <v>171</v>
      </c>
      <c r="B172" s="235" t="s">
        <v>52</v>
      </c>
      <c r="C172" s="231" t="s">
        <v>10</v>
      </c>
      <c r="D172" s="250" t="s">
        <v>833</v>
      </c>
      <c r="E172" s="239" t="s">
        <v>834</v>
      </c>
      <c r="F172" s="231" t="s">
        <v>835</v>
      </c>
      <c r="G172" s="231" cm="1">
        <f t="array" ref="G172">_xlfn.IFS(J172&lt;301,2,J172&gt;300,48)</f>
        <v>48</v>
      </c>
      <c r="H172" s="231" t="s">
        <v>4266</v>
      </c>
      <c r="I172" s="281">
        <v>0</v>
      </c>
      <c r="J172" s="249">
        <v>2200</v>
      </c>
      <c r="K172" s="231">
        <f t="shared" si="2"/>
        <v>10</v>
      </c>
      <c r="L172" s="231"/>
      <c r="M172" s="299" t="s">
        <v>15</v>
      </c>
      <c r="N172" s="231" t="s">
        <v>253</v>
      </c>
      <c r="O172" s="231">
        <v>2020</v>
      </c>
      <c r="P172" s="281"/>
      <c r="Q172" s="231"/>
      <c r="R172" s="231"/>
      <c r="S172" s="236" t="s">
        <v>453</v>
      </c>
      <c r="T172" s="236" t="s">
        <v>264</v>
      </c>
    </row>
    <row r="173" spans="1:20" ht="14">
      <c r="A173" s="231">
        <v>172</v>
      </c>
      <c r="B173" s="235" t="s">
        <v>52</v>
      </c>
      <c r="C173" s="231" t="s">
        <v>10</v>
      </c>
      <c r="D173" s="250" t="s">
        <v>836</v>
      </c>
      <c r="E173" s="239" t="s">
        <v>837</v>
      </c>
      <c r="F173" s="231" t="s">
        <v>837</v>
      </c>
      <c r="G173" s="231" cm="1">
        <f t="array" ref="G173">_xlfn.IFS(J173&lt;301,2,J173&gt;300,48)</f>
        <v>48</v>
      </c>
      <c r="H173" s="231" t="s">
        <v>4266</v>
      </c>
      <c r="I173" s="281">
        <v>0</v>
      </c>
      <c r="J173" s="249">
        <v>5500</v>
      </c>
      <c r="K173" s="231">
        <f t="shared" si="2"/>
        <v>20</v>
      </c>
      <c r="L173" s="231"/>
      <c r="M173" s="231" t="s">
        <v>16</v>
      </c>
      <c r="N173" s="231" t="s">
        <v>253</v>
      </c>
      <c r="O173" s="231">
        <v>2020</v>
      </c>
      <c r="P173" s="281"/>
      <c r="Q173" s="231"/>
      <c r="R173" s="231"/>
      <c r="S173" s="236" t="s">
        <v>453</v>
      </c>
      <c r="T173" s="236" t="s">
        <v>264</v>
      </c>
    </row>
    <row r="174" spans="1:20" ht="14">
      <c r="A174" s="231">
        <v>173</v>
      </c>
      <c r="B174" s="235" t="s">
        <v>52</v>
      </c>
      <c r="C174" s="231" t="s">
        <v>10</v>
      </c>
      <c r="D174" s="250" t="s">
        <v>838</v>
      </c>
      <c r="E174" s="239" t="s">
        <v>839</v>
      </c>
      <c r="F174" s="231" t="s">
        <v>267</v>
      </c>
      <c r="G174" s="231" cm="1">
        <f t="array" ref="G174">_xlfn.IFS(J174&lt;301,2,J174&gt;300,48)</f>
        <v>48</v>
      </c>
      <c r="H174" s="231" t="s">
        <v>2980</v>
      </c>
      <c r="I174" s="281">
        <v>0</v>
      </c>
      <c r="J174" s="249">
        <v>800</v>
      </c>
      <c r="K174" s="231">
        <f t="shared" si="2"/>
        <v>20</v>
      </c>
      <c r="L174" s="231"/>
      <c r="M174" s="231" t="s">
        <v>16</v>
      </c>
      <c r="N174" s="231" t="s">
        <v>253</v>
      </c>
      <c r="O174" s="231">
        <v>2021</v>
      </c>
      <c r="P174" s="281"/>
      <c r="Q174" s="231"/>
      <c r="R174" s="231"/>
      <c r="S174" s="236" t="s">
        <v>453</v>
      </c>
      <c r="T174" s="236" t="s">
        <v>264</v>
      </c>
    </row>
    <row r="175" spans="1:20" ht="14">
      <c r="A175" s="231">
        <v>174</v>
      </c>
      <c r="B175" s="235" t="s">
        <v>52</v>
      </c>
      <c r="C175" s="231" t="s">
        <v>10</v>
      </c>
      <c r="D175" s="250" t="s">
        <v>840</v>
      </c>
      <c r="E175" s="239" t="s">
        <v>841</v>
      </c>
      <c r="F175" s="231" t="s">
        <v>763</v>
      </c>
      <c r="G175" s="231" cm="1">
        <f t="array" ref="G175">_xlfn.IFS(J175&lt;301,2,J175&gt;300,48)</f>
        <v>48</v>
      </c>
      <c r="H175" s="231" t="s">
        <v>4587</v>
      </c>
      <c r="I175" s="281">
        <v>0</v>
      </c>
      <c r="J175" s="249">
        <v>2000</v>
      </c>
      <c r="K175" s="231">
        <f t="shared" si="2"/>
        <v>10</v>
      </c>
      <c r="L175" s="231"/>
      <c r="M175" s="299" t="s">
        <v>15</v>
      </c>
      <c r="N175" s="231" t="s">
        <v>253</v>
      </c>
      <c r="O175" s="231">
        <v>2021</v>
      </c>
      <c r="P175" s="281"/>
      <c r="Q175" s="231"/>
      <c r="R175" s="231"/>
      <c r="S175" s="236" t="s">
        <v>457</v>
      </c>
      <c r="T175" s="236" t="s">
        <v>264</v>
      </c>
    </row>
    <row r="176" spans="1:20" ht="14">
      <c r="A176" s="231">
        <v>175</v>
      </c>
      <c r="B176" s="235" t="s">
        <v>52</v>
      </c>
      <c r="C176" s="231" t="s">
        <v>10</v>
      </c>
      <c r="D176" s="250" t="s">
        <v>842</v>
      </c>
      <c r="E176" s="239" t="s">
        <v>843</v>
      </c>
      <c r="F176" s="231" t="s">
        <v>844</v>
      </c>
      <c r="G176" s="231" cm="1">
        <f t="array" ref="G176">_xlfn.IFS(J176&lt;301,2,J176&gt;300,48)</f>
        <v>48</v>
      </c>
      <c r="H176" s="231" t="s">
        <v>4677</v>
      </c>
      <c r="I176" s="281">
        <v>0</v>
      </c>
      <c r="J176" s="249">
        <v>500</v>
      </c>
      <c r="K176" s="231">
        <f t="shared" si="2"/>
        <v>10</v>
      </c>
      <c r="L176" s="231"/>
      <c r="M176" s="299" t="s">
        <v>15</v>
      </c>
      <c r="N176" s="231" t="s">
        <v>253</v>
      </c>
      <c r="O176" s="231">
        <v>2021</v>
      </c>
      <c r="P176" s="281"/>
      <c r="Q176" s="231"/>
      <c r="R176" s="231"/>
      <c r="S176" s="236" t="s">
        <v>453</v>
      </c>
      <c r="T176" s="236" t="s">
        <v>264</v>
      </c>
    </row>
    <row r="177" spans="1:20" ht="14">
      <c r="A177" s="231">
        <v>176</v>
      </c>
      <c r="B177" s="235" t="s">
        <v>52</v>
      </c>
      <c r="C177" s="231" t="s">
        <v>10</v>
      </c>
      <c r="D177" s="248" t="s">
        <v>845</v>
      </c>
      <c r="E177" s="239" t="s">
        <v>846</v>
      </c>
      <c r="F177" s="239" t="s">
        <v>267</v>
      </c>
      <c r="G177" s="231" cm="1">
        <f t="array" ref="G177">_xlfn.IFS(J177&lt;301,2,J177&gt;300,48)</f>
        <v>48</v>
      </c>
      <c r="H177" s="231" t="s">
        <v>3542</v>
      </c>
      <c r="I177" s="281">
        <v>0</v>
      </c>
      <c r="J177" s="249">
        <v>1000</v>
      </c>
      <c r="K177" s="231">
        <f t="shared" si="2"/>
        <v>20</v>
      </c>
      <c r="L177" s="231"/>
      <c r="M177" s="231" t="s">
        <v>16</v>
      </c>
      <c r="N177" s="231" t="s">
        <v>253</v>
      </c>
      <c r="O177" s="231">
        <v>2021</v>
      </c>
      <c r="P177" s="281"/>
      <c r="Q177" s="231"/>
      <c r="R177" s="231"/>
      <c r="S177" s="236" t="s">
        <v>453</v>
      </c>
      <c r="T177" s="236" t="s">
        <v>264</v>
      </c>
    </row>
    <row r="178" spans="1:20" ht="14">
      <c r="A178" s="231">
        <v>177</v>
      </c>
      <c r="B178" s="235" t="s">
        <v>52</v>
      </c>
      <c r="C178" s="231" t="s">
        <v>10</v>
      </c>
      <c r="D178" s="250" t="s">
        <v>847</v>
      </c>
      <c r="E178" s="239" t="s">
        <v>848</v>
      </c>
      <c r="F178" s="231" t="s">
        <v>267</v>
      </c>
      <c r="G178" s="231" cm="1">
        <f t="array" ref="G178">_xlfn.IFS(J178&lt;301,2,J178&gt;300,48)</f>
        <v>48</v>
      </c>
      <c r="H178" s="231" t="s">
        <v>4265</v>
      </c>
      <c r="I178" s="281">
        <v>0</v>
      </c>
      <c r="J178" s="249">
        <v>1200</v>
      </c>
      <c r="K178" s="231">
        <f t="shared" si="2"/>
        <v>20</v>
      </c>
      <c r="L178" s="231"/>
      <c r="M178" s="231" t="s">
        <v>16</v>
      </c>
      <c r="N178" s="231" t="s">
        <v>253</v>
      </c>
      <c r="O178" s="231">
        <v>2021</v>
      </c>
      <c r="P178" s="281"/>
      <c r="Q178" s="231"/>
      <c r="R178" s="231"/>
      <c r="S178" s="236" t="s">
        <v>453</v>
      </c>
      <c r="T178" s="236" t="s">
        <v>264</v>
      </c>
    </row>
    <row r="179" spans="1:20" ht="14">
      <c r="A179" s="231">
        <v>178</v>
      </c>
      <c r="B179" s="235" t="s">
        <v>52</v>
      </c>
      <c r="C179" s="231" t="s">
        <v>10</v>
      </c>
      <c r="D179" s="250" t="s">
        <v>849</v>
      </c>
      <c r="E179" s="239" t="s">
        <v>850</v>
      </c>
      <c r="F179" s="231" t="s">
        <v>851</v>
      </c>
      <c r="G179" s="231" cm="1">
        <f t="array" ref="G179">_xlfn.IFS(J179&lt;301,2,J179&gt;300,48)</f>
        <v>48</v>
      </c>
      <c r="H179" s="231" t="s">
        <v>185</v>
      </c>
      <c r="I179" s="281">
        <v>0</v>
      </c>
      <c r="J179" s="249">
        <v>1700</v>
      </c>
      <c r="K179" s="231">
        <f t="shared" si="2"/>
        <v>10</v>
      </c>
      <c r="L179" s="231"/>
      <c r="M179" s="299" t="s">
        <v>15</v>
      </c>
      <c r="N179" s="231" t="s">
        <v>253</v>
      </c>
      <c r="O179" s="231">
        <v>2021</v>
      </c>
      <c r="P179" s="281"/>
      <c r="Q179" s="231"/>
      <c r="R179" s="231"/>
      <c r="S179" s="236" t="s">
        <v>453</v>
      </c>
      <c r="T179" s="236" t="s">
        <v>264</v>
      </c>
    </row>
    <row r="180" spans="1:20" ht="14">
      <c r="A180" s="231">
        <v>179</v>
      </c>
      <c r="B180" s="235" t="s">
        <v>52</v>
      </c>
      <c r="C180" s="231" t="s">
        <v>10</v>
      </c>
      <c r="D180" s="250" t="s">
        <v>852</v>
      </c>
      <c r="E180" s="239" t="s">
        <v>853</v>
      </c>
      <c r="F180" s="231" t="s">
        <v>854</v>
      </c>
      <c r="G180" s="231" cm="1">
        <f t="array" ref="G180">_xlfn.IFS(J180&lt;301,2,J180&gt;300,48)</f>
        <v>48</v>
      </c>
      <c r="H180" s="231" t="s">
        <v>3608</v>
      </c>
      <c r="I180" s="281">
        <v>0</v>
      </c>
      <c r="J180" s="249">
        <v>2000</v>
      </c>
      <c r="K180" s="231">
        <f t="shared" si="2"/>
        <v>20</v>
      </c>
      <c r="L180" s="231"/>
      <c r="M180" s="231" t="s">
        <v>16</v>
      </c>
      <c r="N180" s="231" t="s">
        <v>253</v>
      </c>
      <c r="O180" s="231">
        <v>2020</v>
      </c>
      <c r="P180" s="281"/>
      <c r="Q180" s="231"/>
      <c r="R180" s="231"/>
      <c r="S180" s="236" t="s">
        <v>453</v>
      </c>
      <c r="T180" s="236" t="s">
        <v>264</v>
      </c>
    </row>
    <row r="181" spans="1:20" ht="14">
      <c r="A181" s="231">
        <v>180</v>
      </c>
      <c r="B181" s="235" t="s">
        <v>52</v>
      </c>
      <c r="C181" s="231" t="s">
        <v>10</v>
      </c>
      <c r="D181" s="250" t="s">
        <v>855</v>
      </c>
      <c r="E181" s="239" t="s">
        <v>856</v>
      </c>
      <c r="F181" s="231" t="s">
        <v>763</v>
      </c>
      <c r="G181" s="231" cm="1">
        <f t="array" ref="G181">_xlfn.IFS(J181&lt;301,2,J181&gt;300,48)</f>
        <v>48</v>
      </c>
      <c r="H181" s="231" t="s">
        <v>2776</v>
      </c>
      <c r="I181" s="281">
        <v>0</v>
      </c>
      <c r="J181" s="249">
        <v>1200</v>
      </c>
      <c r="K181" s="231">
        <f t="shared" si="2"/>
        <v>10</v>
      </c>
      <c r="L181" s="231"/>
      <c r="M181" s="299" t="s">
        <v>15</v>
      </c>
      <c r="N181" s="231" t="s">
        <v>253</v>
      </c>
      <c r="O181" s="231">
        <v>2020</v>
      </c>
      <c r="P181" s="281"/>
      <c r="Q181" s="231"/>
      <c r="R181" s="231"/>
      <c r="S181" s="236" t="s">
        <v>453</v>
      </c>
      <c r="T181" s="236" t="s">
        <v>264</v>
      </c>
    </row>
    <row r="182" spans="1:20" ht="14">
      <c r="A182" s="231">
        <v>181</v>
      </c>
      <c r="B182" s="235" t="s">
        <v>52</v>
      </c>
      <c r="C182" s="231" t="s">
        <v>10</v>
      </c>
      <c r="D182" s="250" t="s">
        <v>857</v>
      </c>
      <c r="E182" s="239" t="s">
        <v>858</v>
      </c>
      <c r="F182" s="231" t="s">
        <v>267</v>
      </c>
      <c r="G182" s="231" cm="1">
        <f t="array" ref="G182">_xlfn.IFS(J182&lt;301,2,J182&gt;300,48)</f>
        <v>2</v>
      </c>
      <c r="H182" s="231" t="s">
        <v>2765</v>
      </c>
      <c r="I182" s="281">
        <v>0</v>
      </c>
      <c r="J182" s="249">
        <v>200</v>
      </c>
      <c r="K182" s="231">
        <f t="shared" si="2"/>
        <v>20</v>
      </c>
      <c r="L182" s="231"/>
      <c r="M182" s="231" t="s">
        <v>16</v>
      </c>
      <c r="N182" s="231" t="s">
        <v>253</v>
      </c>
      <c r="O182" s="231">
        <v>2020</v>
      </c>
      <c r="P182" s="281"/>
      <c r="Q182" s="231"/>
      <c r="R182" s="231"/>
      <c r="S182" s="236" t="s">
        <v>453</v>
      </c>
      <c r="T182" s="236" t="s">
        <v>264</v>
      </c>
    </row>
    <row r="183" spans="1:20" ht="14">
      <c r="A183" s="231">
        <v>182</v>
      </c>
      <c r="B183" s="235" t="s">
        <v>52</v>
      </c>
      <c r="C183" s="231" t="s">
        <v>10</v>
      </c>
      <c r="D183" s="250" t="s">
        <v>859</v>
      </c>
      <c r="E183" s="239" t="s">
        <v>860</v>
      </c>
      <c r="F183" s="231" t="s">
        <v>861</v>
      </c>
      <c r="G183" s="231" cm="1">
        <f t="array" ref="G183">_xlfn.IFS(J183&lt;301,2,J183&gt;300,48)</f>
        <v>48</v>
      </c>
      <c r="H183" s="231" t="s">
        <v>2773</v>
      </c>
      <c r="I183" s="281">
        <v>0</v>
      </c>
      <c r="J183" s="249">
        <v>400</v>
      </c>
      <c r="K183" s="231">
        <f t="shared" si="2"/>
        <v>10</v>
      </c>
      <c r="L183" s="231"/>
      <c r="M183" s="299" t="s">
        <v>15</v>
      </c>
      <c r="N183" s="231" t="s">
        <v>253</v>
      </c>
      <c r="O183" s="231">
        <v>2020</v>
      </c>
      <c r="P183" s="281"/>
      <c r="Q183" s="231"/>
      <c r="R183" s="231"/>
      <c r="S183" s="236" t="s">
        <v>453</v>
      </c>
      <c r="T183" s="236" t="s">
        <v>264</v>
      </c>
    </row>
    <row r="184" spans="1:20" ht="14">
      <c r="A184" s="231">
        <v>183</v>
      </c>
      <c r="B184" s="235" t="s">
        <v>52</v>
      </c>
      <c r="C184" s="231" t="s">
        <v>10</v>
      </c>
      <c r="D184" s="250" t="s">
        <v>862</v>
      </c>
      <c r="E184" s="239" t="s">
        <v>863</v>
      </c>
      <c r="F184" s="231" t="s">
        <v>864</v>
      </c>
      <c r="G184" s="231" cm="1">
        <f t="array" ref="G184">_xlfn.IFS(J184&lt;301,2,J184&gt;300,48)</f>
        <v>48</v>
      </c>
      <c r="H184" s="231" t="s">
        <v>4588</v>
      </c>
      <c r="I184" s="281">
        <v>0</v>
      </c>
      <c r="J184" s="249">
        <v>700</v>
      </c>
      <c r="K184" s="231">
        <f t="shared" si="2"/>
        <v>10</v>
      </c>
      <c r="L184" s="231"/>
      <c r="M184" s="299" t="s">
        <v>15</v>
      </c>
      <c r="N184" s="231" t="s">
        <v>253</v>
      </c>
      <c r="O184" s="231">
        <v>2020</v>
      </c>
      <c r="P184" s="281"/>
      <c r="Q184" s="231"/>
      <c r="R184" s="231"/>
      <c r="S184" s="236" t="s">
        <v>453</v>
      </c>
      <c r="T184" s="236" t="s">
        <v>264</v>
      </c>
    </row>
    <row r="185" spans="1:20" ht="14">
      <c r="A185" s="231">
        <v>184</v>
      </c>
      <c r="B185" s="235" t="s">
        <v>52</v>
      </c>
      <c r="C185" s="231" t="s">
        <v>10</v>
      </c>
      <c r="D185" s="250" t="s">
        <v>865</v>
      </c>
      <c r="E185" s="239" t="s">
        <v>866</v>
      </c>
      <c r="F185" s="231" t="s">
        <v>864</v>
      </c>
      <c r="G185" s="231" cm="1">
        <f t="array" ref="G185">_xlfn.IFS(J185&lt;301,2,J185&gt;300,48)</f>
        <v>48</v>
      </c>
      <c r="H185" s="231" t="s">
        <v>4588</v>
      </c>
      <c r="I185" s="281">
        <v>0</v>
      </c>
      <c r="J185" s="249">
        <v>350</v>
      </c>
      <c r="K185" s="231">
        <f t="shared" si="2"/>
        <v>10</v>
      </c>
      <c r="L185" s="231"/>
      <c r="M185" s="299" t="s">
        <v>15</v>
      </c>
      <c r="N185" s="231" t="s">
        <v>253</v>
      </c>
      <c r="O185" s="231">
        <v>2020</v>
      </c>
      <c r="P185" s="281"/>
      <c r="Q185" s="231"/>
      <c r="R185" s="231"/>
      <c r="S185" s="236" t="s">
        <v>453</v>
      </c>
      <c r="T185" s="236" t="s">
        <v>264</v>
      </c>
    </row>
    <row r="186" spans="1:20" ht="14">
      <c r="A186" s="231">
        <v>185</v>
      </c>
      <c r="B186" s="235" t="s">
        <v>52</v>
      </c>
      <c r="C186" s="231" t="s">
        <v>10</v>
      </c>
      <c r="D186" s="250" t="s">
        <v>867</v>
      </c>
      <c r="E186" s="239" t="s">
        <v>868</v>
      </c>
      <c r="F186" s="231" t="s">
        <v>864</v>
      </c>
      <c r="G186" s="231" cm="1">
        <f t="array" ref="G186">_xlfn.IFS(J186&lt;301,2,J186&gt;300,48)</f>
        <v>48</v>
      </c>
      <c r="H186" s="231" t="s">
        <v>4588</v>
      </c>
      <c r="I186" s="281">
        <v>0</v>
      </c>
      <c r="J186" s="249">
        <v>500</v>
      </c>
      <c r="K186" s="231">
        <f t="shared" si="2"/>
        <v>10</v>
      </c>
      <c r="L186" s="231"/>
      <c r="M186" s="299" t="s">
        <v>15</v>
      </c>
      <c r="N186" s="231" t="s">
        <v>253</v>
      </c>
      <c r="O186" s="231">
        <v>2020</v>
      </c>
      <c r="P186" s="281"/>
      <c r="Q186" s="231"/>
      <c r="R186" s="231"/>
      <c r="S186" s="236" t="s">
        <v>453</v>
      </c>
      <c r="T186" s="236" t="s">
        <v>264</v>
      </c>
    </row>
    <row r="187" spans="1:20" ht="14">
      <c r="A187" s="231">
        <v>186</v>
      </c>
      <c r="B187" s="235" t="s">
        <v>52</v>
      </c>
      <c r="C187" s="231" t="s">
        <v>10</v>
      </c>
      <c r="D187" s="250" t="s">
        <v>869</v>
      </c>
      <c r="E187" s="239" t="s">
        <v>870</v>
      </c>
      <c r="F187" s="231" t="s">
        <v>864</v>
      </c>
      <c r="G187" s="231" cm="1">
        <f t="array" ref="G187">_xlfn.IFS(J187&lt;301,2,J187&gt;300,48)</f>
        <v>2</v>
      </c>
      <c r="H187" s="231" t="s">
        <v>4588</v>
      </c>
      <c r="I187" s="281">
        <v>0</v>
      </c>
      <c r="J187" s="249">
        <v>300</v>
      </c>
      <c r="K187" s="231">
        <f t="shared" si="2"/>
        <v>10</v>
      </c>
      <c r="L187" s="231"/>
      <c r="M187" s="299" t="s">
        <v>15</v>
      </c>
      <c r="N187" s="231" t="s">
        <v>253</v>
      </c>
      <c r="O187" s="231">
        <v>2020</v>
      </c>
      <c r="P187" s="281"/>
      <c r="Q187" s="231"/>
      <c r="R187" s="231"/>
      <c r="S187" s="236" t="s">
        <v>453</v>
      </c>
      <c r="T187" s="236" t="s">
        <v>264</v>
      </c>
    </row>
    <row r="188" spans="1:20" ht="14">
      <c r="A188" s="231">
        <v>187</v>
      </c>
      <c r="B188" s="235" t="s">
        <v>52</v>
      </c>
      <c r="C188" s="231" t="s">
        <v>10</v>
      </c>
      <c r="D188" s="250" t="s">
        <v>871</v>
      </c>
      <c r="E188" s="239" t="s">
        <v>872</v>
      </c>
      <c r="F188" s="231" t="s">
        <v>873</v>
      </c>
      <c r="G188" s="231" cm="1">
        <f t="array" ref="G188">_xlfn.IFS(J188&lt;301,2,J188&gt;300,48)</f>
        <v>48</v>
      </c>
      <c r="H188" s="231" t="s">
        <v>2776</v>
      </c>
      <c r="I188" s="281">
        <v>0</v>
      </c>
      <c r="J188" s="249">
        <v>750</v>
      </c>
      <c r="K188" s="231">
        <f t="shared" si="2"/>
        <v>20</v>
      </c>
      <c r="L188" s="231"/>
      <c r="M188" s="231" t="s">
        <v>16</v>
      </c>
      <c r="N188" s="231" t="s">
        <v>253</v>
      </c>
      <c r="O188" s="231">
        <v>2020</v>
      </c>
      <c r="P188" s="281"/>
      <c r="Q188" s="231"/>
      <c r="R188" s="231"/>
      <c r="S188" s="236" t="s">
        <v>453</v>
      </c>
      <c r="T188" s="236" t="s">
        <v>264</v>
      </c>
    </row>
    <row r="189" spans="1:20" ht="14">
      <c r="A189" s="231">
        <v>188</v>
      </c>
      <c r="B189" s="235" t="s">
        <v>49</v>
      </c>
      <c r="C189" s="231" t="s">
        <v>10</v>
      </c>
      <c r="D189" s="250" t="s">
        <v>874</v>
      </c>
      <c r="E189" s="239" t="s">
        <v>875</v>
      </c>
      <c r="F189" s="231" t="s">
        <v>267</v>
      </c>
      <c r="G189" s="231" cm="1">
        <f t="array" ref="G189">_xlfn.IFS(J189&lt;301,2,J189&gt;300,48)</f>
        <v>48</v>
      </c>
      <c r="H189" s="231" t="s">
        <v>452</v>
      </c>
      <c r="I189" s="281">
        <v>0</v>
      </c>
      <c r="J189" s="249">
        <v>4000</v>
      </c>
      <c r="K189" s="231">
        <f t="shared" si="2"/>
        <v>20</v>
      </c>
      <c r="L189" s="231"/>
      <c r="M189" s="231" t="s">
        <v>16</v>
      </c>
      <c r="N189" s="231" t="s">
        <v>253</v>
      </c>
      <c r="O189" s="231">
        <v>2020</v>
      </c>
      <c r="P189" s="281"/>
      <c r="Q189" s="231"/>
      <c r="R189" s="231"/>
      <c r="S189" s="236" t="s">
        <v>453</v>
      </c>
      <c r="T189" s="236" t="s">
        <v>264</v>
      </c>
    </row>
    <row r="190" spans="1:20" ht="14">
      <c r="A190" s="231">
        <v>189</v>
      </c>
      <c r="B190" s="235" t="s">
        <v>52</v>
      </c>
      <c r="C190" s="231" t="s">
        <v>10</v>
      </c>
      <c r="D190" s="250" t="s">
        <v>876</v>
      </c>
      <c r="E190" s="239" t="s">
        <v>877</v>
      </c>
      <c r="F190" s="231" t="s">
        <v>878</v>
      </c>
      <c r="G190" s="231" cm="1">
        <f t="array" ref="G190">_xlfn.IFS(J190&lt;301,2,J190&gt;300,48)</f>
        <v>48</v>
      </c>
      <c r="H190" s="231" t="s">
        <v>2980</v>
      </c>
      <c r="I190" s="281">
        <v>0</v>
      </c>
      <c r="J190" s="249">
        <v>1000</v>
      </c>
      <c r="K190" s="231">
        <f t="shared" si="2"/>
        <v>10</v>
      </c>
      <c r="L190" s="231"/>
      <c r="M190" s="299" t="s">
        <v>15</v>
      </c>
      <c r="N190" s="231" t="s">
        <v>253</v>
      </c>
      <c r="O190" s="231">
        <v>2020</v>
      </c>
      <c r="P190" s="281"/>
      <c r="Q190" s="231"/>
      <c r="R190" s="231"/>
      <c r="S190" s="236" t="s">
        <v>453</v>
      </c>
      <c r="T190" s="236" t="s">
        <v>264</v>
      </c>
    </row>
    <row r="191" spans="1:20" ht="14">
      <c r="A191" s="231">
        <v>190</v>
      </c>
      <c r="B191" s="235" t="s">
        <v>52</v>
      </c>
      <c r="C191" s="231" t="s">
        <v>10</v>
      </c>
      <c r="D191" s="248" t="s">
        <v>879</v>
      </c>
      <c r="E191" s="239" t="s">
        <v>880</v>
      </c>
      <c r="F191" s="231" t="s">
        <v>881</v>
      </c>
      <c r="G191" s="231" cm="1">
        <f t="array" ref="G191">_xlfn.IFS(J191&lt;301,2,J191&gt;300,48)</f>
        <v>48</v>
      </c>
      <c r="H191" s="231" t="s">
        <v>2875</v>
      </c>
      <c r="I191" s="281">
        <v>0</v>
      </c>
      <c r="J191" s="249">
        <v>1800</v>
      </c>
      <c r="K191" s="231">
        <f t="shared" si="2"/>
        <v>10</v>
      </c>
      <c r="L191" s="231"/>
      <c r="M191" s="299" t="s">
        <v>15</v>
      </c>
      <c r="N191" s="231" t="s">
        <v>253</v>
      </c>
      <c r="O191" s="231">
        <v>2020</v>
      </c>
      <c r="P191" s="281"/>
      <c r="Q191" s="231"/>
      <c r="R191" s="231"/>
      <c r="S191" s="236" t="s">
        <v>453</v>
      </c>
      <c r="T191" s="236" t="s">
        <v>264</v>
      </c>
    </row>
    <row r="192" spans="1:20" ht="14">
      <c r="A192" s="231">
        <v>191</v>
      </c>
      <c r="B192" s="235" t="s">
        <v>52</v>
      </c>
      <c r="C192" s="231" t="s">
        <v>10</v>
      </c>
      <c r="D192" s="250" t="s">
        <v>882</v>
      </c>
      <c r="E192" s="239" t="s">
        <v>883</v>
      </c>
      <c r="F192" s="231" t="s">
        <v>835</v>
      </c>
      <c r="G192" s="231" cm="1">
        <f t="array" ref="G192">_xlfn.IFS(J192&lt;301,2,J192&gt;300,48)</f>
        <v>48</v>
      </c>
      <c r="H192" s="231" t="s">
        <v>4262</v>
      </c>
      <c r="I192" s="281">
        <v>0</v>
      </c>
      <c r="J192" s="249">
        <v>800</v>
      </c>
      <c r="K192" s="231">
        <f t="shared" si="2"/>
        <v>20</v>
      </c>
      <c r="L192" s="231"/>
      <c r="M192" s="231" t="s">
        <v>16</v>
      </c>
      <c r="N192" s="231" t="s">
        <v>253</v>
      </c>
      <c r="O192" s="231">
        <v>2020</v>
      </c>
      <c r="P192" s="281"/>
      <c r="Q192" s="231"/>
      <c r="R192" s="231"/>
      <c r="S192" s="236" t="s">
        <v>453</v>
      </c>
      <c r="T192" s="236" t="s">
        <v>264</v>
      </c>
    </row>
    <row r="193" spans="1:20" ht="14">
      <c r="A193" s="231">
        <v>192</v>
      </c>
      <c r="B193" s="235" t="s">
        <v>52</v>
      </c>
      <c r="C193" s="231" t="s">
        <v>10</v>
      </c>
      <c r="D193" s="248" t="s">
        <v>884</v>
      </c>
      <c r="E193" s="239" t="s">
        <v>885</v>
      </c>
      <c r="F193" s="231" t="s">
        <v>878</v>
      </c>
      <c r="G193" s="231" cm="1">
        <f t="array" ref="G193">_xlfn.IFS(J193&lt;301,2,J193&gt;300,48)</f>
        <v>2</v>
      </c>
      <c r="H193" s="231" t="s">
        <v>3111</v>
      </c>
      <c r="I193" s="281">
        <v>0</v>
      </c>
      <c r="J193" s="249">
        <v>300</v>
      </c>
      <c r="K193" s="231">
        <f t="shared" si="2"/>
        <v>20</v>
      </c>
      <c r="L193" s="231"/>
      <c r="M193" s="231" t="s">
        <v>16</v>
      </c>
      <c r="N193" s="231" t="s">
        <v>253</v>
      </c>
      <c r="O193" s="231">
        <v>2020</v>
      </c>
      <c r="P193" s="281"/>
      <c r="Q193" s="231"/>
      <c r="R193" s="231"/>
      <c r="S193" s="236" t="s">
        <v>453</v>
      </c>
      <c r="T193" s="236" t="s">
        <v>264</v>
      </c>
    </row>
    <row r="194" spans="1:20" ht="14">
      <c r="A194" s="231">
        <v>193</v>
      </c>
      <c r="B194" s="235" t="s">
        <v>52</v>
      </c>
      <c r="C194" s="231" t="s">
        <v>10</v>
      </c>
      <c r="D194" s="250" t="s">
        <v>886</v>
      </c>
      <c r="E194" s="239" t="s">
        <v>887</v>
      </c>
      <c r="F194" s="231" t="s">
        <v>888</v>
      </c>
      <c r="G194" s="231" cm="1">
        <f t="array" ref="G194">_xlfn.IFS(J194&lt;301,2,J194&gt;300,48)</f>
        <v>48</v>
      </c>
      <c r="H194" s="231" t="s">
        <v>4542</v>
      </c>
      <c r="I194" s="281">
        <v>0</v>
      </c>
      <c r="J194" s="249">
        <v>4600</v>
      </c>
      <c r="K194" s="231">
        <f t="shared" ref="K194:K256" si="3">IF(M194="ONT",20,IF(M194="N/A","N/A",IF(M194="MIKROTIK",IF(J194&lt;3000,10,IF(3000&lt;J194&gt;10000,20,IF(10000&lt;J194&gt;20000,40,IF(20000&lt;J194&gt;40000,60,IF(J194&gt;40000,80,IF(J194&lt;300,3,)))))))))</f>
        <v>20</v>
      </c>
      <c r="L194" s="231"/>
      <c r="M194" s="299" t="s">
        <v>15</v>
      </c>
      <c r="N194" s="231" t="s">
        <v>253</v>
      </c>
      <c r="O194" s="231">
        <v>2020</v>
      </c>
      <c r="P194" s="281"/>
      <c r="Q194" s="231"/>
      <c r="R194" s="231"/>
      <c r="S194" s="236" t="s">
        <v>453</v>
      </c>
      <c r="T194" s="236" t="s">
        <v>264</v>
      </c>
    </row>
    <row r="195" spans="1:20" ht="14">
      <c r="A195" s="231">
        <v>194</v>
      </c>
      <c r="B195" s="235" t="s">
        <v>52</v>
      </c>
      <c r="C195" s="231" t="s">
        <v>10</v>
      </c>
      <c r="D195" s="250" t="s">
        <v>889</v>
      </c>
      <c r="E195" s="239" t="s">
        <v>890</v>
      </c>
      <c r="F195" s="231" t="s">
        <v>888</v>
      </c>
      <c r="G195" s="231" cm="1">
        <f t="array" ref="G195">_xlfn.IFS(J195&lt;301,2,J195&gt;300,48)</f>
        <v>48</v>
      </c>
      <c r="H195" s="231" t="s">
        <v>4542</v>
      </c>
      <c r="I195" s="281">
        <v>0</v>
      </c>
      <c r="J195" s="249">
        <v>5700</v>
      </c>
      <c r="K195" s="231">
        <f t="shared" si="3"/>
        <v>20</v>
      </c>
      <c r="L195" s="231"/>
      <c r="M195" s="231" t="s">
        <v>16</v>
      </c>
      <c r="N195" s="231" t="s">
        <v>253</v>
      </c>
      <c r="O195" s="231">
        <v>2020</v>
      </c>
      <c r="P195" s="281"/>
      <c r="Q195" s="231"/>
      <c r="R195" s="231"/>
      <c r="S195" s="236" t="s">
        <v>453</v>
      </c>
      <c r="T195" s="236" t="s">
        <v>264</v>
      </c>
    </row>
    <row r="196" spans="1:20" ht="14">
      <c r="A196" s="231">
        <v>195</v>
      </c>
      <c r="B196" s="235" t="s">
        <v>52</v>
      </c>
      <c r="C196" s="231" t="s">
        <v>10</v>
      </c>
      <c r="D196" s="250" t="s">
        <v>891</v>
      </c>
      <c r="E196" s="239" t="s">
        <v>892</v>
      </c>
      <c r="F196" s="231" t="s">
        <v>881</v>
      </c>
      <c r="G196" s="231" cm="1">
        <f t="array" ref="G196">_xlfn.IFS(J196&lt;301,2,J196&gt;300,48)</f>
        <v>48</v>
      </c>
      <c r="H196" s="231" t="s">
        <v>4562</v>
      </c>
      <c r="I196" s="281">
        <v>0</v>
      </c>
      <c r="J196" s="249">
        <v>3700</v>
      </c>
      <c r="K196" s="231">
        <f t="shared" si="3"/>
        <v>20</v>
      </c>
      <c r="L196" s="231"/>
      <c r="M196" s="231" t="s">
        <v>16</v>
      </c>
      <c r="N196" s="231" t="s">
        <v>253</v>
      </c>
      <c r="O196" s="231">
        <v>2020</v>
      </c>
      <c r="P196" s="281"/>
      <c r="Q196" s="231"/>
      <c r="R196" s="231"/>
      <c r="S196" s="236" t="s">
        <v>453</v>
      </c>
      <c r="T196" s="236" t="s">
        <v>264</v>
      </c>
    </row>
    <row r="197" spans="1:20" ht="14">
      <c r="A197" s="231">
        <v>196</v>
      </c>
      <c r="B197" s="235" t="s">
        <v>52</v>
      </c>
      <c r="C197" s="231" t="s">
        <v>10</v>
      </c>
      <c r="D197" s="250" t="s">
        <v>893</v>
      </c>
      <c r="E197" s="239" t="s">
        <v>894</v>
      </c>
      <c r="F197" s="231" t="s">
        <v>835</v>
      </c>
      <c r="G197" s="231" cm="1">
        <f t="array" ref="G197">_xlfn.IFS(J197&lt;301,2,J197&gt;300,48)</f>
        <v>48</v>
      </c>
      <c r="H197" s="231" t="s">
        <v>4543</v>
      </c>
      <c r="I197" s="281">
        <v>0</v>
      </c>
      <c r="J197" s="249">
        <v>2000</v>
      </c>
      <c r="K197" s="231">
        <f t="shared" si="3"/>
        <v>20</v>
      </c>
      <c r="L197" s="231"/>
      <c r="M197" s="231" t="s">
        <v>16</v>
      </c>
      <c r="N197" s="231" t="s">
        <v>253</v>
      </c>
      <c r="O197" s="231">
        <v>2020</v>
      </c>
      <c r="P197" s="281"/>
      <c r="Q197" s="231"/>
      <c r="R197" s="231"/>
      <c r="S197" s="236" t="s">
        <v>453</v>
      </c>
      <c r="T197" s="236" t="s">
        <v>264</v>
      </c>
    </row>
    <row r="198" spans="1:20" ht="14">
      <c r="A198" s="231">
        <v>197</v>
      </c>
      <c r="B198" s="235" t="s">
        <v>52</v>
      </c>
      <c r="C198" s="231" t="s">
        <v>10</v>
      </c>
      <c r="D198" s="250" t="s">
        <v>895</v>
      </c>
      <c r="E198" s="239" t="s">
        <v>896</v>
      </c>
      <c r="F198" s="231" t="s">
        <v>267</v>
      </c>
      <c r="G198" s="231" cm="1">
        <f t="array" ref="G198">_xlfn.IFS(J198&lt;301,2,J198&gt;300,48)</f>
        <v>48</v>
      </c>
      <c r="H198" s="231" t="s">
        <v>2765</v>
      </c>
      <c r="I198" s="281">
        <v>0</v>
      </c>
      <c r="J198" s="249">
        <v>750</v>
      </c>
      <c r="K198" s="231">
        <f t="shared" si="3"/>
        <v>20</v>
      </c>
      <c r="L198" s="231"/>
      <c r="M198" s="231" t="s">
        <v>16</v>
      </c>
      <c r="N198" s="231" t="s">
        <v>253</v>
      </c>
      <c r="O198" s="231">
        <v>2020</v>
      </c>
      <c r="P198" s="281"/>
      <c r="Q198" s="231"/>
      <c r="R198" s="231"/>
      <c r="S198" s="236" t="s">
        <v>453</v>
      </c>
      <c r="T198" s="236" t="s">
        <v>264</v>
      </c>
    </row>
    <row r="199" spans="1:20" ht="14">
      <c r="A199" s="231">
        <v>198</v>
      </c>
      <c r="B199" s="235" t="s">
        <v>52</v>
      </c>
      <c r="C199" s="231" t="s">
        <v>10</v>
      </c>
      <c r="D199" s="250" t="s">
        <v>897</v>
      </c>
      <c r="E199" s="239" t="s">
        <v>898</v>
      </c>
      <c r="F199" s="231" t="s">
        <v>835</v>
      </c>
      <c r="G199" s="231" cm="1">
        <f t="array" ref="G199">_xlfn.IFS(J199&lt;301,2,J199&gt;300,48)</f>
        <v>48</v>
      </c>
      <c r="H199" s="231" t="s">
        <v>4666</v>
      </c>
      <c r="I199" s="281">
        <v>0</v>
      </c>
      <c r="J199" s="249">
        <v>1100</v>
      </c>
      <c r="K199" s="231">
        <f t="shared" si="3"/>
        <v>10</v>
      </c>
      <c r="L199" s="231"/>
      <c r="M199" s="299" t="s">
        <v>15</v>
      </c>
      <c r="N199" s="231" t="s">
        <v>253</v>
      </c>
      <c r="O199" s="231">
        <v>2020</v>
      </c>
      <c r="P199" s="281"/>
      <c r="Q199" s="231"/>
      <c r="R199" s="231"/>
      <c r="S199" s="236" t="s">
        <v>453</v>
      </c>
      <c r="T199" s="236" t="s">
        <v>264</v>
      </c>
    </row>
    <row r="200" spans="1:20" ht="14">
      <c r="A200" s="231">
        <v>199</v>
      </c>
      <c r="B200" s="235" t="s">
        <v>52</v>
      </c>
      <c r="C200" s="231" t="s">
        <v>10</v>
      </c>
      <c r="D200" s="250" t="s">
        <v>899</v>
      </c>
      <c r="E200" s="239" t="s">
        <v>900</v>
      </c>
      <c r="F200" s="231" t="s">
        <v>835</v>
      </c>
      <c r="G200" s="231" cm="1">
        <f t="array" ref="G200">_xlfn.IFS(J200&lt;301,2,J200&gt;300,48)</f>
        <v>48</v>
      </c>
      <c r="H200" s="231" t="s">
        <v>4678</v>
      </c>
      <c r="I200" s="281">
        <v>0</v>
      </c>
      <c r="J200" s="249">
        <v>2500</v>
      </c>
      <c r="K200" s="231">
        <f t="shared" si="3"/>
        <v>10</v>
      </c>
      <c r="L200" s="231"/>
      <c r="M200" s="299" t="s">
        <v>15</v>
      </c>
      <c r="N200" s="231" t="s">
        <v>253</v>
      </c>
      <c r="O200" s="231">
        <v>2020</v>
      </c>
      <c r="P200" s="281"/>
      <c r="Q200" s="231"/>
      <c r="R200" s="231"/>
      <c r="S200" s="236" t="s">
        <v>453</v>
      </c>
      <c r="T200" s="236" t="s">
        <v>264</v>
      </c>
    </row>
    <row r="201" spans="1:20" ht="14">
      <c r="A201" s="231">
        <v>200</v>
      </c>
      <c r="B201" s="235" t="s">
        <v>52</v>
      </c>
      <c r="C201" s="231" t="s">
        <v>10</v>
      </c>
      <c r="D201" s="250" t="s">
        <v>901</v>
      </c>
      <c r="E201" s="239" t="s">
        <v>902</v>
      </c>
      <c r="F201" s="231" t="s">
        <v>835</v>
      </c>
      <c r="G201" s="231" cm="1">
        <f t="array" ref="G201">_xlfn.IFS(J201&lt;301,2,J201&gt;300,48)</f>
        <v>48</v>
      </c>
      <c r="H201" s="231" t="s">
        <v>1440</v>
      </c>
      <c r="I201" s="281">
        <v>0</v>
      </c>
      <c r="J201" s="249">
        <v>600</v>
      </c>
      <c r="K201" s="231">
        <f t="shared" si="3"/>
        <v>10</v>
      </c>
      <c r="L201" s="231"/>
      <c r="M201" s="299" t="s">
        <v>15</v>
      </c>
      <c r="N201" s="231" t="s">
        <v>253</v>
      </c>
      <c r="O201" s="231">
        <v>2020</v>
      </c>
      <c r="P201" s="281"/>
      <c r="Q201" s="231"/>
      <c r="R201" s="231"/>
      <c r="S201" s="236" t="s">
        <v>453</v>
      </c>
      <c r="T201" s="236" t="s">
        <v>264</v>
      </c>
    </row>
    <row r="202" spans="1:20" ht="14">
      <c r="A202" s="231">
        <v>201</v>
      </c>
      <c r="B202" s="235" t="s">
        <v>52</v>
      </c>
      <c r="C202" s="231" t="s">
        <v>10</v>
      </c>
      <c r="D202" s="250" t="s">
        <v>903</v>
      </c>
      <c r="E202" s="239" t="s">
        <v>904</v>
      </c>
      <c r="F202" s="231" t="s">
        <v>267</v>
      </c>
      <c r="G202" s="231" cm="1">
        <f t="array" ref="G202">_xlfn.IFS(J202&lt;301,2,J202&gt;300,48)</f>
        <v>48</v>
      </c>
      <c r="H202" s="231" t="s">
        <v>3542</v>
      </c>
      <c r="I202" s="281">
        <v>0</v>
      </c>
      <c r="J202" s="249">
        <v>600</v>
      </c>
      <c r="K202" s="231">
        <f t="shared" si="3"/>
        <v>20</v>
      </c>
      <c r="L202" s="231"/>
      <c r="M202" s="231" t="s">
        <v>16</v>
      </c>
      <c r="N202" s="231" t="s">
        <v>253</v>
      </c>
      <c r="O202" s="231">
        <v>2021</v>
      </c>
      <c r="P202" s="281"/>
      <c r="Q202" s="231"/>
      <c r="R202" s="231"/>
      <c r="S202" s="236" t="s">
        <v>453</v>
      </c>
      <c r="T202" s="236" t="s">
        <v>264</v>
      </c>
    </row>
    <row r="203" spans="1:20" ht="14">
      <c r="A203" s="231">
        <v>202</v>
      </c>
      <c r="B203" s="235" t="s">
        <v>52</v>
      </c>
      <c r="C203" s="231" t="s">
        <v>10</v>
      </c>
      <c r="D203" s="250" t="s">
        <v>905</v>
      </c>
      <c r="E203" s="239" t="s">
        <v>906</v>
      </c>
      <c r="F203" s="231" t="s">
        <v>861</v>
      </c>
      <c r="G203" s="231" cm="1">
        <f t="array" ref="G203">_xlfn.IFS(J203&lt;301,2,J203&gt;300,48)</f>
        <v>48</v>
      </c>
      <c r="H203" s="231" t="s">
        <v>3524</v>
      </c>
      <c r="I203" s="281">
        <v>0</v>
      </c>
      <c r="J203" s="249">
        <v>3000</v>
      </c>
      <c r="K203" s="231">
        <f t="shared" si="3"/>
        <v>20</v>
      </c>
      <c r="L203" s="231"/>
      <c r="M203" s="299" t="s">
        <v>15</v>
      </c>
      <c r="N203" s="231" t="s">
        <v>253</v>
      </c>
      <c r="O203" s="231">
        <v>2021</v>
      </c>
      <c r="P203" s="281"/>
      <c r="Q203" s="231"/>
      <c r="R203" s="231"/>
      <c r="S203" s="236" t="s">
        <v>453</v>
      </c>
      <c r="T203" s="236" t="s">
        <v>264</v>
      </c>
    </row>
    <row r="204" spans="1:20" ht="14">
      <c r="A204" s="231">
        <v>203</v>
      </c>
      <c r="B204" s="235" t="s">
        <v>52</v>
      </c>
      <c r="C204" s="231" t="s">
        <v>10</v>
      </c>
      <c r="D204" s="250" t="s">
        <v>907</v>
      </c>
      <c r="E204" s="239" t="s">
        <v>908</v>
      </c>
      <c r="F204" s="231" t="s">
        <v>861</v>
      </c>
      <c r="G204" s="231" cm="1">
        <f t="array" ref="G204">_xlfn.IFS(J204&lt;301,2,J204&gt;300,48)</f>
        <v>48</v>
      </c>
      <c r="H204" s="231" t="s">
        <v>3524</v>
      </c>
      <c r="I204" s="281">
        <v>0</v>
      </c>
      <c r="J204" s="249">
        <v>3100</v>
      </c>
      <c r="K204" s="231">
        <f t="shared" si="3"/>
        <v>20</v>
      </c>
      <c r="L204" s="231"/>
      <c r="M204" s="299" t="s">
        <v>15</v>
      </c>
      <c r="N204" s="231" t="s">
        <v>253</v>
      </c>
      <c r="O204" s="231">
        <v>2021</v>
      </c>
      <c r="P204" s="281"/>
      <c r="Q204" s="231"/>
      <c r="R204" s="231"/>
      <c r="S204" s="236" t="s">
        <v>453</v>
      </c>
      <c r="T204" s="236" t="s">
        <v>264</v>
      </c>
    </row>
    <row r="205" spans="1:20" ht="14">
      <c r="A205" s="231">
        <v>204</v>
      </c>
      <c r="B205" s="235" t="s">
        <v>52</v>
      </c>
      <c r="C205" s="231" t="s">
        <v>10</v>
      </c>
      <c r="D205" s="250" t="s">
        <v>909</v>
      </c>
      <c r="E205" s="239" t="s">
        <v>910</v>
      </c>
      <c r="F205" s="231" t="s">
        <v>861</v>
      </c>
      <c r="G205" s="231" cm="1">
        <f t="array" ref="G205">_xlfn.IFS(J205&lt;301,2,J205&gt;300,48)</f>
        <v>48</v>
      </c>
      <c r="H205" s="231" t="s">
        <v>3524</v>
      </c>
      <c r="I205" s="281">
        <v>0</v>
      </c>
      <c r="J205" s="249">
        <v>4500</v>
      </c>
      <c r="K205" s="231">
        <f t="shared" si="3"/>
        <v>20</v>
      </c>
      <c r="L205" s="231"/>
      <c r="M205" s="299" t="s">
        <v>15</v>
      </c>
      <c r="N205" s="231" t="s">
        <v>253</v>
      </c>
      <c r="O205" s="231">
        <v>2021</v>
      </c>
      <c r="P205" s="281"/>
      <c r="Q205" s="231"/>
      <c r="R205" s="231"/>
      <c r="S205" s="236" t="s">
        <v>453</v>
      </c>
      <c r="T205" s="236" t="s">
        <v>264</v>
      </c>
    </row>
    <row r="206" spans="1:20" ht="14">
      <c r="A206" s="231">
        <v>205</v>
      </c>
      <c r="B206" s="235" t="s">
        <v>52</v>
      </c>
      <c r="C206" s="231" t="s">
        <v>10</v>
      </c>
      <c r="D206" s="250" t="s">
        <v>911</v>
      </c>
      <c r="E206" s="239" t="s">
        <v>912</v>
      </c>
      <c r="F206" s="231" t="s">
        <v>864</v>
      </c>
      <c r="G206" s="231" cm="1">
        <f t="array" ref="G206">_xlfn.IFS(J206&lt;301,2,J206&gt;300,48)</f>
        <v>48</v>
      </c>
      <c r="H206" s="231" t="s">
        <v>4588</v>
      </c>
      <c r="I206" s="281">
        <v>0</v>
      </c>
      <c r="J206" s="249">
        <v>4800</v>
      </c>
      <c r="K206" s="231">
        <f t="shared" si="3"/>
        <v>20</v>
      </c>
      <c r="L206" s="231"/>
      <c r="M206" s="299" t="s">
        <v>15</v>
      </c>
      <c r="N206" s="231" t="s">
        <v>253</v>
      </c>
      <c r="O206" s="231">
        <v>2021</v>
      </c>
      <c r="P206" s="281"/>
      <c r="Q206" s="231"/>
      <c r="R206" s="231"/>
      <c r="S206" s="236" t="s">
        <v>453</v>
      </c>
      <c r="T206" s="236" t="s">
        <v>264</v>
      </c>
    </row>
    <row r="207" spans="1:20" ht="14">
      <c r="A207" s="231">
        <v>206</v>
      </c>
      <c r="B207" s="235" t="s">
        <v>52</v>
      </c>
      <c r="C207" s="231" t="s">
        <v>10</v>
      </c>
      <c r="D207" s="250" t="s">
        <v>913</v>
      </c>
      <c r="E207" s="239" t="s">
        <v>914</v>
      </c>
      <c r="F207" s="231" t="s">
        <v>864</v>
      </c>
      <c r="G207" s="231" cm="1">
        <f t="array" ref="G207">_xlfn.IFS(J207&lt;301,2,J207&gt;300,48)</f>
        <v>48</v>
      </c>
      <c r="H207" s="231" t="s">
        <v>4588</v>
      </c>
      <c r="I207" s="281">
        <v>0</v>
      </c>
      <c r="J207" s="249">
        <v>700</v>
      </c>
      <c r="K207" s="231">
        <f t="shared" si="3"/>
        <v>10</v>
      </c>
      <c r="L207" s="231"/>
      <c r="M207" s="299" t="s">
        <v>15</v>
      </c>
      <c r="N207" s="231" t="s">
        <v>253</v>
      </c>
      <c r="O207" s="231">
        <v>2021</v>
      </c>
      <c r="P207" s="281"/>
      <c r="Q207" s="231"/>
      <c r="R207" s="231"/>
      <c r="S207" s="236" t="s">
        <v>453</v>
      </c>
      <c r="T207" s="236" t="s">
        <v>264</v>
      </c>
    </row>
    <row r="208" spans="1:20" ht="14">
      <c r="A208" s="231">
        <v>207</v>
      </c>
      <c r="B208" s="235" t="s">
        <v>52</v>
      </c>
      <c r="C208" s="231" t="s">
        <v>10</v>
      </c>
      <c r="D208" s="250" t="s">
        <v>915</v>
      </c>
      <c r="E208" s="239" t="s">
        <v>916</v>
      </c>
      <c r="F208" s="231" t="s">
        <v>888</v>
      </c>
      <c r="G208" s="231" cm="1">
        <f t="array" ref="G208">_xlfn.IFS(J208&lt;301,2,J208&gt;300,48)</f>
        <v>48</v>
      </c>
      <c r="H208" s="231" t="s">
        <v>2773</v>
      </c>
      <c r="I208" s="281">
        <v>0</v>
      </c>
      <c r="J208" s="249">
        <v>1500</v>
      </c>
      <c r="K208" s="231">
        <f t="shared" si="3"/>
        <v>10</v>
      </c>
      <c r="L208" s="231"/>
      <c r="M208" s="299" t="s">
        <v>15</v>
      </c>
      <c r="N208" s="231" t="s">
        <v>253</v>
      </c>
      <c r="O208" s="231">
        <v>2020</v>
      </c>
      <c r="P208" s="281"/>
      <c r="Q208" s="231"/>
      <c r="R208" s="231"/>
      <c r="S208" s="236" t="s">
        <v>453</v>
      </c>
      <c r="T208" s="236" t="s">
        <v>264</v>
      </c>
    </row>
    <row r="209" spans="1:20" ht="14">
      <c r="A209" s="231">
        <v>208</v>
      </c>
      <c r="B209" s="235" t="s">
        <v>52</v>
      </c>
      <c r="C209" s="231" t="s">
        <v>10</v>
      </c>
      <c r="D209" s="250" t="s">
        <v>917</v>
      </c>
      <c r="E209" s="239" t="s">
        <v>918</v>
      </c>
      <c r="F209" s="231" t="s">
        <v>888</v>
      </c>
      <c r="G209" s="231" cm="1">
        <f t="array" ref="G209">_xlfn.IFS(J209&lt;301,2,J209&gt;300,48)</f>
        <v>48</v>
      </c>
      <c r="H209" s="231" t="s">
        <v>2773</v>
      </c>
      <c r="I209" s="281">
        <v>0</v>
      </c>
      <c r="J209" s="249">
        <v>3100</v>
      </c>
      <c r="K209" s="231">
        <f t="shared" si="3"/>
        <v>20</v>
      </c>
      <c r="L209" s="231"/>
      <c r="M209" s="299" t="s">
        <v>15</v>
      </c>
      <c r="N209" s="231" t="s">
        <v>253</v>
      </c>
      <c r="O209" s="231">
        <v>2020</v>
      </c>
      <c r="P209" s="281"/>
      <c r="Q209" s="231"/>
      <c r="R209" s="231"/>
      <c r="S209" s="236" t="s">
        <v>453</v>
      </c>
      <c r="T209" s="236" t="s">
        <v>264</v>
      </c>
    </row>
    <row r="210" spans="1:20" ht="14">
      <c r="A210" s="231">
        <v>209</v>
      </c>
      <c r="B210" s="235" t="s">
        <v>52</v>
      </c>
      <c r="C210" s="231" t="s">
        <v>10</v>
      </c>
      <c r="D210" s="250" t="s">
        <v>919</v>
      </c>
      <c r="E210" s="239" t="s">
        <v>920</v>
      </c>
      <c r="F210" s="231" t="s">
        <v>888</v>
      </c>
      <c r="G210" s="231" cm="1">
        <f t="array" ref="G210">_xlfn.IFS(J210&lt;301,2,J210&gt;300,48)</f>
        <v>48</v>
      </c>
      <c r="H210" s="231" t="s">
        <v>2773</v>
      </c>
      <c r="I210" s="281">
        <v>0</v>
      </c>
      <c r="J210" s="249">
        <v>1150</v>
      </c>
      <c r="K210" s="231">
        <f t="shared" si="3"/>
        <v>10</v>
      </c>
      <c r="L210" s="231"/>
      <c r="M210" s="299" t="s">
        <v>15</v>
      </c>
      <c r="N210" s="231" t="s">
        <v>253</v>
      </c>
      <c r="O210" s="231">
        <v>2020</v>
      </c>
      <c r="P210" s="281"/>
      <c r="Q210" s="231"/>
      <c r="R210" s="231"/>
      <c r="S210" s="236" t="s">
        <v>453</v>
      </c>
      <c r="T210" s="236" t="s">
        <v>264</v>
      </c>
    </row>
    <row r="211" spans="1:20" ht="14">
      <c r="A211" s="231">
        <v>210</v>
      </c>
      <c r="B211" s="235" t="s">
        <v>52</v>
      </c>
      <c r="C211" s="231" t="s">
        <v>10</v>
      </c>
      <c r="D211" s="250" t="s">
        <v>921</v>
      </c>
      <c r="E211" s="239" t="s">
        <v>922</v>
      </c>
      <c r="F211" s="231" t="s">
        <v>888</v>
      </c>
      <c r="G211" s="231" cm="1">
        <f t="array" ref="G211">_xlfn.IFS(J211&lt;301,2,J211&gt;300,48)</f>
        <v>48</v>
      </c>
      <c r="H211" s="231" t="s">
        <v>2773</v>
      </c>
      <c r="I211" s="281">
        <v>0</v>
      </c>
      <c r="J211" s="249">
        <v>500</v>
      </c>
      <c r="K211" s="231">
        <f t="shared" si="3"/>
        <v>20</v>
      </c>
      <c r="L211" s="231"/>
      <c r="M211" s="231" t="s">
        <v>16</v>
      </c>
      <c r="N211" s="231" t="s">
        <v>253</v>
      </c>
      <c r="O211" s="231">
        <v>2021</v>
      </c>
      <c r="P211" s="281"/>
      <c r="Q211" s="231"/>
      <c r="R211" s="231"/>
      <c r="S211" s="236" t="s">
        <v>453</v>
      </c>
      <c r="T211" s="236" t="s">
        <v>264</v>
      </c>
    </row>
    <row r="212" spans="1:20" ht="14">
      <c r="A212" s="231">
        <v>211</v>
      </c>
      <c r="B212" s="235" t="s">
        <v>52</v>
      </c>
      <c r="C212" s="231" t="s">
        <v>10</v>
      </c>
      <c r="D212" s="250" t="s">
        <v>923</v>
      </c>
      <c r="E212" s="239" t="s">
        <v>924</v>
      </c>
      <c r="F212" s="239" t="s">
        <v>888</v>
      </c>
      <c r="G212" s="231" cm="1">
        <f t="array" ref="G212">_xlfn.IFS(J212&lt;301,2,J212&gt;300,48)</f>
        <v>48</v>
      </c>
      <c r="H212" s="231" t="s">
        <v>2773</v>
      </c>
      <c r="I212" s="281">
        <v>0</v>
      </c>
      <c r="J212" s="249">
        <v>750</v>
      </c>
      <c r="K212" s="231">
        <f t="shared" si="3"/>
        <v>20</v>
      </c>
      <c r="L212" s="231"/>
      <c r="M212" s="231" t="s">
        <v>16</v>
      </c>
      <c r="N212" s="231" t="s">
        <v>253</v>
      </c>
      <c r="O212" s="231">
        <v>2020</v>
      </c>
      <c r="P212" s="281"/>
      <c r="Q212" s="231"/>
      <c r="R212" s="231"/>
      <c r="S212" s="236" t="s">
        <v>453</v>
      </c>
      <c r="T212" s="236" t="s">
        <v>264</v>
      </c>
    </row>
    <row r="213" spans="1:20" ht="14">
      <c r="A213" s="231">
        <v>212</v>
      </c>
      <c r="B213" s="235" t="s">
        <v>52</v>
      </c>
      <c r="C213" s="231" t="s">
        <v>10</v>
      </c>
      <c r="D213" s="250" t="s">
        <v>925</v>
      </c>
      <c r="E213" s="239" t="s">
        <v>926</v>
      </c>
      <c r="F213" s="231" t="s">
        <v>888</v>
      </c>
      <c r="G213" s="231" cm="1">
        <f t="array" ref="G213">_xlfn.IFS(J213&lt;301,2,J213&gt;300,48)</f>
        <v>48</v>
      </c>
      <c r="H213" s="231" t="s">
        <v>2773</v>
      </c>
      <c r="I213" s="281">
        <v>0</v>
      </c>
      <c r="J213" s="249">
        <v>2500</v>
      </c>
      <c r="K213" s="231">
        <f t="shared" si="3"/>
        <v>20</v>
      </c>
      <c r="L213" s="231"/>
      <c r="M213" s="231" t="s">
        <v>16</v>
      </c>
      <c r="N213" s="231" t="s">
        <v>253</v>
      </c>
      <c r="O213" s="231">
        <v>2020</v>
      </c>
      <c r="P213" s="281"/>
      <c r="Q213" s="231"/>
      <c r="R213" s="231"/>
      <c r="S213" s="236" t="s">
        <v>453</v>
      </c>
      <c r="T213" s="236" t="s">
        <v>264</v>
      </c>
    </row>
    <row r="214" spans="1:20" ht="14">
      <c r="A214" s="231">
        <v>213</v>
      </c>
      <c r="B214" s="235" t="s">
        <v>52</v>
      </c>
      <c r="C214" s="231" t="s">
        <v>10</v>
      </c>
      <c r="D214" s="250" t="s">
        <v>927</v>
      </c>
      <c r="E214" s="239" t="s">
        <v>928</v>
      </c>
      <c r="F214" s="231" t="s">
        <v>888</v>
      </c>
      <c r="G214" s="231" cm="1">
        <f t="array" ref="G214">_xlfn.IFS(J214&lt;301,2,J214&gt;300,48)</f>
        <v>48</v>
      </c>
      <c r="H214" s="231" t="s">
        <v>2773</v>
      </c>
      <c r="I214" s="281">
        <v>0</v>
      </c>
      <c r="J214" s="249">
        <v>1600</v>
      </c>
      <c r="K214" s="231">
        <f t="shared" si="3"/>
        <v>20</v>
      </c>
      <c r="L214" s="231"/>
      <c r="M214" s="231" t="s">
        <v>16</v>
      </c>
      <c r="N214" s="231" t="s">
        <v>253</v>
      </c>
      <c r="O214" s="231">
        <v>2020</v>
      </c>
      <c r="P214" s="281"/>
      <c r="Q214" s="231"/>
      <c r="R214" s="231"/>
      <c r="S214" s="236" t="s">
        <v>453</v>
      </c>
      <c r="T214" s="236" t="s">
        <v>264</v>
      </c>
    </row>
    <row r="215" spans="1:20" ht="14">
      <c r="A215" s="231">
        <v>214</v>
      </c>
      <c r="B215" s="235" t="s">
        <v>52</v>
      </c>
      <c r="C215" s="231" t="s">
        <v>10</v>
      </c>
      <c r="D215" s="250" t="s">
        <v>929</v>
      </c>
      <c r="E215" s="239" t="s">
        <v>930</v>
      </c>
      <c r="F215" s="231" t="s">
        <v>888</v>
      </c>
      <c r="G215" s="231" cm="1">
        <f t="array" ref="G215">_xlfn.IFS(J215&lt;301,2,J215&gt;300,48)</f>
        <v>48</v>
      </c>
      <c r="H215" s="231" t="s">
        <v>2773</v>
      </c>
      <c r="I215" s="281">
        <v>0</v>
      </c>
      <c r="J215" s="249">
        <v>2200</v>
      </c>
      <c r="K215" s="231">
        <f t="shared" si="3"/>
        <v>20</v>
      </c>
      <c r="L215" s="231"/>
      <c r="M215" s="231" t="s">
        <v>16</v>
      </c>
      <c r="N215" s="231" t="s">
        <v>253</v>
      </c>
      <c r="O215" s="231">
        <v>2020</v>
      </c>
      <c r="P215" s="281"/>
      <c r="Q215" s="231"/>
      <c r="R215" s="231"/>
      <c r="S215" s="236" t="s">
        <v>453</v>
      </c>
      <c r="T215" s="236" t="s">
        <v>264</v>
      </c>
    </row>
    <row r="216" spans="1:20" ht="14">
      <c r="A216" s="231">
        <v>215</v>
      </c>
      <c r="B216" s="235" t="s">
        <v>52</v>
      </c>
      <c r="C216" s="231" t="s">
        <v>10</v>
      </c>
      <c r="D216" s="250" t="s">
        <v>931</v>
      </c>
      <c r="E216" s="239" t="s">
        <v>932</v>
      </c>
      <c r="F216" s="231" t="s">
        <v>854</v>
      </c>
      <c r="G216" s="231" cm="1">
        <f t="array" ref="G216">_xlfn.IFS(J216&lt;301,2,J216&gt;300,48)</f>
        <v>48</v>
      </c>
      <c r="H216" s="231" t="s">
        <v>2783</v>
      </c>
      <c r="I216" s="281">
        <v>0</v>
      </c>
      <c r="J216" s="249">
        <v>400</v>
      </c>
      <c r="K216" s="231">
        <f t="shared" si="3"/>
        <v>20</v>
      </c>
      <c r="L216" s="231"/>
      <c r="M216" s="231" t="s">
        <v>16</v>
      </c>
      <c r="N216" s="231" t="s">
        <v>253</v>
      </c>
      <c r="O216" s="231">
        <v>2021</v>
      </c>
      <c r="P216" s="281"/>
      <c r="Q216" s="231"/>
      <c r="R216" s="231"/>
      <c r="S216" s="236" t="s">
        <v>453</v>
      </c>
      <c r="T216" s="236" t="s">
        <v>264</v>
      </c>
    </row>
    <row r="217" spans="1:20" ht="14">
      <c r="A217" s="231">
        <v>216</v>
      </c>
      <c r="B217" s="235" t="s">
        <v>52</v>
      </c>
      <c r="C217" s="231" t="s">
        <v>10</v>
      </c>
      <c r="D217" s="250" t="s">
        <v>933</v>
      </c>
      <c r="E217" s="239" t="s">
        <v>934</v>
      </c>
      <c r="F217" s="231" t="s">
        <v>881</v>
      </c>
      <c r="G217" s="231" cm="1">
        <f t="array" ref="G217">_xlfn.IFS(J217&lt;301,2,J217&gt;300,48)</f>
        <v>48</v>
      </c>
      <c r="H217" s="231" t="s">
        <v>2763</v>
      </c>
      <c r="I217" s="281">
        <v>0</v>
      </c>
      <c r="J217" s="249">
        <v>800</v>
      </c>
      <c r="K217" s="231">
        <f t="shared" si="3"/>
        <v>20</v>
      </c>
      <c r="L217" s="231"/>
      <c r="M217" s="231" t="s">
        <v>16</v>
      </c>
      <c r="N217" s="231" t="s">
        <v>253</v>
      </c>
      <c r="O217" s="231">
        <v>2021</v>
      </c>
      <c r="P217" s="281"/>
      <c r="Q217" s="231"/>
      <c r="R217" s="231"/>
      <c r="S217" s="236" t="s">
        <v>453</v>
      </c>
      <c r="T217" s="236" t="s">
        <v>264</v>
      </c>
    </row>
    <row r="218" spans="1:20" ht="14">
      <c r="A218" s="231">
        <v>217</v>
      </c>
      <c r="B218" s="235" t="s">
        <v>52</v>
      </c>
      <c r="C218" s="231" t="s">
        <v>10</v>
      </c>
      <c r="D218" s="250" t="s">
        <v>935</v>
      </c>
      <c r="E218" s="239" t="s">
        <v>936</v>
      </c>
      <c r="F218" s="231" t="s">
        <v>878</v>
      </c>
      <c r="G218" s="231" cm="1">
        <f t="array" ref="G218">_xlfn.IFS(J218&lt;301,2,J218&gt;300,48)</f>
        <v>2</v>
      </c>
      <c r="H218" s="231" t="s">
        <v>4271</v>
      </c>
      <c r="I218" s="281">
        <v>0</v>
      </c>
      <c r="J218" s="249">
        <v>300</v>
      </c>
      <c r="K218" s="231">
        <f t="shared" si="3"/>
        <v>20</v>
      </c>
      <c r="L218" s="231"/>
      <c r="M218" s="231" t="s">
        <v>16</v>
      </c>
      <c r="N218" s="231" t="s">
        <v>253</v>
      </c>
      <c r="O218" s="231">
        <v>2021</v>
      </c>
      <c r="P218" s="281"/>
      <c r="Q218" s="231"/>
      <c r="R218" s="231"/>
      <c r="S218" s="236" t="s">
        <v>453</v>
      </c>
      <c r="T218" s="236" t="s">
        <v>264</v>
      </c>
    </row>
    <row r="219" spans="1:20" ht="14">
      <c r="A219" s="231">
        <v>218</v>
      </c>
      <c r="B219" s="235" t="s">
        <v>52</v>
      </c>
      <c r="C219" s="231" t="s">
        <v>10</v>
      </c>
      <c r="D219" s="250" t="s">
        <v>937</v>
      </c>
      <c r="E219" s="239" t="s">
        <v>938</v>
      </c>
      <c r="F219" s="231" t="s">
        <v>878</v>
      </c>
      <c r="G219" s="231" cm="1">
        <f t="array" ref="G219">_xlfn.IFS(J219&lt;301,2,J219&gt;300,48)</f>
        <v>48</v>
      </c>
      <c r="H219" s="231" t="s">
        <v>2773</v>
      </c>
      <c r="I219" s="281">
        <v>0</v>
      </c>
      <c r="J219" s="249">
        <v>800</v>
      </c>
      <c r="K219" s="231">
        <f t="shared" si="3"/>
        <v>10</v>
      </c>
      <c r="L219" s="231"/>
      <c r="M219" s="299" t="s">
        <v>15</v>
      </c>
      <c r="N219" s="231" t="s">
        <v>253</v>
      </c>
      <c r="O219" s="231">
        <v>2020</v>
      </c>
      <c r="P219" s="281"/>
      <c r="Q219" s="231"/>
      <c r="R219" s="231"/>
      <c r="S219" s="236" t="s">
        <v>453</v>
      </c>
      <c r="T219" s="236" t="s">
        <v>264</v>
      </c>
    </row>
    <row r="220" spans="1:20" ht="14">
      <c r="A220" s="231">
        <v>219</v>
      </c>
      <c r="B220" s="235" t="s">
        <v>52</v>
      </c>
      <c r="C220" s="231" t="s">
        <v>10</v>
      </c>
      <c r="D220" s="250" t="s">
        <v>939</v>
      </c>
      <c r="E220" s="239" t="s">
        <v>940</v>
      </c>
      <c r="F220" s="231" t="s">
        <v>267</v>
      </c>
      <c r="G220" s="231" cm="1">
        <f t="array" ref="G220">_xlfn.IFS(J220&lt;301,2,J220&gt;300,48)</f>
        <v>48</v>
      </c>
      <c r="H220" s="231" t="s">
        <v>2773</v>
      </c>
      <c r="I220" s="281">
        <v>0</v>
      </c>
      <c r="J220" s="249">
        <v>650</v>
      </c>
      <c r="K220" s="231">
        <f t="shared" si="3"/>
        <v>20</v>
      </c>
      <c r="L220" s="231"/>
      <c r="M220" s="231" t="s">
        <v>16</v>
      </c>
      <c r="N220" s="231" t="s">
        <v>253</v>
      </c>
      <c r="O220" s="231">
        <v>2021</v>
      </c>
      <c r="P220" s="281"/>
      <c r="Q220" s="231"/>
      <c r="R220" s="231"/>
      <c r="S220" s="236" t="s">
        <v>453</v>
      </c>
      <c r="T220" s="236" t="s">
        <v>264</v>
      </c>
    </row>
    <row r="221" spans="1:20" ht="14">
      <c r="A221" s="231">
        <v>220</v>
      </c>
      <c r="B221" s="235" t="s">
        <v>52</v>
      </c>
      <c r="C221" s="231" t="s">
        <v>10</v>
      </c>
      <c r="D221" s="250" t="s">
        <v>941</v>
      </c>
      <c r="E221" s="239" t="s">
        <v>942</v>
      </c>
      <c r="F221" s="231" t="s">
        <v>763</v>
      </c>
      <c r="G221" s="231" cm="1">
        <f t="array" ref="G221">_xlfn.IFS(J221&lt;301,2,J221&gt;300,48)</f>
        <v>48</v>
      </c>
      <c r="H221" s="231" t="s">
        <v>2767</v>
      </c>
      <c r="I221" s="281">
        <v>0</v>
      </c>
      <c r="J221" s="249">
        <v>3000</v>
      </c>
      <c r="K221" s="231">
        <f t="shared" si="3"/>
        <v>20</v>
      </c>
      <c r="L221" s="231"/>
      <c r="M221" s="299" t="s">
        <v>15</v>
      </c>
      <c r="N221" s="231" t="s">
        <v>253</v>
      </c>
      <c r="O221" s="231">
        <v>2021</v>
      </c>
      <c r="P221" s="281"/>
      <c r="Q221" s="231"/>
      <c r="R221" s="231"/>
      <c r="S221" s="236" t="s">
        <v>453</v>
      </c>
      <c r="T221" s="236" t="s">
        <v>264</v>
      </c>
    </row>
    <row r="222" spans="1:20" ht="14">
      <c r="A222" s="231">
        <v>221</v>
      </c>
      <c r="B222" s="235" t="s">
        <v>52</v>
      </c>
      <c r="C222" s="231" t="s">
        <v>10</v>
      </c>
      <c r="D222" s="250" t="s">
        <v>943</v>
      </c>
      <c r="E222" s="239" t="s">
        <v>944</v>
      </c>
      <c r="F222" s="231" t="s">
        <v>763</v>
      </c>
      <c r="G222" s="231" cm="1">
        <f t="array" ref="G222">_xlfn.IFS(J222&lt;301,2,J222&gt;300,48)</f>
        <v>48</v>
      </c>
      <c r="H222" s="231" t="s">
        <v>2767</v>
      </c>
      <c r="I222" s="281">
        <v>0</v>
      </c>
      <c r="J222" s="249">
        <v>350</v>
      </c>
      <c r="K222" s="231">
        <f t="shared" si="3"/>
        <v>10</v>
      </c>
      <c r="L222" s="231"/>
      <c r="M222" s="299" t="s">
        <v>15</v>
      </c>
      <c r="N222" s="231" t="s">
        <v>253</v>
      </c>
      <c r="O222" s="231">
        <v>2021</v>
      </c>
      <c r="P222" s="281"/>
      <c r="Q222" s="231"/>
      <c r="R222" s="231"/>
      <c r="S222" s="236" t="s">
        <v>453</v>
      </c>
      <c r="T222" s="236" t="s">
        <v>264</v>
      </c>
    </row>
    <row r="223" spans="1:20" ht="14">
      <c r="A223" s="231">
        <v>222</v>
      </c>
      <c r="B223" s="235" t="s">
        <v>52</v>
      </c>
      <c r="C223" s="231" t="s">
        <v>10</v>
      </c>
      <c r="D223" s="250" t="s">
        <v>945</v>
      </c>
      <c r="E223" s="239" t="s">
        <v>946</v>
      </c>
      <c r="F223" s="231" t="s">
        <v>763</v>
      </c>
      <c r="G223" s="231" cm="1">
        <f t="array" ref="G223">_xlfn.IFS(J223&lt;301,2,J223&gt;300,48)</f>
        <v>48</v>
      </c>
      <c r="H223" s="231" t="s">
        <v>2767</v>
      </c>
      <c r="I223" s="281">
        <v>0</v>
      </c>
      <c r="J223" s="249">
        <v>2500</v>
      </c>
      <c r="K223" s="231">
        <f t="shared" si="3"/>
        <v>10</v>
      </c>
      <c r="L223" s="231"/>
      <c r="M223" s="299" t="s">
        <v>15</v>
      </c>
      <c r="N223" s="231" t="s">
        <v>253</v>
      </c>
      <c r="O223" s="231">
        <v>2021</v>
      </c>
      <c r="P223" s="281"/>
      <c r="Q223" s="231"/>
      <c r="R223" s="231"/>
      <c r="S223" s="236" t="s">
        <v>453</v>
      </c>
      <c r="T223" s="236" t="s">
        <v>264</v>
      </c>
    </row>
    <row r="224" spans="1:20" ht="14">
      <c r="A224" s="231">
        <v>223</v>
      </c>
      <c r="B224" s="235" t="s">
        <v>52</v>
      </c>
      <c r="C224" s="231" t="s">
        <v>10</v>
      </c>
      <c r="D224" s="250" t="s">
        <v>947</v>
      </c>
      <c r="E224" s="239" t="s">
        <v>948</v>
      </c>
      <c r="F224" s="231" t="s">
        <v>873</v>
      </c>
      <c r="G224" s="231" cm="1">
        <f t="array" ref="G224">_xlfn.IFS(J224&lt;301,2,J224&gt;300,48)</f>
        <v>48</v>
      </c>
      <c r="H224" s="231" t="s">
        <v>2767</v>
      </c>
      <c r="I224" s="281">
        <v>0</v>
      </c>
      <c r="J224" s="249">
        <v>1500</v>
      </c>
      <c r="K224" s="231">
        <f t="shared" si="3"/>
        <v>10</v>
      </c>
      <c r="L224" s="231"/>
      <c r="M224" s="299" t="s">
        <v>15</v>
      </c>
      <c r="N224" s="231" t="s">
        <v>253</v>
      </c>
      <c r="O224" s="231">
        <v>2021</v>
      </c>
      <c r="P224" s="281"/>
      <c r="Q224" s="231"/>
      <c r="R224" s="231"/>
      <c r="S224" s="236" t="s">
        <v>453</v>
      </c>
      <c r="T224" s="236" t="s">
        <v>264</v>
      </c>
    </row>
    <row r="225" spans="1:20" ht="14">
      <c r="A225" s="231">
        <v>224</v>
      </c>
      <c r="B225" s="235" t="s">
        <v>52</v>
      </c>
      <c r="C225" s="231" t="s">
        <v>10</v>
      </c>
      <c r="D225" s="250" t="s">
        <v>949</v>
      </c>
      <c r="E225" s="239" t="s">
        <v>950</v>
      </c>
      <c r="F225" s="231" t="s">
        <v>873</v>
      </c>
      <c r="G225" s="231" cm="1">
        <f t="array" ref="G225">_xlfn.IFS(J225&lt;301,2,J225&gt;300,48)</f>
        <v>48</v>
      </c>
      <c r="H225" s="231" t="s">
        <v>2767</v>
      </c>
      <c r="I225" s="281">
        <v>0</v>
      </c>
      <c r="J225" s="249">
        <v>450</v>
      </c>
      <c r="K225" s="231">
        <f t="shared" si="3"/>
        <v>20</v>
      </c>
      <c r="L225" s="231"/>
      <c r="M225" s="231" t="s">
        <v>16</v>
      </c>
      <c r="N225" s="231" t="s">
        <v>253</v>
      </c>
      <c r="O225" s="231">
        <v>2021</v>
      </c>
      <c r="P225" s="281"/>
      <c r="Q225" s="231"/>
      <c r="R225" s="231"/>
      <c r="S225" s="236" t="s">
        <v>453</v>
      </c>
      <c r="T225" s="236" t="s">
        <v>264</v>
      </c>
    </row>
    <row r="226" spans="1:20" ht="14">
      <c r="A226" s="231">
        <v>225</v>
      </c>
      <c r="B226" s="235" t="s">
        <v>52</v>
      </c>
      <c r="C226" s="231" t="s">
        <v>10</v>
      </c>
      <c r="D226" s="250" t="s">
        <v>951</v>
      </c>
      <c r="E226" s="239" t="s">
        <v>952</v>
      </c>
      <c r="F226" s="231" t="s">
        <v>267</v>
      </c>
      <c r="G226" s="231" cm="1">
        <f t="array" ref="G226">_xlfn.IFS(J226&lt;301,2,J226&gt;300,48)</f>
        <v>48</v>
      </c>
      <c r="H226" s="231" t="s">
        <v>3111</v>
      </c>
      <c r="I226" s="281">
        <v>0</v>
      </c>
      <c r="J226" s="249">
        <v>1000</v>
      </c>
      <c r="K226" s="231">
        <f t="shared" si="3"/>
        <v>20</v>
      </c>
      <c r="L226" s="231"/>
      <c r="M226" s="231" t="s">
        <v>16</v>
      </c>
      <c r="N226" s="231" t="s">
        <v>253</v>
      </c>
      <c r="O226" s="231">
        <v>2021</v>
      </c>
      <c r="P226" s="281"/>
      <c r="Q226" s="231"/>
      <c r="R226" s="231"/>
      <c r="S226" s="236" t="s">
        <v>453</v>
      </c>
      <c r="T226" s="236" t="s">
        <v>264</v>
      </c>
    </row>
    <row r="227" spans="1:20" ht="14">
      <c r="A227" s="231">
        <v>226</v>
      </c>
      <c r="B227" s="235" t="s">
        <v>52</v>
      </c>
      <c r="C227" s="231" t="s">
        <v>10</v>
      </c>
      <c r="D227" s="250" t="s">
        <v>953</v>
      </c>
      <c r="E227" s="239" t="s">
        <v>954</v>
      </c>
      <c r="F227" s="231" t="s">
        <v>267</v>
      </c>
      <c r="G227" s="231" cm="1">
        <f t="array" ref="G227">_xlfn.IFS(J227&lt;301,2,J227&gt;300,48)</f>
        <v>2</v>
      </c>
      <c r="H227" s="231" t="s">
        <v>2765</v>
      </c>
      <c r="I227" s="281">
        <v>0</v>
      </c>
      <c r="J227" s="249">
        <v>300</v>
      </c>
      <c r="K227" s="231">
        <f t="shared" si="3"/>
        <v>20</v>
      </c>
      <c r="L227" s="231"/>
      <c r="M227" s="231" t="s">
        <v>16</v>
      </c>
      <c r="N227" s="231" t="s">
        <v>253</v>
      </c>
      <c r="O227" s="231">
        <v>2021</v>
      </c>
      <c r="P227" s="281"/>
      <c r="Q227" s="231"/>
      <c r="R227" s="231"/>
      <c r="S227" s="236" t="s">
        <v>453</v>
      </c>
      <c r="T227" s="236" t="s">
        <v>264</v>
      </c>
    </row>
    <row r="228" spans="1:20" ht="14">
      <c r="A228" s="231">
        <v>227</v>
      </c>
      <c r="B228" s="235" t="s">
        <v>52</v>
      </c>
      <c r="C228" s="231" t="s">
        <v>10</v>
      </c>
      <c r="D228" s="250" t="s">
        <v>955</v>
      </c>
      <c r="E228" s="231" t="s">
        <v>956</v>
      </c>
      <c r="F228" s="231" t="s">
        <v>888</v>
      </c>
      <c r="G228" s="231" cm="1">
        <f t="array" ref="G228">_xlfn.IFS(J228&lt;301,2,J228&gt;300,48)</f>
        <v>2</v>
      </c>
      <c r="H228" s="231" t="s">
        <v>3111</v>
      </c>
      <c r="I228" s="281">
        <v>0</v>
      </c>
      <c r="J228" s="249">
        <v>300</v>
      </c>
      <c r="K228" s="231">
        <f t="shared" si="3"/>
        <v>20</v>
      </c>
      <c r="L228" s="231"/>
      <c r="M228" s="231" t="s">
        <v>16</v>
      </c>
      <c r="N228" s="231" t="s">
        <v>253</v>
      </c>
      <c r="O228" s="231">
        <v>2021</v>
      </c>
      <c r="P228" s="281"/>
      <c r="Q228" s="231"/>
      <c r="R228" s="231"/>
      <c r="S228" s="236" t="s">
        <v>453</v>
      </c>
      <c r="T228" s="236" t="s">
        <v>264</v>
      </c>
    </row>
    <row r="229" spans="1:20" ht="14">
      <c r="A229" s="231">
        <v>228</v>
      </c>
      <c r="B229" s="235" t="s">
        <v>52</v>
      </c>
      <c r="C229" s="231" t="s">
        <v>10</v>
      </c>
      <c r="D229" s="250" t="s">
        <v>957</v>
      </c>
      <c r="E229" s="239" t="s">
        <v>958</v>
      </c>
      <c r="F229" s="231" t="s">
        <v>881</v>
      </c>
      <c r="G229" s="231" cm="1">
        <f t="array" ref="G229">_xlfn.IFS(J229&lt;301,2,J229&gt;300,48)</f>
        <v>48</v>
      </c>
      <c r="H229" s="231" t="s">
        <v>3583</v>
      </c>
      <c r="I229" s="281">
        <v>0</v>
      </c>
      <c r="J229" s="249">
        <v>800</v>
      </c>
      <c r="K229" s="231">
        <f t="shared" si="3"/>
        <v>20</v>
      </c>
      <c r="L229" s="231"/>
      <c r="M229" s="231" t="s">
        <v>16</v>
      </c>
      <c r="N229" s="231" t="s">
        <v>253</v>
      </c>
      <c r="O229" s="231">
        <v>2021</v>
      </c>
      <c r="P229" s="281"/>
      <c r="Q229" s="231"/>
      <c r="R229" s="231"/>
      <c r="S229" s="236" t="s">
        <v>453</v>
      </c>
      <c r="T229" s="236" t="s">
        <v>264</v>
      </c>
    </row>
    <row r="230" spans="1:20" ht="14">
      <c r="A230" s="231">
        <v>229</v>
      </c>
      <c r="B230" s="235" t="s">
        <v>52</v>
      </c>
      <c r="C230" s="231" t="s">
        <v>10</v>
      </c>
      <c r="D230" s="250" t="s">
        <v>959</v>
      </c>
      <c r="E230" s="239" t="s">
        <v>960</v>
      </c>
      <c r="F230" s="231" t="s">
        <v>267</v>
      </c>
      <c r="G230" s="231" cm="1">
        <f t="array" ref="G230">_xlfn.IFS(J230&lt;301,2,J230&gt;300,48)</f>
        <v>48</v>
      </c>
      <c r="H230" s="231" t="s">
        <v>3111</v>
      </c>
      <c r="I230" s="281">
        <v>0</v>
      </c>
      <c r="J230" s="249">
        <v>350</v>
      </c>
      <c r="K230" s="231">
        <f t="shared" si="3"/>
        <v>20</v>
      </c>
      <c r="L230" s="231"/>
      <c r="M230" s="231" t="s">
        <v>16</v>
      </c>
      <c r="N230" s="231" t="s">
        <v>253</v>
      </c>
      <c r="O230" s="231">
        <v>2021</v>
      </c>
      <c r="P230" s="281"/>
      <c r="Q230" s="231"/>
      <c r="R230" s="231"/>
      <c r="S230" s="236" t="s">
        <v>453</v>
      </c>
      <c r="T230" s="236" t="s">
        <v>264</v>
      </c>
    </row>
    <row r="231" spans="1:20" ht="14">
      <c r="A231" s="231">
        <v>230</v>
      </c>
      <c r="B231" s="235" t="s">
        <v>52</v>
      </c>
      <c r="C231" s="231" t="s">
        <v>10</v>
      </c>
      <c r="D231" s="250" t="s">
        <v>961</v>
      </c>
      <c r="E231" s="239" t="s">
        <v>962</v>
      </c>
      <c r="F231" s="231" t="s">
        <v>873</v>
      </c>
      <c r="G231" s="231" cm="1">
        <f t="array" ref="G231">_xlfn.IFS(J231&lt;301,2,J231&gt;300,48)</f>
        <v>48</v>
      </c>
      <c r="H231" s="231" t="s">
        <v>3111</v>
      </c>
      <c r="I231" s="281">
        <v>0</v>
      </c>
      <c r="J231" s="249">
        <v>350</v>
      </c>
      <c r="K231" s="231">
        <f t="shared" si="3"/>
        <v>20</v>
      </c>
      <c r="L231" s="231"/>
      <c r="M231" s="231" t="s">
        <v>16</v>
      </c>
      <c r="N231" s="231" t="s">
        <v>253</v>
      </c>
      <c r="O231" s="231">
        <v>2021</v>
      </c>
      <c r="P231" s="281"/>
      <c r="Q231" s="231"/>
      <c r="R231" s="231"/>
      <c r="S231" s="236" t="s">
        <v>453</v>
      </c>
      <c r="T231" s="236" t="s">
        <v>264</v>
      </c>
    </row>
    <row r="232" spans="1:20" ht="14">
      <c r="A232" s="231">
        <v>231</v>
      </c>
      <c r="B232" s="235" t="s">
        <v>52</v>
      </c>
      <c r="C232" s="231" t="s">
        <v>10</v>
      </c>
      <c r="D232" s="250" t="s">
        <v>963</v>
      </c>
      <c r="E232" s="239" t="s">
        <v>964</v>
      </c>
      <c r="F232" s="231" t="s">
        <v>881</v>
      </c>
      <c r="G232" s="231" cm="1">
        <f t="array" ref="G232">_xlfn.IFS(J232&lt;301,2,J232&gt;300,48)</f>
        <v>48</v>
      </c>
      <c r="H232" s="231" t="s">
        <v>2875</v>
      </c>
      <c r="I232" s="281">
        <v>0</v>
      </c>
      <c r="J232" s="249">
        <v>800</v>
      </c>
      <c r="K232" s="231" t="str">
        <f t="shared" si="3"/>
        <v>N/A</v>
      </c>
      <c r="L232" s="231"/>
      <c r="M232" s="231" t="s">
        <v>456</v>
      </c>
      <c r="N232" s="231" t="s">
        <v>253</v>
      </c>
      <c r="O232" s="231">
        <v>2021</v>
      </c>
      <c r="P232" s="281"/>
      <c r="Q232" s="231"/>
      <c r="R232" s="231"/>
      <c r="S232" s="236" t="s">
        <v>453</v>
      </c>
      <c r="T232" s="236" t="s">
        <v>264</v>
      </c>
    </row>
    <row r="233" spans="1:20" ht="14">
      <c r="A233" s="231">
        <v>232</v>
      </c>
      <c r="B233" s="235" t="s">
        <v>52</v>
      </c>
      <c r="C233" s="231" t="s">
        <v>10</v>
      </c>
      <c r="D233" s="250" t="s">
        <v>965</v>
      </c>
      <c r="E233" s="239" t="s">
        <v>966</v>
      </c>
      <c r="F233" s="231" t="s">
        <v>267</v>
      </c>
      <c r="G233" s="231" cm="1">
        <f t="array" ref="G233">_xlfn.IFS(J233&lt;301,2,J233&gt;300,48)</f>
        <v>48</v>
      </c>
      <c r="H233" s="231" t="s">
        <v>2773</v>
      </c>
      <c r="I233" s="281">
        <v>0</v>
      </c>
      <c r="J233" s="249">
        <v>450</v>
      </c>
      <c r="K233" s="231">
        <f t="shared" si="3"/>
        <v>10</v>
      </c>
      <c r="L233" s="231"/>
      <c r="M233" s="299" t="s">
        <v>15</v>
      </c>
      <c r="N233" s="231" t="s">
        <v>253</v>
      </c>
      <c r="O233" s="231">
        <v>2021</v>
      </c>
      <c r="P233" s="281"/>
      <c r="Q233" s="231"/>
      <c r="R233" s="231"/>
      <c r="S233" s="236" t="s">
        <v>453</v>
      </c>
      <c r="T233" s="236" t="s">
        <v>264</v>
      </c>
    </row>
    <row r="234" spans="1:20" ht="14">
      <c r="A234" s="231">
        <v>233</v>
      </c>
      <c r="B234" s="235" t="s">
        <v>52</v>
      </c>
      <c r="C234" s="231" t="s">
        <v>10</v>
      </c>
      <c r="D234" s="250" t="s">
        <v>967</v>
      </c>
      <c r="E234" s="239" t="s">
        <v>968</v>
      </c>
      <c r="F234" s="231" t="s">
        <v>267</v>
      </c>
      <c r="G234" s="231" cm="1">
        <f t="array" ref="G234">_xlfn.IFS(J234&lt;301,2,J234&gt;300,48)</f>
        <v>48</v>
      </c>
      <c r="H234" s="231" t="s">
        <v>4561</v>
      </c>
      <c r="I234" s="281">
        <v>0</v>
      </c>
      <c r="J234" s="249">
        <v>3500</v>
      </c>
      <c r="K234" s="231">
        <f t="shared" si="3"/>
        <v>20</v>
      </c>
      <c r="L234" s="231"/>
      <c r="M234" s="231" t="s">
        <v>16</v>
      </c>
      <c r="N234" s="231" t="s">
        <v>253</v>
      </c>
      <c r="O234" s="231">
        <v>2021</v>
      </c>
      <c r="P234" s="281"/>
      <c r="Q234" s="231"/>
      <c r="R234" s="231"/>
      <c r="S234" s="236" t="s">
        <v>453</v>
      </c>
      <c r="T234" s="236" t="s">
        <v>264</v>
      </c>
    </row>
    <row r="235" spans="1:20" ht="14">
      <c r="A235" s="231">
        <v>234</v>
      </c>
      <c r="B235" s="235" t="s">
        <v>52</v>
      </c>
      <c r="C235" s="231" t="s">
        <v>10</v>
      </c>
      <c r="D235" s="250" t="s">
        <v>969</v>
      </c>
      <c r="E235" s="239" t="s">
        <v>970</v>
      </c>
      <c r="F235" s="231" t="s">
        <v>844</v>
      </c>
      <c r="G235" s="231" cm="1">
        <f t="array" ref="G235">_xlfn.IFS(J235&lt;301,2,J235&gt;300,48)</f>
        <v>2</v>
      </c>
      <c r="H235" s="231" t="s">
        <v>4217</v>
      </c>
      <c r="I235" s="281">
        <v>0</v>
      </c>
      <c r="J235" s="249">
        <v>300</v>
      </c>
      <c r="K235" s="231">
        <f t="shared" si="3"/>
        <v>20</v>
      </c>
      <c r="L235" s="231"/>
      <c r="M235" s="231" t="s">
        <v>16</v>
      </c>
      <c r="N235" s="231" t="s">
        <v>253</v>
      </c>
      <c r="O235" s="231">
        <v>2022</v>
      </c>
      <c r="P235" s="281"/>
      <c r="Q235" s="231"/>
      <c r="R235" s="231"/>
      <c r="S235" s="236" t="s">
        <v>453</v>
      </c>
      <c r="T235" s="236" t="s">
        <v>264</v>
      </c>
    </row>
    <row r="236" spans="1:20" ht="14">
      <c r="A236" s="231">
        <v>235</v>
      </c>
      <c r="B236" s="235" t="s">
        <v>52</v>
      </c>
      <c r="C236" s="231" t="s">
        <v>10</v>
      </c>
      <c r="D236" s="250" t="s">
        <v>971</v>
      </c>
      <c r="E236" s="239" t="s">
        <v>972</v>
      </c>
      <c r="F236" s="231" t="s">
        <v>854</v>
      </c>
      <c r="G236" s="231" cm="1">
        <f t="array" ref="G236">_xlfn.IFS(J236&lt;301,2,J236&gt;300,48)</f>
        <v>48</v>
      </c>
      <c r="H236" s="231" t="s">
        <v>2763</v>
      </c>
      <c r="I236" s="281">
        <v>0</v>
      </c>
      <c r="J236" s="249">
        <v>620</v>
      </c>
      <c r="K236" s="231">
        <f t="shared" si="3"/>
        <v>20</v>
      </c>
      <c r="L236" s="231"/>
      <c r="M236" s="231" t="s">
        <v>16</v>
      </c>
      <c r="N236" s="231" t="s">
        <v>253</v>
      </c>
      <c r="O236" s="231">
        <v>2022</v>
      </c>
      <c r="P236" s="281"/>
      <c r="Q236" s="231"/>
      <c r="R236" s="231"/>
      <c r="S236" s="236" t="s">
        <v>453</v>
      </c>
      <c r="T236" s="236" t="s">
        <v>264</v>
      </c>
    </row>
    <row r="237" spans="1:20" ht="14">
      <c r="A237" s="231">
        <v>236</v>
      </c>
      <c r="B237" s="235" t="s">
        <v>52</v>
      </c>
      <c r="C237" s="231" t="s">
        <v>10</v>
      </c>
      <c r="D237" s="250" t="s">
        <v>974</v>
      </c>
      <c r="E237" s="239" t="s">
        <v>975</v>
      </c>
      <c r="F237" s="231" t="s">
        <v>888</v>
      </c>
      <c r="G237" s="231" cm="1">
        <f t="array" ref="G237">_xlfn.IFS(J237&lt;301,2,J237&gt;300,48)</f>
        <v>48</v>
      </c>
      <c r="H237" s="231" t="s">
        <v>2773</v>
      </c>
      <c r="I237" s="281">
        <v>0</v>
      </c>
      <c r="J237" s="249">
        <v>2200</v>
      </c>
      <c r="K237" s="231">
        <f t="shared" si="3"/>
        <v>20</v>
      </c>
      <c r="L237" s="231"/>
      <c r="M237" s="231" t="s">
        <v>16</v>
      </c>
      <c r="N237" s="231" t="s">
        <v>253</v>
      </c>
      <c r="O237" s="231">
        <v>2021</v>
      </c>
      <c r="P237" s="281"/>
      <c r="Q237" s="231"/>
      <c r="R237" s="231"/>
      <c r="S237" s="236" t="s">
        <v>453</v>
      </c>
      <c r="T237" s="236" t="s">
        <v>264</v>
      </c>
    </row>
    <row r="238" spans="1:20" ht="14">
      <c r="A238" s="231">
        <v>237</v>
      </c>
      <c r="B238" s="235" t="s">
        <v>52</v>
      </c>
      <c r="C238" s="231" t="s">
        <v>10</v>
      </c>
      <c r="D238" s="250" t="s">
        <v>976</v>
      </c>
      <c r="E238" s="239" t="s">
        <v>977</v>
      </c>
      <c r="F238" s="231" t="s">
        <v>854</v>
      </c>
      <c r="G238" s="231" cm="1">
        <f t="array" ref="G238">_xlfn.IFS(J238&lt;301,2,J238&gt;300,48)</f>
        <v>2</v>
      </c>
      <c r="H238" s="231" t="s">
        <v>3060</v>
      </c>
      <c r="I238" s="281">
        <v>0</v>
      </c>
      <c r="J238" s="249">
        <v>300</v>
      </c>
      <c r="K238" s="231">
        <f t="shared" si="3"/>
        <v>20</v>
      </c>
      <c r="L238" s="231"/>
      <c r="M238" s="231" t="s">
        <v>16</v>
      </c>
      <c r="N238" s="231" t="s">
        <v>253</v>
      </c>
      <c r="O238" s="231">
        <v>2022</v>
      </c>
      <c r="P238" s="281"/>
      <c r="Q238" s="231"/>
      <c r="R238" s="231"/>
      <c r="S238" s="236" t="s">
        <v>453</v>
      </c>
      <c r="T238" s="236" t="s">
        <v>264</v>
      </c>
    </row>
    <row r="239" spans="1:20" ht="14">
      <c r="A239" s="231">
        <v>238</v>
      </c>
      <c r="B239" s="235" t="s">
        <v>52</v>
      </c>
      <c r="C239" s="231" t="s">
        <v>10</v>
      </c>
      <c r="D239" s="250" t="s">
        <v>978</v>
      </c>
      <c r="E239" s="239" t="s">
        <v>979</v>
      </c>
      <c r="F239" s="231" t="s">
        <v>873</v>
      </c>
      <c r="G239" s="231" cm="1">
        <f t="array" ref="G239">_xlfn.IFS(J239&lt;301,2,J239&gt;300,48)</f>
        <v>2</v>
      </c>
      <c r="H239" s="231" t="s">
        <v>2767</v>
      </c>
      <c r="I239" s="281">
        <v>0</v>
      </c>
      <c r="J239" s="249">
        <v>200</v>
      </c>
      <c r="K239" s="231">
        <f t="shared" si="3"/>
        <v>10</v>
      </c>
      <c r="L239" s="231"/>
      <c r="M239" s="299" t="s">
        <v>15</v>
      </c>
      <c r="N239" s="231" t="s">
        <v>253</v>
      </c>
      <c r="O239" s="231">
        <v>2021</v>
      </c>
      <c r="P239" s="281"/>
      <c r="Q239" s="231"/>
      <c r="R239" s="231"/>
      <c r="S239" s="236" t="s">
        <v>453</v>
      </c>
      <c r="T239" s="236" t="s">
        <v>264</v>
      </c>
    </row>
    <row r="240" spans="1:20" ht="14">
      <c r="A240" s="231">
        <v>239</v>
      </c>
      <c r="B240" s="235" t="s">
        <v>52</v>
      </c>
      <c r="C240" s="231" t="s">
        <v>10</v>
      </c>
      <c r="D240" s="250" t="s">
        <v>980</v>
      </c>
      <c r="E240" s="239" t="s">
        <v>981</v>
      </c>
      <c r="F240" s="231" t="s">
        <v>873</v>
      </c>
      <c r="G240" s="231" cm="1">
        <f t="array" ref="G240">_xlfn.IFS(J240&lt;301,2,J240&gt;300,48)</f>
        <v>2</v>
      </c>
      <c r="H240" s="231" t="s">
        <v>2767</v>
      </c>
      <c r="I240" s="281">
        <v>0</v>
      </c>
      <c r="J240" s="249">
        <v>200</v>
      </c>
      <c r="K240" s="231">
        <f t="shared" si="3"/>
        <v>20</v>
      </c>
      <c r="L240" s="231"/>
      <c r="M240" s="231" t="s">
        <v>16</v>
      </c>
      <c r="N240" s="231" t="s">
        <v>253</v>
      </c>
      <c r="O240" s="231">
        <v>2021</v>
      </c>
      <c r="P240" s="281"/>
      <c r="Q240" s="231"/>
      <c r="R240" s="231"/>
      <c r="S240" s="236" t="s">
        <v>453</v>
      </c>
      <c r="T240" s="236" t="s">
        <v>264</v>
      </c>
    </row>
    <row r="241" spans="1:20" ht="14">
      <c r="A241" s="231">
        <v>240</v>
      </c>
      <c r="B241" s="235" t="s">
        <v>52</v>
      </c>
      <c r="C241" s="231" t="s">
        <v>10</v>
      </c>
      <c r="D241" s="250" t="s">
        <v>982</v>
      </c>
      <c r="E241" s="239" t="s">
        <v>983</v>
      </c>
      <c r="F241" s="231" t="s">
        <v>888</v>
      </c>
      <c r="G241" s="231" cm="1">
        <f t="array" ref="G241">_xlfn.IFS(J241&lt;301,2,J241&gt;300,48)</f>
        <v>48</v>
      </c>
      <c r="H241" s="231" t="s">
        <v>2773</v>
      </c>
      <c r="I241" s="281">
        <v>0</v>
      </c>
      <c r="J241" s="249">
        <v>2600</v>
      </c>
      <c r="K241" s="231">
        <f t="shared" si="3"/>
        <v>20</v>
      </c>
      <c r="L241" s="231"/>
      <c r="M241" s="231" t="s">
        <v>16</v>
      </c>
      <c r="N241" s="231" t="s">
        <v>253</v>
      </c>
      <c r="O241" s="231">
        <v>2022</v>
      </c>
      <c r="P241" s="281"/>
      <c r="Q241" s="231"/>
      <c r="R241" s="231"/>
      <c r="S241" s="236" t="s">
        <v>453</v>
      </c>
      <c r="T241" s="236" t="s">
        <v>264</v>
      </c>
    </row>
    <row r="242" spans="1:20" ht="14">
      <c r="A242" s="231">
        <v>241</v>
      </c>
      <c r="B242" s="235" t="s">
        <v>52</v>
      </c>
      <c r="C242" s="231" t="s">
        <v>10</v>
      </c>
      <c r="D242" s="250" t="s">
        <v>984</v>
      </c>
      <c r="E242" s="239" t="s">
        <v>985</v>
      </c>
      <c r="F242" s="231" t="s">
        <v>888</v>
      </c>
      <c r="G242" s="231" cm="1">
        <f t="array" ref="G242">_xlfn.IFS(J242&lt;301,2,J242&gt;300,48)</f>
        <v>48</v>
      </c>
      <c r="H242" s="231" t="s">
        <v>2773</v>
      </c>
      <c r="I242" s="281">
        <v>0</v>
      </c>
      <c r="J242" s="249">
        <v>2600</v>
      </c>
      <c r="K242" s="231">
        <f t="shared" si="3"/>
        <v>20</v>
      </c>
      <c r="L242" s="231"/>
      <c r="M242" s="231" t="s">
        <v>16</v>
      </c>
      <c r="N242" s="231" t="s">
        <v>253</v>
      </c>
      <c r="O242" s="231">
        <v>2021</v>
      </c>
      <c r="P242" s="281"/>
      <c r="Q242" s="231"/>
      <c r="R242" s="231"/>
      <c r="S242" s="236" t="s">
        <v>453</v>
      </c>
      <c r="T242" s="236" t="s">
        <v>264</v>
      </c>
    </row>
    <row r="243" spans="1:20" ht="14">
      <c r="A243" s="231">
        <v>242</v>
      </c>
      <c r="B243" s="235" t="s">
        <v>52</v>
      </c>
      <c r="C243" s="231" t="s">
        <v>10</v>
      </c>
      <c r="D243" s="250" t="s">
        <v>986</v>
      </c>
      <c r="E243" s="239" t="s">
        <v>987</v>
      </c>
      <c r="F243" s="231" t="s">
        <v>844</v>
      </c>
      <c r="G243" s="231" cm="1">
        <f t="array" ref="G243">_xlfn.IFS(J243&lt;301,2,J243&gt;300,48)</f>
        <v>2</v>
      </c>
      <c r="H243" s="231" t="s">
        <v>2980</v>
      </c>
      <c r="I243" s="281">
        <v>0</v>
      </c>
      <c r="J243" s="249">
        <v>150</v>
      </c>
      <c r="K243" s="231">
        <f t="shared" si="3"/>
        <v>20</v>
      </c>
      <c r="L243" s="231"/>
      <c r="M243" s="231" t="s">
        <v>16</v>
      </c>
      <c r="N243" s="231" t="s">
        <v>253</v>
      </c>
      <c r="O243" s="231">
        <v>2021</v>
      </c>
      <c r="P243" s="281"/>
      <c r="Q243" s="231"/>
      <c r="R243" s="231"/>
      <c r="S243" s="236" t="s">
        <v>453</v>
      </c>
      <c r="T243" s="236" t="s">
        <v>264</v>
      </c>
    </row>
    <row r="244" spans="1:20" ht="14">
      <c r="A244" s="231">
        <v>243</v>
      </c>
      <c r="B244" s="235" t="s">
        <v>52</v>
      </c>
      <c r="C244" s="231" t="s">
        <v>10</v>
      </c>
      <c r="D244" s="250" t="s">
        <v>988</v>
      </c>
      <c r="E244" s="239" t="s">
        <v>989</v>
      </c>
      <c r="F244" s="231" t="s">
        <v>854</v>
      </c>
      <c r="G244" s="231" cm="1">
        <f t="array" ref="G244">_xlfn.IFS(J244&lt;301,2,J244&gt;300,48)</f>
        <v>2</v>
      </c>
      <c r="H244" s="231" t="s">
        <v>4544</v>
      </c>
      <c r="I244" s="281">
        <v>0</v>
      </c>
      <c r="J244" s="249">
        <v>250</v>
      </c>
      <c r="K244" s="231">
        <f t="shared" si="3"/>
        <v>20</v>
      </c>
      <c r="L244" s="231"/>
      <c r="M244" s="231" t="s">
        <v>16</v>
      </c>
      <c r="N244" s="231" t="s">
        <v>253</v>
      </c>
      <c r="O244" s="231">
        <v>2021</v>
      </c>
      <c r="P244" s="281"/>
      <c r="Q244" s="231"/>
      <c r="R244" s="231"/>
      <c r="S244" s="236" t="s">
        <v>453</v>
      </c>
      <c r="T244" s="236" t="s">
        <v>264</v>
      </c>
    </row>
    <row r="245" spans="1:20" ht="14">
      <c r="A245" s="231">
        <v>244</v>
      </c>
      <c r="B245" s="235" t="s">
        <v>52</v>
      </c>
      <c r="C245" s="231" t="s">
        <v>10</v>
      </c>
      <c r="D245" s="250" t="s">
        <v>4680</v>
      </c>
      <c r="E245" s="239" t="s">
        <v>990</v>
      </c>
      <c r="F245" s="231" t="s">
        <v>835</v>
      </c>
      <c r="G245" s="231" cm="1">
        <f t="array" ref="G245">_xlfn.IFS(J245&lt;301,2,J245&gt;300,48)</f>
        <v>48</v>
      </c>
      <c r="H245" s="231" t="s">
        <v>4251</v>
      </c>
      <c r="I245" s="281">
        <v>0</v>
      </c>
      <c r="J245" s="249">
        <v>2500</v>
      </c>
      <c r="K245" s="231">
        <f t="shared" si="3"/>
        <v>10</v>
      </c>
      <c r="L245" s="231"/>
      <c r="M245" s="299" t="s">
        <v>15</v>
      </c>
      <c r="N245" s="231" t="s">
        <v>253</v>
      </c>
      <c r="O245" s="231">
        <v>2021</v>
      </c>
      <c r="P245" s="281"/>
      <c r="Q245" s="231"/>
      <c r="R245" s="231"/>
      <c r="S245" s="236" t="s">
        <v>453</v>
      </c>
      <c r="T245" s="236" t="s">
        <v>264</v>
      </c>
    </row>
    <row r="246" spans="1:20" ht="14">
      <c r="A246" s="231">
        <v>245</v>
      </c>
      <c r="B246" s="235" t="s">
        <v>52</v>
      </c>
      <c r="C246" s="231" t="s">
        <v>10</v>
      </c>
      <c r="D246" s="250" t="s">
        <v>4681</v>
      </c>
      <c r="E246" s="239" t="s">
        <v>991</v>
      </c>
      <c r="F246" s="231" t="s">
        <v>854</v>
      </c>
      <c r="G246" s="231" cm="1">
        <f t="array" ref="G246">_xlfn.IFS(J246&lt;301,2,J246&gt;300,48)</f>
        <v>48</v>
      </c>
      <c r="H246" s="231" t="s">
        <v>4256</v>
      </c>
      <c r="I246" s="281">
        <v>0</v>
      </c>
      <c r="J246" s="249">
        <v>400</v>
      </c>
      <c r="K246" s="231">
        <f t="shared" si="3"/>
        <v>10</v>
      </c>
      <c r="L246" s="231"/>
      <c r="M246" s="299" t="s">
        <v>15</v>
      </c>
      <c r="N246" s="231" t="s">
        <v>253</v>
      </c>
      <c r="O246" s="231">
        <v>2021</v>
      </c>
      <c r="P246" s="281"/>
      <c r="Q246" s="231"/>
      <c r="R246" s="231"/>
      <c r="S246" s="236" t="s">
        <v>453</v>
      </c>
      <c r="T246" s="236" t="s">
        <v>264</v>
      </c>
    </row>
    <row r="247" spans="1:20" ht="14">
      <c r="A247" s="231">
        <v>246</v>
      </c>
      <c r="B247" s="235" t="s">
        <v>52</v>
      </c>
      <c r="C247" s="231" t="s">
        <v>10</v>
      </c>
      <c r="D247" s="250" t="s">
        <v>992</v>
      </c>
      <c r="E247" s="239" t="s">
        <v>993</v>
      </c>
      <c r="F247" s="231" t="s">
        <v>873</v>
      </c>
      <c r="G247" s="231" cm="1">
        <f t="array" ref="G247">_xlfn.IFS(J247&lt;301,2,J247&gt;300,48)</f>
        <v>48</v>
      </c>
      <c r="H247" s="231" t="s">
        <v>2767</v>
      </c>
      <c r="I247" s="281">
        <v>0</v>
      </c>
      <c r="J247" s="249">
        <v>470.4</v>
      </c>
      <c r="K247" s="231">
        <f t="shared" si="3"/>
        <v>20</v>
      </c>
      <c r="L247" s="231"/>
      <c r="M247" s="231" t="s">
        <v>16</v>
      </c>
      <c r="N247" s="231" t="s">
        <v>253</v>
      </c>
      <c r="O247" s="231">
        <v>2021</v>
      </c>
      <c r="P247" s="281"/>
      <c r="Q247" s="231"/>
      <c r="R247" s="231"/>
      <c r="S247" s="236" t="s">
        <v>453</v>
      </c>
      <c r="T247" s="236" t="s">
        <v>264</v>
      </c>
    </row>
    <row r="248" spans="1:20" ht="14">
      <c r="A248" s="231">
        <v>247</v>
      </c>
      <c r="B248" s="235" t="s">
        <v>52</v>
      </c>
      <c r="C248" s="231" t="s">
        <v>10</v>
      </c>
      <c r="D248" s="250" t="s">
        <v>994</v>
      </c>
      <c r="E248" s="239" t="s">
        <v>995</v>
      </c>
      <c r="F248" s="231" t="s">
        <v>878</v>
      </c>
      <c r="G248" s="231" cm="1">
        <f t="array" ref="G248">_xlfn.IFS(J248&lt;301,2,J248&gt;300,48)</f>
        <v>48</v>
      </c>
      <c r="H248" s="231" t="s">
        <v>4217</v>
      </c>
      <c r="I248" s="281">
        <v>0</v>
      </c>
      <c r="J248" s="249">
        <v>1384.95</v>
      </c>
      <c r="K248" s="231">
        <f t="shared" si="3"/>
        <v>10</v>
      </c>
      <c r="L248" s="231"/>
      <c r="M248" s="299" t="s">
        <v>15</v>
      </c>
      <c r="N248" s="231" t="s">
        <v>253</v>
      </c>
      <c r="O248" s="231">
        <v>2022</v>
      </c>
      <c r="P248" s="281"/>
      <c r="Q248" s="231"/>
      <c r="R248" s="231"/>
      <c r="S248" s="236" t="s">
        <v>453</v>
      </c>
      <c r="T248" s="236" t="s">
        <v>264</v>
      </c>
    </row>
    <row r="249" spans="1:20" ht="14">
      <c r="A249" s="231">
        <v>248</v>
      </c>
      <c r="B249" s="235" t="s">
        <v>52</v>
      </c>
      <c r="C249" s="231" t="s">
        <v>10</v>
      </c>
      <c r="D249" s="250" t="s">
        <v>996</v>
      </c>
      <c r="E249" s="239" t="s">
        <v>997</v>
      </c>
      <c r="F249" s="231" t="s">
        <v>844</v>
      </c>
      <c r="G249" s="231" cm="1">
        <f t="array" ref="G249">_xlfn.IFS(J249&lt;301,2,J249&gt;300,48)</f>
        <v>48</v>
      </c>
      <c r="H249" s="231" t="s">
        <v>4555</v>
      </c>
      <c r="I249" s="281">
        <v>0</v>
      </c>
      <c r="J249" s="249">
        <v>418.95</v>
      </c>
      <c r="K249" s="231">
        <f t="shared" si="3"/>
        <v>10</v>
      </c>
      <c r="L249" s="231"/>
      <c r="M249" s="299" t="s">
        <v>15</v>
      </c>
      <c r="N249" s="231" t="s">
        <v>253</v>
      </c>
      <c r="O249" s="231">
        <v>2021</v>
      </c>
      <c r="P249" s="281"/>
      <c r="Q249" s="231"/>
      <c r="R249" s="231"/>
      <c r="S249" s="236" t="s">
        <v>453</v>
      </c>
      <c r="T249" s="236" t="s">
        <v>264</v>
      </c>
    </row>
    <row r="250" spans="1:20" ht="14">
      <c r="A250" s="231">
        <v>249</v>
      </c>
      <c r="B250" s="235" t="s">
        <v>52</v>
      </c>
      <c r="C250" s="231" t="s">
        <v>10</v>
      </c>
      <c r="D250" s="250" t="s">
        <v>998</v>
      </c>
      <c r="E250" s="239" t="s">
        <v>999</v>
      </c>
      <c r="F250" s="231" t="s">
        <v>844</v>
      </c>
      <c r="G250" s="231" cm="1">
        <f t="array" ref="G250">_xlfn.IFS(J250&lt;301,2,J250&gt;300,48)</f>
        <v>48</v>
      </c>
      <c r="H250" s="231" t="s">
        <v>4555</v>
      </c>
      <c r="I250" s="281">
        <v>0</v>
      </c>
      <c r="J250" s="249">
        <v>528.15</v>
      </c>
      <c r="K250" s="231">
        <f t="shared" si="3"/>
        <v>10</v>
      </c>
      <c r="L250" s="231"/>
      <c r="M250" s="299" t="s">
        <v>15</v>
      </c>
      <c r="N250" s="231" t="s">
        <v>253</v>
      </c>
      <c r="O250" s="231">
        <v>2022</v>
      </c>
      <c r="P250" s="281"/>
      <c r="Q250" s="231"/>
      <c r="R250" s="231"/>
      <c r="S250" s="236" t="s">
        <v>453</v>
      </c>
      <c r="T250" s="236" t="s">
        <v>264</v>
      </c>
    </row>
    <row r="251" spans="1:20" ht="14">
      <c r="A251" s="231">
        <v>250</v>
      </c>
      <c r="B251" s="235" t="s">
        <v>52</v>
      </c>
      <c r="C251" s="231" t="s">
        <v>10</v>
      </c>
      <c r="D251" s="250" t="s">
        <v>1000</v>
      </c>
      <c r="E251" s="239" t="s">
        <v>1001</v>
      </c>
      <c r="F251" s="231" t="s">
        <v>844</v>
      </c>
      <c r="G251" s="231" cm="1">
        <f t="array" ref="G251">_xlfn.IFS(J251&lt;301,2,J251&gt;300,48)</f>
        <v>2</v>
      </c>
      <c r="H251" s="231" t="s">
        <v>4555</v>
      </c>
      <c r="I251" s="281">
        <v>0</v>
      </c>
      <c r="J251" s="281">
        <v>0</v>
      </c>
      <c r="K251" s="231">
        <f t="shared" si="3"/>
        <v>10</v>
      </c>
      <c r="L251" s="231"/>
      <c r="M251" s="299" t="s">
        <v>15</v>
      </c>
      <c r="N251" s="231" t="s">
        <v>253</v>
      </c>
      <c r="O251" s="231">
        <v>2022</v>
      </c>
      <c r="P251" s="281"/>
      <c r="Q251" s="231"/>
      <c r="R251" s="231"/>
      <c r="S251" s="236" t="s">
        <v>453</v>
      </c>
      <c r="T251" s="236" t="s">
        <v>264</v>
      </c>
    </row>
    <row r="252" spans="1:20" ht="14">
      <c r="A252" s="231">
        <v>251</v>
      </c>
      <c r="B252" s="235" t="s">
        <v>52</v>
      </c>
      <c r="C252" s="231" t="s">
        <v>10</v>
      </c>
      <c r="D252" s="250" t="s">
        <v>1002</v>
      </c>
      <c r="E252" s="239" t="s">
        <v>1003</v>
      </c>
      <c r="F252" s="231" t="s">
        <v>844</v>
      </c>
      <c r="G252" s="231" cm="1">
        <f t="array" ref="G252">_xlfn.IFS(J252&lt;301,2,J252&gt;300,48)</f>
        <v>2</v>
      </c>
      <c r="H252" s="231" t="s">
        <v>4555</v>
      </c>
      <c r="I252" s="281">
        <v>250</v>
      </c>
      <c r="J252" s="281">
        <v>0</v>
      </c>
      <c r="K252" s="231">
        <f t="shared" si="3"/>
        <v>10</v>
      </c>
      <c r="L252" s="231"/>
      <c r="M252" s="299" t="s">
        <v>15</v>
      </c>
      <c r="N252" s="231" t="s">
        <v>253</v>
      </c>
      <c r="O252" s="231">
        <v>2022</v>
      </c>
      <c r="P252" s="281"/>
      <c r="Q252" s="231"/>
      <c r="R252" s="231"/>
      <c r="S252" s="236" t="s">
        <v>453</v>
      </c>
      <c r="T252" s="236" t="s">
        <v>264</v>
      </c>
    </row>
    <row r="253" spans="1:20" ht="14">
      <c r="A253" s="231">
        <v>252</v>
      </c>
      <c r="B253" s="235" t="s">
        <v>52</v>
      </c>
      <c r="C253" s="231" t="s">
        <v>10</v>
      </c>
      <c r="D253" s="250" t="s">
        <v>1004</v>
      </c>
      <c r="E253" s="239" t="s">
        <v>1005</v>
      </c>
      <c r="F253" s="231" t="s">
        <v>844</v>
      </c>
      <c r="G253" s="231" cm="1">
        <f t="array" ref="G253">_xlfn.IFS(J253&lt;301,2,J253&gt;300,48)</f>
        <v>2</v>
      </c>
      <c r="H253" s="231" t="s">
        <v>4555</v>
      </c>
      <c r="I253" s="281">
        <v>300</v>
      </c>
      <c r="J253" s="281">
        <v>0</v>
      </c>
      <c r="K253" s="231">
        <f t="shared" si="3"/>
        <v>10</v>
      </c>
      <c r="L253" s="231"/>
      <c r="M253" s="299" t="s">
        <v>15</v>
      </c>
      <c r="N253" s="231" t="s">
        <v>253</v>
      </c>
      <c r="O253" s="231">
        <v>2022</v>
      </c>
      <c r="P253" s="281"/>
      <c r="Q253" s="231"/>
      <c r="R253" s="231"/>
      <c r="S253" s="236" t="s">
        <v>453</v>
      </c>
      <c r="T253" s="236" t="s">
        <v>264</v>
      </c>
    </row>
    <row r="254" spans="1:20" ht="14">
      <c r="A254" s="231">
        <v>253</v>
      </c>
      <c r="B254" s="235" t="s">
        <v>52</v>
      </c>
      <c r="C254" s="231" t="s">
        <v>10</v>
      </c>
      <c r="D254" s="250" t="s">
        <v>1006</v>
      </c>
      <c r="E254" s="239" t="s">
        <v>1007</v>
      </c>
      <c r="F254" s="231" t="s">
        <v>844</v>
      </c>
      <c r="G254" s="231" cm="1">
        <f t="array" ref="G254">_xlfn.IFS(J254&lt;301,2,J254&gt;300,48)</f>
        <v>2</v>
      </c>
      <c r="H254" s="231" t="s">
        <v>4555</v>
      </c>
      <c r="I254" s="281">
        <v>280</v>
      </c>
      <c r="J254" s="281">
        <v>0</v>
      </c>
      <c r="K254" s="231">
        <f t="shared" si="3"/>
        <v>10</v>
      </c>
      <c r="L254" s="231"/>
      <c r="M254" s="299" t="s">
        <v>15</v>
      </c>
      <c r="N254" s="231" t="s">
        <v>253</v>
      </c>
      <c r="O254" s="231">
        <v>2022</v>
      </c>
      <c r="P254" s="281"/>
      <c r="Q254" s="231"/>
      <c r="R254" s="231"/>
      <c r="S254" s="236" t="s">
        <v>453</v>
      </c>
      <c r="T254" s="236" t="s">
        <v>264</v>
      </c>
    </row>
    <row r="255" spans="1:20" ht="14">
      <c r="A255" s="231">
        <v>254</v>
      </c>
      <c r="B255" s="235" t="s">
        <v>52</v>
      </c>
      <c r="C255" s="231" t="s">
        <v>10</v>
      </c>
      <c r="D255" s="250" t="s">
        <v>1008</v>
      </c>
      <c r="E255" s="239" t="s">
        <v>1009</v>
      </c>
      <c r="F255" s="231" t="s">
        <v>814</v>
      </c>
      <c r="G255" s="231" cm="1">
        <f t="array" ref="G255">_xlfn.IFS(J255&lt;301,2,J255&gt;300,48)</f>
        <v>2</v>
      </c>
      <c r="H255" s="231" t="s">
        <v>3053</v>
      </c>
      <c r="I255" s="281">
        <v>200</v>
      </c>
      <c r="J255" s="281">
        <v>0</v>
      </c>
      <c r="K255" s="231">
        <f t="shared" si="3"/>
        <v>10</v>
      </c>
      <c r="L255" s="231"/>
      <c r="M255" s="299" t="s">
        <v>15</v>
      </c>
      <c r="N255" s="231" t="s">
        <v>253</v>
      </c>
      <c r="O255" s="231">
        <v>2023</v>
      </c>
      <c r="P255" s="281"/>
      <c r="Q255" s="231"/>
      <c r="R255" s="231"/>
      <c r="S255" s="236" t="s">
        <v>453</v>
      </c>
      <c r="T255" s="236" t="s">
        <v>264</v>
      </c>
    </row>
    <row r="256" spans="1:20" ht="14">
      <c r="A256" s="231">
        <v>255</v>
      </c>
      <c r="B256" s="235" t="s">
        <v>52</v>
      </c>
      <c r="C256" s="231" t="s">
        <v>10</v>
      </c>
      <c r="D256" s="250" t="s">
        <v>1010</v>
      </c>
      <c r="E256" s="239" t="s">
        <v>1011</v>
      </c>
      <c r="F256" s="231" t="s">
        <v>888</v>
      </c>
      <c r="G256" s="231" cm="1">
        <f t="array" ref="G256">_xlfn.IFS(J256&lt;301,2,J256&gt;300,48)</f>
        <v>2</v>
      </c>
      <c r="H256" s="231" t="s">
        <v>2773</v>
      </c>
      <c r="I256" s="281">
        <v>315</v>
      </c>
      <c r="J256" s="281">
        <v>0</v>
      </c>
      <c r="K256" s="231">
        <f t="shared" si="3"/>
        <v>10</v>
      </c>
      <c r="L256" s="231"/>
      <c r="M256" s="299" t="s">
        <v>15</v>
      </c>
      <c r="N256" s="231" t="s">
        <v>253</v>
      </c>
      <c r="O256" s="231">
        <v>2023</v>
      </c>
      <c r="P256" s="281"/>
      <c r="Q256" s="231"/>
      <c r="R256" s="231"/>
      <c r="S256" s="236" t="s">
        <v>453</v>
      </c>
      <c r="T256" s="236" t="s">
        <v>264</v>
      </c>
    </row>
    <row r="257" spans="1:92" ht="14">
      <c r="A257" s="231">
        <v>256</v>
      </c>
      <c r="B257" s="235" t="s">
        <v>52</v>
      </c>
      <c r="C257" s="231" t="s">
        <v>10</v>
      </c>
      <c r="D257" s="248" t="s">
        <v>1012</v>
      </c>
      <c r="E257" s="239" t="s">
        <v>1013</v>
      </c>
      <c r="F257" s="231" t="s">
        <v>814</v>
      </c>
      <c r="G257" s="231" cm="1">
        <f t="array" ref="G257">_xlfn.IFS(J257&lt;301,2,J257&gt;300,48)</f>
        <v>48</v>
      </c>
      <c r="H257" s="231" t="s">
        <v>3111</v>
      </c>
      <c r="I257" s="281">
        <v>0</v>
      </c>
      <c r="J257" s="249">
        <v>1000</v>
      </c>
      <c r="K257" s="231">
        <f t="shared" ref="K257:K320" si="4">IF(M257="ONT",20,IF(M257="N/A","N/A",IF(M257="MIKROTIK",IF(J257&lt;3000,10,IF(3000&lt;J257&gt;10000,20,IF(10000&lt;J257&gt;20000,40,IF(20000&lt;J257&gt;40000,60,IF(J257&gt;40000,80,IF(J257&lt;300,3,)))))))))</f>
        <v>20</v>
      </c>
      <c r="L257" s="231"/>
      <c r="M257" s="231" t="s">
        <v>16</v>
      </c>
      <c r="N257" s="231" t="s">
        <v>253</v>
      </c>
      <c r="O257" s="231">
        <v>2020</v>
      </c>
      <c r="P257" s="281"/>
      <c r="Q257" s="231"/>
      <c r="R257" s="231"/>
      <c r="S257" s="236" t="s">
        <v>453</v>
      </c>
      <c r="T257" s="236" t="s">
        <v>264</v>
      </c>
    </row>
    <row r="258" spans="1:92" ht="14">
      <c r="A258" s="231">
        <v>257</v>
      </c>
      <c r="B258" s="235" t="s">
        <v>52</v>
      </c>
      <c r="C258" s="231" t="s">
        <v>10</v>
      </c>
      <c r="D258" s="250" t="s">
        <v>1014</v>
      </c>
      <c r="E258" s="239" t="s">
        <v>1015</v>
      </c>
      <c r="F258" s="231" t="s">
        <v>881</v>
      </c>
      <c r="G258" s="231" cm="1">
        <f t="array" ref="G258">_xlfn.IFS(J258&lt;301,2,J258&gt;300,48)</f>
        <v>48</v>
      </c>
      <c r="H258" s="231" t="s">
        <v>2773</v>
      </c>
      <c r="I258" s="281">
        <v>0</v>
      </c>
      <c r="J258" s="249">
        <v>1200</v>
      </c>
      <c r="K258" s="231">
        <f t="shared" si="4"/>
        <v>20</v>
      </c>
      <c r="L258" s="231"/>
      <c r="M258" s="231" t="s">
        <v>16</v>
      </c>
      <c r="N258" s="231" t="s">
        <v>253</v>
      </c>
      <c r="O258" s="231">
        <v>2021</v>
      </c>
      <c r="P258" s="281"/>
      <c r="Q258" s="231"/>
      <c r="R258" s="231"/>
      <c r="S258" s="236" t="s">
        <v>453</v>
      </c>
      <c r="T258" s="236" t="s">
        <v>264</v>
      </c>
    </row>
    <row r="259" spans="1:92" ht="14">
      <c r="A259" s="231">
        <v>258</v>
      </c>
      <c r="B259" s="235" t="s">
        <v>52</v>
      </c>
      <c r="C259" s="231" t="s">
        <v>10</v>
      </c>
      <c r="D259" s="250" t="s">
        <v>1016</v>
      </c>
      <c r="E259" s="239" t="s">
        <v>1017</v>
      </c>
      <c r="F259" s="231" t="s">
        <v>888</v>
      </c>
      <c r="G259" s="231" cm="1">
        <f t="array" ref="G259">_xlfn.IFS(J259&lt;301,2,J259&gt;300,48)</f>
        <v>48</v>
      </c>
      <c r="H259" s="231" t="s">
        <v>2773</v>
      </c>
      <c r="I259" s="281">
        <v>0</v>
      </c>
      <c r="J259" s="249">
        <v>2500</v>
      </c>
      <c r="K259" s="231">
        <f t="shared" si="4"/>
        <v>10</v>
      </c>
      <c r="L259" s="231"/>
      <c r="M259" s="299" t="s">
        <v>15</v>
      </c>
      <c r="N259" s="231" t="s">
        <v>253</v>
      </c>
      <c r="O259" s="231">
        <v>2021</v>
      </c>
      <c r="P259" s="281"/>
      <c r="Q259" s="231"/>
      <c r="R259" s="231"/>
      <c r="S259" s="236" t="s">
        <v>453</v>
      </c>
      <c r="T259" s="236" t="s">
        <v>264</v>
      </c>
    </row>
    <row r="260" spans="1:92" ht="14">
      <c r="A260" s="231">
        <v>259</v>
      </c>
      <c r="B260" s="235" t="s">
        <v>52</v>
      </c>
      <c r="C260" s="231" t="s">
        <v>10</v>
      </c>
      <c r="D260" s="248" t="s">
        <v>1018</v>
      </c>
      <c r="E260" s="239" t="s">
        <v>1019</v>
      </c>
      <c r="F260" s="231" t="s">
        <v>267</v>
      </c>
      <c r="G260" s="231" cm="1">
        <f t="array" ref="G260">_xlfn.IFS(J260&lt;301,2,J260&gt;300,48)</f>
        <v>48</v>
      </c>
      <c r="H260" s="231" t="s">
        <v>2875</v>
      </c>
      <c r="I260" s="281">
        <v>0</v>
      </c>
      <c r="J260" s="249">
        <v>3500</v>
      </c>
      <c r="K260" s="231">
        <f t="shared" si="4"/>
        <v>20</v>
      </c>
      <c r="L260" s="231"/>
      <c r="M260" s="299" t="s">
        <v>15</v>
      </c>
      <c r="N260" s="231" t="s">
        <v>253</v>
      </c>
      <c r="O260" s="231">
        <v>2021</v>
      </c>
      <c r="P260" s="281"/>
      <c r="Q260" s="231"/>
      <c r="R260" s="231"/>
      <c r="S260" s="236" t="s">
        <v>453</v>
      </c>
      <c r="T260" s="236" t="s">
        <v>264</v>
      </c>
    </row>
    <row r="261" spans="1:92" ht="14">
      <c r="A261" s="231">
        <v>260</v>
      </c>
      <c r="B261" s="235" t="s">
        <v>52</v>
      </c>
      <c r="C261" s="231" t="s">
        <v>10</v>
      </c>
      <c r="D261" s="248" t="s">
        <v>1020</v>
      </c>
      <c r="E261" s="239" t="s">
        <v>1021</v>
      </c>
      <c r="F261" s="231" t="s">
        <v>267</v>
      </c>
      <c r="G261" s="231" cm="1">
        <f t="array" ref="G261">_xlfn.IFS(J261&lt;301,2,J261&gt;300,48)</f>
        <v>48</v>
      </c>
      <c r="H261" s="231" t="s">
        <v>3060</v>
      </c>
      <c r="I261" s="281">
        <v>0</v>
      </c>
      <c r="J261" s="249">
        <v>2000</v>
      </c>
      <c r="K261" s="231">
        <f t="shared" si="4"/>
        <v>10</v>
      </c>
      <c r="L261" s="231"/>
      <c r="M261" s="299" t="s">
        <v>15</v>
      </c>
      <c r="N261" s="231" t="s">
        <v>253</v>
      </c>
      <c r="O261" s="231">
        <v>2021</v>
      </c>
      <c r="P261" s="281"/>
      <c r="Q261" s="231"/>
      <c r="R261" s="231"/>
      <c r="S261" s="236" t="s">
        <v>453</v>
      </c>
      <c r="T261" s="236" t="s">
        <v>264</v>
      </c>
    </row>
    <row r="262" spans="1:92" s="147" customFormat="1" ht="14">
      <c r="A262" s="231">
        <v>261</v>
      </c>
      <c r="B262" s="235" t="s">
        <v>52</v>
      </c>
      <c r="C262" s="231" t="s">
        <v>10</v>
      </c>
      <c r="D262" s="248" t="s">
        <v>1022</v>
      </c>
      <c r="E262" s="239" t="s">
        <v>1023</v>
      </c>
      <c r="F262" s="231" t="s">
        <v>267</v>
      </c>
      <c r="G262" s="231" cm="1">
        <f t="array" ref="G262">_xlfn.IFS(J262&lt;301,2,J262&gt;300,48)</f>
        <v>48</v>
      </c>
      <c r="H262" s="231" t="s">
        <v>3060</v>
      </c>
      <c r="I262" s="281">
        <v>0</v>
      </c>
      <c r="J262" s="249">
        <v>2200</v>
      </c>
      <c r="K262" s="231">
        <f t="shared" si="4"/>
        <v>10</v>
      </c>
      <c r="L262" s="231"/>
      <c r="M262" s="299" t="s">
        <v>15</v>
      </c>
      <c r="N262" s="231" t="s">
        <v>253</v>
      </c>
      <c r="O262" s="231">
        <v>2021</v>
      </c>
      <c r="P262" s="281"/>
      <c r="Q262" s="231"/>
      <c r="R262" s="231"/>
      <c r="S262" s="236" t="s">
        <v>453</v>
      </c>
      <c r="T262" s="236" t="s">
        <v>264</v>
      </c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  <c r="AM262" s="90"/>
      <c r="AN262" s="90"/>
      <c r="AO262" s="90"/>
      <c r="AP262" s="90"/>
      <c r="AQ262" s="90"/>
      <c r="AR262" s="90"/>
      <c r="AS262" s="90"/>
      <c r="AT262" s="90"/>
      <c r="AU262" s="90"/>
      <c r="AV262" s="90"/>
      <c r="AW262" s="90"/>
      <c r="AX262" s="90"/>
      <c r="AY262" s="90"/>
      <c r="AZ262" s="90"/>
      <c r="BA262" s="90"/>
      <c r="BB262" s="90"/>
      <c r="BC262" s="90"/>
      <c r="BD262" s="90"/>
      <c r="BE262" s="90"/>
      <c r="BF262" s="90"/>
      <c r="BG262" s="90"/>
      <c r="BH262" s="90"/>
      <c r="BI262" s="90"/>
      <c r="BJ262" s="90"/>
      <c r="BK262" s="90"/>
      <c r="BL262" s="90"/>
      <c r="BM262" s="90"/>
      <c r="BN262" s="90"/>
      <c r="BO262" s="90"/>
      <c r="BP262" s="90"/>
      <c r="BQ262" s="90"/>
      <c r="BR262" s="90"/>
      <c r="BS262" s="90"/>
      <c r="BT262" s="90"/>
      <c r="BU262" s="90"/>
      <c r="BV262" s="90"/>
      <c r="BW262" s="90"/>
      <c r="BX262" s="90"/>
      <c r="BY262" s="90"/>
      <c r="BZ262" s="90"/>
      <c r="CA262" s="90"/>
      <c r="CB262" s="90"/>
      <c r="CC262" s="90"/>
      <c r="CD262" s="90"/>
      <c r="CE262" s="90"/>
      <c r="CF262" s="90"/>
      <c r="CG262" s="90"/>
      <c r="CH262" s="90"/>
      <c r="CI262" s="90"/>
      <c r="CJ262" s="90"/>
      <c r="CK262" s="90"/>
      <c r="CL262" s="90"/>
      <c r="CM262" s="90"/>
      <c r="CN262" s="90"/>
    </row>
    <row r="263" spans="1:92" ht="14">
      <c r="A263" s="231">
        <v>262</v>
      </c>
      <c r="B263" s="235" t="s">
        <v>52</v>
      </c>
      <c r="C263" s="231" t="s">
        <v>10</v>
      </c>
      <c r="D263" s="250" t="s">
        <v>1024</v>
      </c>
      <c r="E263" s="239" t="s">
        <v>1025</v>
      </c>
      <c r="F263" s="231" t="s">
        <v>267</v>
      </c>
      <c r="G263" s="231" cm="1">
        <f t="array" ref="G263">_xlfn.IFS(J263&lt;301,2,J263&gt;300,48)</f>
        <v>48</v>
      </c>
      <c r="H263" s="231" t="s">
        <v>2875</v>
      </c>
      <c r="I263" s="281">
        <v>0</v>
      </c>
      <c r="J263" s="249">
        <v>1200</v>
      </c>
      <c r="K263" s="231">
        <f t="shared" si="4"/>
        <v>10</v>
      </c>
      <c r="L263" s="231"/>
      <c r="M263" s="299" t="s">
        <v>15</v>
      </c>
      <c r="N263" s="231" t="s">
        <v>253</v>
      </c>
      <c r="O263" s="231">
        <v>2021</v>
      </c>
      <c r="P263" s="281"/>
      <c r="Q263" s="231"/>
      <c r="R263" s="231"/>
      <c r="S263" s="236" t="s">
        <v>457</v>
      </c>
      <c r="T263" s="236" t="s">
        <v>264</v>
      </c>
    </row>
    <row r="264" spans="1:92" ht="14">
      <c r="A264" s="231">
        <v>263</v>
      </c>
      <c r="B264" s="235" t="s">
        <v>52</v>
      </c>
      <c r="C264" s="231" t="s">
        <v>10</v>
      </c>
      <c r="D264" s="250" t="s">
        <v>1026</v>
      </c>
      <c r="E264" s="239" t="s">
        <v>1027</v>
      </c>
      <c r="F264" s="231" t="s">
        <v>267</v>
      </c>
      <c r="G264" s="231" cm="1">
        <f t="array" ref="G264">_xlfn.IFS(J264&lt;301,2,J264&gt;300,48)</f>
        <v>48</v>
      </c>
      <c r="H264" s="231" t="s">
        <v>2875</v>
      </c>
      <c r="I264" s="281">
        <v>0</v>
      </c>
      <c r="J264" s="249">
        <v>400</v>
      </c>
      <c r="K264" s="231">
        <f t="shared" si="4"/>
        <v>10</v>
      </c>
      <c r="L264" s="231"/>
      <c r="M264" s="299" t="s">
        <v>15</v>
      </c>
      <c r="N264" s="231" t="s">
        <v>253</v>
      </c>
      <c r="O264" s="231">
        <v>2021</v>
      </c>
      <c r="P264" s="281"/>
      <c r="Q264" s="231"/>
      <c r="R264" s="231"/>
      <c r="S264" s="236" t="s">
        <v>453</v>
      </c>
      <c r="T264" s="236" t="s">
        <v>264</v>
      </c>
    </row>
    <row r="265" spans="1:92" ht="14">
      <c r="A265" s="231">
        <v>264</v>
      </c>
      <c r="B265" s="235" t="s">
        <v>52</v>
      </c>
      <c r="C265" s="231" t="s">
        <v>10</v>
      </c>
      <c r="D265" s="248" t="s">
        <v>1028</v>
      </c>
      <c r="E265" s="239" t="s">
        <v>1029</v>
      </c>
      <c r="F265" s="231" t="s">
        <v>835</v>
      </c>
      <c r="G265" s="231" cm="1">
        <f t="array" ref="G265">_xlfn.IFS(J265&lt;301,2,J265&gt;300,48)</f>
        <v>48</v>
      </c>
      <c r="H265" s="231" t="s">
        <v>1440</v>
      </c>
      <c r="I265" s="281">
        <v>0</v>
      </c>
      <c r="J265" s="249">
        <v>650</v>
      </c>
      <c r="K265" s="231">
        <f t="shared" si="4"/>
        <v>20</v>
      </c>
      <c r="L265" s="231"/>
      <c r="M265" s="231" t="s">
        <v>16</v>
      </c>
      <c r="N265" s="231" t="s">
        <v>253</v>
      </c>
      <c r="O265" s="231">
        <v>2021</v>
      </c>
      <c r="P265" s="281"/>
      <c r="Q265" s="231"/>
      <c r="R265" s="231"/>
      <c r="S265" s="236" t="s">
        <v>453</v>
      </c>
      <c r="T265" s="236" t="s">
        <v>264</v>
      </c>
    </row>
    <row r="266" spans="1:92" ht="14">
      <c r="A266" s="231">
        <v>265</v>
      </c>
      <c r="B266" s="235" t="s">
        <v>52</v>
      </c>
      <c r="C266" s="231" t="s">
        <v>10</v>
      </c>
      <c r="D266" s="250" t="s">
        <v>1030</v>
      </c>
      <c r="E266" s="239" t="s">
        <v>1031</v>
      </c>
      <c r="F266" s="231" t="s">
        <v>267</v>
      </c>
      <c r="G266" s="231" cm="1">
        <f t="array" ref="G266">_xlfn.IFS(J266&lt;301,2,J266&gt;300,48)</f>
        <v>48</v>
      </c>
      <c r="H266" s="231" t="s">
        <v>3542</v>
      </c>
      <c r="I266" s="281">
        <v>0</v>
      </c>
      <c r="J266" s="249">
        <v>500</v>
      </c>
      <c r="K266" s="231">
        <f t="shared" si="4"/>
        <v>20</v>
      </c>
      <c r="L266" s="231"/>
      <c r="M266" s="231" t="s">
        <v>16</v>
      </c>
      <c r="N266" s="231" t="s">
        <v>253</v>
      </c>
      <c r="O266" s="231">
        <v>2021</v>
      </c>
      <c r="P266" s="281"/>
      <c r="Q266" s="231"/>
      <c r="R266" s="231"/>
      <c r="S266" s="236" t="s">
        <v>457</v>
      </c>
      <c r="T266" s="236" t="s">
        <v>264</v>
      </c>
    </row>
    <row r="267" spans="1:92" ht="14">
      <c r="A267" s="231">
        <v>266</v>
      </c>
      <c r="B267" s="235" t="s">
        <v>52</v>
      </c>
      <c r="C267" s="231" t="s">
        <v>10</v>
      </c>
      <c r="D267" s="250" t="s">
        <v>1032</v>
      </c>
      <c r="E267" s="239" t="s">
        <v>1033</v>
      </c>
      <c r="F267" s="231" t="s">
        <v>881</v>
      </c>
      <c r="G267" s="231" cm="1">
        <f t="array" ref="G267">_xlfn.IFS(J267&lt;301,2,J267&gt;300,48)</f>
        <v>48</v>
      </c>
      <c r="H267" s="231" t="s">
        <v>4545</v>
      </c>
      <c r="I267" s="281">
        <v>0</v>
      </c>
      <c r="J267" s="249">
        <v>2200</v>
      </c>
      <c r="K267" s="231">
        <f t="shared" si="4"/>
        <v>20</v>
      </c>
      <c r="L267" s="231"/>
      <c r="M267" s="231" t="s">
        <v>16</v>
      </c>
      <c r="N267" s="231" t="s">
        <v>253</v>
      </c>
      <c r="O267" s="231">
        <v>2021</v>
      </c>
      <c r="P267" s="281"/>
      <c r="Q267" s="231"/>
      <c r="R267" s="231"/>
      <c r="S267" s="236" t="s">
        <v>453</v>
      </c>
      <c r="T267" s="236" t="s">
        <v>264</v>
      </c>
    </row>
    <row r="268" spans="1:92" ht="14">
      <c r="A268" s="231">
        <v>267</v>
      </c>
      <c r="B268" s="235" t="s">
        <v>52</v>
      </c>
      <c r="C268" s="231" t="s">
        <v>10</v>
      </c>
      <c r="D268" s="250" t="s">
        <v>1034</v>
      </c>
      <c r="E268" s="239" t="s">
        <v>1035</v>
      </c>
      <c r="F268" s="231" t="s">
        <v>854</v>
      </c>
      <c r="G268" s="231" cm="1">
        <f t="array" ref="G268">_xlfn.IFS(J268&lt;301,2,J268&gt;300,48)</f>
        <v>48</v>
      </c>
      <c r="H268" s="231" t="s">
        <v>2763</v>
      </c>
      <c r="I268" s="281">
        <v>0</v>
      </c>
      <c r="J268" s="249">
        <v>2500</v>
      </c>
      <c r="K268" s="231">
        <f t="shared" si="4"/>
        <v>10</v>
      </c>
      <c r="L268" s="231"/>
      <c r="M268" s="299" t="s">
        <v>15</v>
      </c>
      <c r="N268" s="231" t="s">
        <v>253</v>
      </c>
      <c r="O268" s="231">
        <v>2021</v>
      </c>
      <c r="P268" s="281"/>
      <c r="Q268" s="231"/>
      <c r="R268" s="231"/>
      <c r="S268" s="236" t="s">
        <v>453</v>
      </c>
      <c r="T268" s="236" t="s">
        <v>264</v>
      </c>
    </row>
    <row r="269" spans="1:92" ht="14">
      <c r="A269" s="231">
        <v>268</v>
      </c>
      <c r="B269" s="235" t="s">
        <v>52</v>
      </c>
      <c r="C269" s="231" t="s">
        <v>10</v>
      </c>
      <c r="D269" s="250" t="s">
        <v>1036</v>
      </c>
      <c r="E269" s="239" t="s">
        <v>1037</v>
      </c>
      <c r="F269" s="231" t="s">
        <v>763</v>
      </c>
      <c r="G269" s="231" cm="1">
        <f t="array" ref="G269">_xlfn.IFS(J269&lt;301,2,J269&gt;300,48)</f>
        <v>48</v>
      </c>
      <c r="H269" s="231" t="s">
        <v>3111</v>
      </c>
      <c r="I269" s="281">
        <v>0</v>
      </c>
      <c r="J269" s="249">
        <v>500</v>
      </c>
      <c r="K269" s="231">
        <f t="shared" si="4"/>
        <v>10</v>
      </c>
      <c r="L269" s="231"/>
      <c r="M269" s="299" t="s">
        <v>15</v>
      </c>
      <c r="N269" s="231" t="s">
        <v>253</v>
      </c>
      <c r="O269" s="231">
        <v>2020</v>
      </c>
      <c r="P269" s="281"/>
      <c r="Q269" s="231"/>
      <c r="R269" s="231"/>
      <c r="S269" s="236" t="s">
        <v>453</v>
      </c>
      <c r="T269" s="236" t="s">
        <v>264</v>
      </c>
    </row>
    <row r="270" spans="1:92" ht="14">
      <c r="A270" s="231">
        <v>269</v>
      </c>
      <c r="B270" s="235" t="s">
        <v>52</v>
      </c>
      <c r="C270" s="231" t="s">
        <v>10</v>
      </c>
      <c r="D270" s="248" t="s">
        <v>1038</v>
      </c>
      <c r="E270" s="239" t="s">
        <v>1039</v>
      </c>
      <c r="F270" s="231" t="s">
        <v>881</v>
      </c>
      <c r="G270" s="231" cm="1">
        <f t="array" ref="G270">_xlfn.IFS(J270&lt;301,2,J270&gt;300,48)</f>
        <v>48</v>
      </c>
      <c r="H270" s="231" t="s">
        <v>3111</v>
      </c>
      <c r="I270" s="281">
        <v>0</v>
      </c>
      <c r="J270" s="249">
        <v>1400</v>
      </c>
      <c r="K270" s="231">
        <f t="shared" si="4"/>
        <v>20</v>
      </c>
      <c r="L270" s="231"/>
      <c r="M270" s="231" t="s">
        <v>16</v>
      </c>
      <c r="N270" s="231" t="s">
        <v>253</v>
      </c>
      <c r="O270" s="231">
        <v>2021</v>
      </c>
      <c r="P270" s="281"/>
      <c r="Q270" s="231"/>
      <c r="R270" s="231"/>
      <c r="S270" s="236" t="s">
        <v>453</v>
      </c>
      <c r="T270" s="236" t="s">
        <v>264</v>
      </c>
    </row>
    <row r="271" spans="1:92" ht="14">
      <c r="A271" s="231">
        <v>270</v>
      </c>
      <c r="B271" s="235" t="s">
        <v>52</v>
      </c>
      <c r="C271" s="231" t="s">
        <v>10</v>
      </c>
      <c r="D271" s="250" t="s">
        <v>1040</v>
      </c>
      <c r="E271" s="239" t="s">
        <v>1041</v>
      </c>
      <c r="F271" s="231" t="s">
        <v>881</v>
      </c>
      <c r="G271" s="231" cm="1">
        <f t="array" ref="G271">_xlfn.IFS(J271&lt;301,2,J271&gt;300,48)</f>
        <v>48</v>
      </c>
      <c r="H271" s="231" t="s">
        <v>3111</v>
      </c>
      <c r="I271" s="281">
        <v>0</v>
      </c>
      <c r="J271" s="249">
        <v>1200</v>
      </c>
      <c r="K271" s="231">
        <f t="shared" si="4"/>
        <v>20</v>
      </c>
      <c r="L271" s="231"/>
      <c r="M271" s="231" t="s">
        <v>16</v>
      </c>
      <c r="N271" s="231" t="s">
        <v>253</v>
      </c>
      <c r="O271" s="231">
        <v>2021</v>
      </c>
      <c r="P271" s="281"/>
      <c r="Q271" s="231"/>
      <c r="R271" s="231"/>
      <c r="S271" s="236" t="s">
        <v>453</v>
      </c>
      <c r="T271" s="236" t="s">
        <v>264</v>
      </c>
    </row>
    <row r="272" spans="1:92" ht="14">
      <c r="A272" s="231">
        <v>271</v>
      </c>
      <c r="B272" s="235" t="s">
        <v>52</v>
      </c>
      <c r="C272" s="231" t="s">
        <v>10</v>
      </c>
      <c r="D272" s="250" t="s">
        <v>1042</v>
      </c>
      <c r="E272" s="239" t="s">
        <v>1043</v>
      </c>
      <c r="F272" s="231" t="s">
        <v>888</v>
      </c>
      <c r="G272" s="231" cm="1">
        <f t="array" ref="G272">_xlfn.IFS(J272&lt;301,2,J272&gt;300,48)</f>
        <v>48</v>
      </c>
      <c r="H272" s="231" t="s">
        <v>2773</v>
      </c>
      <c r="I272" s="281">
        <v>0</v>
      </c>
      <c r="J272" s="249">
        <v>2500</v>
      </c>
      <c r="K272" s="231">
        <f t="shared" si="4"/>
        <v>10</v>
      </c>
      <c r="L272" s="231"/>
      <c r="M272" s="299" t="s">
        <v>15</v>
      </c>
      <c r="N272" s="231" t="s">
        <v>253</v>
      </c>
      <c r="O272" s="231">
        <v>2021</v>
      </c>
      <c r="P272" s="281"/>
      <c r="Q272" s="231"/>
      <c r="R272" s="231"/>
      <c r="S272" s="236" t="s">
        <v>453</v>
      </c>
      <c r="T272" s="236" t="s">
        <v>264</v>
      </c>
    </row>
    <row r="273" spans="1:20" ht="14">
      <c r="A273" s="231">
        <v>272</v>
      </c>
      <c r="B273" s="235" t="s">
        <v>52</v>
      </c>
      <c r="C273" s="231" t="s">
        <v>10</v>
      </c>
      <c r="D273" s="248" t="s">
        <v>1044</v>
      </c>
      <c r="E273" s="239" t="s">
        <v>1045</v>
      </c>
      <c r="F273" s="231" t="s">
        <v>854</v>
      </c>
      <c r="G273" s="231" cm="1">
        <f t="array" ref="G273">_xlfn.IFS(J273&lt;301,2,J273&gt;300,48)</f>
        <v>48</v>
      </c>
      <c r="H273" s="231" t="s">
        <v>2773</v>
      </c>
      <c r="I273" s="281">
        <v>0</v>
      </c>
      <c r="J273" s="249">
        <v>2200</v>
      </c>
      <c r="K273" s="231">
        <f t="shared" si="4"/>
        <v>10</v>
      </c>
      <c r="L273" s="231"/>
      <c r="M273" s="299" t="s">
        <v>15</v>
      </c>
      <c r="N273" s="231" t="s">
        <v>253</v>
      </c>
      <c r="O273" s="231">
        <v>2021</v>
      </c>
      <c r="P273" s="281"/>
      <c r="Q273" s="231"/>
      <c r="R273" s="231"/>
      <c r="S273" s="236" t="s">
        <v>453</v>
      </c>
      <c r="T273" s="236" t="s">
        <v>264</v>
      </c>
    </row>
    <row r="274" spans="1:20" ht="14">
      <c r="A274" s="231">
        <v>273</v>
      </c>
      <c r="B274" s="235" t="s">
        <v>52</v>
      </c>
      <c r="C274" s="231" t="s">
        <v>10</v>
      </c>
      <c r="D274" s="250" t="s">
        <v>1046</v>
      </c>
      <c r="E274" s="239" t="s">
        <v>1047</v>
      </c>
      <c r="F274" s="231" t="s">
        <v>267</v>
      </c>
      <c r="G274" s="231" cm="1">
        <f t="array" ref="G274">_xlfn.IFS(J274&lt;301,2,J274&gt;300,48)</f>
        <v>48</v>
      </c>
      <c r="H274" s="231" t="s">
        <v>4546</v>
      </c>
      <c r="I274" s="281">
        <v>0</v>
      </c>
      <c r="J274" s="249">
        <v>500</v>
      </c>
      <c r="K274" s="231">
        <f t="shared" si="4"/>
        <v>20</v>
      </c>
      <c r="L274" s="231"/>
      <c r="M274" s="231" t="s">
        <v>16</v>
      </c>
      <c r="N274" s="231" t="s">
        <v>253</v>
      </c>
      <c r="O274" s="231">
        <v>2021</v>
      </c>
      <c r="P274" s="281"/>
      <c r="Q274" s="231"/>
      <c r="R274" s="231"/>
      <c r="S274" s="236" t="s">
        <v>453</v>
      </c>
      <c r="T274" s="236" t="s">
        <v>264</v>
      </c>
    </row>
    <row r="275" spans="1:20" ht="14">
      <c r="A275" s="231">
        <v>274</v>
      </c>
      <c r="B275" s="235" t="s">
        <v>52</v>
      </c>
      <c r="C275" s="231" t="s">
        <v>10</v>
      </c>
      <c r="D275" s="250" t="s">
        <v>1048</v>
      </c>
      <c r="E275" s="239" t="s">
        <v>1049</v>
      </c>
      <c r="F275" s="231" t="s">
        <v>835</v>
      </c>
      <c r="G275" s="231" cm="1">
        <f t="array" ref="G275">_xlfn.IFS(J275&lt;301,2,J275&gt;300,48)</f>
        <v>2</v>
      </c>
      <c r="H275" s="231" t="s">
        <v>4646</v>
      </c>
      <c r="I275" s="281">
        <v>0</v>
      </c>
      <c r="J275" s="249">
        <v>230</v>
      </c>
      <c r="K275" s="231">
        <f t="shared" si="4"/>
        <v>10</v>
      </c>
      <c r="L275" s="231"/>
      <c r="M275" s="299" t="s">
        <v>15</v>
      </c>
      <c r="N275" s="231" t="s">
        <v>253</v>
      </c>
      <c r="O275" s="231">
        <v>2021</v>
      </c>
      <c r="P275" s="281"/>
      <c r="Q275" s="231"/>
      <c r="R275" s="231"/>
      <c r="S275" s="236" t="s">
        <v>453</v>
      </c>
      <c r="T275" s="236" t="s">
        <v>264</v>
      </c>
    </row>
    <row r="276" spans="1:20" ht="14">
      <c r="A276" s="231">
        <v>275</v>
      </c>
      <c r="B276" s="235" t="s">
        <v>52</v>
      </c>
      <c r="C276" s="231" t="s">
        <v>10</v>
      </c>
      <c r="D276" s="250" t="s">
        <v>1050</v>
      </c>
      <c r="E276" s="239" t="s">
        <v>1051</v>
      </c>
      <c r="F276" s="231" t="s">
        <v>835</v>
      </c>
      <c r="G276" s="231" cm="1">
        <f t="array" ref="G276">_xlfn.IFS(J276&lt;301,2,J276&gt;300,48)</f>
        <v>48</v>
      </c>
      <c r="H276" s="231" t="s">
        <v>582</v>
      </c>
      <c r="I276" s="281">
        <v>0</v>
      </c>
      <c r="J276" s="249">
        <v>500</v>
      </c>
      <c r="K276" s="231">
        <f t="shared" si="4"/>
        <v>20</v>
      </c>
      <c r="L276" s="231"/>
      <c r="M276" s="231" t="s">
        <v>16</v>
      </c>
      <c r="N276" s="231" t="s">
        <v>253</v>
      </c>
      <c r="O276" s="231">
        <v>2021</v>
      </c>
      <c r="P276" s="281"/>
      <c r="Q276" s="231"/>
      <c r="R276" s="231"/>
      <c r="S276" s="236" t="s">
        <v>453</v>
      </c>
      <c r="T276" s="236" t="s">
        <v>264</v>
      </c>
    </row>
    <row r="277" spans="1:20" ht="14">
      <c r="A277" s="231">
        <v>276</v>
      </c>
      <c r="B277" s="235" t="s">
        <v>52</v>
      </c>
      <c r="C277" s="231" t="s">
        <v>10</v>
      </c>
      <c r="D277" s="250" t="s">
        <v>1052</v>
      </c>
      <c r="E277" s="239" t="s">
        <v>1053</v>
      </c>
      <c r="F277" s="231" t="s">
        <v>267</v>
      </c>
      <c r="G277" s="231" cm="1">
        <f t="array" ref="G277">_xlfn.IFS(J277&lt;301,2,J277&gt;300,48)</f>
        <v>48</v>
      </c>
      <c r="H277" s="231" t="s">
        <v>2773</v>
      </c>
      <c r="I277" s="281">
        <v>0</v>
      </c>
      <c r="J277" s="249">
        <v>2700</v>
      </c>
      <c r="K277" s="231">
        <f t="shared" si="4"/>
        <v>20</v>
      </c>
      <c r="L277" s="231"/>
      <c r="M277" s="231" t="s">
        <v>16</v>
      </c>
      <c r="N277" s="231" t="s">
        <v>253</v>
      </c>
      <c r="O277" s="231">
        <v>2021</v>
      </c>
      <c r="P277" s="281"/>
      <c r="Q277" s="231"/>
      <c r="R277" s="231"/>
      <c r="S277" s="236" t="s">
        <v>453</v>
      </c>
      <c r="T277" s="236" t="s">
        <v>264</v>
      </c>
    </row>
    <row r="278" spans="1:20" ht="14">
      <c r="A278" s="231">
        <v>277</v>
      </c>
      <c r="B278" s="235" t="s">
        <v>51</v>
      </c>
      <c r="C278" s="231" t="s">
        <v>10</v>
      </c>
      <c r="D278" s="250" t="s">
        <v>1054</v>
      </c>
      <c r="E278" s="239" t="s">
        <v>1055</v>
      </c>
      <c r="F278" s="231" t="s">
        <v>753</v>
      </c>
      <c r="G278" s="231" cm="1">
        <f t="array" ref="G278">_xlfn.IFS(J278&lt;301,2,J278&gt;300,48)</f>
        <v>2</v>
      </c>
      <c r="H278" s="231" t="s">
        <v>164</v>
      </c>
      <c r="I278" s="281">
        <v>0</v>
      </c>
      <c r="J278" s="249">
        <v>250</v>
      </c>
      <c r="K278" s="231">
        <f t="shared" si="4"/>
        <v>10</v>
      </c>
      <c r="L278" s="231"/>
      <c r="M278" s="299" t="s">
        <v>15</v>
      </c>
      <c r="N278" s="231" t="s">
        <v>253</v>
      </c>
      <c r="O278" s="231">
        <v>2021</v>
      </c>
      <c r="P278" s="281"/>
      <c r="Q278" s="231"/>
      <c r="R278" s="231"/>
      <c r="S278" s="236" t="s">
        <v>453</v>
      </c>
      <c r="T278" s="236" t="s">
        <v>264</v>
      </c>
    </row>
    <row r="279" spans="1:20" ht="14">
      <c r="A279" s="231">
        <v>278</v>
      </c>
      <c r="B279" s="235" t="s">
        <v>52</v>
      </c>
      <c r="C279" s="231" t="s">
        <v>10</v>
      </c>
      <c r="D279" s="250" t="s">
        <v>4682</v>
      </c>
      <c r="E279" s="239" t="s">
        <v>1056</v>
      </c>
      <c r="F279" s="231" t="s">
        <v>835</v>
      </c>
      <c r="G279" s="231" cm="1">
        <f t="array" ref="G279">_xlfn.IFS(J279&lt;301,2,J279&gt;300,48)</f>
        <v>48</v>
      </c>
      <c r="H279" s="231" t="s">
        <v>4550</v>
      </c>
      <c r="I279" s="281">
        <v>0</v>
      </c>
      <c r="J279" s="249">
        <v>2500</v>
      </c>
      <c r="K279" s="231">
        <f t="shared" si="4"/>
        <v>10</v>
      </c>
      <c r="L279" s="231"/>
      <c r="M279" s="299" t="s">
        <v>15</v>
      </c>
      <c r="N279" s="231" t="s">
        <v>253</v>
      </c>
      <c r="O279" s="231">
        <v>2021</v>
      </c>
      <c r="P279" s="281"/>
      <c r="Q279" s="231"/>
      <c r="R279" s="231"/>
      <c r="S279" s="236" t="s">
        <v>453</v>
      </c>
      <c r="T279" s="236" t="s">
        <v>264</v>
      </c>
    </row>
    <row r="280" spans="1:20" ht="14">
      <c r="A280" s="231">
        <v>279</v>
      </c>
      <c r="B280" s="235" t="s">
        <v>52</v>
      </c>
      <c r="C280" s="231" t="s">
        <v>10</v>
      </c>
      <c r="D280" s="250" t="s">
        <v>1057</v>
      </c>
      <c r="E280" s="239" t="s">
        <v>1058</v>
      </c>
      <c r="F280" s="231" t="s">
        <v>835</v>
      </c>
      <c r="G280" s="231" cm="1">
        <f t="array" ref="G280">_xlfn.IFS(J280&lt;301,2,J280&gt;300,48)</f>
        <v>48</v>
      </c>
      <c r="H280" s="231" t="s">
        <v>3111</v>
      </c>
      <c r="I280" s="281">
        <v>0</v>
      </c>
      <c r="J280" s="249">
        <v>800</v>
      </c>
      <c r="K280" s="231">
        <f t="shared" si="4"/>
        <v>10</v>
      </c>
      <c r="L280" s="231"/>
      <c r="M280" s="299" t="s">
        <v>15</v>
      </c>
      <c r="N280" s="231" t="s">
        <v>253</v>
      </c>
      <c r="O280" s="231">
        <v>2021</v>
      </c>
      <c r="P280" s="281"/>
      <c r="Q280" s="231"/>
      <c r="R280" s="231"/>
      <c r="S280" s="236" t="s">
        <v>453</v>
      </c>
      <c r="T280" s="236" t="s">
        <v>264</v>
      </c>
    </row>
    <row r="281" spans="1:20" ht="14">
      <c r="A281" s="231">
        <v>280</v>
      </c>
      <c r="B281" s="235" t="s">
        <v>52</v>
      </c>
      <c r="C281" s="231" t="s">
        <v>10</v>
      </c>
      <c r="D281" s="250" t="s">
        <v>1060</v>
      </c>
      <c r="E281" s="239" t="s">
        <v>1061</v>
      </c>
      <c r="F281" s="231" t="s">
        <v>267</v>
      </c>
      <c r="G281" s="231" cm="1">
        <f t="array" ref="G281">_xlfn.IFS(J281&lt;301,2,J281&gt;300,48)</f>
        <v>2</v>
      </c>
      <c r="H281" s="231" t="s">
        <v>4265</v>
      </c>
      <c r="I281" s="281">
        <v>0</v>
      </c>
      <c r="J281" s="249">
        <v>300</v>
      </c>
      <c r="K281" s="231">
        <f t="shared" si="4"/>
        <v>20</v>
      </c>
      <c r="L281" s="231"/>
      <c r="M281" s="231" t="s">
        <v>16</v>
      </c>
      <c r="N281" s="231" t="s">
        <v>253</v>
      </c>
      <c r="O281" s="231">
        <v>2021</v>
      </c>
      <c r="P281" s="281"/>
      <c r="Q281" s="231"/>
      <c r="R281" s="231"/>
      <c r="S281" s="236" t="s">
        <v>453</v>
      </c>
      <c r="T281" s="236" t="s">
        <v>264</v>
      </c>
    </row>
    <row r="282" spans="1:20" ht="14">
      <c r="A282" s="231">
        <v>281</v>
      </c>
      <c r="B282" s="235" t="s">
        <v>52</v>
      </c>
      <c r="C282" s="231" t="s">
        <v>10</v>
      </c>
      <c r="D282" s="250" t="s">
        <v>1062</v>
      </c>
      <c r="E282" s="239" t="s">
        <v>1063</v>
      </c>
      <c r="F282" s="231" t="s">
        <v>1064</v>
      </c>
      <c r="G282" s="231" cm="1">
        <f t="array" ref="G282">_xlfn.IFS(J282&lt;301,2,J282&gt;300,48)</f>
        <v>48</v>
      </c>
      <c r="H282" s="231" t="s">
        <v>2980</v>
      </c>
      <c r="I282" s="281">
        <v>0</v>
      </c>
      <c r="J282" s="249">
        <v>2700</v>
      </c>
      <c r="K282" s="231">
        <f t="shared" si="4"/>
        <v>10</v>
      </c>
      <c r="L282" s="231"/>
      <c r="M282" s="299" t="s">
        <v>15</v>
      </c>
      <c r="N282" s="231" t="s">
        <v>253</v>
      </c>
      <c r="O282" s="231">
        <v>2021</v>
      </c>
      <c r="P282" s="281"/>
      <c r="Q282" s="231"/>
      <c r="R282" s="231"/>
      <c r="S282" s="236" t="s">
        <v>453</v>
      </c>
      <c r="T282" s="236" t="s">
        <v>264</v>
      </c>
    </row>
    <row r="283" spans="1:20" ht="14">
      <c r="A283" s="231">
        <v>282</v>
      </c>
      <c r="B283" s="235" t="s">
        <v>52</v>
      </c>
      <c r="C283" s="231" t="s">
        <v>10</v>
      </c>
      <c r="D283" s="250" t="s">
        <v>1065</v>
      </c>
      <c r="E283" s="239" t="s">
        <v>1066</v>
      </c>
      <c r="F283" s="231" t="s">
        <v>1067</v>
      </c>
      <c r="G283" s="231" cm="1">
        <f t="array" ref="G283">_xlfn.IFS(J283&lt;301,2,J283&gt;300,48)</f>
        <v>48</v>
      </c>
      <c r="H283" s="231" t="s">
        <v>4263</v>
      </c>
      <c r="I283" s="281">
        <v>0</v>
      </c>
      <c r="J283" s="249">
        <v>2000</v>
      </c>
      <c r="K283" s="231">
        <f t="shared" si="4"/>
        <v>10</v>
      </c>
      <c r="L283" s="231"/>
      <c r="M283" s="299" t="s">
        <v>15</v>
      </c>
      <c r="N283" s="231" t="s">
        <v>253</v>
      </c>
      <c r="O283" s="231">
        <v>2021</v>
      </c>
      <c r="P283" s="281"/>
      <c r="Q283" s="231"/>
      <c r="R283" s="231"/>
      <c r="S283" s="236" t="s">
        <v>453</v>
      </c>
      <c r="T283" s="236" t="s">
        <v>264</v>
      </c>
    </row>
    <row r="284" spans="1:20" ht="14">
      <c r="A284" s="231">
        <v>283</v>
      </c>
      <c r="B284" s="235" t="s">
        <v>52</v>
      </c>
      <c r="C284" s="231" t="s">
        <v>10</v>
      </c>
      <c r="D284" s="248" t="s">
        <v>1068</v>
      </c>
      <c r="E284" s="239" t="s">
        <v>1069</v>
      </c>
      <c r="F284" s="231" t="s">
        <v>451</v>
      </c>
      <c r="G284" s="231" cm="1">
        <f t="array" ref="G284">_xlfn.IFS(J284&lt;301,2,J284&gt;300,48)</f>
        <v>48</v>
      </c>
      <c r="H284" s="231" t="s">
        <v>4547</v>
      </c>
      <c r="I284" s="281">
        <v>0</v>
      </c>
      <c r="J284" s="249">
        <v>2500</v>
      </c>
      <c r="K284" s="231">
        <f t="shared" si="4"/>
        <v>20</v>
      </c>
      <c r="L284" s="231"/>
      <c r="M284" s="231" t="s">
        <v>16</v>
      </c>
      <c r="N284" s="231" t="s">
        <v>253</v>
      </c>
      <c r="O284" s="231">
        <v>2021</v>
      </c>
      <c r="P284" s="281"/>
      <c r="Q284" s="231"/>
      <c r="R284" s="231"/>
      <c r="S284" s="236" t="s">
        <v>453</v>
      </c>
      <c r="T284" s="236" t="s">
        <v>264</v>
      </c>
    </row>
    <row r="285" spans="1:20" ht="14">
      <c r="A285" s="231">
        <v>284</v>
      </c>
      <c r="B285" s="235" t="s">
        <v>52</v>
      </c>
      <c r="C285" s="231" t="s">
        <v>10</v>
      </c>
      <c r="D285" s="250" t="s">
        <v>1070</v>
      </c>
      <c r="E285" s="239" t="s">
        <v>1071</v>
      </c>
      <c r="F285" s="231" t="s">
        <v>854</v>
      </c>
      <c r="G285" s="231" cm="1">
        <f t="array" ref="G285">_xlfn.IFS(J285&lt;301,2,J285&gt;300,48)</f>
        <v>48</v>
      </c>
      <c r="H285" s="231" t="s">
        <v>185</v>
      </c>
      <c r="I285" s="281">
        <v>0</v>
      </c>
      <c r="J285" s="249">
        <v>1400</v>
      </c>
      <c r="K285" s="231">
        <f t="shared" si="4"/>
        <v>10</v>
      </c>
      <c r="L285" s="231"/>
      <c r="M285" s="299" t="s">
        <v>15</v>
      </c>
      <c r="N285" s="231" t="s">
        <v>253</v>
      </c>
      <c r="O285" s="231">
        <v>2021</v>
      </c>
      <c r="P285" s="281"/>
      <c r="Q285" s="231"/>
      <c r="R285" s="231"/>
      <c r="S285" s="236" t="s">
        <v>453</v>
      </c>
      <c r="T285" s="236" t="s">
        <v>264</v>
      </c>
    </row>
    <row r="286" spans="1:20" ht="14">
      <c r="A286" s="231">
        <v>285</v>
      </c>
      <c r="B286" s="235" t="s">
        <v>52</v>
      </c>
      <c r="C286" s="231" t="s">
        <v>10</v>
      </c>
      <c r="D286" s="250" t="s">
        <v>1072</v>
      </c>
      <c r="E286" s="239" t="s">
        <v>1073</v>
      </c>
      <c r="F286" s="231" t="s">
        <v>873</v>
      </c>
      <c r="G286" s="231" cm="1">
        <f t="array" ref="G286">_xlfn.IFS(J286&lt;301,2,J286&gt;300,48)</f>
        <v>48</v>
      </c>
      <c r="H286" s="231" t="s">
        <v>3060</v>
      </c>
      <c r="I286" s="281">
        <v>0</v>
      </c>
      <c r="J286" s="249">
        <v>900</v>
      </c>
      <c r="K286" s="231">
        <f t="shared" si="4"/>
        <v>10</v>
      </c>
      <c r="L286" s="231"/>
      <c r="M286" s="299" t="s">
        <v>15</v>
      </c>
      <c r="N286" s="231" t="s">
        <v>253</v>
      </c>
      <c r="O286" s="231">
        <v>2021</v>
      </c>
      <c r="P286" s="281"/>
      <c r="Q286" s="231"/>
      <c r="R286" s="231"/>
      <c r="S286" s="236" t="s">
        <v>453</v>
      </c>
      <c r="T286" s="236" t="s">
        <v>264</v>
      </c>
    </row>
    <row r="287" spans="1:20" ht="14">
      <c r="A287" s="231">
        <v>286</v>
      </c>
      <c r="B287" s="235" t="s">
        <v>52</v>
      </c>
      <c r="C287" s="231" t="s">
        <v>10</v>
      </c>
      <c r="D287" s="250" t="s">
        <v>1074</v>
      </c>
      <c r="E287" s="239" t="s">
        <v>1075</v>
      </c>
      <c r="F287" s="231" t="s">
        <v>1076</v>
      </c>
      <c r="G287" s="231" cm="1">
        <f t="array" ref="G287">_xlfn.IFS(J287&lt;301,2,J287&gt;300,48)</f>
        <v>48</v>
      </c>
      <c r="H287" s="231" t="s">
        <v>4665</v>
      </c>
      <c r="I287" s="281">
        <v>0</v>
      </c>
      <c r="J287" s="249">
        <v>3000</v>
      </c>
      <c r="K287" s="231">
        <f t="shared" si="4"/>
        <v>20</v>
      </c>
      <c r="L287" s="231"/>
      <c r="M287" s="299" t="s">
        <v>15</v>
      </c>
      <c r="N287" s="231" t="s">
        <v>253</v>
      </c>
      <c r="O287" s="231">
        <v>2021</v>
      </c>
      <c r="P287" s="281"/>
      <c r="Q287" s="231"/>
      <c r="R287" s="231"/>
      <c r="S287" s="236" t="s">
        <v>453</v>
      </c>
      <c r="T287" s="236" t="s">
        <v>264</v>
      </c>
    </row>
    <row r="288" spans="1:20" ht="14">
      <c r="A288" s="231">
        <v>287</v>
      </c>
      <c r="B288" s="235" t="s">
        <v>52</v>
      </c>
      <c r="C288" s="231" t="s">
        <v>10</v>
      </c>
      <c r="D288" s="250" t="s">
        <v>1077</v>
      </c>
      <c r="E288" s="239" t="s">
        <v>1078</v>
      </c>
      <c r="F288" s="231" t="s">
        <v>844</v>
      </c>
      <c r="G288" s="231" cm="1">
        <f t="array" ref="G288">_xlfn.IFS(J288&lt;301,2,J288&gt;300,48)</f>
        <v>48</v>
      </c>
      <c r="H288" s="231" t="s">
        <v>2980</v>
      </c>
      <c r="I288" s="281">
        <v>0</v>
      </c>
      <c r="J288" s="249">
        <v>1000</v>
      </c>
      <c r="K288" s="231">
        <f t="shared" si="4"/>
        <v>20</v>
      </c>
      <c r="L288" s="231"/>
      <c r="M288" s="231" t="s">
        <v>16</v>
      </c>
      <c r="N288" s="231" t="s">
        <v>253</v>
      </c>
      <c r="O288" s="231">
        <v>2021</v>
      </c>
      <c r="P288" s="281"/>
      <c r="Q288" s="231"/>
      <c r="R288" s="231"/>
      <c r="S288" s="236" t="s">
        <v>453</v>
      </c>
      <c r="T288" s="236" t="s">
        <v>264</v>
      </c>
    </row>
    <row r="289" spans="1:92" ht="14">
      <c r="A289" s="231">
        <v>288</v>
      </c>
      <c r="B289" s="235" t="s">
        <v>52</v>
      </c>
      <c r="C289" s="231" t="s">
        <v>10</v>
      </c>
      <c r="D289" s="250" t="s">
        <v>1079</v>
      </c>
      <c r="E289" s="239" t="s">
        <v>1080</v>
      </c>
      <c r="F289" s="231" t="s">
        <v>873</v>
      </c>
      <c r="G289" s="231" cm="1">
        <f t="array" ref="G289">_xlfn.IFS(J289&lt;301,2,J289&gt;300,48)</f>
        <v>2</v>
      </c>
      <c r="H289" s="231" t="s">
        <v>168</v>
      </c>
      <c r="I289" s="281">
        <v>0</v>
      </c>
      <c r="J289" s="249">
        <v>300</v>
      </c>
      <c r="K289" s="231">
        <f t="shared" si="4"/>
        <v>20</v>
      </c>
      <c r="L289" s="231"/>
      <c r="M289" s="231" t="s">
        <v>16</v>
      </c>
      <c r="N289" s="231" t="s">
        <v>253</v>
      </c>
      <c r="O289" s="231">
        <v>2021</v>
      </c>
      <c r="P289" s="281"/>
      <c r="Q289" s="231"/>
      <c r="R289" s="231"/>
      <c r="S289" s="236" t="s">
        <v>453</v>
      </c>
      <c r="T289" s="236" t="s">
        <v>264</v>
      </c>
    </row>
    <row r="290" spans="1:92" ht="14">
      <c r="A290" s="231">
        <v>289</v>
      </c>
      <c r="B290" s="235" t="s">
        <v>52</v>
      </c>
      <c r="C290" s="231" t="s">
        <v>10</v>
      </c>
      <c r="D290" s="250" t="s">
        <v>1081</v>
      </c>
      <c r="E290" s="239" t="s">
        <v>1082</v>
      </c>
      <c r="F290" s="231" t="s">
        <v>267</v>
      </c>
      <c r="G290" s="231" cm="1">
        <f t="array" ref="G290">_xlfn.IFS(J290&lt;301,2,J290&gt;300,48)</f>
        <v>48</v>
      </c>
      <c r="H290" s="231" t="s">
        <v>2765</v>
      </c>
      <c r="I290" s="281">
        <v>0</v>
      </c>
      <c r="J290" s="249">
        <v>600</v>
      </c>
      <c r="K290" s="231">
        <f t="shared" si="4"/>
        <v>10</v>
      </c>
      <c r="L290" s="231"/>
      <c r="M290" s="299" t="s">
        <v>15</v>
      </c>
      <c r="N290" s="231" t="s">
        <v>253</v>
      </c>
      <c r="O290" s="231">
        <v>2021</v>
      </c>
      <c r="P290" s="281"/>
      <c r="Q290" s="231"/>
      <c r="R290" s="231"/>
      <c r="S290" s="236" t="s">
        <v>453</v>
      </c>
      <c r="T290" s="236" t="s">
        <v>264</v>
      </c>
    </row>
    <row r="291" spans="1:92" ht="14">
      <c r="A291" s="231">
        <v>290</v>
      </c>
      <c r="B291" s="235" t="s">
        <v>52</v>
      </c>
      <c r="C291" s="231" t="s">
        <v>10</v>
      </c>
      <c r="D291" s="250" t="s">
        <v>1083</v>
      </c>
      <c r="E291" s="231" t="s">
        <v>1084</v>
      </c>
      <c r="F291" s="231" t="s">
        <v>854</v>
      </c>
      <c r="G291" s="231" cm="1">
        <f t="array" ref="G291">_xlfn.IFS(J291&lt;301,2,J291&gt;300,48)</f>
        <v>48</v>
      </c>
      <c r="H291" s="231" t="s">
        <v>2763</v>
      </c>
      <c r="I291" s="281">
        <v>0</v>
      </c>
      <c r="J291" s="249">
        <v>350</v>
      </c>
      <c r="K291" s="231">
        <f t="shared" si="4"/>
        <v>20</v>
      </c>
      <c r="L291" s="231"/>
      <c r="M291" s="231" t="s">
        <v>16</v>
      </c>
      <c r="N291" s="231" t="s">
        <v>253</v>
      </c>
      <c r="O291" s="231">
        <v>2021</v>
      </c>
      <c r="P291" s="281"/>
      <c r="Q291" s="231"/>
      <c r="R291" s="231"/>
      <c r="S291" s="236" t="s">
        <v>453</v>
      </c>
      <c r="T291" s="236" t="s">
        <v>264</v>
      </c>
    </row>
    <row r="292" spans="1:92" ht="14">
      <c r="A292" s="231">
        <v>291</v>
      </c>
      <c r="B292" s="235" t="s">
        <v>52</v>
      </c>
      <c r="C292" s="231" t="s">
        <v>10</v>
      </c>
      <c r="D292" s="250" t="s">
        <v>1085</v>
      </c>
      <c r="E292" s="239" t="s">
        <v>1086</v>
      </c>
      <c r="F292" s="231" t="s">
        <v>878</v>
      </c>
      <c r="G292" s="231" cm="1">
        <f t="array" ref="G292">_xlfn.IFS(J292&lt;301,2,J292&gt;300,48)</f>
        <v>2</v>
      </c>
      <c r="H292" s="231" t="s">
        <v>4658</v>
      </c>
      <c r="I292" s="281">
        <v>0</v>
      </c>
      <c r="J292" s="249">
        <v>200</v>
      </c>
      <c r="K292" s="231">
        <f t="shared" si="4"/>
        <v>10</v>
      </c>
      <c r="L292" s="231"/>
      <c r="M292" s="299" t="s">
        <v>15</v>
      </c>
      <c r="N292" s="231" t="s">
        <v>253</v>
      </c>
      <c r="O292" s="231">
        <v>2021</v>
      </c>
      <c r="P292" s="281"/>
      <c r="Q292" s="231"/>
      <c r="R292" s="231"/>
      <c r="S292" s="236" t="s">
        <v>453</v>
      </c>
      <c r="T292" s="236" t="s">
        <v>264</v>
      </c>
    </row>
    <row r="293" spans="1:92" ht="14">
      <c r="A293" s="231">
        <v>292</v>
      </c>
      <c r="B293" s="235" t="s">
        <v>52</v>
      </c>
      <c r="C293" s="231" t="s">
        <v>10</v>
      </c>
      <c r="D293" s="250" t="s">
        <v>1087</v>
      </c>
      <c r="E293" s="239" t="s">
        <v>1088</v>
      </c>
      <c r="F293" s="231" t="s">
        <v>854</v>
      </c>
      <c r="G293" s="231" cm="1">
        <f t="array" ref="G293">_xlfn.IFS(J293&lt;301,2,J293&gt;300,48)</f>
        <v>48</v>
      </c>
      <c r="H293" s="231" t="s">
        <v>2773</v>
      </c>
      <c r="I293" s="281">
        <v>0</v>
      </c>
      <c r="J293" s="249">
        <v>4500</v>
      </c>
      <c r="K293" s="231">
        <f t="shared" si="4"/>
        <v>20</v>
      </c>
      <c r="L293" s="231"/>
      <c r="M293" s="231" t="s">
        <v>16</v>
      </c>
      <c r="N293" s="231" t="s">
        <v>253</v>
      </c>
      <c r="O293" s="231">
        <v>2021</v>
      </c>
      <c r="P293" s="281"/>
      <c r="Q293" s="231"/>
      <c r="R293" s="231"/>
      <c r="S293" s="236" t="s">
        <v>453</v>
      </c>
      <c r="T293" s="236" t="s">
        <v>264</v>
      </c>
    </row>
    <row r="294" spans="1:92" ht="14">
      <c r="A294" s="231">
        <v>293</v>
      </c>
      <c r="B294" s="235" t="s">
        <v>52</v>
      </c>
      <c r="C294" s="231" t="s">
        <v>10</v>
      </c>
      <c r="D294" s="250" t="s">
        <v>1089</v>
      </c>
      <c r="E294" s="239" t="s">
        <v>1090</v>
      </c>
      <c r="F294" s="231" t="s">
        <v>854</v>
      </c>
      <c r="G294" s="231" cm="1">
        <f t="array" ref="G294">_xlfn.IFS(J294&lt;301,2,J294&gt;300,48)</f>
        <v>2</v>
      </c>
      <c r="H294" s="231" t="s">
        <v>2763</v>
      </c>
      <c r="I294" s="281">
        <v>0</v>
      </c>
      <c r="J294" s="249">
        <v>200</v>
      </c>
      <c r="K294" s="231">
        <f t="shared" si="4"/>
        <v>20</v>
      </c>
      <c r="L294" s="231"/>
      <c r="M294" s="231" t="s">
        <v>16</v>
      </c>
      <c r="N294" s="231" t="s">
        <v>253</v>
      </c>
      <c r="O294" s="231">
        <v>2021</v>
      </c>
      <c r="P294" s="281"/>
      <c r="Q294" s="231"/>
      <c r="R294" s="231"/>
      <c r="S294" s="236" t="s">
        <v>453</v>
      </c>
      <c r="T294" s="236" t="s">
        <v>264</v>
      </c>
    </row>
    <row r="295" spans="1:92" ht="14">
      <c r="A295" s="231">
        <v>294</v>
      </c>
      <c r="B295" s="235" t="s">
        <v>52</v>
      </c>
      <c r="C295" s="231" t="s">
        <v>10</v>
      </c>
      <c r="D295" s="250" t="s">
        <v>1091</v>
      </c>
      <c r="E295" s="239" t="s">
        <v>1092</v>
      </c>
      <c r="F295" s="231" t="s">
        <v>878</v>
      </c>
      <c r="G295" s="231" cm="1">
        <f t="array" ref="G295">_xlfn.IFS(J295&lt;301,2,J295&gt;300,48)</f>
        <v>48</v>
      </c>
      <c r="H295" s="231" t="s">
        <v>2853</v>
      </c>
      <c r="I295" s="281">
        <v>0</v>
      </c>
      <c r="J295" s="249">
        <v>2700</v>
      </c>
      <c r="K295" s="231">
        <f t="shared" si="4"/>
        <v>10</v>
      </c>
      <c r="L295" s="231"/>
      <c r="M295" s="299" t="s">
        <v>15</v>
      </c>
      <c r="N295" s="231" t="s">
        <v>253</v>
      </c>
      <c r="O295" s="231">
        <v>2021</v>
      </c>
      <c r="P295" s="281"/>
      <c r="Q295" s="231"/>
      <c r="R295" s="231"/>
      <c r="S295" s="236" t="s">
        <v>453</v>
      </c>
      <c r="T295" s="236" t="s">
        <v>264</v>
      </c>
    </row>
    <row r="296" spans="1:92" ht="28">
      <c r="A296" s="231">
        <v>295</v>
      </c>
      <c r="B296" s="235" t="s">
        <v>52</v>
      </c>
      <c r="C296" s="231" t="s">
        <v>10</v>
      </c>
      <c r="D296" s="248" t="s">
        <v>1093</v>
      </c>
      <c r="E296" s="239" t="s">
        <v>1094</v>
      </c>
      <c r="F296" s="231" t="s">
        <v>1095</v>
      </c>
      <c r="G296" s="231" cm="1">
        <f t="array" ref="G296">_xlfn.IFS(J296&lt;301,2,J296&gt;300,48)</f>
        <v>48</v>
      </c>
      <c r="H296" s="231" t="s">
        <v>2853</v>
      </c>
      <c r="I296" s="281">
        <v>0</v>
      </c>
      <c r="J296" s="249">
        <v>2800</v>
      </c>
      <c r="K296" s="231">
        <f t="shared" si="4"/>
        <v>10</v>
      </c>
      <c r="L296" s="231"/>
      <c r="M296" s="299" t="s">
        <v>15</v>
      </c>
      <c r="N296" s="231" t="s">
        <v>253</v>
      </c>
      <c r="O296" s="231">
        <v>2021</v>
      </c>
      <c r="P296" s="281"/>
      <c r="Q296" s="231"/>
      <c r="R296" s="231"/>
      <c r="S296" s="236" t="s">
        <v>453</v>
      </c>
      <c r="T296" s="236" t="s">
        <v>264</v>
      </c>
    </row>
    <row r="297" spans="1:92" ht="28">
      <c r="A297" s="231">
        <v>296</v>
      </c>
      <c r="B297" s="235" t="s">
        <v>52</v>
      </c>
      <c r="C297" s="231" t="s">
        <v>10</v>
      </c>
      <c r="D297" s="248" t="s">
        <v>1096</v>
      </c>
      <c r="E297" s="239" t="s">
        <v>1097</v>
      </c>
      <c r="F297" s="231" t="s">
        <v>844</v>
      </c>
      <c r="G297" s="231" cm="1">
        <f t="array" ref="G297">_xlfn.IFS(J297&lt;301,2,J297&gt;300,48)</f>
        <v>48</v>
      </c>
      <c r="H297" s="231" t="s">
        <v>2779</v>
      </c>
      <c r="I297" s="281">
        <v>0</v>
      </c>
      <c r="J297" s="249">
        <v>2300</v>
      </c>
      <c r="K297" s="231">
        <f t="shared" si="4"/>
        <v>20</v>
      </c>
      <c r="L297" s="231"/>
      <c r="M297" s="231" t="s">
        <v>16</v>
      </c>
      <c r="N297" s="231" t="s">
        <v>253</v>
      </c>
      <c r="O297" s="231">
        <v>2021</v>
      </c>
      <c r="P297" s="281"/>
      <c r="Q297" s="231"/>
      <c r="R297" s="231"/>
      <c r="S297" s="236" t="s">
        <v>453</v>
      </c>
      <c r="T297" s="236" t="s">
        <v>264</v>
      </c>
    </row>
    <row r="298" spans="1:92" ht="14">
      <c r="A298" s="231">
        <v>297</v>
      </c>
      <c r="B298" s="235" t="s">
        <v>52</v>
      </c>
      <c r="C298" s="231" t="s">
        <v>10</v>
      </c>
      <c r="D298" s="250" t="s">
        <v>1098</v>
      </c>
      <c r="E298" s="239" t="s">
        <v>1099</v>
      </c>
      <c r="F298" s="231" t="s">
        <v>267</v>
      </c>
      <c r="G298" s="231" cm="1">
        <f t="array" ref="G298">_xlfn.IFS(J298&lt;301,2,J298&gt;300,48)</f>
        <v>48</v>
      </c>
      <c r="H298" s="231" t="s">
        <v>3542</v>
      </c>
      <c r="I298" s="281">
        <v>0</v>
      </c>
      <c r="J298" s="249">
        <v>3000</v>
      </c>
      <c r="K298" s="231">
        <f t="shared" si="4"/>
        <v>20</v>
      </c>
      <c r="L298" s="231"/>
      <c r="M298" s="299" t="s">
        <v>15</v>
      </c>
      <c r="N298" s="231" t="s">
        <v>253</v>
      </c>
      <c r="O298" s="231">
        <v>2021</v>
      </c>
      <c r="P298" s="281"/>
      <c r="Q298" s="231"/>
      <c r="R298" s="231"/>
      <c r="S298" s="236" t="s">
        <v>453</v>
      </c>
      <c r="T298" s="236" t="s">
        <v>264</v>
      </c>
    </row>
    <row r="299" spans="1:92" ht="14">
      <c r="A299" s="231">
        <v>298</v>
      </c>
      <c r="B299" s="235" t="s">
        <v>52</v>
      </c>
      <c r="C299" s="231" t="s">
        <v>10</v>
      </c>
      <c r="D299" s="250" t="s">
        <v>1100</v>
      </c>
      <c r="E299" s="239" t="s">
        <v>1101</v>
      </c>
      <c r="F299" s="231" t="s">
        <v>267</v>
      </c>
      <c r="G299" s="231" cm="1">
        <f t="array" ref="G299">_xlfn.IFS(J299&lt;301,2,J299&gt;300,48)</f>
        <v>48</v>
      </c>
      <c r="H299" s="231" t="s">
        <v>3542</v>
      </c>
      <c r="I299" s="281">
        <v>0</v>
      </c>
      <c r="J299" s="249">
        <v>500</v>
      </c>
      <c r="K299" s="231">
        <f t="shared" si="4"/>
        <v>20</v>
      </c>
      <c r="L299" s="231"/>
      <c r="M299" s="231" t="s">
        <v>16</v>
      </c>
      <c r="N299" s="231" t="s">
        <v>253</v>
      </c>
      <c r="O299" s="231">
        <v>2021</v>
      </c>
      <c r="P299" s="281"/>
      <c r="Q299" s="231"/>
      <c r="R299" s="231"/>
      <c r="S299" s="236" t="s">
        <v>453</v>
      </c>
      <c r="T299" s="236" t="s">
        <v>264</v>
      </c>
    </row>
    <row r="300" spans="1:92" ht="14">
      <c r="A300" s="231">
        <v>299</v>
      </c>
      <c r="B300" s="235" t="s">
        <v>52</v>
      </c>
      <c r="C300" s="231" t="s">
        <v>10</v>
      </c>
      <c r="D300" s="250" t="s">
        <v>1102</v>
      </c>
      <c r="E300" s="239" t="s">
        <v>1103</v>
      </c>
      <c r="F300" s="231" t="s">
        <v>814</v>
      </c>
      <c r="G300" s="231" cm="1">
        <f t="array" ref="G300">_xlfn.IFS(J300&lt;301,2,J300&gt;300,48)</f>
        <v>48</v>
      </c>
      <c r="H300" s="231" t="s">
        <v>187</v>
      </c>
      <c r="I300" s="281">
        <v>0</v>
      </c>
      <c r="J300" s="249">
        <v>500</v>
      </c>
      <c r="K300" s="231">
        <f t="shared" si="4"/>
        <v>10</v>
      </c>
      <c r="L300" s="231"/>
      <c r="M300" s="299" t="s">
        <v>15</v>
      </c>
      <c r="N300" s="231" t="s">
        <v>253</v>
      </c>
      <c r="O300" s="231">
        <v>2021</v>
      </c>
      <c r="P300" s="281"/>
      <c r="Q300" s="231"/>
      <c r="R300" s="231"/>
      <c r="S300" s="236" t="s">
        <v>453</v>
      </c>
      <c r="T300" s="236" t="s">
        <v>264</v>
      </c>
    </row>
    <row r="301" spans="1:92" ht="14">
      <c r="A301" s="231">
        <v>300</v>
      </c>
      <c r="B301" s="235" t="s">
        <v>52</v>
      </c>
      <c r="C301" s="231" t="s">
        <v>10</v>
      </c>
      <c r="D301" s="250" t="s">
        <v>1104</v>
      </c>
      <c r="E301" s="239" t="s">
        <v>1105</v>
      </c>
      <c r="F301" s="231" t="s">
        <v>814</v>
      </c>
      <c r="G301" s="231" cm="1">
        <f t="array" ref="G301">_xlfn.IFS(J301&lt;301,2,J301&gt;300,48)</f>
        <v>48</v>
      </c>
      <c r="H301" s="231" t="s">
        <v>4546</v>
      </c>
      <c r="I301" s="281">
        <v>0</v>
      </c>
      <c r="J301" s="249">
        <v>1800</v>
      </c>
      <c r="K301" s="231">
        <f t="shared" si="4"/>
        <v>20</v>
      </c>
      <c r="L301" s="231"/>
      <c r="M301" s="231" t="s">
        <v>16</v>
      </c>
      <c r="N301" s="231" t="s">
        <v>253</v>
      </c>
      <c r="O301" s="231">
        <v>2021</v>
      </c>
      <c r="P301" s="281"/>
      <c r="Q301" s="231"/>
      <c r="R301" s="231"/>
      <c r="S301" s="236" t="s">
        <v>453</v>
      </c>
      <c r="T301" s="236" t="s">
        <v>264</v>
      </c>
    </row>
    <row r="302" spans="1:92" s="147" customFormat="1" ht="14">
      <c r="A302" s="231">
        <v>301</v>
      </c>
      <c r="B302" s="235" t="s">
        <v>52</v>
      </c>
      <c r="C302" s="231" t="s">
        <v>10</v>
      </c>
      <c r="D302" s="250" t="s">
        <v>1106</v>
      </c>
      <c r="E302" s="239" t="s">
        <v>1107</v>
      </c>
      <c r="F302" s="231" t="s">
        <v>267</v>
      </c>
      <c r="G302" s="231" cm="1">
        <f t="array" ref="G302">_xlfn.IFS(J302&lt;301,2,J302&gt;300,48)</f>
        <v>48</v>
      </c>
      <c r="H302" s="231" t="s">
        <v>4265</v>
      </c>
      <c r="I302" s="281">
        <v>0</v>
      </c>
      <c r="J302" s="249">
        <v>1500</v>
      </c>
      <c r="K302" s="231">
        <f t="shared" si="4"/>
        <v>20</v>
      </c>
      <c r="L302" s="231"/>
      <c r="M302" s="231" t="s">
        <v>16</v>
      </c>
      <c r="N302" s="231" t="s">
        <v>253</v>
      </c>
      <c r="O302" s="231">
        <v>2021</v>
      </c>
      <c r="P302" s="281"/>
      <c r="Q302" s="231"/>
      <c r="R302" s="231"/>
      <c r="S302" s="236" t="s">
        <v>453</v>
      </c>
      <c r="T302" s="236" t="s">
        <v>264</v>
      </c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0"/>
      <c r="AJ302" s="90"/>
      <c r="AK302" s="90"/>
      <c r="AL302" s="90"/>
      <c r="AM302" s="90"/>
      <c r="AN302" s="90"/>
      <c r="AO302" s="90"/>
      <c r="AP302" s="90"/>
      <c r="AQ302" s="90"/>
      <c r="AR302" s="90"/>
      <c r="AS302" s="90"/>
      <c r="AT302" s="90"/>
      <c r="AU302" s="90"/>
      <c r="AV302" s="90"/>
      <c r="AW302" s="90"/>
      <c r="AX302" s="90"/>
      <c r="AY302" s="90"/>
      <c r="AZ302" s="90"/>
      <c r="BA302" s="90"/>
      <c r="BB302" s="90"/>
      <c r="BC302" s="90"/>
      <c r="BD302" s="90"/>
      <c r="BE302" s="90"/>
      <c r="BF302" s="90"/>
      <c r="BG302" s="90"/>
      <c r="BH302" s="90"/>
      <c r="BI302" s="90"/>
      <c r="BJ302" s="90"/>
      <c r="BK302" s="90"/>
      <c r="BL302" s="90"/>
      <c r="BM302" s="90"/>
      <c r="BN302" s="90"/>
      <c r="BO302" s="90"/>
      <c r="BP302" s="90"/>
      <c r="BQ302" s="90"/>
      <c r="BR302" s="90"/>
      <c r="BS302" s="90"/>
      <c r="BT302" s="90"/>
      <c r="BU302" s="90"/>
      <c r="BV302" s="90"/>
      <c r="BW302" s="90"/>
      <c r="BX302" s="90"/>
      <c r="BY302" s="90"/>
      <c r="BZ302" s="90"/>
      <c r="CA302" s="90"/>
      <c r="CB302" s="90"/>
      <c r="CC302" s="90"/>
      <c r="CD302" s="90"/>
      <c r="CE302" s="90"/>
      <c r="CF302" s="90"/>
      <c r="CG302" s="90"/>
      <c r="CH302" s="90"/>
      <c r="CI302" s="90"/>
      <c r="CJ302" s="90"/>
      <c r="CK302" s="90"/>
      <c r="CL302" s="90"/>
      <c r="CM302" s="90"/>
      <c r="CN302" s="90"/>
    </row>
    <row r="303" spans="1:92" ht="14">
      <c r="A303" s="231">
        <v>302</v>
      </c>
      <c r="B303" s="235" t="s">
        <v>52</v>
      </c>
      <c r="C303" s="231" t="s">
        <v>10</v>
      </c>
      <c r="D303" s="250" t="s">
        <v>1108</v>
      </c>
      <c r="E303" s="239" t="s">
        <v>1109</v>
      </c>
      <c r="F303" s="231" t="s">
        <v>763</v>
      </c>
      <c r="G303" s="231" cm="1">
        <f t="array" ref="G303">_xlfn.IFS(J303&lt;301,2,J303&gt;300,48)</f>
        <v>48</v>
      </c>
      <c r="H303" s="231" t="s">
        <v>4587</v>
      </c>
      <c r="I303" s="281">
        <v>0</v>
      </c>
      <c r="J303" s="249">
        <v>2500</v>
      </c>
      <c r="K303" s="231">
        <f t="shared" si="4"/>
        <v>10</v>
      </c>
      <c r="L303" s="231"/>
      <c r="M303" s="299" t="s">
        <v>15</v>
      </c>
      <c r="N303" s="231" t="s">
        <v>253</v>
      </c>
      <c r="O303" s="231">
        <v>2021</v>
      </c>
      <c r="P303" s="281"/>
      <c r="Q303" s="231"/>
      <c r="R303" s="231"/>
      <c r="S303" s="236" t="s">
        <v>453</v>
      </c>
      <c r="T303" s="236" t="s">
        <v>264</v>
      </c>
    </row>
    <row r="304" spans="1:92" ht="14">
      <c r="A304" s="231">
        <v>303</v>
      </c>
      <c r="B304" s="235" t="s">
        <v>52</v>
      </c>
      <c r="C304" s="231" t="s">
        <v>10</v>
      </c>
      <c r="D304" s="250" t="s">
        <v>1110</v>
      </c>
      <c r="E304" s="239" t="s">
        <v>1111</v>
      </c>
      <c r="F304" s="231" t="s">
        <v>881</v>
      </c>
      <c r="G304" s="231" cm="1">
        <f t="array" ref="G304">_xlfn.IFS(J304&lt;301,2,J304&gt;300,48)</f>
        <v>48</v>
      </c>
      <c r="H304" s="231" t="s">
        <v>2875</v>
      </c>
      <c r="I304" s="281">
        <v>0</v>
      </c>
      <c r="J304" s="249">
        <v>23812</v>
      </c>
      <c r="K304" s="231" t="str">
        <f t="shared" si="4"/>
        <v>N/A</v>
      </c>
      <c r="L304" s="231"/>
      <c r="M304" s="231" t="s">
        <v>456</v>
      </c>
      <c r="N304" s="231" t="s">
        <v>253</v>
      </c>
      <c r="O304" s="231">
        <v>2021</v>
      </c>
      <c r="P304" s="281"/>
      <c r="Q304" s="231"/>
      <c r="R304" s="231"/>
      <c r="S304" s="236" t="s">
        <v>453</v>
      </c>
      <c r="T304" s="236" t="s">
        <v>264</v>
      </c>
    </row>
    <row r="305" spans="1:92" ht="14">
      <c r="A305" s="231">
        <v>304</v>
      </c>
      <c r="B305" s="235" t="s">
        <v>52</v>
      </c>
      <c r="C305" s="231" t="s">
        <v>10</v>
      </c>
      <c r="D305" s="250" t="s">
        <v>1112</v>
      </c>
      <c r="E305" s="239" t="s">
        <v>1113</v>
      </c>
      <c r="F305" s="231" t="s">
        <v>873</v>
      </c>
      <c r="G305" s="231" cm="1">
        <f t="array" ref="G305">_xlfn.IFS(J305&lt;301,2,J305&gt;300,48)</f>
        <v>48</v>
      </c>
      <c r="H305" s="231" t="s">
        <v>4548</v>
      </c>
      <c r="I305" s="281">
        <v>0</v>
      </c>
      <c r="J305" s="249">
        <v>800</v>
      </c>
      <c r="K305" s="231">
        <f t="shared" si="4"/>
        <v>20</v>
      </c>
      <c r="L305" s="231"/>
      <c r="M305" s="231" t="s">
        <v>16</v>
      </c>
      <c r="N305" s="231" t="s">
        <v>253</v>
      </c>
      <c r="O305" s="231">
        <v>2021</v>
      </c>
      <c r="P305" s="281"/>
      <c r="Q305" s="231"/>
      <c r="R305" s="231"/>
      <c r="S305" s="236" t="s">
        <v>453</v>
      </c>
      <c r="T305" s="236" t="s">
        <v>264</v>
      </c>
    </row>
    <row r="306" spans="1:92" ht="14">
      <c r="A306" s="231">
        <v>305</v>
      </c>
      <c r="B306" s="235" t="s">
        <v>52</v>
      </c>
      <c r="C306" s="231" t="s">
        <v>10</v>
      </c>
      <c r="D306" s="250" t="s">
        <v>1114</v>
      </c>
      <c r="E306" s="239" t="s">
        <v>1115</v>
      </c>
      <c r="F306" s="231" t="s">
        <v>835</v>
      </c>
      <c r="G306" s="231" cm="1">
        <f t="array" ref="G306">_xlfn.IFS(J306&lt;301,2,J306&gt;300,48)</f>
        <v>48</v>
      </c>
      <c r="H306" s="231" t="s">
        <v>4256</v>
      </c>
      <c r="I306" s="281">
        <v>0</v>
      </c>
      <c r="J306" s="249">
        <v>41006</v>
      </c>
      <c r="K306" s="231" t="str">
        <f t="shared" si="4"/>
        <v>N/A</v>
      </c>
      <c r="L306" s="231"/>
      <c r="M306" s="231" t="s">
        <v>456</v>
      </c>
      <c r="N306" s="231" t="s">
        <v>253</v>
      </c>
      <c r="O306" s="231">
        <v>2021</v>
      </c>
      <c r="P306" s="281"/>
      <c r="Q306" s="231"/>
      <c r="R306" s="231"/>
      <c r="S306" s="236" t="s">
        <v>453</v>
      </c>
      <c r="T306" s="236" t="s">
        <v>264</v>
      </c>
    </row>
    <row r="307" spans="1:92" ht="14">
      <c r="A307" s="231">
        <v>306</v>
      </c>
      <c r="B307" s="235" t="s">
        <v>52</v>
      </c>
      <c r="C307" s="231" t="s">
        <v>10</v>
      </c>
      <c r="D307" s="250" t="s">
        <v>1116</v>
      </c>
      <c r="E307" s="239" t="s">
        <v>1117</v>
      </c>
      <c r="F307" s="231" t="s">
        <v>854</v>
      </c>
      <c r="G307" s="231" cm="1">
        <f t="array" ref="G307">_xlfn.IFS(J307&lt;301,2,J307&gt;300,48)</f>
        <v>2</v>
      </c>
      <c r="H307" s="231" t="s">
        <v>2783</v>
      </c>
      <c r="I307" s="281">
        <v>0</v>
      </c>
      <c r="J307" s="249">
        <v>150</v>
      </c>
      <c r="K307" s="231">
        <f t="shared" si="4"/>
        <v>20</v>
      </c>
      <c r="L307" s="231"/>
      <c r="M307" s="231" t="s">
        <v>16</v>
      </c>
      <c r="N307" s="231" t="s">
        <v>253</v>
      </c>
      <c r="O307" s="231">
        <v>2021</v>
      </c>
      <c r="P307" s="281"/>
      <c r="Q307" s="231"/>
      <c r="R307" s="231"/>
      <c r="S307" s="236" t="s">
        <v>453</v>
      </c>
      <c r="T307" s="236" t="s">
        <v>264</v>
      </c>
    </row>
    <row r="308" spans="1:92" ht="14">
      <c r="A308" s="231">
        <v>307</v>
      </c>
      <c r="B308" s="235" t="s">
        <v>52</v>
      </c>
      <c r="C308" s="231" t="s">
        <v>10</v>
      </c>
      <c r="D308" s="250" t="s">
        <v>1118</v>
      </c>
      <c r="E308" s="239" t="s">
        <v>1119</v>
      </c>
      <c r="F308" s="231" t="s">
        <v>873</v>
      </c>
      <c r="G308" s="231" cm="1">
        <f t="array" ref="G308">_xlfn.IFS(J308&lt;301,2,J308&gt;300,48)</f>
        <v>48</v>
      </c>
      <c r="H308" s="231" t="s">
        <v>4269</v>
      </c>
      <c r="I308" s="281">
        <v>0</v>
      </c>
      <c r="J308" s="249">
        <v>4100</v>
      </c>
      <c r="K308" s="231">
        <f t="shared" si="4"/>
        <v>20</v>
      </c>
      <c r="L308" s="231"/>
      <c r="M308" s="231" t="s">
        <v>16</v>
      </c>
      <c r="N308" s="231" t="s">
        <v>253</v>
      </c>
      <c r="O308" s="231">
        <v>2021</v>
      </c>
      <c r="P308" s="281"/>
      <c r="Q308" s="231"/>
      <c r="R308" s="231"/>
      <c r="S308" s="236" t="s">
        <v>453</v>
      </c>
      <c r="T308" s="236" t="s">
        <v>264</v>
      </c>
    </row>
    <row r="309" spans="1:92" ht="14">
      <c r="A309" s="231">
        <v>308</v>
      </c>
      <c r="B309" s="235" t="s">
        <v>52</v>
      </c>
      <c r="C309" s="231" t="s">
        <v>10</v>
      </c>
      <c r="D309" s="250" t="s">
        <v>1120</v>
      </c>
      <c r="E309" s="239" t="s">
        <v>1121</v>
      </c>
      <c r="F309" s="231" t="s">
        <v>267</v>
      </c>
      <c r="G309" s="231" cm="1">
        <f t="array" ref="G309">_xlfn.IFS(J309&lt;301,2,J309&gt;300,48)</f>
        <v>48</v>
      </c>
      <c r="H309" s="231" t="s">
        <v>3512</v>
      </c>
      <c r="I309" s="281">
        <v>0</v>
      </c>
      <c r="J309" s="249">
        <v>500</v>
      </c>
      <c r="K309" s="231">
        <f t="shared" si="4"/>
        <v>20</v>
      </c>
      <c r="L309" s="231"/>
      <c r="M309" s="231" t="s">
        <v>16</v>
      </c>
      <c r="N309" s="231" t="s">
        <v>253</v>
      </c>
      <c r="O309" s="231">
        <v>2021</v>
      </c>
      <c r="P309" s="281"/>
      <c r="Q309" s="231"/>
      <c r="R309" s="231"/>
      <c r="S309" s="236" t="s">
        <v>453</v>
      </c>
      <c r="T309" s="236" t="s">
        <v>264</v>
      </c>
    </row>
    <row r="310" spans="1:92" s="147" customFormat="1" ht="14">
      <c r="A310" s="231">
        <v>309</v>
      </c>
      <c r="B310" s="235" t="s">
        <v>52</v>
      </c>
      <c r="C310" s="231" t="s">
        <v>10</v>
      </c>
      <c r="D310" s="250" t="s">
        <v>1122</v>
      </c>
      <c r="E310" s="239" t="s">
        <v>1123</v>
      </c>
      <c r="F310" s="231" t="s">
        <v>873</v>
      </c>
      <c r="G310" s="231" cm="1">
        <f t="array" ref="G310">_xlfn.IFS(J310&lt;301,2,J310&gt;300,48)</f>
        <v>48</v>
      </c>
      <c r="H310" s="231" t="s">
        <v>3623</v>
      </c>
      <c r="I310" s="281">
        <v>0</v>
      </c>
      <c r="J310" s="249">
        <v>700</v>
      </c>
      <c r="K310" s="231">
        <f t="shared" si="4"/>
        <v>20</v>
      </c>
      <c r="L310" s="231"/>
      <c r="M310" s="231" t="s">
        <v>16</v>
      </c>
      <c r="N310" s="231" t="s">
        <v>253</v>
      </c>
      <c r="O310" s="231">
        <v>2021</v>
      </c>
      <c r="P310" s="281"/>
      <c r="Q310" s="231"/>
      <c r="R310" s="231"/>
      <c r="S310" s="236" t="s">
        <v>453</v>
      </c>
      <c r="T310" s="236" t="s">
        <v>264</v>
      </c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0"/>
      <c r="AP310" s="90"/>
      <c r="AQ310" s="90"/>
      <c r="AR310" s="90"/>
      <c r="AS310" s="90"/>
      <c r="AT310" s="90"/>
      <c r="AU310" s="90"/>
      <c r="AV310" s="90"/>
      <c r="AW310" s="90"/>
      <c r="AX310" s="90"/>
      <c r="AY310" s="90"/>
      <c r="AZ310" s="90"/>
      <c r="BA310" s="90"/>
      <c r="BB310" s="90"/>
      <c r="BC310" s="90"/>
      <c r="BD310" s="90"/>
      <c r="BE310" s="90"/>
      <c r="BF310" s="90"/>
      <c r="BG310" s="90"/>
      <c r="BH310" s="90"/>
      <c r="BI310" s="90"/>
      <c r="BJ310" s="90"/>
      <c r="BK310" s="90"/>
      <c r="BL310" s="90"/>
      <c r="BM310" s="90"/>
      <c r="BN310" s="90"/>
      <c r="BO310" s="90"/>
      <c r="BP310" s="90"/>
      <c r="BQ310" s="90"/>
      <c r="BR310" s="90"/>
      <c r="BS310" s="90"/>
      <c r="BT310" s="90"/>
      <c r="BU310" s="90"/>
      <c r="BV310" s="90"/>
      <c r="BW310" s="90"/>
      <c r="BX310" s="90"/>
      <c r="BY310" s="90"/>
      <c r="BZ310" s="90"/>
      <c r="CA310" s="90"/>
      <c r="CB310" s="90"/>
      <c r="CC310" s="90"/>
      <c r="CD310" s="90"/>
      <c r="CE310" s="90"/>
      <c r="CF310" s="90"/>
      <c r="CG310" s="90"/>
      <c r="CH310" s="90"/>
      <c r="CI310" s="90"/>
      <c r="CJ310" s="90"/>
      <c r="CK310" s="90"/>
      <c r="CL310" s="90"/>
      <c r="CM310" s="90"/>
      <c r="CN310" s="90"/>
    </row>
    <row r="311" spans="1:92" ht="14">
      <c r="A311" s="231">
        <v>310</v>
      </c>
      <c r="B311" s="235" t="s">
        <v>52</v>
      </c>
      <c r="C311" s="231" t="s">
        <v>10</v>
      </c>
      <c r="D311" s="248" t="s">
        <v>1124</v>
      </c>
      <c r="E311" s="239" t="s">
        <v>1125</v>
      </c>
      <c r="F311" s="231" t="s">
        <v>873</v>
      </c>
      <c r="G311" s="231">
        <v>24</v>
      </c>
      <c r="H311" s="231" t="s">
        <v>3623</v>
      </c>
      <c r="I311" s="281">
        <v>0</v>
      </c>
      <c r="J311" s="249">
        <v>4000</v>
      </c>
      <c r="K311" s="231" t="str">
        <f t="shared" si="4"/>
        <v>N/A</v>
      </c>
      <c r="L311" s="231"/>
      <c r="M311" s="231" t="s">
        <v>456</v>
      </c>
      <c r="N311" s="231" t="s">
        <v>253</v>
      </c>
      <c r="O311" s="231">
        <v>2021</v>
      </c>
      <c r="P311" s="281"/>
      <c r="Q311" s="231"/>
      <c r="R311" s="231"/>
      <c r="S311" s="236" t="s">
        <v>453</v>
      </c>
      <c r="T311" s="236" t="s">
        <v>264</v>
      </c>
    </row>
    <row r="312" spans="1:92" ht="28">
      <c r="A312" s="231">
        <v>311</v>
      </c>
      <c r="B312" s="235" t="s">
        <v>52</v>
      </c>
      <c r="C312" s="231" t="s">
        <v>10</v>
      </c>
      <c r="D312" s="248" t="s">
        <v>1126</v>
      </c>
      <c r="E312" s="239" t="s">
        <v>1127</v>
      </c>
      <c r="F312" s="231" t="s">
        <v>873</v>
      </c>
      <c r="G312" s="231">
        <v>24</v>
      </c>
      <c r="H312" s="231" t="s">
        <v>3623</v>
      </c>
      <c r="I312" s="281">
        <v>0</v>
      </c>
      <c r="J312" s="249">
        <v>2000</v>
      </c>
      <c r="K312" s="231" t="str">
        <f t="shared" si="4"/>
        <v>N/A</v>
      </c>
      <c r="L312" s="231"/>
      <c r="M312" s="231" t="s">
        <v>456</v>
      </c>
      <c r="N312" s="231" t="s">
        <v>253</v>
      </c>
      <c r="O312" s="231">
        <v>2021</v>
      </c>
      <c r="P312" s="281"/>
      <c r="Q312" s="231"/>
      <c r="R312" s="231"/>
      <c r="S312" s="236" t="s">
        <v>453</v>
      </c>
      <c r="T312" s="236" t="s">
        <v>264</v>
      </c>
    </row>
    <row r="313" spans="1:92" s="147" customFormat="1" ht="14">
      <c r="A313" s="231">
        <v>312</v>
      </c>
      <c r="B313" s="235" t="s">
        <v>52</v>
      </c>
      <c r="C313" s="231" t="s">
        <v>10</v>
      </c>
      <c r="D313" s="248" t="s">
        <v>1128</v>
      </c>
      <c r="E313" s="239" t="s">
        <v>1129</v>
      </c>
      <c r="F313" s="231" t="s">
        <v>873</v>
      </c>
      <c r="G313" s="231" cm="1">
        <f t="array" ref="G313">_xlfn.IFS(J313&lt;301,2,J313&gt;300,48)</f>
        <v>48</v>
      </c>
      <c r="H313" s="231" t="s">
        <v>2765</v>
      </c>
      <c r="I313" s="281">
        <v>0</v>
      </c>
      <c r="J313" s="249">
        <v>700</v>
      </c>
      <c r="K313" s="231">
        <f t="shared" si="4"/>
        <v>20</v>
      </c>
      <c r="L313" s="231"/>
      <c r="M313" s="231" t="s">
        <v>16</v>
      </c>
      <c r="N313" s="231" t="s">
        <v>253</v>
      </c>
      <c r="O313" s="231">
        <v>2021</v>
      </c>
      <c r="P313" s="281"/>
      <c r="Q313" s="231"/>
      <c r="R313" s="231"/>
      <c r="S313" s="236" t="s">
        <v>453</v>
      </c>
      <c r="T313" s="236" t="s">
        <v>264</v>
      </c>
      <c r="U313" s="90"/>
      <c r="V313" s="90"/>
      <c r="W313" s="90"/>
      <c r="X313" s="90"/>
      <c r="Y313" s="90"/>
      <c r="Z313" s="90"/>
      <c r="AA313" s="90"/>
      <c r="AB313" s="90"/>
      <c r="AC313" s="90"/>
      <c r="AD313" s="90"/>
      <c r="AE313" s="90"/>
      <c r="AF313" s="90"/>
      <c r="AG313" s="90"/>
      <c r="AH313" s="90"/>
      <c r="AI313" s="90"/>
      <c r="AJ313" s="90"/>
      <c r="AK313" s="90"/>
      <c r="AL313" s="90"/>
      <c r="AM313" s="90"/>
      <c r="AN313" s="90"/>
      <c r="AO313" s="90"/>
      <c r="AP313" s="90"/>
      <c r="AQ313" s="90"/>
      <c r="AR313" s="90"/>
      <c r="AS313" s="90"/>
      <c r="AT313" s="90"/>
      <c r="AU313" s="90"/>
      <c r="AV313" s="90"/>
      <c r="AW313" s="90"/>
      <c r="AX313" s="90"/>
      <c r="AY313" s="90"/>
      <c r="AZ313" s="90"/>
      <c r="BA313" s="90"/>
      <c r="BB313" s="90"/>
      <c r="BC313" s="90"/>
      <c r="BD313" s="90"/>
      <c r="BE313" s="90"/>
      <c r="BF313" s="90"/>
      <c r="BG313" s="90"/>
      <c r="BH313" s="90"/>
      <c r="BI313" s="90"/>
      <c r="BJ313" s="90"/>
      <c r="BK313" s="90"/>
      <c r="BL313" s="90"/>
      <c r="BM313" s="90"/>
      <c r="BN313" s="90"/>
      <c r="BO313" s="90"/>
      <c r="BP313" s="90"/>
      <c r="BQ313" s="90"/>
      <c r="BR313" s="90"/>
      <c r="BS313" s="90"/>
      <c r="BT313" s="90"/>
      <c r="BU313" s="90"/>
      <c r="BV313" s="90"/>
      <c r="BW313" s="90"/>
      <c r="BX313" s="90"/>
      <c r="BY313" s="90"/>
      <c r="BZ313" s="90"/>
      <c r="CA313" s="90"/>
      <c r="CB313" s="90"/>
      <c r="CC313" s="90"/>
      <c r="CD313" s="90"/>
      <c r="CE313" s="90"/>
      <c r="CF313" s="90"/>
      <c r="CG313" s="90"/>
      <c r="CH313" s="90"/>
      <c r="CI313" s="90"/>
      <c r="CJ313" s="90"/>
      <c r="CK313" s="90"/>
      <c r="CL313" s="90"/>
      <c r="CM313" s="90"/>
      <c r="CN313" s="90"/>
    </row>
    <row r="314" spans="1:92" ht="14">
      <c r="A314" s="231">
        <v>313</v>
      </c>
      <c r="B314" s="235" t="s">
        <v>52</v>
      </c>
      <c r="C314" s="231" t="s">
        <v>10</v>
      </c>
      <c r="D314" s="248" t="s">
        <v>1130</v>
      </c>
      <c r="E314" s="239" t="s">
        <v>1131</v>
      </c>
      <c r="F314" s="231" t="s">
        <v>854</v>
      </c>
      <c r="G314" s="231" cm="1">
        <f t="array" ref="G314">_xlfn.IFS(J314&lt;301,2,J314&gt;300,48)</f>
        <v>48</v>
      </c>
      <c r="H314" s="231" t="s">
        <v>185</v>
      </c>
      <c r="I314" s="281">
        <v>0</v>
      </c>
      <c r="J314" s="249">
        <v>1750</v>
      </c>
      <c r="K314" s="231" t="str">
        <f t="shared" si="4"/>
        <v>N/A</v>
      </c>
      <c r="L314" s="231"/>
      <c r="M314" s="231" t="s">
        <v>456</v>
      </c>
      <c r="N314" s="231" t="s">
        <v>253</v>
      </c>
      <c r="O314" s="231">
        <v>2021</v>
      </c>
      <c r="P314" s="281"/>
      <c r="Q314" s="231"/>
      <c r="R314" s="231"/>
      <c r="S314" s="236" t="s">
        <v>453</v>
      </c>
      <c r="T314" s="236" t="s">
        <v>264</v>
      </c>
    </row>
    <row r="315" spans="1:92" ht="14">
      <c r="A315" s="231">
        <v>314</v>
      </c>
      <c r="B315" s="235" t="s">
        <v>52</v>
      </c>
      <c r="C315" s="231" t="s">
        <v>10</v>
      </c>
      <c r="D315" s="250" t="s">
        <v>1132</v>
      </c>
      <c r="E315" s="239" t="s">
        <v>1133</v>
      </c>
      <c r="F315" s="231" t="s">
        <v>835</v>
      </c>
      <c r="G315" s="231" cm="1">
        <f t="array" ref="G315">_xlfn.IFS(J315&lt;301,2,J315&gt;300,48)</f>
        <v>48</v>
      </c>
      <c r="H315" s="231" t="s">
        <v>4262</v>
      </c>
      <c r="I315" s="281">
        <v>0</v>
      </c>
      <c r="J315" s="249">
        <v>800</v>
      </c>
      <c r="K315" s="231">
        <f t="shared" si="4"/>
        <v>20</v>
      </c>
      <c r="L315" s="231"/>
      <c r="M315" s="231" t="s">
        <v>16</v>
      </c>
      <c r="N315" s="231" t="s">
        <v>253</v>
      </c>
      <c r="O315" s="231">
        <v>2021</v>
      </c>
      <c r="P315" s="281"/>
      <c r="Q315" s="231"/>
      <c r="R315" s="231"/>
      <c r="S315" s="236" t="s">
        <v>453</v>
      </c>
      <c r="T315" s="236" t="s">
        <v>264</v>
      </c>
    </row>
    <row r="316" spans="1:92" ht="14">
      <c r="A316" s="231">
        <v>315</v>
      </c>
      <c r="B316" s="235" t="s">
        <v>52</v>
      </c>
      <c r="C316" s="231" t="s">
        <v>10</v>
      </c>
      <c r="D316" s="250" t="s">
        <v>1134</v>
      </c>
      <c r="E316" s="239" t="s">
        <v>1135</v>
      </c>
      <c r="F316" s="231" t="s">
        <v>873</v>
      </c>
      <c r="G316" s="231" cm="1">
        <f t="array" ref="G316">_xlfn.IFS(J316&lt;301,2,J316&gt;300,48)</f>
        <v>48</v>
      </c>
      <c r="H316" s="231" t="s">
        <v>4548</v>
      </c>
      <c r="I316" s="281">
        <v>0</v>
      </c>
      <c r="J316" s="249">
        <v>1500</v>
      </c>
      <c r="K316" s="231">
        <f t="shared" si="4"/>
        <v>10</v>
      </c>
      <c r="L316" s="231"/>
      <c r="M316" s="299" t="s">
        <v>15</v>
      </c>
      <c r="N316" s="231" t="s">
        <v>253</v>
      </c>
      <c r="O316" s="231">
        <v>2021</v>
      </c>
      <c r="P316" s="281"/>
      <c r="Q316" s="231"/>
      <c r="R316" s="231"/>
      <c r="S316" s="236" t="s">
        <v>453</v>
      </c>
      <c r="T316" s="236" t="s">
        <v>264</v>
      </c>
    </row>
    <row r="317" spans="1:92" ht="14">
      <c r="A317" s="231">
        <v>316</v>
      </c>
      <c r="B317" s="235" t="s">
        <v>52</v>
      </c>
      <c r="C317" s="231" t="s">
        <v>10</v>
      </c>
      <c r="D317" s="250" t="s">
        <v>1136</v>
      </c>
      <c r="E317" s="239" t="s">
        <v>1135</v>
      </c>
      <c r="F317" s="239" t="s">
        <v>873</v>
      </c>
      <c r="G317" s="231" cm="1">
        <f t="array" ref="G317">_xlfn.IFS(J317&lt;301,2,J317&gt;300,48)</f>
        <v>48</v>
      </c>
      <c r="H317" s="231" t="s">
        <v>3111</v>
      </c>
      <c r="I317" s="281">
        <v>0</v>
      </c>
      <c r="J317" s="249">
        <v>1000</v>
      </c>
      <c r="K317" s="231">
        <f t="shared" si="4"/>
        <v>20</v>
      </c>
      <c r="L317" s="231"/>
      <c r="M317" s="231" t="s">
        <v>16</v>
      </c>
      <c r="N317" s="231" t="s">
        <v>253</v>
      </c>
      <c r="O317" s="231">
        <v>2021</v>
      </c>
      <c r="P317" s="281"/>
      <c r="Q317" s="231"/>
      <c r="R317" s="231"/>
      <c r="S317" s="236" t="s">
        <v>453</v>
      </c>
      <c r="T317" s="236" t="s">
        <v>264</v>
      </c>
    </row>
    <row r="318" spans="1:92" ht="14">
      <c r="A318" s="231">
        <v>317</v>
      </c>
      <c r="B318" s="235" t="s">
        <v>52</v>
      </c>
      <c r="C318" s="231" t="s">
        <v>10</v>
      </c>
      <c r="D318" s="239" t="s">
        <v>1137</v>
      </c>
      <c r="E318" s="239" t="s">
        <v>1138</v>
      </c>
      <c r="F318" s="231" t="s">
        <v>844</v>
      </c>
      <c r="G318" s="231" cm="1">
        <f t="array" ref="G318">_xlfn.IFS(J318&lt;301,2,J318&gt;300,48)</f>
        <v>48</v>
      </c>
      <c r="H318" s="231" t="s">
        <v>3111</v>
      </c>
      <c r="I318" s="281">
        <v>0</v>
      </c>
      <c r="J318" s="249">
        <v>800</v>
      </c>
      <c r="K318" s="231">
        <f t="shared" si="4"/>
        <v>10</v>
      </c>
      <c r="L318" s="231"/>
      <c r="M318" s="299" t="s">
        <v>15</v>
      </c>
      <c r="N318" s="231" t="s">
        <v>253</v>
      </c>
      <c r="O318" s="231">
        <v>2021</v>
      </c>
      <c r="P318" s="281"/>
      <c r="Q318" s="231"/>
      <c r="R318" s="231"/>
      <c r="S318" s="236" t="s">
        <v>453</v>
      </c>
      <c r="T318" s="236" t="s">
        <v>264</v>
      </c>
    </row>
    <row r="319" spans="1:92" ht="14">
      <c r="A319" s="231">
        <v>318</v>
      </c>
      <c r="B319" s="235" t="s">
        <v>52</v>
      </c>
      <c r="C319" s="231" t="s">
        <v>10</v>
      </c>
      <c r="D319" s="239" t="s">
        <v>1139</v>
      </c>
      <c r="E319" s="239" t="s">
        <v>1140</v>
      </c>
      <c r="F319" s="231" t="s">
        <v>835</v>
      </c>
      <c r="G319" s="231" cm="1">
        <f t="array" ref="G319">_xlfn.IFS(J319&lt;301,2,J319&gt;300,48)</f>
        <v>48</v>
      </c>
      <c r="H319" s="231" t="s">
        <v>4549</v>
      </c>
      <c r="I319" s="281">
        <v>0</v>
      </c>
      <c r="J319" s="249">
        <v>500</v>
      </c>
      <c r="K319" s="231">
        <f t="shared" si="4"/>
        <v>20</v>
      </c>
      <c r="L319" s="231"/>
      <c r="M319" s="231" t="s">
        <v>16</v>
      </c>
      <c r="N319" s="231" t="s">
        <v>253</v>
      </c>
      <c r="O319" s="231">
        <v>2021</v>
      </c>
      <c r="P319" s="281"/>
      <c r="Q319" s="231"/>
      <c r="R319" s="231"/>
      <c r="S319" s="236" t="s">
        <v>453</v>
      </c>
      <c r="T319" s="236" t="s">
        <v>264</v>
      </c>
    </row>
    <row r="320" spans="1:92" ht="14">
      <c r="A320" s="231">
        <v>319</v>
      </c>
      <c r="B320" s="235" t="s">
        <v>52</v>
      </c>
      <c r="C320" s="231" t="s">
        <v>10</v>
      </c>
      <c r="D320" s="239" t="s">
        <v>1141</v>
      </c>
      <c r="E320" s="239" t="s">
        <v>1142</v>
      </c>
      <c r="F320" s="231" t="s">
        <v>267</v>
      </c>
      <c r="G320" s="231" cm="1">
        <f t="array" ref="G320">_xlfn.IFS(J320&lt;301,2,J320&gt;300,48)</f>
        <v>48</v>
      </c>
      <c r="H320" s="231" t="s">
        <v>2765</v>
      </c>
      <c r="I320" s="281">
        <v>0</v>
      </c>
      <c r="J320" s="249">
        <v>1000</v>
      </c>
      <c r="K320" s="231">
        <f t="shared" si="4"/>
        <v>20</v>
      </c>
      <c r="L320" s="231"/>
      <c r="M320" s="231" t="s">
        <v>16</v>
      </c>
      <c r="N320" s="231" t="s">
        <v>253</v>
      </c>
      <c r="O320" s="231">
        <v>2021</v>
      </c>
      <c r="P320" s="281"/>
      <c r="Q320" s="231"/>
      <c r="R320" s="231"/>
      <c r="S320" s="236" t="s">
        <v>453</v>
      </c>
      <c r="T320" s="236" t="s">
        <v>264</v>
      </c>
    </row>
    <row r="321" spans="1:20" ht="14">
      <c r="A321" s="231">
        <v>320</v>
      </c>
      <c r="B321" s="235" t="s">
        <v>52</v>
      </c>
      <c r="C321" s="231" t="s">
        <v>10</v>
      </c>
      <c r="D321" s="239" t="s">
        <v>1143</v>
      </c>
      <c r="E321" s="239" t="s">
        <v>1144</v>
      </c>
      <c r="F321" s="231" t="s">
        <v>888</v>
      </c>
      <c r="G321" s="231" cm="1">
        <f t="array" ref="G321">_xlfn.IFS(J321&lt;301,2,J321&gt;300,48)</f>
        <v>48</v>
      </c>
      <c r="H321" s="231" t="s">
        <v>2781</v>
      </c>
      <c r="I321" s="281">
        <v>0</v>
      </c>
      <c r="J321" s="249">
        <v>2050</v>
      </c>
      <c r="K321" s="231">
        <f t="shared" ref="K321:K384" si="5">IF(M321="ONT",20,IF(M321="N/A","N/A",IF(M321="MIKROTIK",IF(J321&lt;3000,10,IF(3000&lt;J321&gt;10000,20,IF(10000&lt;J321&gt;20000,40,IF(20000&lt;J321&gt;40000,60,IF(J321&gt;40000,80,IF(J321&lt;300,3,)))))))))</f>
        <v>20</v>
      </c>
      <c r="L321" s="231"/>
      <c r="M321" s="231" t="s">
        <v>16</v>
      </c>
      <c r="N321" s="231" t="s">
        <v>253</v>
      </c>
      <c r="O321" s="231">
        <v>2021</v>
      </c>
      <c r="P321" s="281"/>
      <c r="Q321" s="231"/>
      <c r="R321" s="231"/>
      <c r="S321" s="236" t="s">
        <v>453</v>
      </c>
      <c r="T321" s="236" t="s">
        <v>264</v>
      </c>
    </row>
    <row r="322" spans="1:20" ht="14">
      <c r="A322" s="231">
        <v>321</v>
      </c>
      <c r="B322" s="235" t="s">
        <v>52</v>
      </c>
      <c r="C322" s="231" t="s">
        <v>10</v>
      </c>
      <c r="D322" s="239" t="s">
        <v>1145</v>
      </c>
      <c r="E322" s="239" t="s">
        <v>1146</v>
      </c>
      <c r="F322" s="231" t="s">
        <v>861</v>
      </c>
      <c r="G322" s="231" cm="1">
        <f t="array" ref="G322">_xlfn.IFS(J322&lt;301,2,J322&gt;300,48)</f>
        <v>48</v>
      </c>
      <c r="H322" s="231" t="s">
        <v>4655</v>
      </c>
      <c r="I322" s="281">
        <v>0</v>
      </c>
      <c r="J322" s="249">
        <v>7500</v>
      </c>
      <c r="K322" s="231">
        <f t="shared" si="5"/>
        <v>20</v>
      </c>
      <c r="L322" s="231"/>
      <c r="M322" s="299" t="s">
        <v>15</v>
      </c>
      <c r="N322" s="231" t="s">
        <v>253</v>
      </c>
      <c r="O322" s="231">
        <v>2021</v>
      </c>
      <c r="P322" s="281"/>
      <c r="Q322" s="231"/>
      <c r="R322" s="231"/>
      <c r="S322" s="236" t="s">
        <v>453</v>
      </c>
      <c r="T322" s="236" t="s">
        <v>264</v>
      </c>
    </row>
    <row r="323" spans="1:20" ht="14">
      <c r="A323" s="231">
        <v>322</v>
      </c>
      <c r="B323" s="235" t="s">
        <v>52</v>
      </c>
      <c r="C323" s="231" t="s">
        <v>10</v>
      </c>
      <c r="D323" s="239" t="s">
        <v>1147</v>
      </c>
      <c r="E323" s="239" t="s">
        <v>1148</v>
      </c>
      <c r="F323" s="231" t="s">
        <v>888</v>
      </c>
      <c r="G323" s="231" cm="1">
        <f t="array" ref="G323">_xlfn.IFS(J323&lt;301,2,J323&gt;300,48)</f>
        <v>48</v>
      </c>
      <c r="H323" s="231" t="s">
        <v>2773</v>
      </c>
      <c r="I323" s="281">
        <v>0</v>
      </c>
      <c r="J323" s="249">
        <v>1000</v>
      </c>
      <c r="K323" s="231">
        <f t="shared" si="5"/>
        <v>20</v>
      </c>
      <c r="L323" s="231"/>
      <c r="M323" s="231" t="s">
        <v>16</v>
      </c>
      <c r="N323" s="231" t="s">
        <v>253</v>
      </c>
      <c r="O323" s="231">
        <v>2021</v>
      </c>
      <c r="P323" s="281"/>
      <c r="Q323" s="231"/>
      <c r="R323" s="231"/>
      <c r="S323" s="236" t="s">
        <v>453</v>
      </c>
      <c r="T323" s="236" t="s">
        <v>264</v>
      </c>
    </row>
    <row r="324" spans="1:20" ht="14">
      <c r="A324" s="231">
        <v>323</v>
      </c>
      <c r="B324" s="235" t="s">
        <v>52</v>
      </c>
      <c r="C324" s="231" t="s">
        <v>10</v>
      </c>
      <c r="D324" s="250" t="s">
        <v>1149</v>
      </c>
      <c r="E324" s="239" t="s">
        <v>1150</v>
      </c>
      <c r="F324" s="231" t="s">
        <v>267</v>
      </c>
      <c r="G324" s="231" cm="1">
        <f t="array" ref="G324">_xlfn.IFS(J324&lt;301,2,J324&gt;300,48)</f>
        <v>48</v>
      </c>
      <c r="H324" s="231" t="s">
        <v>2773</v>
      </c>
      <c r="I324" s="281">
        <v>0</v>
      </c>
      <c r="J324" s="249">
        <v>2153</v>
      </c>
      <c r="K324" s="231">
        <f t="shared" si="5"/>
        <v>20</v>
      </c>
      <c r="L324" s="231"/>
      <c r="M324" s="231" t="s">
        <v>16</v>
      </c>
      <c r="N324" s="231" t="s">
        <v>253</v>
      </c>
      <c r="O324" s="231">
        <v>2021</v>
      </c>
      <c r="P324" s="281"/>
      <c r="Q324" s="231"/>
      <c r="R324" s="231"/>
      <c r="S324" s="236" t="s">
        <v>453</v>
      </c>
      <c r="T324" s="236" t="s">
        <v>264</v>
      </c>
    </row>
    <row r="325" spans="1:20" ht="14">
      <c r="A325" s="231">
        <v>324</v>
      </c>
      <c r="B325" s="235" t="s">
        <v>52</v>
      </c>
      <c r="C325" s="231" t="s">
        <v>10</v>
      </c>
      <c r="D325" s="250" t="s">
        <v>1151</v>
      </c>
      <c r="E325" s="239" t="s">
        <v>1152</v>
      </c>
      <c r="F325" s="231" t="s">
        <v>267</v>
      </c>
      <c r="G325" s="231" cm="1">
        <f t="array" ref="G325">_xlfn.IFS(J325&lt;301,2,J325&gt;300,48)</f>
        <v>48</v>
      </c>
      <c r="H325" s="231" t="s">
        <v>2773</v>
      </c>
      <c r="I325" s="281">
        <v>0</v>
      </c>
      <c r="J325" s="249">
        <v>2600</v>
      </c>
      <c r="K325" s="231">
        <f t="shared" si="5"/>
        <v>20</v>
      </c>
      <c r="L325" s="231"/>
      <c r="M325" s="231" t="s">
        <v>16</v>
      </c>
      <c r="N325" s="231" t="s">
        <v>253</v>
      </c>
      <c r="O325" s="231">
        <v>2021</v>
      </c>
      <c r="P325" s="281"/>
      <c r="Q325" s="231"/>
      <c r="R325" s="231"/>
      <c r="S325" s="236" t="s">
        <v>453</v>
      </c>
      <c r="T325" s="236" t="s">
        <v>264</v>
      </c>
    </row>
    <row r="326" spans="1:20" ht="14">
      <c r="A326" s="231">
        <v>325</v>
      </c>
      <c r="B326" s="235" t="s">
        <v>52</v>
      </c>
      <c r="C326" s="231" t="s">
        <v>10</v>
      </c>
      <c r="D326" s="250" t="s">
        <v>1153</v>
      </c>
      <c r="E326" s="239" t="s">
        <v>1154</v>
      </c>
      <c r="F326" s="231" t="s">
        <v>854</v>
      </c>
      <c r="G326" s="231" cm="1">
        <f t="array" ref="G326">_xlfn.IFS(J326&lt;301,2,J326&gt;300,48)</f>
        <v>48</v>
      </c>
      <c r="H326" s="231" t="s">
        <v>2773</v>
      </c>
      <c r="I326" s="281">
        <v>0</v>
      </c>
      <c r="J326" s="249">
        <v>3500</v>
      </c>
      <c r="K326" s="231">
        <f t="shared" si="5"/>
        <v>20</v>
      </c>
      <c r="L326" s="231"/>
      <c r="M326" s="231" t="s">
        <v>16</v>
      </c>
      <c r="N326" s="231" t="s">
        <v>253</v>
      </c>
      <c r="O326" s="231">
        <v>2021</v>
      </c>
      <c r="P326" s="281"/>
      <c r="Q326" s="231"/>
      <c r="R326" s="231"/>
      <c r="S326" s="236" t="s">
        <v>453</v>
      </c>
      <c r="T326" s="236" t="s">
        <v>264</v>
      </c>
    </row>
    <row r="327" spans="1:20" ht="14">
      <c r="A327" s="231">
        <v>326</v>
      </c>
      <c r="B327" s="235" t="s">
        <v>52</v>
      </c>
      <c r="C327" s="231" t="s">
        <v>10</v>
      </c>
      <c r="D327" s="250" t="s">
        <v>1155</v>
      </c>
      <c r="E327" s="239" t="s">
        <v>1156</v>
      </c>
      <c r="F327" s="231" t="s">
        <v>873</v>
      </c>
      <c r="G327" s="231" cm="1">
        <f t="array" ref="G327">_xlfn.IFS(J327&lt;301,2,J327&gt;300,48)</f>
        <v>48</v>
      </c>
      <c r="H327" s="231" t="s">
        <v>2773</v>
      </c>
      <c r="I327" s="281">
        <v>0</v>
      </c>
      <c r="J327" s="249">
        <v>500</v>
      </c>
      <c r="K327" s="231">
        <f t="shared" si="5"/>
        <v>20</v>
      </c>
      <c r="L327" s="231"/>
      <c r="M327" s="231" t="s">
        <v>16</v>
      </c>
      <c r="N327" s="231" t="s">
        <v>253</v>
      </c>
      <c r="O327" s="231">
        <v>2021</v>
      </c>
      <c r="P327" s="281"/>
      <c r="Q327" s="231"/>
      <c r="R327" s="231"/>
      <c r="S327" s="236" t="s">
        <v>453</v>
      </c>
      <c r="T327" s="236" t="s">
        <v>264</v>
      </c>
    </row>
    <row r="328" spans="1:20" ht="14">
      <c r="A328" s="231">
        <v>327</v>
      </c>
      <c r="B328" s="235" t="s">
        <v>52</v>
      </c>
      <c r="C328" s="231" t="s">
        <v>10</v>
      </c>
      <c r="D328" s="250" t="s">
        <v>1157</v>
      </c>
      <c r="E328" s="239" t="s">
        <v>1158</v>
      </c>
      <c r="F328" s="231" t="s">
        <v>267</v>
      </c>
      <c r="G328" s="231" cm="1">
        <f t="array" ref="G328">_xlfn.IFS(J328&lt;301,2,J328&gt;300,48)</f>
        <v>48</v>
      </c>
      <c r="H328" s="231" t="s">
        <v>2765</v>
      </c>
      <c r="I328" s="281">
        <v>0</v>
      </c>
      <c r="J328" s="249">
        <v>350</v>
      </c>
      <c r="K328" s="231">
        <f t="shared" si="5"/>
        <v>20</v>
      </c>
      <c r="L328" s="231"/>
      <c r="M328" s="231" t="s">
        <v>16</v>
      </c>
      <c r="N328" s="231" t="s">
        <v>253</v>
      </c>
      <c r="O328" s="231">
        <v>2021</v>
      </c>
      <c r="P328" s="281"/>
      <c r="Q328" s="231"/>
      <c r="R328" s="231"/>
      <c r="S328" s="236" t="s">
        <v>453</v>
      </c>
      <c r="T328" s="236" t="s">
        <v>264</v>
      </c>
    </row>
    <row r="329" spans="1:20" ht="14">
      <c r="A329" s="231">
        <v>328</v>
      </c>
      <c r="B329" s="235" t="s">
        <v>52</v>
      </c>
      <c r="C329" s="231" t="s">
        <v>10</v>
      </c>
      <c r="D329" s="250" t="s">
        <v>1159</v>
      </c>
      <c r="E329" s="239" t="s">
        <v>1160</v>
      </c>
      <c r="F329" s="231" t="s">
        <v>888</v>
      </c>
      <c r="G329" s="231" cm="1">
        <f t="array" ref="G329">_xlfn.IFS(J329&lt;301,2,J329&gt;300,48)</f>
        <v>48</v>
      </c>
      <c r="H329" s="231" t="s">
        <v>2773</v>
      </c>
      <c r="I329" s="281">
        <v>0</v>
      </c>
      <c r="J329" s="249">
        <v>2500</v>
      </c>
      <c r="K329" s="231">
        <f t="shared" si="5"/>
        <v>20</v>
      </c>
      <c r="L329" s="231"/>
      <c r="M329" s="231" t="s">
        <v>16</v>
      </c>
      <c r="N329" s="231" t="s">
        <v>253</v>
      </c>
      <c r="O329" s="231">
        <v>2021</v>
      </c>
      <c r="P329" s="281"/>
      <c r="Q329" s="231"/>
      <c r="R329" s="231"/>
      <c r="S329" s="236" t="s">
        <v>453</v>
      </c>
      <c r="T329" s="236" t="s">
        <v>264</v>
      </c>
    </row>
    <row r="330" spans="1:20" ht="14">
      <c r="A330" s="231">
        <v>329</v>
      </c>
      <c r="B330" s="235" t="s">
        <v>52</v>
      </c>
      <c r="C330" s="231" t="s">
        <v>10</v>
      </c>
      <c r="D330" s="250" t="s">
        <v>1161</v>
      </c>
      <c r="E330" s="239" t="s">
        <v>1162</v>
      </c>
      <c r="F330" s="231" t="s">
        <v>888</v>
      </c>
      <c r="G330" s="231" cm="1">
        <f t="array" ref="G330">_xlfn.IFS(J330&lt;301,2,J330&gt;300,48)</f>
        <v>48</v>
      </c>
      <c r="H330" s="231" t="s">
        <v>2773</v>
      </c>
      <c r="I330" s="281">
        <v>0</v>
      </c>
      <c r="J330" s="249">
        <v>2150</v>
      </c>
      <c r="K330" s="231">
        <f t="shared" si="5"/>
        <v>20</v>
      </c>
      <c r="L330" s="231"/>
      <c r="M330" s="231" t="s">
        <v>16</v>
      </c>
      <c r="N330" s="231" t="s">
        <v>253</v>
      </c>
      <c r="O330" s="231">
        <v>2021</v>
      </c>
      <c r="P330" s="281"/>
      <c r="Q330" s="231"/>
      <c r="R330" s="231"/>
      <c r="S330" s="236" t="s">
        <v>453</v>
      </c>
      <c r="T330" s="236" t="s">
        <v>264</v>
      </c>
    </row>
    <row r="331" spans="1:20" ht="14">
      <c r="A331" s="231">
        <v>330</v>
      </c>
      <c r="B331" s="235" t="s">
        <v>52</v>
      </c>
      <c r="C331" s="231" t="s">
        <v>10</v>
      </c>
      <c r="D331" s="250" t="s">
        <v>1163</v>
      </c>
      <c r="E331" s="239" t="s">
        <v>1164</v>
      </c>
      <c r="F331" s="231" t="s">
        <v>881</v>
      </c>
      <c r="G331" s="231" cm="1">
        <f t="array" ref="G331">_xlfn.IFS(J331&lt;301,2,J331&gt;300,48)</f>
        <v>48</v>
      </c>
      <c r="H331" s="231" t="s">
        <v>2773</v>
      </c>
      <c r="I331" s="281">
        <v>0</v>
      </c>
      <c r="J331" s="249">
        <v>800</v>
      </c>
      <c r="K331" s="231">
        <f t="shared" si="5"/>
        <v>20</v>
      </c>
      <c r="L331" s="231"/>
      <c r="M331" s="231" t="s">
        <v>16</v>
      </c>
      <c r="N331" s="231" t="s">
        <v>253</v>
      </c>
      <c r="O331" s="231">
        <v>2021</v>
      </c>
      <c r="P331" s="281"/>
      <c r="Q331" s="231"/>
      <c r="R331" s="231"/>
      <c r="S331" s="236" t="s">
        <v>453</v>
      </c>
      <c r="T331" s="236" t="s">
        <v>264</v>
      </c>
    </row>
    <row r="332" spans="1:20" ht="14">
      <c r="A332" s="231">
        <v>331</v>
      </c>
      <c r="B332" s="235" t="s">
        <v>52</v>
      </c>
      <c r="C332" s="231" t="s">
        <v>10</v>
      </c>
      <c r="D332" s="250" t="s">
        <v>1165</v>
      </c>
      <c r="E332" s="239" t="s">
        <v>1166</v>
      </c>
      <c r="F332" s="231" t="s">
        <v>888</v>
      </c>
      <c r="G332" s="231" cm="1">
        <f t="array" ref="G332">_xlfn.IFS(J332&lt;301,2,J332&gt;300,48)</f>
        <v>48</v>
      </c>
      <c r="H332" s="231" t="s">
        <v>2773</v>
      </c>
      <c r="I332" s="281">
        <v>0</v>
      </c>
      <c r="J332" s="249">
        <v>950</v>
      </c>
      <c r="K332" s="231">
        <f t="shared" si="5"/>
        <v>20</v>
      </c>
      <c r="L332" s="231"/>
      <c r="M332" s="231" t="s">
        <v>16</v>
      </c>
      <c r="N332" s="231" t="s">
        <v>253</v>
      </c>
      <c r="O332" s="231">
        <v>2021</v>
      </c>
      <c r="P332" s="281"/>
      <c r="Q332" s="231"/>
      <c r="R332" s="231"/>
      <c r="S332" s="236" t="s">
        <v>453</v>
      </c>
      <c r="T332" s="236" t="s">
        <v>264</v>
      </c>
    </row>
    <row r="333" spans="1:20" ht="14">
      <c r="A333" s="231">
        <v>332</v>
      </c>
      <c r="B333" s="235" t="s">
        <v>52</v>
      </c>
      <c r="C333" s="231" t="s">
        <v>10</v>
      </c>
      <c r="D333" s="250" t="s">
        <v>1167</v>
      </c>
      <c r="E333" s="239" t="s">
        <v>1168</v>
      </c>
      <c r="F333" s="231" t="s">
        <v>854</v>
      </c>
      <c r="G333" s="231" cm="1">
        <f t="array" ref="G333">_xlfn.IFS(J333&lt;301,2,J333&gt;300,48)</f>
        <v>48</v>
      </c>
      <c r="H333" s="231" t="s">
        <v>185</v>
      </c>
      <c r="I333" s="281">
        <v>0</v>
      </c>
      <c r="J333" s="249">
        <v>1800</v>
      </c>
      <c r="K333" s="231">
        <f t="shared" si="5"/>
        <v>20</v>
      </c>
      <c r="L333" s="231"/>
      <c r="M333" s="231" t="s">
        <v>16</v>
      </c>
      <c r="N333" s="231" t="s">
        <v>253</v>
      </c>
      <c r="O333" s="231">
        <v>2021</v>
      </c>
      <c r="P333" s="281"/>
      <c r="Q333" s="231"/>
      <c r="R333" s="231"/>
      <c r="S333" s="236" t="s">
        <v>453</v>
      </c>
      <c r="T333" s="236" t="s">
        <v>264</v>
      </c>
    </row>
    <row r="334" spans="1:20" ht="14">
      <c r="A334" s="231">
        <v>333</v>
      </c>
      <c r="B334" s="235" t="s">
        <v>52</v>
      </c>
      <c r="C334" s="231" t="s">
        <v>10</v>
      </c>
      <c r="D334" s="250" t="s">
        <v>1169</v>
      </c>
      <c r="E334" s="251" t="s">
        <v>1170</v>
      </c>
      <c r="F334" s="231" t="s">
        <v>267</v>
      </c>
      <c r="G334" s="231" cm="1">
        <f t="array" ref="G334">_xlfn.IFS(J334&lt;301,2,J334&gt;300,48)</f>
        <v>48</v>
      </c>
      <c r="H334" s="231" t="s">
        <v>3542</v>
      </c>
      <c r="I334" s="281">
        <v>0</v>
      </c>
      <c r="J334" s="249">
        <v>1000</v>
      </c>
      <c r="K334" s="231">
        <f t="shared" si="5"/>
        <v>20</v>
      </c>
      <c r="L334" s="231"/>
      <c r="M334" s="231" t="s">
        <v>16</v>
      </c>
      <c r="N334" s="231" t="s">
        <v>253</v>
      </c>
      <c r="O334" s="231">
        <v>2021</v>
      </c>
      <c r="P334" s="281"/>
      <c r="Q334" s="231"/>
      <c r="R334" s="231"/>
      <c r="S334" s="236" t="s">
        <v>453</v>
      </c>
      <c r="T334" s="236" t="s">
        <v>264</v>
      </c>
    </row>
    <row r="335" spans="1:20" ht="14">
      <c r="A335" s="231">
        <v>334</v>
      </c>
      <c r="B335" s="235" t="s">
        <v>52</v>
      </c>
      <c r="C335" s="231" t="s">
        <v>10</v>
      </c>
      <c r="D335" s="250" t="s">
        <v>1171</v>
      </c>
      <c r="E335" s="239" t="s">
        <v>1172</v>
      </c>
      <c r="F335" s="231" t="s">
        <v>267</v>
      </c>
      <c r="G335" s="231" cm="1">
        <f t="array" ref="G335">_xlfn.IFS(J335&lt;301,2,J335&gt;300,48)</f>
        <v>48</v>
      </c>
      <c r="H335" s="231" t="s">
        <v>2773</v>
      </c>
      <c r="I335" s="281">
        <v>0</v>
      </c>
      <c r="J335" s="249">
        <v>380</v>
      </c>
      <c r="K335" s="231">
        <f t="shared" si="5"/>
        <v>20</v>
      </c>
      <c r="L335" s="231"/>
      <c r="M335" s="231" t="s">
        <v>16</v>
      </c>
      <c r="N335" s="231" t="s">
        <v>253</v>
      </c>
      <c r="O335" s="231">
        <v>2021</v>
      </c>
      <c r="P335" s="281"/>
      <c r="Q335" s="231"/>
      <c r="R335" s="231"/>
      <c r="S335" s="236" t="s">
        <v>453</v>
      </c>
      <c r="T335" s="236" t="s">
        <v>264</v>
      </c>
    </row>
    <row r="336" spans="1:20" ht="14">
      <c r="A336" s="231">
        <v>335</v>
      </c>
      <c r="B336" s="235" t="s">
        <v>52</v>
      </c>
      <c r="C336" s="231" t="s">
        <v>10</v>
      </c>
      <c r="D336" s="250" t="s">
        <v>1173</v>
      </c>
      <c r="E336" s="239" t="s">
        <v>1174</v>
      </c>
      <c r="F336" s="231" t="s">
        <v>267</v>
      </c>
      <c r="G336" s="231" cm="1">
        <f t="array" ref="G336">_xlfn.IFS(J336&lt;301,2,J336&gt;300,48)</f>
        <v>48</v>
      </c>
      <c r="H336" s="231" t="s">
        <v>3512</v>
      </c>
      <c r="I336" s="281">
        <v>0</v>
      </c>
      <c r="J336" s="249">
        <v>500</v>
      </c>
      <c r="K336" s="231">
        <f t="shared" si="5"/>
        <v>20</v>
      </c>
      <c r="L336" s="231"/>
      <c r="M336" s="231" t="s">
        <v>16</v>
      </c>
      <c r="N336" s="231" t="s">
        <v>253</v>
      </c>
      <c r="O336" s="231">
        <v>2021</v>
      </c>
      <c r="P336" s="281"/>
      <c r="Q336" s="231"/>
      <c r="R336" s="231"/>
      <c r="S336" s="236" t="s">
        <v>453</v>
      </c>
      <c r="T336" s="236" t="s">
        <v>264</v>
      </c>
    </row>
    <row r="337" spans="1:20" ht="14">
      <c r="A337" s="231">
        <v>336</v>
      </c>
      <c r="B337" s="235" t="s">
        <v>52</v>
      </c>
      <c r="C337" s="231" t="s">
        <v>10</v>
      </c>
      <c r="D337" s="250" t="s">
        <v>1175</v>
      </c>
      <c r="E337" s="239" t="s">
        <v>1176</v>
      </c>
      <c r="F337" s="231" t="s">
        <v>873</v>
      </c>
      <c r="G337" s="231" cm="1">
        <f t="array" ref="G337">_xlfn.IFS(J337&lt;301,2,J337&gt;300,48)</f>
        <v>48</v>
      </c>
      <c r="H337" s="231" t="s">
        <v>4555</v>
      </c>
      <c r="I337" s="281">
        <v>0</v>
      </c>
      <c r="J337" s="249">
        <v>1200</v>
      </c>
      <c r="K337" s="231">
        <f t="shared" si="5"/>
        <v>10</v>
      </c>
      <c r="L337" s="231"/>
      <c r="M337" s="299" t="s">
        <v>15</v>
      </c>
      <c r="N337" s="231" t="s">
        <v>253</v>
      </c>
      <c r="O337" s="231">
        <v>2021</v>
      </c>
      <c r="P337" s="281"/>
      <c r="Q337" s="231"/>
      <c r="R337" s="231"/>
      <c r="S337" s="236" t="s">
        <v>453</v>
      </c>
      <c r="T337" s="236" t="s">
        <v>264</v>
      </c>
    </row>
    <row r="338" spans="1:20" ht="14">
      <c r="A338" s="231">
        <v>337</v>
      </c>
      <c r="B338" s="235" t="s">
        <v>52</v>
      </c>
      <c r="C338" s="231" t="s">
        <v>10</v>
      </c>
      <c r="D338" s="250" t="s">
        <v>1177</v>
      </c>
      <c r="E338" s="239" t="s">
        <v>1178</v>
      </c>
      <c r="F338" s="231" t="s">
        <v>888</v>
      </c>
      <c r="G338" s="231" cm="1">
        <f t="array" ref="G338">_xlfn.IFS(J338&lt;301,2,J338&gt;300,48)</f>
        <v>48</v>
      </c>
      <c r="H338" s="231" t="s">
        <v>2773</v>
      </c>
      <c r="I338" s="281">
        <v>0</v>
      </c>
      <c r="J338" s="249">
        <v>500</v>
      </c>
      <c r="K338" s="231">
        <f t="shared" si="5"/>
        <v>20</v>
      </c>
      <c r="L338" s="231"/>
      <c r="M338" s="231" t="s">
        <v>16</v>
      </c>
      <c r="N338" s="231" t="s">
        <v>253</v>
      </c>
      <c r="O338" s="231">
        <v>2021</v>
      </c>
      <c r="P338" s="281"/>
      <c r="Q338" s="231"/>
      <c r="R338" s="231"/>
      <c r="S338" s="236" t="s">
        <v>453</v>
      </c>
      <c r="T338" s="236" t="s">
        <v>264</v>
      </c>
    </row>
    <row r="339" spans="1:20" ht="14">
      <c r="A339" s="231">
        <v>338</v>
      </c>
      <c r="B339" s="235" t="s">
        <v>52</v>
      </c>
      <c r="C339" s="231" t="s">
        <v>10</v>
      </c>
      <c r="D339" s="250" t="s">
        <v>1179</v>
      </c>
      <c r="E339" s="239" t="s">
        <v>1180</v>
      </c>
      <c r="F339" s="231" t="s">
        <v>267</v>
      </c>
      <c r="G339" s="231" cm="1">
        <f t="array" ref="G339">_xlfn.IFS(J339&lt;301,2,J339&gt;300,48)</f>
        <v>48</v>
      </c>
      <c r="H339" s="231" t="s">
        <v>2877</v>
      </c>
      <c r="I339" s="281">
        <v>0</v>
      </c>
      <c r="J339" s="249">
        <v>600</v>
      </c>
      <c r="K339" s="231">
        <f t="shared" si="5"/>
        <v>20</v>
      </c>
      <c r="L339" s="231"/>
      <c r="M339" s="231" t="s">
        <v>16</v>
      </c>
      <c r="N339" s="231" t="s">
        <v>253</v>
      </c>
      <c r="O339" s="231">
        <v>2021</v>
      </c>
      <c r="P339" s="281"/>
      <c r="Q339" s="231"/>
      <c r="R339" s="231"/>
      <c r="S339" s="236" t="s">
        <v>453</v>
      </c>
      <c r="T339" s="236" t="s">
        <v>264</v>
      </c>
    </row>
    <row r="340" spans="1:20" ht="14">
      <c r="A340" s="231">
        <v>339</v>
      </c>
      <c r="B340" s="235" t="s">
        <v>52</v>
      </c>
      <c r="C340" s="231" t="s">
        <v>10</v>
      </c>
      <c r="D340" s="250" t="s">
        <v>1181</v>
      </c>
      <c r="E340" s="239" t="s">
        <v>1182</v>
      </c>
      <c r="F340" s="231" t="s">
        <v>878</v>
      </c>
      <c r="G340" s="231" cm="1">
        <f t="array" ref="G340">_xlfn.IFS(J340&lt;301,2,J340&gt;300,48)</f>
        <v>48</v>
      </c>
      <c r="H340" s="231" t="s">
        <v>3111</v>
      </c>
      <c r="I340" s="281">
        <v>0</v>
      </c>
      <c r="J340" s="249">
        <v>800</v>
      </c>
      <c r="K340" s="231">
        <f t="shared" si="5"/>
        <v>10</v>
      </c>
      <c r="L340" s="231"/>
      <c r="M340" s="299" t="s">
        <v>15</v>
      </c>
      <c r="N340" s="231" t="s">
        <v>253</v>
      </c>
      <c r="O340" s="231">
        <v>2021</v>
      </c>
      <c r="P340" s="281"/>
      <c r="Q340" s="231"/>
      <c r="R340" s="231"/>
      <c r="S340" s="236" t="s">
        <v>453</v>
      </c>
      <c r="T340" s="236" t="s">
        <v>264</v>
      </c>
    </row>
    <row r="341" spans="1:20" ht="14">
      <c r="A341" s="231">
        <v>340</v>
      </c>
      <c r="B341" s="235" t="s">
        <v>52</v>
      </c>
      <c r="C341" s="231" t="s">
        <v>10</v>
      </c>
      <c r="D341" s="250" t="s">
        <v>1183</v>
      </c>
      <c r="E341" s="239" t="s">
        <v>1184</v>
      </c>
      <c r="F341" s="231" t="s">
        <v>873</v>
      </c>
      <c r="G341" s="231" cm="1">
        <f t="array" ref="G341">_xlfn.IFS(J341&lt;301,2,J341&gt;300,48)</f>
        <v>48</v>
      </c>
      <c r="H341" s="231" t="s">
        <v>3063</v>
      </c>
      <c r="I341" s="281">
        <v>0</v>
      </c>
      <c r="J341" s="249">
        <v>1800</v>
      </c>
      <c r="K341" s="231">
        <f t="shared" si="5"/>
        <v>10</v>
      </c>
      <c r="L341" s="231"/>
      <c r="M341" s="299" t="s">
        <v>15</v>
      </c>
      <c r="N341" s="231" t="s">
        <v>253</v>
      </c>
      <c r="O341" s="231">
        <v>2021</v>
      </c>
      <c r="P341" s="281"/>
      <c r="Q341" s="231"/>
      <c r="R341" s="231"/>
      <c r="S341" s="236" t="s">
        <v>453</v>
      </c>
      <c r="T341" s="236" t="s">
        <v>264</v>
      </c>
    </row>
    <row r="342" spans="1:20" ht="14">
      <c r="A342" s="231">
        <v>341</v>
      </c>
      <c r="B342" s="235" t="s">
        <v>52</v>
      </c>
      <c r="C342" s="231" t="s">
        <v>10</v>
      </c>
      <c r="D342" s="250" t="s">
        <v>1185</v>
      </c>
      <c r="E342" s="239" t="s">
        <v>1186</v>
      </c>
      <c r="F342" s="231" t="s">
        <v>267</v>
      </c>
      <c r="G342" s="231" cm="1">
        <f t="array" ref="G342">_xlfn.IFS(J342&lt;301,2,J342&gt;300,48)</f>
        <v>48</v>
      </c>
      <c r="H342" s="231" t="s">
        <v>3542</v>
      </c>
      <c r="I342" s="281">
        <v>0</v>
      </c>
      <c r="J342" s="249">
        <v>800</v>
      </c>
      <c r="K342" s="231">
        <f t="shared" si="5"/>
        <v>20</v>
      </c>
      <c r="L342" s="231"/>
      <c r="M342" s="231" t="s">
        <v>16</v>
      </c>
      <c r="N342" s="231" t="s">
        <v>253</v>
      </c>
      <c r="O342" s="231">
        <v>2021</v>
      </c>
      <c r="P342" s="281"/>
      <c r="Q342" s="231"/>
      <c r="R342" s="231"/>
      <c r="S342" s="236" t="s">
        <v>453</v>
      </c>
      <c r="T342" s="236" t="s">
        <v>264</v>
      </c>
    </row>
    <row r="343" spans="1:20" ht="14">
      <c r="A343" s="231">
        <v>342</v>
      </c>
      <c r="B343" s="235" t="s">
        <v>52</v>
      </c>
      <c r="C343" s="231" t="s">
        <v>10</v>
      </c>
      <c r="D343" s="250" t="s">
        <v>1187</v>
      </c>
      <c r="E343" s="239" t="s">
        <v>1188</v>
      </c>
      <c r="F343" s="231" t="s">
        <v>267</v>
      </c>
      <c r="G343" s="231" cm="1">
        <f t="array" ref="G343">_xlfn.IFS(J343&lt;301,2,J343&gt;300,48)</f>
        <v>48</v>
      </c>
      <c r="H343" s="231" t="s">
        <v>4265</v>
      </c>
      <c r="I343" s="281">
        <v>0</v>
      </c>
      <c r="J343" s="249">
        <v>500</v>
      </c>
      <c r="K343" s="231">
        <f t="shared" si="5"/>
        <v>20</v>
      </c>
      <c r="L343" s="231"/>
      <c r="M343" s="231" t="s">
        <v>16</v>
      </c>
      <c r="N343" s="231" t="s">
        <v>253</v>
      </c>
      <c r="O343" s="231">
        <v>2021</v>
      </c>
      <c r="P343" s="281"/>
      <c r="Q343" s="231"/>
      <c r="R343" s="231"/>
      <c r="S343" s="236" t="s">
        <v>453</v>
      </c>
      <c r="T343" s="236" t="s">
        <v>264</v>
      </c>
    </row>
    <row r="344" spans="1:20" ht="14">
      <c r="A344" s="231">
        <v>343</v>
      </c>
      <c r="B344" s="235" t="s">
        <v>52</v>
      </c>
      <c r="C344" s="231" t="s">
        <v>10</v>
      </c>
      <c r="D344" s="250" t="s">
        <v>1189</v>
      </c>
      <c r="E344" s="239" t="s">
        <v>1190</v>
      </c>
      <c r="F344" s="231" t="s">
        <v>835</v>
      </c>
      <c r="G344" s="231" cm="1">
        <f t="array" ref="G344">_xlfn.IFS(J344&lt;301,2,J344&gt;300,48)</f>
        <v>48</v>
      </c>
      <c r="H344" s="231" t="s">
        <v>4251</v>
      </c>
      <c r="I344" s="281">
        <v>0</v>
      </c>
      <c r="J344" s="249">
        <v>600</v>
      </c>
      <c r="K344" s="231" t="str">
        <f t="shared" si="5"/>
        <v>N/A</v>
      </c>
      <c r="L344" s="231"/>
      <c r="M344" s="231" t="s">
        <v>456</v>
      </c>
      <c r="N344" s="231" t="s">
        <v>253</v>
      </c>
      <c r="O344" s="231">
        <v>2021</v>
      </c>
      <c r="P344" s="281"/>
      <c r="Q344" s="231"/>
      <c r="R344" s="231"/>
      <c r="S344" s="236" t="s">
        <v>453</v>
      </c>
      <c r="T344" s="236" t="s">
        <v>264</v>
      </c>
    </row>
    <row r="345" spans="1:20" ht="14">
      <c r="A345" s="231">
        <v>344</v>
      </c>
      <c r="B345" s="235" t="s">
        <v>52</v>
      </c>
      <c r="C345" s="231" t="s">
        <v>10</v>
      </c>
      <c r="D345" s="250" t="s">
        <v>1191</v>
      </c>
      <c r="E345" s="239" t="s">
        <v>1192</v>
      </c>
      <c r="F345" s="231" t="s">
        <v>888</v>
      </c>
      <c r="G345" s="231" cm="1">
        <f t="array" ref="G345">_xlfn.IFS(J345&lt;301,2,J345&gt;300,48)</f>
        <v>48</v>
      </c>
      <c r="H345" s="231" t="s">
        <v>2773</v>
      </c>
      <c r="I345" s="281">
        <v>0</v>
      </c>
      <c r="J345" s="249">
        <v>2500</v>
      </c>
      <c r="K345" s="231">
        <f t="shared" si="5"/>
        <v>10</v>
      </c>
      <c r="L345" s="231"/>
      <c r="M345" s="299" t="s">
        <v>15</v>
      </c>
      <c r="N345" s="231" t="s">
        <v>253</v>
      </c>
      <c r="O345" s="231">
        <v>2021</v>
      </c>
      <c r="P345" s="281"/>
      <c r="Q345" s="231"/>
      <c r="R345" s="231"/>
      <c r="S345" s="236" t="s">
        <v>453</v>
      </c>
      <c r="T345" s="236" t="s">
        <v>264</v>
      </c>
    </row>
    <row r="346" spans="1:20" ht="14">
      <c r="A346" s="231">
        <v>345</v>
      </c>
      <c r="B346" s="235" t="s">
        <v>52</v>
      </c>
      <c r="C346" s="231" t="s">
        <v>10</v>
      </c>
      <c r="D346" s="250" t="s">
        <v>1193</v>
      </c>
      <c r="E346" s="239" t="s">
        <v>1194</v>
      </c>
      <c r="F346" s="231" t="s">
        <v>835</v>
      </c>
      <c r="G346" s="231" cm="1">
        <f t="array" ref="G346">_xlfn.IFS(J346&lt;301,2,J346&gt;300,48)</f>
        <v>48</v>
      </c>
      <c r="H346" s="231" t="s">
        <v>1440</v>
      </c>
      <c r="I346" s="281">
        <v>0</v>
      </c>
      <c r="J346" s="249">
        <v>700</v>
      </c>
      <c r="K346" s="231">
        <f t="shared" si="5"/>
        <v>10</v>
      </c>
      <c r="L346" s="231"/>
      <c r="M346" s="299" t="s">
        <v>15</v>
      </c>
      <c r="N346" s="231" t="s">
        <v>253</v>
      </c>
      <c r="O346" s="231">
        <v>2021</v>
      </c>
      <c r="P346" s="281"/>
      <c r="Q346" s="231"/>
      <c r="R346" s="231"/>
      <c r="S346" s="236" t="s">
        <v>453</v>
      </c>
      <c r="T346" s="236" t="s">
        <v>264</v>
      </c>
    </row>
    <row r="347" spans="1:20" ht="14">
      <c r="A347" s="231">
        <v>346</v>
      </c>
      <c r="B347" s="235" t="s">
        <v>52</v>
      </c>
      <c r="C347" s="231" t="s">
        <v>10</v>
      </c>
      <c r="D347" s="250" t="s">
        <v>1195</v>
      </c>
      <c r="E347" s="239" t="s">
        <v>1196</v>
      </c>
      <c r="F347" s="231" t="s">
        <v>267</v>
      </c>
      <c r="G347" s="231" cm="1">
        <f t="array" ref="G347">_xlfn.IFS(J347&lt;301,2,J347&gt;300,48)</f>
        <v>48</v>
      </c>
      <c r="H347" s="231" t="s">
        <v>3512</v>
      </c>
      <c r="I347" s="281">
        <v>0</v>
      </c>
      <c r="J347" s="249">
        <v>400</v>
      </c>
      <c r="K347" s="231">
        <f t="shared" si="5"/>
        <v>20</v>
      </c>
      <c r="L347" s="231"/>
      <c r="M347" s="231" t="s">
        <v>16</v>
      </c>
      <c r="N347" s="231" t="s">
        <v>253</v>
      </c>
      <c r="O347" s="231">
        <v>2021</v>
      </c>
      <c r="P347" s="281"/>
      <c r="Q347" s="231"/>
      <c r="R347" s="231"/>
      <c r="S347" s="236" t="s">
        <v>453</v>
      </c>
      <c r="T347" s="236" t="s">
        <v>264</v>
      </c>
    </row>
    <row r="348" spans="1:20" ht="14">
      <c r="A348" s="231">
        <v>347</v>
      </c>
      <c r="B348" s="235" t="s">
        <v>52</v>
      </c>
      <c r="C348" s="231" t="s">
        <v>10</v>
      </c>
      <c r="D348" s="250" t="s">
        <v>1197</v>
      </c>
      <c r="E348" s="239" t="s">
        <v>1198</v>
      </c>
      <c r="F348" s="231" t="s">
        <v>881</v>
      </c>
      <c r="G348" s="231" cm="1">
        <f t="array" ref="G348">_xlfn.IFS(J348&lt;301,2,J348&gt;300,48)</f>
        <v>48</v>
      </c>
      <c r="H348" s="231" t="s">
        <v>2875</v>
      </c>
      <c r="I348" s="281">
        <v>0</v>
      </c>
      <c r="J348" s="249">
        <v>400</v>
      </c>
      <c r="K348" s="231">
        <f t="shared" si="5"/>
        <v>20</v>
      </c>
      <c r="L348" s="231"/>
      <c r="M348" s="231" t="s">
        <v>16</v>
      </c>
      <c r="N348" s="231" t="s">
        <v>253</v>
      </c>
      <c r="O348" s="231">
        <v>2021</v>
      </c>
      <c r="P348" s="281"/>
      <c r="Q348" s="231"/>
      <c r="R348" s="231"/>
      <c r="S348" s="236" t="s">
        <v>453</v>
      </c>
      <c r="T348" s="236" t="s">
        <v>264</v>
      </c>
    </row>
    <row r="349" spans="1:20" ht="14">
      <c r="A349" s="231">
        <v>348</v>
      </c>
      <c r="B349" s="235" t="s">
        <v>52</v>
      </c>
      <c r="C349" s="231" t="s">
        <v>10</v>
      </c>
      <c r="D349" s="250" t="s">
        <v>1199</v>
      </c>
      <c r="E349" s="239" t="s">
        <v>1200</v>
      </c>
      <c r="F349" s="231" t="s">
        <v>267</v>
      </c>
      <c r="G349" s="231" cm="1">
        <f t="array" ref="G349">_xlfn.IFS(J349&lt;301,2,J349&gt;300,48)</f>
        <v>48</v>
      </c>
      <c r="H349" s="231" t="s">
        <v>4265</v>
      </c>
      <c r="I349" s="281">
        <v>0</v>
      </c>
      <c r="J349" s="249">
        <v>900</v>
      </c>
      <c r="K349" s="231">
        <f t="shared" si="5"/>
        <v>20</v>
      </c>
      <c r="L349" s="231"/>
      <c r="M349" s="231" t="s">
        <v>16</v>
      </c>
      <c r="N349" s="231" t="s">
        <v>253</v>
      </c>
      <c r="O349" s="231">
        <v>2021</v>
      </c>
      <c r="P349" s="281"/>
      <c r="Q349" s="231"/>
      <c r="R349" s="231"/>
      <c r="S349" s="236" t="s">
        <v>453</v>
      </c>
      <c r="T349" s="236" t="s">
        <v>264</v>
      </c>
    </row>
    <row r="350" spans="1:20" ht="14">
      <c r="A350" s="231">
        <v>349</v>
      </c>
      <c r="B350" s="235" t="s">
        <v>52</v>
      </c>
      <c r="C350" s="231" t="s">
        <v>10</v>
      </c>
      <c r="D350" s="250" t="s">
        <v>1201</v>
      </c>
      <c r="E350" s="239" t="s">
        <v>1202</v>
      </c>
      <c r="F350" s="231" t="s">
        <v>881</v>
      </c>
      <c r="G350" s="231" cm="1">
        <f t="array" ref="G350">_xlfn.IFS(J350&lt;301,2,J350&gt;300,48)</f>
        <v>2</v>
      </c>
      <c r="H350" s="231" t="s">
        <v>2875</v>
      </c>
      <c r="I350" s="281">
        <v>0</v>
      </c>
      <c r="J350" s="249">
        <v>150</v>
      </c>
      <c r="K350" s="231">
        <f t="shared" si="5"/>
        <v>20</v>
      </c>
      <c r="L350" s="231"/>
      <c r="M350" s="231" t="s">
        <v>16</v>
      </c>
      <c r="N350" s="231" t="s">
        <v>253</v>
      </c>
      <c r="O350" s="231">
        <v>2021</v>
      </c>
      <c r="P350" s="281"/>
      <c r="Q350" s="231"/>
      <c r="R350" s="231"/>
      <c r="S350" s="236" t="s">
        <v>453</v>
      </c>
      <c r="T350" s="236" t="s">
        <v>264</v>
      </c>
    </row>
    <row r="351" spans="1:20" ht="14">
      <c r="A351" s="231">
        <v>350</v>
      </c>
      <c r="B351" s="235" t="s">
        <v>52</v>
      </c>
      <c r="C351" s="231" t="s">
        <v>10</v>
      </c>
      <c r="D351" s="250" t="s">
        <v>1203</v>
      </c>
      <c r="E351" s="239" t="s">
        <v>1204</v>
      </c>
      <c r="F351" s="231" t="s">
        <v>881</v>
      </c>
      <c r="G351" s="231" cm="1">
        <f t="array" ref="G351">_xlfn.IFS(J351&lt;301,2,J351&gt;300,48)</f>
        <v>2</v>
      </c>
      <c r="H351" s="231" t="s">
        <v>2875</v>
      </c>
      <c r="I351" s="281">
        <v>0</v>
      </c>
      <c r="J351" s="249">
        <v>250</v>
      </c>
      <c r="K351" s="231">
        <f t="shared" si="5"/>
        <v>20</v>
      </c>
      <c r="L351" s="231"/>
      <c r="M351" s="231" t="s">
        <v>16</v>
      </c>
      <c r="N351" s="231" t="s">
        <v>253</v>
      </c>
      <c r="O351" s="231">
        <v>2021</v>
      </c>
      <c r="P351" s="281"/>
      <c r="Q351" s="231"/>
      <c r="R351" s="231"/>
      <c r="S351" s="236" t="s">
        <v>453</v>
      </c>
      <c r="T351" s="236" t="s">
        <v>264</v>
      </c>
    </row>
    <row r="352" spans="1:20" ht="14">
      <c r="A352" s="231">
        <v>351</v>
      </c>
      <c r="B352" s="235" t="s">
        <v>52</v>
      </c>
      <c r="C352" s="231" t="s">
        <v>10</v>
      </c>
      <c r="D352" s="250" t="s">
        <v>1205</v>
      </c>
      <c r="E352" s="239" t="s">
        <v>1206</v>
      </c>
      <c r="F352" s="231" t="s">
        <v>888</v>
      </c>
      <c r="G352" s="231" cm="1">
        <f t="array" ref="G352">_xlfn.IFS(J352&lt;301,2,J352&gt;300,48)</f>
        <v>2</v>
      </c>
      <c r="H352" s="231" t="s">
        <v>2773</v>
      </c>
      <c r="I352" s="281">
        <v>0</v>
      </c>
      <c r="J352" s="249">
        <v>100</v>
      </c>
      <c r="K352" s="231">
        <f t="shared" si="5"/>
        <v>20</v>
      </c>
      <c r="L352" s="231"/>
      <c r="M352" s="231" t="s">
        <v>16</v>
      </c>
      <c r="N352" s="231" t="s">
        <v>253</v>
      </c>
      <c r="O352" s="231">
        <v>2021</v>
      </c>
      <c r="P352" s="281"/>
      <c r="Q352" s="231"/>
      <c r="R352" s="231"/>
      <c r="S352" s="236" t="s">
        <v>453</v>
      </c>
      <c r="T352" s="236" t="s">
        <v>264</v>
      </c>
    </row>
    <row r="353" spans="1:20" ht="14">
      <c r="A353" s="231">
        <v>352</v>
      </c>
      <c r="B353" s="235" t="s">
        <v>52</v>
      </c>
      <c r="C353" s="231" t="s">
        <v>10</v>
      </c>
      <c r="D353" s="250" t="s">
        <v>1207</v>
      </c>
      <c r="E353" s="239" t="s">
        <v>1208</v>
      </c>
      <c r="F353" s="231" t="s">
        <v>267</v>
      </c>
      <c r="G353" s="231" cm="1">
        <f t="array" ref="G353">_xlfn.IFS(J353&lt;301,2,J353&gt;300,48)</f>
        <v>48</v>
      </c>
      <c r="H353" s="231" t="s">
        <v>2765</v>
      </c>
      <c r="I353" s="281">
        <v>0</v>
      </c>
      <c r="J353" s="249">
        <v>350</v>
      </c>
      <c r="K353" s="231">
        <f t="shared" si="5"/>
        <v>20</v>
      </c>
      <c r="L353" s="231"/>
      <c r="M353" s="231" t="s">
        <v>16</v>
      </c>
      <c r="N353" s="231" t="s">
        <v>253</v>
      </c>
      <c r="O353" s="231">
        <v>2021</v>
      </c>
      <c r="P353" s="281"/>
      <c r="Q353" s="231"/>
      <c r="R353" s="231"/>
      <c r="S353" s="236" t="s">
        <v>453</v>
      </c>
      <c r="T353" s="236" t="s">
        <v>264</v>
      </c>
    </row>
    <row r="354" spans="1:20" ht="14">
      <c r="A354" s="231">
        <v>353</v>
      </c>
      <c r="B354" s="235" t="s">
        <v>52</v>
      </c>
      <c r="C354" s="231" t="s">
        <v>10</v>
      </c>
      <c r="D354" s="250" t="s">
        <v>1209</v>
      </c>
      <c r="E354" s="239" t="s">
        <v>1210</v>
      </c>
      <c r="F354" s="231" t="s">
        <v>267</v>
      </c>
      <c r="G354" s="231" cm="1">
        <f t="array" ref="G354">_xlfn.IFS(J354&lt;301,2,J354&gt;300,48)</f>
        <v>48</v>
      </c>
      <c r="H354" s="231" t="s">
        <v>2765</v>
      </c>
      <c r="I354" s="281">
        <v>0</v>
      </c>
      <c r="J354" s="249">
        <v>5000</v>
      </c>
      <c r="K354" s="231">
        <f t="shared" si="5"/>
        <v>20</v>
      </c>
      <c r="L354" s="231"/>
      <c r="M354" s="231" t="s">
        <v>16</v>
      </c>
      <c r="N354" s="231" t="s">
        <v>253</v>
      </c>
      <c r="O354" s="231">
        <v>2021</v>
      </c>
      <c r="P354" s="281"/>
      <c r="Q354" s="231"/>
      <c r="R354" s="231"/>
      <c r="S354" s="236" t="s">
        <v>453</v>
      </c>
      <c r="T354" s="236" t="s">
        <v>264</v>
      </c>
    </row>
    <row r="355" spans="1:20" ht="14">
      <c r="A355" s="231">
        <v>354</v>
      </c>
      <c r="B355" s="235" t="s">
        <v>52</v>
      </c>
      <c r="C355" s="231" t="s">
        <v>10</v>
      </c>
      <c r="D355" s="250" t="s">
        <v>1211</v>
      </c>
      <c r="E355" s="239" t="s">
        <v>1212</v>
      </c>
      <c r="F355" s="231" t="s">
        <v>854</v>
      </c>
      <c r="G355" s="231" cm="1">
        <f t="array" ref="G355">_xlfn.IFS(J355&lt;301,2,J355&gt;300,48)</f>
        <v>48</v>
      </c>
      <c r="H355" s="231" t="s">
        <v>3060</v>
      </c>
      <c r="I355" s="281">
        <v>0</v>
      </c>
      <c r="J355" s="249">
        <v>450</v>
      </c>
      <c r="K355" s="231">
        <f t="shared" si="5"/>
        <v>20</v>
      </c>
      <c r="L355" s="231"/>
      <c r="M355" s="231" t="s">
        <v>16</v>
      </c>
      <c r="N355" s="231" t="s">
        <v>253</v>
      </c>
      <c r="O355" s="231">
        <v>2021</v>
      </c>
      <c r="P355" s="281"/>
      <c r="Q355" s="231"/>
      <c r="R355" s="231"/>
      <c r="S355" s="236" t="s">
        <v>453</v>
      </c>
      <c r="T355" s="236" t="s">
        <v>264</v>
      </c>
    </row>
    <row r="356" spans="1:20" ht="14">
      <c r="A356" s="231">
        <v>355</v>
      </c>
      <c r="B356" s="235" t="s">
        <v>52</v>
      </c>
      <c r="C356" s="231" t="s">
        <v>10</v>
      </c>
      <c r="D356" s="250" t="s">
        <v>1213</v>
      </c>
      <c r="E356" s="239" t="s">
        <v>1214</v>
      </c>
      <c r="F356" s="231" t="s">
        <v>267</v>
      </c>
      <c r="G356" s="231" cm="1">
        <f t="array" ref="G356">_xlfn.IFS(J356&lt;301,2,J356&gt;300,48)</f>
        <v>2</v>
      </c>
      <c r="H356" s="231" t="s">
        <v>3542</v>
      </c>
      <c r="I356" s="281">
        <v>0</v>
      </c>
      <c r="J356" s="249">
        <v>200</v>
      </c>
      <c r="K356" s="231">
        <f t="shared" si="5"/>
        <v>20</v>
      </c>
      <c r="L356" s="231"/>
      <c r="M356" s="231" t="s">
        <v>16</v>
      </c>
      <c r="N356" s="231" t="s">
        <v>253</v>
      </c>
      <c r="O356" s="231">
        <v>2021</v>
      </c>
      <c r="P356" s="281"/>
      <c r="Q356" s="231"/>
      <c r="R356" s="231"/>
      <c r="S356" s="236" t="s">
        <v>453</v>
      </c>
      <c r="T356" s="236" t="s">
        <v>264</v>
      </c>
    </row>
    <row r="357" spans="1:20" ht="14">
      <c r="A357" s="231">
        <v>356</v>
      </c>
      <c r="B357" s="235" t="s">
        <v>52</v>
      </c>
      <c r="C357" s="231" t="s">
        <v>10</v>
      </c>
      <c r="D357" s="250" t="s">
        <v>1215</v>
      </c>
      <c r="E357" s="239" t="s">
        <v>1216</v>
      </c>
      <c r="F357" s="231" t="s">
        <v>267</v>
      </c>
      <c r="G357" s="231" cm="1">
        <f t="array" ref="G357">_xlfn.IFS(J357&lt;301,2,J357&gt;300,48)</f>
        <v>48</v>
      </c>
      <c r="H357" s="231" t="s">
        <v>2763</v>
      </c>
      <c r="I357" s="281">
        <v>0</v>
      </c>
      <c r="J357" s="249">
        <v>650</v>
      </c>
      <c r="K357" s="231">
        <f t="shared" si="5"/>
        <v>20</v>
      </c>
      <c r="L357" s="231"/>
      <c r="M357" s="231" t="s">
        <v>16</v>
      </c>
      <c r="N357" s="231" t="s">
        <v>253</v>
      </c>
      <c r="O357" s="231">
        <v>2021</v>
      </c>
      <c r="P357" s="281"/>
      <c r="Q357" s="231"/>
      <c r="R357" s="231"/>
      <c r="S357" s="236" t="s">
        <v>453</v>
      </c>
      <c r="T357" s="236" t="s">
        <v>264</v>
      </c>
    </row>
    <row r="358" spans="1:20" ht="14">
      <c r="A358" s="231">
        <v>357</v>
      </c>
      <c r="B358" s="235" t="s">
        <v>52</v>
      </c>
      <c r="C358" s="231" t="s">
        <v>10</v>
      </c>
      <c r="D358" s="250" t="s">
        <v>1217</v>
      </c>
      <c r="E358" s="239" t="s">
        <v>1218</v>
      </c>
      <c r="F358" s="231" t="s">
        <v>854</v>
      </c>
      <c r="G358" s="231" cm="1">
        <f t="array" ref="G358">_xlfn.IFS(J358&lt;301,2,J358&gt;300,48)</f>
        <v>48</v>
      </c>
      <c r="H358" s="231" t="s">
        <v>2763</v>
      </c>
      <c r="I358" s="281">
        <v>0</v>
      </c>
      <c r="J358" s="249">
        <v>400</v>
      </c>
      <c r="K358" s="231">
        <f t="shared" si="5"/>
        <v>20</v>
      </c>
      <c r="L358" s="231"/>
      <c r="M358" s="231" t="s">
        <v>16</v>
      </c>
      <c r="N358" s="231" t="s">
        <v>253</v>
      </c>
      <c r="O358" s="231">
        <v>2021</v>
      </c>
      <c r="P358" s="281"/>
      <c r="Q358" s="231"/>
      <c r="R358" s="231"/>
      <c r="S358" s="236" t="s">
        <v>453</v>
      </c>
      <c r="T358" s="236" t="s">
        <v>264</v>
      </c>
    </row>
    <row r="359" spans="1:20" ht="14">
      <c r="A359" s="231">
        <v>358</v>
      </c>
      <c r="B359" s="235" t="s">
        <v>52</v>
      </c>
      <c r="C359" s="231" t="s">
        <v>10</v>
      </c>
      <c r="D359" s="250" t="s">
        <v>1219</v>
      </c>
      <c r="E359" s="239" t="s">
        <v>1220</v>
      </c>
      <c r="F359" s="231" t="s">
        <v>888</v>
      </c>
      <c r="G359" s="231" cm="1">
        <f t="array" ref="G359">_xlfn.IFS(J359&lt;301,2,J359&gt;300,48)</f>
        <v>48</v>
      </c>
      <c r="H359" s="231" t="s">
        <v>2773</v>
      </c>
      <c r="I359" s="281">
        <v>0</v>
      </c>
      <c r="J359" s="249">
        <v>500</v>
      </c>
      <c r="K359" s="231">
        <f t="shared" si="5"/>
        <v>10</v>
      </c>
      <c r="L359" s="231"/>
      <c r="M359" s="299" t="s">
        <v>15</v>
      </c>
      <c r="N359" s="231" t="s">
        <v>253</v>
      </c>
      <c r="O359" s="231">
        <v>2021</v>
      </c>
      <c r="P359" s="281"/>
      <c r="Q359" s="231"/>
      <c r="R359" s="231"/>
      <c r="S359" s="236" t="s">
        <v>453</v>
      </c>
      <c r="T359" s="236" t="s">
        <v>264</v>
      </c>
    </row>
    <row r="360" spans="1:20" ht="14">
      <c r="A360" s="231">
        <v>359</v>
      </c>
      <c r="B360" s="235" t="s">
        <v>52</v>
      </c>
      <c r="C360" s="231" t="s">
        <v>10</v>
      </c>
      <c r="D360" s="250" t="s">
        <v>1221</v>
      </c>
      <c r="E360" s="251" t="s">
        <v>1222</v>
      </c>
      <c r="F360" s="231" t="s">
        <v>888</v>
      </c>
      <c r="G360" s="231" cm="1">
        <f t="array" ref="G360">_xlfn.IFS(J360&lt;301,2,J360&gt;300,48)</f>
        <v>48</v>
      </c>
      <c r="H360" s="231" t="s">
        <v>2773</v>
      </c>
      <c r="I360" s="281">
        <v>0</v>
      </c>
      <c r="J360" s="249">
        <v>1800</v>
      </c>
      <c r="K360" s="231">
        <f t="shared" si="5"/>
        <v>20</v>
      </c>
      <c r="L360" s="231"/>
      <c r="M360" s="231" t="s">
        <v>16</v>
      </c>
      <c r="N360" s="231" t="s">
        <v>253</v>
      </c>
      <c r="O360" s="231">
        <v>2021</v>
      </c>
      <c r="P360" s="281"/>
      <c r="Q360" s="231"/>
      <c r="R360" s="231"/>
      <c r="S360" s="236" t="s">
        <v>453</v>
      </c>
      <c r="T360" s="236" t="s">
        <v>264</v>
      </c>
    </row>
    <row r="361" spans="1:20" ht="14">
      <c r="A361" s="231">
        <v>360</v>
      </c>
      <c r="B361" s="235" t="s">
        <v>52</v>
      </c>
      <c r="C361" s="231" t="s">
        <v>10</v>
      </c>
      <c r="D361" s="250" t="s">
        <v>1223</v>
      </c>
      <c r="E361" s="239" t="s">
        <v>1224</v>
      </c>
      <c r="F361" s="231" t="s">
        <v>267</v>
      </c>
      <c r="G361" s="231" cm="1">
        <f t="array" ref="G361">_xlfn.IFS(J361&lt;301,2,J361&gt;300,48)</f>
        <v>48</v>
      </c>
      <c r="H361" s="231" t="s">
        <v>582</v>
      </c>
      <c r="I361" s="281">
        <v>0</v>
      </c>
      <c r="J361" s="249">
        <v>800</v>
      </c>
      <c r="K361" s="231">
        <f t="shared" si="5"/>
        <v>20</v>
      </c>
      <c r="L361" s="231"/>
      <c r="M361" s="231" t="s">
        <v>16</v>
      </c>
      <c r="N361" s="231" t="s">
        <v>253</v>
      </c>
      <c r="O361" s="231">
        <v>2021</v>
      </c>
      <c r="P361" s="281"/>
      <c r="Q361" s="231"/>
      <c r="R361" s="231"/>
      <c r="S361" s="236" t="s">
        <v>453</v>
      </c>
      <c r="T361" s="236" t="s">
        <v>264</v>
      </c>
    </row>
    <row r="362" spans="1:20" ht="14">
      <c r="A362" s="231">
        <v>361</v>
      </c>
      <c r="B362" s="235" t="s">
        <v>52</v>
      </c>
      <c r="C362" s="231" t="s">
        <v>10</v>
      </c>
      <c r="D362" s="250" t="s">
        <v>1225</v>
      </c>
      <c r="E362" s="239" t="s">
        <v>1226</v>
      </c>
      <c r="F362" s="231" t="s">
        <v>267</v>
      </c>
      <c r="G362" s="231" cm="1">
        <f t="array" ref="G362">_xlfn.IFS(J362&lt;301,2,J362&gt;300,48)</f>
        <v>48</v>
      </c>
      <c r="H362" s="231" t="s">
        <v>2875</v>
      </c>
      <c r="I362" s="281">
        <v>0</v>
      </c>
      <c r="J362" s="249">
        <v>700</v>
      </c>
      <c r="K362" s="231">
        <f t="shared" si="5"/>
        <v>20</v>
      </c>
      <c r="L362" s="231"/>
      <c r="M362" s="231" t="s">
        <v>16</v>
      </c>
      <c r="N362" s="231" t="s">
        <v>253</v>
      </c>
      <c r="O362" s="231">
        <v>2021</v>
      </c>
      <c r="P362" s="281"/>
      <c r="Q362" s="231"/>
      <c r="R362" s="231"/>
      <c r="S362" s="236" t="s">
        <v>453</v>
      </c>
      <c r="T362" s="236" t="s">
        <v>264</v>
      </c>
    </row>
    <row r="363" spans="1:20" ht="14">
      <c r="A363" s="231">
        <v>362</v>
      </c>
      <c r="B363" s="235" t="s">
        <v>52</v>
      </c>
      <c r="C363" s="231" t="s">
        <v>10</v>
      </c>
      <c r="D363" s="250" t="s">
        <v>1227</v>
      </c>
      <c r="E363" s="239" t="s">
        <v>1228</v>
      </c>
      <c r="F363" s="231" t="s">
        <v>888</v>
      </c>
      <c r="G363" s="231" cm="1">
        <f t="array" ref="G363">_xlfn.IFS(J363&lt;301,2,J363&gt;300,48)</f>
        <v>48</v>
      </c>
      <c r="H363" s="231" t="s">
        <v>2773</v>
      </c>
      <c r="I363" s="281">
        <v>0</v>
      </c>
      <c r="J363" s="249">
        <v>2150</v>
      </c>
      <c r="K363" s="231">
        <f t="shared" si="5"/>
        <v>20</v>
      </c>
      <c r="L363" s="231"/>
      <c r="M363" s="231" t="s">
        <v>16</v>
      </c>
      <c r="N363" s="231" t="s">
        <v>253</v>
      </c>
      <c r="O363" s="231">
        <v>2021</v>
      </c>
      <c r="P363" s="281"/>
      <c r="Q363" s="231"/>
      <c r="R363" s="231"/>
      <c r="S363" s="236" t="s">
        <v>453</v>
      </c>
      <c r="T363" s="236" t="s">
        <v>264</v>
      </c>
    </row>
    <row r="364" spans="1:20" ht="14">
      <c r="A364" s="231">
        <v>363</v>
      </c>
      <c r="B364" s="235" t="s">
        <v>52</v>
      </c>
      <c r="C364" s="231" t="s">
        <v>10</v>
      </c>
      <c r="D364" s="250" t="s">
        <v>1229</v>
      </c>
      <c r="E364" s="239" t="s">
        <v>1230</v>
      </c>
      <c r="F364" s="231" t="s">
        <v>267</v>
      </c>
      <c r="G364" s="231" cm="1">
        <f t="array" ref="G364">_xlfn.IFS(J364&lt;301,2,J364&gt;300,48)</f>
        <v>48</v>
      </c>
      <c r="H364" s="231" t="s">
        <v>582</v>
      </c>
      <c r="I364" s="281">
        <v>0</v>
      </c>
      <c r="J364" s="249">
        <v>850</v>
      </c>
      <c r="K364" s="231">
        <f t="shared" si="5"/>
        <v>20</v>
      </c>
      <c r="L364" s="231"/>
      <c r="M364" s="231" t="s">
        <v>16</v>
      </c>
      <c r="N364" s="231" t="s">
        <v>253</v>
      </c>
      <c r="O364" s="231">
        <v>2021</v>
      </c>
      <c r="P364" s="281"/>
      <c r="Q364" s="231"/>
      <c r="R364" s="231"/>
      <c r="S364" s="236" t="s">
        <v>453</v>
      </c>
      <c r="T364" s="236" t="s">
        <v>264</v>
      </c>
    </row>
    <row r="365" spans="1:20" ht="14">
      <c r="A365" s="231">
        <v>364</v>
      </c>
      <c r="B365" s="235" t="s">
        <v>52</v>
      </c>
      <c r="C365" s="231" t="s">
        <v>10</v>
      </c>
      <c r="D365" s="250" t="s">
        <v>1231</v>
      </c>
      <c r="E365" s="239" t="s">
        <v>1232</v>
      </c>
      <c r="F365" s="231" t="s">
        <v>267</v>
      </c>
      <c r="G365" s="231" cm="1">
        <f t="array" ref="G365">_xlfn.IFS(J365&lt;301,2,J365&gt;300,48)</f>
        <v>2</v>
      </c>
      <c r="H365" s="231" t="s">
        <v>3542</v>
      </c>
      <c r="I365" s="281">
        <v>0</v>
      </c>
      <c r="J365" s="249">
        <v>150</v>
      </c>
      <c r="K365" s="231">
        <f t="shared" si="5"/>
        <v>20</v>
      </c>
      <c r="L365" s="231"/>
      <c r="M365" s="231" t="s">
        <v>16</v>
      </c>
      <c r="N365" s="231" t="s">
        <v>253</v>
      </c>
      <c r="O365" s="231">
        <v>2021</v>
      </c>
      <c r="P365" s="281"/>
      <c r="Q365" s="231"/>
      <c r="R365" s="231"/>
      <c r="S365" s="236" t="s">
        <v>453</v>
      </c>
      <c r="T365" s="236" t="s">
        <v>264</v>
      </c>
    </row>
    <row r="366" spans="1:20" ht="14">
      <c r="A366" s="231">
        <v>365</v>
      </c>
      <c r="B366" s="235" t="s">
        <v>52</v>
      </c>
      <c r="C366" s="231" t="s">
        <v>10</v>
      </c>
      <c r="D366" s="250" t="s">
        <v>1233</v>
      </c>
      <c r="E366" s="239" t="s">
        <v>1234</v>
      </c>
      <c r="F366" s="231" t="s">
        <v>835</v>
      </c>
      <c r="G366" s="231" cm="1">
        <f t="array" ref="G366">_xlfn.IFS(J366&lt;301,2,J366&gt;300,48)</f>
        <v>2</v>
      </c>
      <c r="H366" s="231" t="s">
        <v>4543</v>
      </c>
      <c r="I366" s="281">
        <v>0</v>
      </c>
      <c r="J366" s="249">
        <v>60</v>
      </c>
      <c r="K366" s="231">
        <f t="shared" si="5"/>
        <v>10</v>
      </c>
      <c r="L366" s="231"/>
      <c r="M366" s="299" t="s">
        <v>15</v>
      </c>
      <c r="N366" s="231" t="s">
        <v>253</v>
      </c>
      <c r="O366" s="231">
        <v>2021</v>
      </c>
      <c r="P366" s="281"/>
      <c r="Q366" s="231"/>
      <c r="R366" s="231"/>
      <c r="S366" s="236" t="s">
        <v>453</v>
      </c>
      <c r="T366" s="236" t="s">
        <v>264</v>
      </c>
    </row>
    <row r="367" spans="1:20" ht="14">
      <c r="A367" s="231">
        <v>366</v>
      </c>
      <c r="B367" s="235" t="s">
        <v>52</v>
      </c>
      <c r="C367" s="231" t="s">
        <v>10</v>
      </c>
      <c r="D367" s="250" t="s">
        <v>1235</v>
      </c>
      <c r="E367" s="239" t="s">
        <v>1236</v>
      </c>
      <c r="F367" s="231" t="s">
        <v>854</v>
      </c>
      <c r="G367" s="231" cm="1">
        <f t="array" ref="G367">_xlfn.IFS(J367&lt;301,2,J367&gt;300,48)</f>
        <v>48</v>
      </c>
      <c r="H367" s="231" t="s">
        <v>2763</v>
      </c>
      <c r="I367" s="281">
        <v>0</v>
      </c>
      <c r="J367" s="249">
        <v>500</v>
      </c>
      <c r="K367" s="231">
        <f t="shared" si="5"/>
        <v>20</v>
      </c>
      <c r="L367" s="231"/>
      <c r="M367" s="231" t="s">
        <v>16</v>
      </c>
      <c r="N367" s="231" t="s">
        <v>253</v>
      </c>
      <c r="O367" s="231">
        <v>2021</v>
      </c>
      <c r="P367" s="281"/>
      <c r="Q367" s="231"/>
      <c r="R367" s="231"/>
      <c r="S367" s="236" t="s">
        <v>453</v>
      </c>
      <c r="T367" s="236" t="s">
        <v>264</v>
      </c>
    </row>
    <row r="368" spans="1:20" ht="14">
      <c r="A368" s="231">
        <v>367</v>
      </c>
      <c r="B368" s="235" t="s">
        <v>52</v>
      </c>
      <c r="C368" s="231" t="s">
        <v>10</v>
      </c>
      <c r="D368" s="250" t="s">
        <v>1237</v>
      </c>
      <c r="E368" s="239" t="s">
        <v>1238</v>
      </c>
      <c r="F368" s="231" t="s">
        <v>267</v>
      </c>
      <c r="G368" s="231" cm="1">
        <f t="array" ref="G368">_xlfn.IFS(J368&lt;301,2,J368&gt;300,48)</f>
        <v>48</v>
      </c>
      <c r="H368" s="231" t="s">
        <v>2875</v>
      </c>
      <c r="I368" s="281">
        <v>0</v>
      </c>
      <c r="J368" s="249">
        <v>600</v>
      </c>
      <c r="K368" s="231">
        <f t="shared" si="5"/>
        <v>20</v>
      </c>
      <c r="L368" s="231"/>
      <c r="M368" s="231" t="s">
        <v>16</v>
      </c>
      <c r="N368" s="231" t="s">
        <v>253</v>
      </c>
      <c r="O368" s="231">
        <v>2021</v>
      </c>
      <c r="P368" s="281"/>
      <c r="Q368" s="231"/>
      <c r="R368" s="231"/>
      <c r="S368" s="236" t="s">
        <v>453</v>
      </c>
      <c r="T368" s="236" t="s">
        <v>264</v>
      </c>
    </row>
    <row r="369" spans="1:20" ht="14">
      <c r="A369" s="231">
        <v>368</v>
      </c>
      <c r="B369" s="235" t="s">
        <v>52</v>
      </c>
      <c r="C369" s="231" t="s">
        <v>10</v>
      </c>
      <c r="D369" s="250" t="s">
        <v>1239</v>
      </c>
      <c r="E369" s="239" t="s">
        <v>1240</v>
      </c>
      <c r="F369" s="231" t="s">
        <v>267</v>
      </c>
      <c r="G369" s="231" cm="1">
        <f t="array" ref="G369">_xlfn.IFS(J369&lt;301,2,J369&gt;300,48)</f>
        <v>2</v>
      </c>
      <c r="H369" s="231" t="s">
        <v>2783</v>
      </c>
      <c r="I369" s="281">
        <v>0</v>
      </c>
      <c r="J369" s="249">
        <v>250</v>
      </c>
      <c r="K369" s="231">
        <f t="shared" si="5"/>
        <v>20</v>
      </c>
      <c r="L369" s="231"/>
      <c r="M369" s="231" t="s">
        <v>16</v>
      </c>
      <c r="N369" s="231" t="s">
        <v>253</v>
      </c>
      <c r="O369" s="231">
        <v>2021</v>
      </c>
      <c r="P369" s="281"/>
      <c r="Q369" s="231"/>
      <c r="R369" s="231"/>
      <c r="S369" s="236" t="s">
        <v>453</v>
      </c>
      <c r="T369" s="236" t="s">
        <v>264</v>
      </c>
    </row>
    <row r="370" spans="1:20" ht="14">
      <c r="A370" s="231">
        <v>369</v>
      </c>
      <c r="B370" s="235" t="s">
        <v>52</v>
      </c>
      <c r="C370" s="231" t="s">
        <v>10</v>
      </c>
      <c r="D370" s="250" t="s">
        <v>1241</v>
      </c>
      <c r="E370" s="239" t="s">
        <v>1242</v>
      </c>
      <c r="F370" s="231" t="s">
        <v>888</v>
      </c>
      <c r="G370" s="231" cm="1">
        <f t="array" ref="G370">_xlfn.IFS(J370&lt;301,2,J370&gt;300,48)</f>
        <v>48</v>
      </c>
      <c r="H370" s="231" t="s">
        <v>2773</v>
      </c>
      <c r="I370" s="281">
        <v>0</v>
      </c>
      <c r="J370" s="249">
        <v>1000</v>
      </c>
      <c r="K370" s="231">
        <f t="shared" si="5"/>
        <v>20</v>
      </c>
      <c r="L370" s="231"/>
      <c r="M370" s="231" t="s">
        <v>16</v>
      </c>
      <c r="N370" s="231" t="s">
        <v>253</v>
      </c>
      <c r="O370" s="231">
        <v>2021</v>
      </c>
      <c r="P370" s="281"/>
      <c r="Q370" s="231"/>
      <c r="R370" s="231"/>
      <c r="S370" s="236" t="s">
        <v>453</v>
      </c>
      <c r="T370" s="236" t="s">
        <v>264</v>
      </c>
    </row>
    <row r="371" spans="1:20" ht="14">
      <c r="A371" s="231">
        <v>370</v>
      </c>
      <c r="B371" s="235" t="s">
        <v>52</v>
      </c>
      <c r="C371" s="231" t="s">
        <v>10</v>
      </c>
      <c r="D371" s="250" t="s">
        <v>1243</v>
      </c>
      <c r="E371" s="239" t="s">
        <v>1244</v>
      </c>
      <c r="F371" s="231" t="s">
        <v>878</v>
      </c>
      <c r="G371" s="231" cm="1">
        <f t="array" ref="G371">_xlfn.IFS(J371&lt;301,2,J371&gt;300,48)</f>
        <v>48</v>
      </c>
      <c r="H371" s="231" t="s">
        <v>4660</v>
      </c>
      <c r="I371" s="281">
        <v>0</v>
      </c>
      <c r="J371" s="249">
        <v>3000</v>
      </c>
      <c r="K371" s="231">
        <f t="shared" si="5"/>
        <v>20</v>
      </c>
      <c r="L371" s="231"/>
      <c r="M371" s="299" t="s">
        <v>15</v>
      </c>
      <c r="N371" s="231" t="s">
        <v>253</v>
      </c>
      <c r="O371" s="231">
        <v>2021</v>
      </c>
      <c r="P371" s="281"/>
      <c r="Q371" s="231"/>
      <c r="R371" s="231"/>
      <c r="S371" s="236" t="s">
        <v>453</v>
      </c>
      <c r="T371" s="236" t="s">
        <v>264</v>
      </c>
    </row>
    <row r="372" spans="1:20" ht="14">
      <c r="A372" s="231">
        <v>371</v>
      </c>
      <c r="B372" s="235" t="s">
        <v>52</v>
      </c>
      <c r="C372" s="231" t="s">
        <v>10</v>
      </c>
      <c r="D372" s="250" t="s">
        <v>1245</v>
      </c>
      <c r="E372" s="239" t="s">
        <v>1246</v>
      </c>
      <c r="F372" s="231" t="s">
        <v>267</v>
      </c>
      <c r="G372" s="231" cm="1">
        <f t="array" ref="G372">_xlfn.IFS(J372&lt;301,2,J372&gt;300,48)</f>
        <v>2</v>
      </c>
      <c r="H372" s="231" t="s">
        <v>582</v>
      </c>
      <c r="I372" s="281">
        <v>0</v>
      </c>
      <c r="J372" s="249">
        <v>200</v>
      </c>
      <c r="K372" s="231">
        <f t="shared" si="5"/>
        <v>20</v>
      </c>
      <c r="L372" s="231"/>
      <c r="M372" s="231" t="s">
        <v>16</v>
      </c>
      <c r="N372" s="231" t="s">
        <v>253</v>
      </c>
      <c r="O372" s="231">
        <v>2021</v>
      </c>
      <c r="P372" s="281"/>
      <c r="Q372" s="231"/>
      <c r="R372" s="231"/>
      <c r="S372" s="236" t="s">
        <v>453</v>
      </c>
      <c r="T372" s="236" t="s">
        <v>264</v>
      </c>
    </row>
    <row r="373" spans="1:20" ht="14">
      <c r="A373" s="231">
        <v>372</v>
      </c>
      <c r="B373" s="235" t="s">
        <v>52</v>
      </c>
      <c r="C373" s="231" t="s">
        <v>10</v>
      </c>
      <c r="D373" s="250" t="s">
        <v>1247</v>
      </c>
      <c r="E373" s="239" t="s">
        <v>1248</v>
      </c>
      <c r="F373" s="231" t="s">
        <v>267</v>
      </c>
      <c r="G373" s="231" cm="1">
        <f t="array" ref="G373">_xlfn.IFS(J373&lt;301,2,J373&gt;300,48)</f>
        <v>2</v>
      </c>
      <c r="H373" s="231" t="s">
        <v>2853</v>
      </c>
      <c r="I373" s="281">
        <v>0</v>
      </c>
      <c r="J373" s="249">
        <v>300</v>
      </c>
      <c r="K373" s="231">
        <f t="shared" si="5"/>
        <v>20</v>
      </c>
      <c r="L373" s="231"/>
      <c r="M373" s="231" t="s">
        <v>16</v>
      </c>
      <c r="N373" s="231" t="s">
        <v>253</v>
      </c>
      <c r="O373" s="231">
        <v>2021</v>
      </c>
      <c r="P373" s="281"/>
      <c r="Q373" s="231"/>
      <c r="R373" s="231"/>
      <c r="S373" s="236" t="s">
        <v>453</v>
      </c>
      <c r="T373" s="236" t="s">
        <v>264</v>
      </c>
    </row>
    <row r="374" spans="1:20" ht="14">
      <c r="A374" s="231">
        <v>373</v>
      </c>
      <c r="B374" s="235" t="s">
        <v>52</v>
      </c>
      <c r="C374" s="231" t="s">
        <v>10</v>
      </c>
      <c r="D374" s="250" t="s">
        <v>1249</v>
      </c>
      <c r="E374" s="239" t="s">
        <v>1250</v>
      </c>
      <c r="F374" s="231" t="s">
        <v>267</v>
      </c>
      <c r="G374" s="231" cm="1">
        <f t="array" ref="G374">_xlfn.IFS(J374&lt;301,2,J374&gt;300,48)</f>
        <v>48</v>
      </c>
      <c r="H374" s="231" t="s">
        <v>2765</v>
      </c>
      <c r="I374" s="281">
        <v>0</v>
      </c>
      <c r="J374" s="249">
        <v>600</v>
      </c>
      <c r="K374" s="231">
        <f t="shared" si="5"/>
        <v>20</v>
      </c>
      <c r="L374" s="231"/>
      <c r="M374" s="231" t="s">
        <v>16</v>
      </c>
      <c r="N374" s="231" t="s">
        <v>253</v>
      </c>
      <c r="O374" s="231">
        <v>2021</v>
      </c>
      <c r="P374" s="281"/>
      <c r="Q374" s="231"/>
      <c r="R374" s="231"/>
      <c r="S374" s="236" t="s">
        <v>453</v>
      </c>
      <c r="T374" s="236" t="s">
        <v>264</v>
      </c>
    </row>
    <row r="375" spans="1:20" ht="14">
      <c r="A375" s="231">
        <v>374</v>
      </c>
      <c r="B375" s="235" t="s">
        <v>52</v>
      </c>
      <c r="C375" s="231" t="s">
        <v>10</v>
      </c>
      <c r="D375" s="250" t="s">
        <v>1251</v>
      </c>
      <c r="E375" s="239" t="s">
        <v>1252</v>
      </c>
      <c r="F375" s="231" t="s">
        <v>854</v>
      </c>
      <c r="G375" s="231" cm="1">
        <f t="array" ref="G375">_xlfn.IFS(J375&lt;301,2,J375&gt;300,48)</f>
        <v>2</v>
      </c>
      <c r="H375" s="231" t="s">
        <v>185</v>
      </c>
      <c r="I375" s="281">
        <v>0</v>
      </c>
      <c r="J375" s="249">
        <v>300</v>
      </c>
      <c r="K375" s="231">
        <f t="shared" si="5"/>
        <v>10</v>
      </c>
      <c r="L375" s="231"/>
      <c r="M375" s="299" t="s">
        <v>15</v>
      </c>
      <c r="N375" s="231" t="s">
        <v>253</v>
      </c>
      <c r="O375" s="231">
        <v>2021</v>
      </c>
      <c r="P375" s="281"/>
      <c r="Q375" s="231"/>
      <c r="R375" s="231"/>
      <c r="S375" s="236" t="s">
        <v>453</v>
      </c>
      <c r="T375" s="236" t="s">
        <v>264</v>
      </c>
    </row>
    <row r="376" spans="1:20" ht="14">
      <c r="A376" s="231">
        <v>375</v>
      </c>
      <c r="B376" s="235" t="s">
        <v>52</v>
      </c>
      <c r="C376" s="231" t="s">
        <v>10</v>
      </c>
      <c r="D376" s="250" t="s">
        <v>1253</v>
      </c>
      <c r="E376" s="239" t="s">
        <v>1254</v>
      </c>
      <c r="F376" s="231" t="s">
        <v>873</v>
      </c>
      <c r="G376" s="231" cm="1">
        <f t="array" ref="G376">_xlfn.IFS(J376&lt;301,2,J376&gt;300,48)</f>
        <v>48</v>
      </c>
      <c r="H376" s="231" t="s">
        <v>3060</v>
      </c>
      <c r="I376" s="281">
        <v>0</v>
      </c>
      <c r="J376" s="249">
        <v>500</v>
      </c>
      <c r="K376" s="231">
        <f t="shared" si="5"/>
        <v>20</v>
      </c>
      <c r="L376" s="231"/>
      <c r="M376" s="231" t="s">
        <v>16</v>
      </c>
      <c r="N376" s="231" t="s">
        <v>253</v>
      </c>
      <c r="O376" s="231">
        <v>2021</v>
      </c>
      <c r="P376" s="281"/>
      <c r="Q376" s="231"/>
      <c r="R376" s="231"/>
      <c r="S376" s="236" t="s">
        <v>453</v>
      </c>
      <c r="T376" s="236" t="s">
        <v>264</v>
      </c>
    </row>
    <row r="377" spans="1:20" ht="14">
      <c r="A377" s="231">
        <v>376</v>
      </c>
      <c r="B377" s="235" t="s">
        <v>52</v>
      </c>
      <c r="C377" s="231" t="s">
        <v>10</v>
      </c>
      <c r="D377" s="250" t="s">
        <v>1255</v>
      </c>
      <c r="E377" s="239" t="s">
        <v>1256</v>
      </c>
      <c r="F377" s="231" t="s">
        <v>881</v>
      </c>
      <c r="G377" s="231" cm="1">
        <f t="array" ref="G377">_xlfn.IFS(J377&lt;301,2,J377&gt;300,48)</f>
        <v>2</v>
      </c>
      <c r="H377" s="231" t="s">
        <v>4659</v>
      </c>
      <c r="I377" s="281">
        <v>0</v>
      </c>
      <c r="J377" s="249">
        <v>150</v>
      </c>
      <c r="K377" s="231">
        <f t="shared" si="5"/>
        <v>10</v>
      </c>
      <c r="L377" s="231"/>
      <c r="M377" s="299" t="s">
        <v>15</v>
      </c>
      <c r="N377" s="231" t="s">
        <v>253</v>
      </c>
      <c r="O377" s="231">
        <v>2021</v>
      </c>
      <c r="P377" s="281"/>
      <c r="Q377" s="231"/>
      <c r="R377" s="231"/>
      <c r="S377" s="236" t="s">
        <v>453</v>
      </c>
      <c r="T377" s="236" t="s">
        <v>264</v>
      </c>
    </row>
    <row r="378" spans="1:20" ht="14">
      <c r="A378" s="231">
        <v>377</v>
      </c>
      <c r="B378" s="235" t="s">
        <v>52</v>
      </c>
      <c r="C378" s="231" t="s">
        <v>10</v>
      </c>
      <c r="D378" s="250" t="s">
        <v>1257</v>
      </c>
      <c r="E378" s="239" t="s">
        <v>1258</v>
      </c>
      <c r="F378" s="231" t="s">
        <v>1076</v>
      </c>
      <c r="G378" s="231" cm="1">
        <f t="array" ref="G378">_xlfn.IFS(J378&lt;301,2,J378&gt;300,48)</f>
        <v>48</v>
      </c>
      <c r="H378" s="231" t="s">
        <v>4569</v>
      </c>
      <c r="I378" s="281">
        <v>0</v>
      </c>
      <c r="J378" s="249">
        <v>400</v>
      </c>
      <c r="K378" s="231">
        <f t="shared" si="5"/>
        <v>10</v>
      </c>
      <c r="L378" s="231"/>
      <c r="M378" s="299" t="s">
        <v>15</v>
      </c>
      <c r="N378" s="231" t="s">
        <v>253</v>
      </c>
      <c r="O378" s="231">
        <v>2021</v>
      </c>
      <c r="P378" s="281"/>
      <c r="Q378" s="231"/>
      <c r="R378" s="231"/>
      <c r="S378" s="236" t="s">
        <v>453</v>
      </c>
      <c r="T378" s="236" t="s">
        <v>264</v>
      </c>
    </row>
    <row r="379" spans="1:20" ht="14">
      <c r="A379" s="231">
        <v>378</v>
      </c>
      <c r="B379" s="235" t="s">
        <v>52</v>
      </c>
      <c r="C379" s="231" t="s">
        <v>10</v>
      </c>
      <c r="D379" s="250" t="s">
        <v>1259</v>
      </c>
      <c r="E379" s="239" t="s">
        <v>1260</v>
      </c>
      <c r="F379" s="231" t="s">
        <v>854</v>
      </c>
      <c r="G379" s="231" cm="1">
        <f t="array" ref="G379">_xlfn.IFS(J379&lt;301,2,J379&gt;300,48)</f>
        <v>48</v>
      </c>
      <c r="H379" s="231" t="s">
        <v>2763</v>
      </c>
      <c r="I379" s="281">
        <v>0</v>
      </c>
      <c r="J379" s="249">
        <v>2000</v>
      </c>
      <c r="K379" s="231">
        <f t="shared" si="5"/>
        <v>20</v>
      </c>
      <c r="L379" s="231"/>
      <c r="M379" s="231" t="s">
        <v>16</v>
      </c>
      <c r="N379" s="231" t="s">
        <v>253</v>
      </c>
      <c r="O379" s="231">
        <v>2021</v>
      </c>
      <c r="P379" s="281"/>
      <c r="Q379" s="231"/>
      <c r="R379" s="231"/>
      <c r="S379" s="236" t="s">
        <v>453</v>
      </c>
      <c r="T379" s="236" t="s">
        <v>264</v>
      </c>
    </row>
    <row r="380" spans="1:20" ht="14">
      <c r="A380" s="231">
        <v>379</v>
      </c>
      <c r="B380" s="235" t="s">
        <v>52</v>
      </c>
      <c r="C380" s="231" t="s">
        <v>10</v>
      </c>
      <c r="D380" s="250" t="s">
        <v>1261</v>
      </c>
      <c r="E380" s="239" t="s">
        <v>1262</v>
      </c>
      <c r="F380" s="231" t="s">
        <v>763</v>
      </c>
      <c r="G380" s="231" cm="1">
        <f t="array" ref="G380">_xlfn.IFS(J380&lt;301,2,J380&gt;300,48)</f>
        <v>48</v>
      </c>
      <c r="H380" s="231" t="s">
        <v>2767</v>
      </c>
      <c r="I380" s="281">
        <v>0</v>
      </c>
      <c r="J380" s="249">
        <v>750</v>
      </c>
      <c r="K380" s="231">
        <f t="shared" si="5"/>
        <v>20</v>
      </c>
      <c r="L380" s="231"/>
      <c r="M380" s="231" t="s">
        <v>16</v>
      </c>
      <c r="N380" s="231" t="s">
        <v>253</v>
      </c>
      <c r="O380" s="231">
        <v>2021</v>
      </c>
      <c r="P380" s="281"/>
      <c r="Q380" s="231"/>
      <c r="R380" s="231"/>
      <c r="S380" s="236" t="s">
        <v>453</v>
      </c>
      <c r="T380" s="236" t="s">
        <v>264</v>
      </c>
    </row>
    <row r="381" spans="1:20" ht="14">
      <c r="A381" s="231">
        <v>380</v>
      </c>
      <c r="B381" s="235" t="s">
        <v>52</v>
      </c>
      <c r="C381" s="231" t="s">
        <v>10</v>
      </c>
      <c r="D381" s="250" t="s">
        <v>4683</v>
      </c>
      <c r="E381" s="239" t="s">
        <v>1263</v>
      </c>
      <c r="F381" s="231" t="s">
        <v>267</v>
      </c>
      <c r="G381" s="231" cm="1">
        <f t="array" ref="G381">_xlfn.IFS(J381&lt;301,2,J381&gt;300,48)</f>
        <v>2</v>
      </c>
      <c r="H381" s="231" t="s">
        <v>3512</v>
      </c>
      <c r="I381" s="281">
        <v>0</v>
      </c>
      <c r="J381" s="249">
        <v>200</v>
      </c>
      <c r="K381" s="231">
        <f t="shared" si="5"/>
        <v>20</v>
      </c>
      <c r="L381" s="231"/>
      <c r="M381" s="231" t="s">
        <v>16</v>
      </c>
      <c r="N381" s="231" t="s">
        <v>253</v>
      </c>
      <c r="O381" s="231">
        <v>2021</v>
      </c>
      <c r="P381" s="281"/>
      <c r="Q381" s="231"/>
      <c r="R381" s="231"/>
      <c r="S381" s="236" t="s">
        <v>453</v>
      </c>
      <c r="T381" s="236" t="s">
        <v>264</v>
      </c>
    </row>
    <row r="382" spans="1:20" ht="14">
      <c r="A382" s="231">
        <v>381</v>
      </c>
      <c r="B382" s="235" t="s">
        <v>52</v>
      </c>
      <c r="C382" s="231" t="s">
        <v>10</v>
      </c>
      <c r="D382" s="250" t="s">
        <v>1264</v>
      </c>
      <c r="E382" s="239" t="s">
        <v>1265</v>
      </c>
      <c r="F382" s="231" t="s">
        <v>854</v>
      </c>
      <c r="G382" s="231" cm="1">
        <f t="array" ref="G382">_xlfn.IFS(J382&lt;301,2,J382&gt;300,48)</f>
        <v>2</v>
      </c>
      <c r="H382" s="231" t="s">
        <v>2763</v>
      </c>
      <c r="I382" s="281">
        <v>0</v>
      </c>
      <c r="J382" s="249">
        <v>300</v>
      </c>
      <c r="K382" s="231">
        <f t="shared" si="5"/>
        <v>20</v>
      </c>
      <c r="L382" s="231"/>
      <c r="M382" s="231" t="s">
        <v>16</v>
      </c>
      <c r="N382" s="231" t="s">
        <v>253</v>
      </c>
      <c r="O382" s="231">
        <v>2021</v>
      </c>
      <c r="P382" s="281"/>
      <c r="Q382" s="231"/>
      <c r="R382" s="231"/>
      <c r="S382" s="236" t="s">
        <v>453</v>
      </c>
      <c r="T382" s="236" t="s">
        <v>264</v>
      </c>
    </row>
    <row r="383" spans="1:20" ht="14">
      <c r="A383" s="231">
        <v>382</v>
      </c>
      <c r="B383" s="235" t="s">
        <v>52</v>
      </c>
      <c r="C383" s="231" t="s">
        <v>10</v>
      </c>
      <c r="D383" s="250" t="s">
        <v>1266</v>
      </c>
      <c r="E383" s="239" t="s">
        <v>1267</v>
      </c>
      <c r="F383" s="231" t="s">
        <v>878</v>
      </c>
      <c r="G383" s="231" cm="1">
        <f t="array" ref="G383">_xlfn.IFS(J383&lt;301,2,J383&gt;300,48)</f>
        <v>48</v>
      </c>
      <c r="H383" s="231" t="s">
        <v>2779</v>
      </c>
      <c r="I383" s="281">
        <v>0</v>
      </c>
      <c r="J383" s="249">
        <v>350</v>
      </c>
      <c r="K383" s="231">
        <f t="shared" si="5"/>
        <v>20</v>
      </c>
      <c r="L383" s="231"/>
      <c r="M383" s="231" t="s">
        <v>16</v>
      </c>
      <c r="N383" s="231" t="s">
        <v>253</v>
      </c>
      <c r="O383" s="231">
        <v>2021</v>
      </c>
      <c r="P383" s="281"/>
      <c r="Q383" s="231"/>
      <c r="R383" s="231"/>
      <c r="S383" s="236" t="s">
        <v>453</v>
      </c>
      <c r="T383" s="236" t="s">
        <v>264</v>
      </c>
    </row>
    <row r="384" spans="1:20" ht="14">
      <c r="A384" s="231">
        <v>383</v>
      </c>
      <c r="B384" s="235" t="s">
        <v>52</v>
      </c>
      <c r="C384" s="231" t="s">
        <v>10</v>
      </c>
      <c r="D384" s="250" t="s">
        <v>1664</v>
      </c>
      <c r="E384" s="239" t="s">
        <v>1268</v>
      </c>
      <c r="F384" s="231" t="s">
        <v>881</v>
      </c>
      <c r="G384" s="231" cm="1">
        <f t="array" ref="G384">_xlfn.IFS(J384&lt;301,2,J384&gt;300,48)</f>
        <v>48</v>
      </c>
      <c r="H384" s="231" t="s">
        <v>3060</v>
      </c>
      <c r="I384" s="281">
        <v>0</v>
      </c>
      <c r="J384" s="249">
        <v>600</v>
      </c>
      <c r="K384" s="231">
        <f t="shared" si="5"/>
        <v>20</v>
      </c>
      <c r="L384" s="231"/>
      <c r="M384" s="231" t="s">
        <v>16</v>
      </c>
      <c r="N384" s="231" t="s">
        <v>253</v>
      </c>
      <c r="O384" s="231">
        <v>2021</v>
      </c>
      <c r="P384" s="281"/>
      <c r="Q384" s="231"/>
      <c r="R384" s="231"/>
      <c r="S384" s="236" t="s">
        <v>453</v>
      </c>
      <c r="T384" s="236" t="s">
        <v>264</v>
      </c>
    </row>
    <row r="385" spans="1:20" ht="14">
      <c r="A385" s="231">
        <v>384</v>
      </c>
      <c r="B385" s="235" t="s">
        <v>52</v>
      </c>
      <c r="C385" s="231" t="s">
        <v>10</v>
      </c>
      <c r="D385" s="250" t="s">
        <v>1269</v>
      </c>
      <c r="E385" s="239" t="s">
        <v>1270</v>
      </c>
      <c r="F385" s="231" t="s">
        <v>888</v>
      </c>
      <c r="G385" s="231" cm="1">
        <f t="array" ref="G385">_xlfn.IFS(J385&lt;301,2,J385&gt;300,48)</f>
        <v>48</v>
      </c>
      <c r="H385" s="231" t="s">
        <v>2773</v>
      </c>
      <c r="I385" s="281">
        <v>0</v>
      </c>
      <c r="J385" s="249">
        <v>800</v>
      </c>
      <c r="K385" s="231">
        <f t="shared" ref="K385:K448" si="6">IF(M385="ONT",20,IF(M385="N/A","N/A",IF(M385="MIKROTIK",IF(J385&lt;3000,10,IF(3000&lt;J385&gt;10000,20,IF(10000&lt;J385&gt;20000,40,IF(20000&lt;J385&gt;40000,60,IF(J385&gt;40000,80,IF(J385&lt;300,3,)))))))))</f>
        <v>20</v>
      </c>
      <c r="L385" s="231"/>
      <c r="M385" s="231" t="s">
        <v>16</v>
      </c>
      <c r="N385" s="231" t="s">
        <v>253</v>
      </c>
      <c r="O385" s="231">
        <v>2021</v>
      </c>
      <c r="P385" s="281"/>
      <c r="Q385" s="231"/>
      <c r="R385" s="231"/>
      <c r="S385" s="236" t="s">
        <v>453</v>
      </c>
      <c r="T385" s="236" t="s">
        <v>264</v>
      </c>
    </row>
    <row r="386" spans="1:20" ht="14">
      <c r="A386" s="231">
        <v>385</v>
      </c>
      <c r="B386" s="235" t="s">
        <v>52</v>
      </c>
      <c r="C386" s="231" t="s">
        <v>10</v>
      </c>
      <c r="D386" s="250" t="s">
        <v>1271</v>
      </c>
      <c r="E386" s="239" t="s">
        <v>1272</v>
      </c>
      <c r="F386" s="231" t="s">
        <v>763</v>
      </c>
      <c r="G386" s="231" cm="1">
        <f t="array" ref="G386">_xlfn.IFS(J386&lt;301,2,J386&gt;300,48)</f>
        <v>48</v>
      </c>
      <c r="H386" s="231" t="s">
        <v>2767</v>
      </c>
      <c r="I386" s="281">
        <v>0</v>
      </c>
      <c r="J386" s="249">
        <v>400</v>
      </c>
      <c r="K386" s="231">
        <f t="shared" si="6"/>
        <v>20</v>
      </c>
      <c r="L386" s="231"/>
      <c r="M386" s="231" t="s">
        <v>16</v>
      </c>
      <c r="N386" s="231" t="s">
        <v>253</v>
      </c>
      <c r="O386" s="231">
        <v>2021</v>
      </c>
      <c r="P386" s="281"/>
      <c r="Q386" s="231"/>
      <c r="R386" s="231"/>
      <c r="S386" s="236" t="s">
        <v>453</v>
      </c>
      <c r="T386" s="236" t="s">
        <v>264</v>
      </c>
    </row>
    <row r="387" spans="1:20" ht="14">
      <c r="A387" s="231">
        <v>386</v>
      </c>
      <c r="B387" s="235" t="s">
        <v>52</v>
      </c>
      <c r="C387" s="231" t="s">
        <v>10</v>
      </c>
      <c r="D387" s="250" t="s">
        <v>1273</v>
      </c>
      <c r="E387" s="239" t="s">
        <v>1274</v>
      </c>
      <c r="F387" s="231" t="s">
        <v>873</v>
      </c>
      <c r="G387" s="231" cm="1">
        <f t="array" ref="G387">_xlfn.IFS(J387&lt;301,2,J387&gt;300,48)</f>
        <v>48</v>
      </c>
      <c r="H387" s="231" t="s">
        <v>2767</v>
      </c>
      <c r="I387" s="281">
        <v>0</v>
      </c>
      <c r="J387" s="249">
        <v>5000</v>
      </c>
      <c r="K387" s="231">
        <f t="shared" si="6"/>
        <v>20</v>
      </c>
      <c r="L387" s="231"/>
      <c r="M387" s="231" t="s">
        <v>16</v>
      </c>
      <c r="N387" s="231" t="s">
        <v>253</v>
      </c>
      <c r="O387" s="231">
        <v>2021</v>
      </c>
      <c r="P387" s="281"/>
      <c r="Q387" s="231"/>
      <c r="R387" s="231"/>
      <c r="S387" s="236" t="s">
        <v>453</v>
      </c>
      <c r="T387" s="236" t="s">
        <v>264</v>
      </c>
    </row>
    <row r="388" spans="1:20" ht="14">
      <c r="A388" s="231">
        <v>387</v>
      </c>
      <c r="B388" s="235" t="s">
        <v>52</v>
      </c>
      <c r="C388" s="231" t="s">
        <v>10</v>
      </c>
      <c r="D388" s="250" t="s">
        <v>4667</v>
      </c>
      <c r="E388" s="239" t="s">
        <v>1275</v>
      </c>
      <c r="F388" s="231" t="s">
        <v>878</v>
      </c>
      <c r="G388" s="231" cm="1">
        <f t="array" ref="G388">_xlfn.IFS(J388&lt;301,2,J388&gt;300,48)</f>
        <v>48</v>
      </c>
      <c r="H388" s="231" t="s">
        <v>2789</v>
      </c>
      <c r="I388" s="281">
        <v>0</v>
      </c>
      <c r="J388" s="249">
        <v>400</v>
      </c>
      <c r="K388" s="231">
        <f t="shared" si="6"/>
        <v>10</v>
      </c>
      <c r="L388" s="231"/>
      <c r="M388" s="299" t="s">
        <v>15</v>
      </c>
      <c r="N388" s="231" t="s">
        <v>253</v>
      </c>
      <c r="O388" s="231">
        <v>2021</v>
      </c>
      <c r="P388" s="281"/>
      <c r="Q388" s="231"/>
      <c r="R388" s="231"/>
      <c r="S388" s="236" t="s">
        <v>453</v>
      </c>
      <c r="T388" s="236" t="s">
        <v>264</v>
      </c>
    </row>
    <row r="389" spans="1:20" ht="14">
      <c r="A389" s="231">
        <v>388</v>
      </c>
      <c r="B389" s="235" t="s">
        <v>52</v>
      </c>
      <c r="C389" s="231" t="s">
        <v>10</v>
      </c>
      <c r="D389" s="250" t="s">
        <v>1276</v>
      </c>
      <c r="E389" s="239" t="s">
        <v>1277</v>
      </c>
      <c r="F389" s="231" t="s">
        <v>814</v>
      </c>
      <c r="G389" s="231" cm="1">
        <f t="array" ref="G389">_xlfn.IFS(J389&lt;301,2,J389&gt;300,48)</f>
        <v>48</v>
      </c>
      <c r="H389" s="231" t="s">
        <v>2853</v>
      </c>
      <c r="I389" s="281">
        <v>0</v>
      </c>
      <c r="J389" s="249">
        <v>2800</v>
      </c>
      <c r="K389" s="231">
        <f t="shared" si="6"/>
        <v>10</v>
      </c>
      <c r="L389" s="231"/>
      <c r="M389" s="299" t="s">
        <v>15</v>
      </c>
      <c r="N389" s="231" t="s">
        <v>253</v>
      </c>
      <c r="O389" s="231">
        <v>2021</v>
      </c>
      <c r="P389" s="281"/>
      <c r="Q389" s="231"/>
      <c r="R389" s="231"/>
      <c r="S389" s="236" t="s">
        <v>453</v>
      </c>
      <c r="T389" s="236" t="s">
        <v>264</v>
      </c>
    </row>
    <row r="390" spans="1:20" ht="14">
      <c r="A390" s="231">
        <v>389</v>
      </c>
      <c r="B390" s="235" t="s">
        <v>52</v>
      </c>
      <c r="C390" s="231" t="s">
        <v>10</v>
      </c>
      <c r="D390" s="250" t="s">
        <v>1278</v>
      </c>
      <c r="E390" s="239" t="s">
        <v>1279</v>
      </c>
      <c r="F390" s="231" t="s">
        <v>888</v>
      </c>
      <c r="G390" s="231" cm="1">
        <f t="array" ref="G390">_xlfn.IFS(J390&lt;301,2,J390&gt;300,48)</f>
        <v>48</v>
      </c>
      <c r="H390" s="231" t="s">
        <v>2781</v>
      </c>
      <c r="I390" s="281">
        <v>0</v>
      </c>
      <c r="J390" s="249">
        <v>800</v>
      </c>
      <c r="K390" s="231">
        <f t="shared" si="6"/>
        <v>10</v>
      </c>
      <c r="L390" s="231"/>
      <c r="M390" s="299" t="s">
        <v>15</v>
      </c>
      <c r="N390" s="231" t="s">
        <v>253</v>
      </c>
      <c r="O390" s="231">
        <v>2021</v>
      </c>
      <c r="P390" s="281"/>
      <c r="Q390" s="231"/>
      <c r="R390" s="231"/>
      <c r="S390" s="236" t="s">
        <v>453</v>
      </c>
      <c r="T390" s="236" t="s">
        <v>264</v>
      </c>
    </row>
    <row r="391" spans="1:20" ht="14">
      <c r="A391" s="231">
        <v>390</v>
      </c>
      <c r="B391" s="235" t="s">
        <v>52</v>
      </c>
      <c r="C391" s="231" t="s">
        <v>10</v>
      </c>
      <c r="D391" s="250" t="s">
        <v>1280</v>
      </c>
      <c r="E391" s="239" t="s">
        <v>1281</v>
      </c>
      <c r="F391" s="231" t="s">
        <v>835</v>
      </c>
      <c r="G391" s="231" cm="1">
        <f t="array" ref="G391">_xlfn.IFS(J391&lt;301,2,J391&gt;300,48)</f>
        <v>48</v>
      </c>
      <c r="H391" s="231" t="s">
        <v>4262</v>
      </c>
      <c r="I391" s="281">
        <v>0</v>
      </c>
      <c r="J391" s="249">
        <v>600</v>
      </c>
      <c r="K391" s="231">
        <f t="shared" si="6"/>
        <v>20</v>
      </c>
      <c r="L391" s="231"/>
      <c r="M391" s="231" t="s">
        <v>16</v>
      </c>
      <c r="N391" s="231" t="s">
        <v>253</v>
      </c>
      <c r="O391" s="231">
        <v>2021</v>
      </c>
      <c r="P391" s="281"/>
      <c r="Q391" s="231"/>
      <c r="R391" s="231"/>
      <c r="S391" s="236" t="s">
        <v>453</v>
      </c>
      <c r="T391" s="236" t="s">
        <v>264</v>
      </c>
    </row>
    <row r="392" spans="1:20" ht="14">
      <c r="A392" s="231">
        <v>391</v>
      </c>
      <c r="B392" s="235" t="s">
        <v>52</v>
      </c>
      <c r="C392" s="231" t="s">
        <v>10</v>
      </c>
      <c r="D392" s="250" t="s">
        <v>1282</v>
      </c>
      <c r="E392" s="239" t="s">
        <v>1283</v>
      </c>
      <c r="F392" s="231" t="s">
        <v>835</v>
      </c>
      <c r="G392" s="231" cm="1">
        <f t="array" ref="G392">_xlfn.IFS(J392&lt;301,2,J392&gt;300,48)</f>
        <v>48</v>
      </c>
      <c r="H392" s="231" t="s">
        <v>4554</v>
      </c>
      <c r="I392" s="281">
        <v>0</v>
      </c>
      <c r="J392" s="249">
        <v>900</v>
      </c>
      <c r="K392" s="231">
        <f t="shared" si="6"/>
        <v>20</v>
      </c>
      <c r="L392" s="231"/>
      <c r="M392" s="231" t="s">
        <v>16</v>
      </c>
      <c r="N392" s="231" t="s">
        <v>253</v>
      </c>
      <c r="O392" s="231">
        <v>2021</v>
      </c>
      <c r="P392" s="281"/>
      <c r="Q392" s="231"/>
      <c r="R392" s="231"/>
      <c r="S392" s="236" t="s">
        <v>453</v>
      </c>
      <c r="T392" s="236" t="s">
        <v>264</v>
      </c>
    </row>
    <row r="393" spans="1:20" ht="14">
      <c r="A393" s="231">
        <v>392</v>
      </c>
      <c r="B393" s="235" t="s">
        <v>52</v>
      </c>
      <c r="C393" s="231" t="s">
        <v>10</v>
      </c>
      <c r="D393" s="250" t="s">
        <v>1284</v>
      </c>
      <c r="E393" s="239" t="s">
        <v>1285</v>
      </c>
      <c r="F393" s="231" t="s">
        <v>873</v>
      </c>
      <c r="G393" s="231" cm="1">
        <f t="array" ref="G393">_xlfn.IFS(J393&lt;301,2,J393&gt;300,48)</f>
        <v>48</v>
      </c>
      <c r="H393" s="231" t="s">
        <v>3063</v>
      </c>
      <c r="I393" s="281">
        <v>0</v>
      </c>
      <c r="J393" s="249">
        <v>500</v>
      </c>
      <c r="K393" s="231">
        <f t="shared" si="6"/>
        <v>20</v>
      </c>
      <c r="L393" s="231"/>
      <c r="M393" s="231" t="s">
        <v>16</v>
      </c>
      <c r="N393" s="231" t="s">
        <v>253</v>
      </c>
      <c r="O393" s="231">
        <v>2021</v>
      </c>
      <c r="P393" s="281"/>
      <c r="Q393" s="231"/>
      <c r="R393" s="231"/>
      <c r="S393" s="236" t="s">
        <v>453</v>
      </c>
      <c r="T393" s="236" t="s">
        <v>264</v>
      </c>
    </row>
    <row r="394" spans="1:20" ht="14">
      <c r="A394" s="231">
        <v>393</v>
      </c>
      <c r="B394" s="235" t="s">
        <v>52</v>
      </c>
      <c r="C394" s="231" t="s">
        <v>10</v>
      </c>
      <c r="D394" s="250" t="s">
        <v>1286</v>
      </c>
      <c r="E394" s="239" t="s">
        <v>1287</v>
      </c>
      <c r="F394" s="231" t="s">
        <v>878</v>
      </c>
      <c r="G394" s="231" cm="1">
        <f t="array" ref="G394">_xlfn.IFS(J394&lt;301,2,J394&gt;300,48)</f>
        <v>48</v>
      </c>
      <c r="H394" s="231" t="s">
        <v>4254</v>
      </c>
      <c r="I394" s="281">
        <v>0</v>
      </c>
      <c r="J394" s="249">
        <v>700</v>
      </c>
      <c r="K394" s="231">
        <f t="shared" si="6"/>
        <v>10</v>
      </c>
      <c r="L394" s="231"/>
      <c r="M394" s="299" t="s">
        <v>15</v>
      </c>
      <c r="N394" s="231" t="s">
        <v>253</v>
      </c>
      <c r="O394" s="231">
        <v>2021</v>
      </c>
      <c r="P394" s="281"/>
      <c r="Q394" s="231"/>
      <c r="R394" s="231"/>
      <c r="S394" s="236" t="s">
        <v>453</v>
      </c>
      <c r="T394" s="236" t="s">
        <v>264</v>
      </c>
    </row>
    <row r="395" spans="1:20" ht="14">
      <c r="A395" s="231">
        <v>394</v>
      </c>
      <c r="B395" s="235" t="s">
        <v>52</v>
      </c>
      <c r="C395" s="231" t="s">
        <v>10</v>
      </c>
      <c r="D395" s="250" t="s">
        <v>1288</v>
      </c>
      <c r="E395" s="239" t="s">
        <v>1289</v>
      </c>
      <c r="F395" s="231" t="s">
        <v>873</v>
      </c>
      <c r="G395" s="231" cm="1">
        <f t="array" ref="G395">_xlfn.IFS(J395&lt;301,2,J395&gt;300,48)</f>
        <v>48</v>
      </c>
      <c r="H395" s="231" t="s">
        <v>3623</v>
      </c>
      <c r="I395" s="281">
        <v>0</v>
      </c>
      <c r="J395" s="249">
        <v>500</v>
      </c>
      <c r="K395" s="231">
        <f t="shared" si="6"/>
        <v>20</v>
      </c>
      <c r="L395" s="231"/>
      <c r="M395" s="231" t="s">
        <v>16</v>
      </c>
      <c r="N395" s="231" t="s">
        <v>253</v>
      </c>
      <c r="O395" s="231">
        <v>2021</v>
      </c>
      <c r="P395" s="281"/>
      <c r="Q395" s="231"/>
      <c r="R395" s="231"/>
      <c r="S395" s="236" t="s">
        <v>453</v>
      </c>
      <c r="T395" s="236" t="s">
        <v>264</v>
      </c>
    </row>
    <row r="396" spans="1:20" ht="14">
      <c r="A396" s="231">
        <v>395</v>
      </c>
      <c r="B396" s="235" t="s">
        <v>52</v>
      </c>
      <c r="C396" s="231" t="s">
        <v>10</v>
      </c>
      <c r="D396" s="250" t="s">
        <v>1290</v>
      </c>
      <c r="E396" s="239" t="s">
        <v>1291</v>
      </c>
      <c r="F396" s="231" t="s">
        <v>873</v>
      </c>
      <c r="G396" s="231" cm="1">
        <f t="array" ref="G396">_xlfn.IFS(J396&lt;301,2,J396&gt;300,48)</f>
        <v>48</v>
      </c>
      <c r="H396" s="231" t="s">
        <v>3623</v>
      </c>
      <c r="I396" s="281">
        <v>0</v>
      </c>
      <c r="J396" s="249">
        <v>1555</v>
      </c>
      <c r="K396" s="231">
        <f t="shared" si="6"/>
        <v>20</v>
      </c>
      <c r="L396" s="231"/>
      <c r="M396" s="231" t="s">
        <v>16</v>
      </c>
      <c r="N396" s="231" t="s">
        <v>253</v>
      </c>
      <c r="O396" s="231">
        <v>2021</v>
      </c>
      <c r="P396" s="281"/>
      <c r="Q396" s="231"/>
      <c r="R396" s="231"/>
      <c r="S396" s="236" t="s">
        <v>453</v>
      </c>
      <c r="T396" s="236" t="s">
        <v>264</v>
      </c>
    </row>
    <row r="397" spans="1:20" ht="14">
      <c r="A397" s="231">
        <v>396</v>
      </c>
      <c r="B397" s="235" t="s">
        <v>52</v>
      </c>
      <c r="C397" s="231" t="s">
        <v>10</v>
      </c>
      <c r="D397" s="250" t="s">
        <v>1292</v>
      </c>
      <c r="E397" s="239" t="s">
        <v>1293</v>
      </c>
      <c r="F397" s="231" t="s">
        <v>873</v>
      </c>
      <c r="G397" s="231" cm="1">
        <f t="array" ref="G397">_xlfn.IFS(J397&lt;301,2,J397&gt;300,48)</f>
        <v>2</v>
      </c>
      <c r="H397" s="231" t="s">
        <v>168</v>
      </c>
      <c r="I397" s="281">
        <v>0</v>
      </c>
      <c r="J397" s="249">
        <v>300</v>
      </c>
      <c r="K397" s="231">
        <f t="shared" si="6"/>
        <v>20</v>
      </c>
      <c r="L397" s="231"/>
      <c r="M397" s="231" t="s">
        <v>16</v>
      </c>
      <c r="N397" s="231" t="s">
        <v>253</v>
      </c>
      <c r="O397" s="231">
        <v>2021</v>
      </c>
      <c r="P397" s="281"/>
      <c r="Q397" s="231"/>
      <c r="R397" s="231"/>
      <c r="S397" s="236" t="s">
        <v>453</v>
      </c>
      <c r="T397" s="236" t="s">
        <v>264</v>
      </c>
    </row>
    <row r="398" spans="1:20" ht="14">
      <c r="A398" s="231">
        <v>397</v>
      </c>
      <c r="B398" s="235" t="s">
        <v>52</v>
      </c>
      <c r="C398" s="231" t="s">
        <v>10</v>
      </c>
      <c r="D398" s="250" t="s">
        <v>1294</v>
      </c>
      <c r="E398" s="239" t="s">
        <v>1295</v>
      </c>
      <c r="F398" s="231" t="s">
        <v>888</v>
      </c>
      <c r="G398" s="231" cm="1">
        <f t="array" ref="G398">_xlfn.IFS(J398&lt;301,2,J398&gt;300,48)</f>
        <v>48</v>
      </c>
      <c r="H398" s="231" t="s">
        <v>2773</v>
      </c>
      <c r="I398" s="281">
        <v>0</v>
      </c>
      <c r="J398" s="249">
        <v>1500</v>
      </c>
      <c r="K398" s="231">
        <f t="shared" si="6"/>
        <v>20</v>
      </c>
      <c r="L398" s="231"/>
      <c r="M398" s="231" t="s">
        <v>16</v>
      </c>
      <c r="N398" s="231" t="s">
        <v>253</v>
      </c>
      <c r="O398" s="231">
        <v>2021</v>
      </c>
      <c r="P398" s="281"/>
      <c r="Q398" s="231"/>
      <c r="R398" s="231"/>
      <c r="S398" s="236" t="s">
        <v>453</v>
      </c>
      <c r="T398" s="236" t="s">
        <v>264</v>
      </c>
    </row>
    <row r="399" spans="1:20" ht="14">
      <c r="A399" s="231">
        <v>398</v>
      </c>
      <c r="B399" s="235" t="s">
        <v>52</v>
      </c>
      <c r="C399" s="231" t="s">
        <v>10</v>
      </c>
      <c r="D399" s="250" t="s">
        <v>1296</v>
      </c>
      <c r="E399" s="239" t="s">
        <v>1297</v>
      </c>
      <c r="F399" s="231" t="s">
        <v>267</v>
      </c>
      <c r="G399" s="231" cm="1">
        <f t="array" ref="G399">_xlfn.IFS(J399&lt;301,2,J399&gt;300,48)</f>
        <v>48</v>
      </c>
      <c r="H399" s="231" t="s">
        <v>2980</v>
      </c>
      <c r="I399" s="281">
        <v>0</v>
      </c>
      <c r="J399" s="249">
        <v>1500</v>
      </c>
      <c r="K399" s="231">
        <f t="shared" si="6"/>
        <v>20</v>
      </c>
      <c r="L399" s="231"/>
      <c r="M399" s="231" t="s">
        <v>16</v>
      </c>
      <c r="N399" s="231" t="s">
        <v>253</v>
      </c>
      <c r="O399" s="231">
        <v>2021</v>
      </c>
      <c r="P399" s="281"/>
      <c r="Q399" s="231"/>
      <c r="R399" s="231"/>
      <c r="S399" s="236" t="s">
        <v>453</v>
      </c>
      <c r="T399" s="236" t="s">
        <v>264</v>
      </c>
    </row>
    <row r="400" spans="1:20" ht="14">
      <c r="A400" s="231">
        <v>399</v>
      </c>
      <c r="B400" s="235" t="s">
        <v>52</v>
      </c>
      <c r="C400" s="231" t="s">
        <v>10</v>
      </c>
      <c r="D400" s="250" t="s">
        <v>1298</v>
      </c>
      <c r="E400" s="239" t="s">
        <v>1299</v>
      </c>
      <c r="F400" s="231" t="s">
        <v>835</v>
      </c>
      <c r="G400" s="231" cm="1">
        <f t="array" ref="G400">_xlfn.IFS(J400&lt;301,2,J400&gt;300,48)</f>
        <v>48</v>
      </c>
      <c r="H400" s="231" t="s">
        <v>4581</v>
      </c>
      <c r="I400" s="281">
        <v>0</v>
      </c>
      <c r="J400" s="249">
        <v>600</v>
      </c>
      <c r="K400" s="231">
        <f t="shared" si="6"/>
        <v>20</v>
      </c>
      <c r="L400" s="231"/>
      <c r="M400" s="231" t="s">
        <v>16</v>
      </c>
      <c r="N400" s="231" t="s">
        <v>253</v>
      </c>
      <c r="O400" s="231">
        <v>2021</v>
      </c>
      <c r="P400" s="281"/>
      <c r="Q400" s="231"/>
      <c r="R400" s="231"/>
      <c r="S400" s="236" t="s">
        <v>453</v>
      </c>
      <c r="T400" s="236" t="s">
        <v>264</v>
      </c>
    </row>
    <row r="401" spans="1:20" ht="14">
      <c r="A401" s="231">
        <v>400</v>
      </c>
      <c r="B401" s="235" t="s">
        <v>52</v>
      </c>
      <c r="C401" s="231" t="s">
        <v>10</v>
      </c>
      <c r="D401" s="250" t="s">
        <v>1300</v>
      </c>
      <c r="E401" s="239" t="s">
        <v>1301</v>
      </c>
      <c r="F401" s="231" t="s">
        <v>878</v>
      </c>
      <c r="G401" s="231" cm="1">
        <f t="array" ref="G401">_xlfn.IFS(J401&lt;301,2,J401&gt;300,48)</f>
        <v>48</v>
      </c>
      <c r="H401" s="231" t="s">
        <v>4610</v>
      </c>
      <c r="I401" s="281">
        <v>0</v>
      </c>
      <c r="J401" s="249">
        <v>1400</v>
      </c>
      <c r="K401" s="231">
        <f t="shared" si="6"/>
        <v>10</v>
      </c>
      <c r="L401" s="231"/>
      <c r="M401" s="299" t="s">
        <v>15</v>
      </c>
      <c r="N401" s="231" t="s">
        <v>253</v>
      </c>
      <c r="O401" s="231">
        <v>2021</v>
      </c>
      <c r="P401" s="281"/>
      <c r="Q401" s="231"/>
      <c r="R401" s="231"/>
      <c r="S401" s="236" t="s">
        <v>453</v>
      </c>
      <c r="T401" s="236" t="s">
        <v>264</v>
      </c>
    </row>
    <row r="402" spans="1:20" ht="14">
      <c r="A402" s="231">
        <v>401</v>
      </c>
      <c r="B402" s="235" t="s">
        <v>52</v>
      </c>
      <c r="C402" s="231" t="s">
        <v>10</v>
      </c>
      <c r="D402" s="250" t="s">
        <v>1302</v>
      </c>
      <c r="E402" s="239" t="s">
        <v>1303</v>
      </c>
      <c r="F402" s="231" t="s">
        <v>267</v>
      </c>
      <c r="G402" s="231" cm="1">
        <f t="array" ref="G402">_xlfn.IFS(J402&lt;301,2,J402&gt;300,48)</f>
        <v>2</v>
      </c>
      <c r="H402" s="231" t="s">
        <v>2763</v>
      </c>
      <c r="I402" s="281">
        <v>0</v>
      </c>
      <c r="J402" s="249">
        <v>250</v>
      </c>
      <c r="K402" s="231">
        <f t="shared" si="6"/>
        <v>20</v>
      </c>
      <c r="L402" s="231"/>
      <c r="M402" s="231" t="s">
        <v>16</v>
      </c>
      <c r="N402" s="231" t="s">
        <v>253</v>
      </c>
      <c r="O402" s="231">
        <v>2021</v>
      </c>
      <c r="P402" s="281"/>
      <c r="Q402" s="231"/>
      <c r="R402" s="231"/>
      <c r="S402" s="236" t="s">
        <v>453</v>
      </c>
      <c r="T402" s="236" t="s">
        <v>264</v>
      </c>
    </row>
    <row r="403" spans="1:20" ht="14">
      <c r="A403" s="231">
        <v>402</v>
      </c>
      <c r="B403" s="235" t="s">
        <v>52</v>
      </c>
      <c r="C403" s="231" t="s">
        <v>10</v>
      </c>
      <c r="D403" s="250" t="s">
        <v>1304</v>
      </c>
      <c r="E403" s="239" t="s">
        <v>1305</v>
      </c>
      <c r="F403" s="231" t="s">
        <v>881</v>
      </c>
      <c r="G403" s="231" cm="1">
        <f t="array" ref="G403">_xlfn.IFS(J403&lt;301,2,J403&gt;300,48)</f>
        <v>2</v>
      </c>
      <c r="H403" s="231" t="s">
        <v>2875</v>
      </c>
      <c r="I403" s="281">
        <v>0</v>
      </c>
      <c r="J403" s="249">
        <v>200</v>
      </c>
      <c r="K403" s="231">
        <f t="shared" si="6"/>
        <v>10</v>
      </c>
      <c r="L403" s="231"/>
      <c r="M403" s="299" t="s">
        <v>15</v>
      </c>
      <c r="N403" s="231" t="s">
        <v>253</v>
      </c>
      <c r="O403" s="231">
        <v>2021</v>
      </c>
      <c r="P403" s="281"/>
      <c r="Q403" s="231"/>
      <c r="R403" s="231"/>
      <c r="S403" s="236" t="s">
        <v>453</v>
      </c>
      <c r="T403" s="236" t="s">
        <v>264</v>
      </c>
    </row>
    <row r="404" spans="1:20" ht="14">
      <c r="A404" s="231">
        <v>403</v>
      </c>
      <c r="B404" s="235" t="s">
        <v>52</v>
      </c>
      <c r="C404" s="231" t="s">
        <v>10</v>
      </c>
      <c r="D404" s="250" t="s">
        <v>1306</v>
      </c>
      <c r="E404" s="239" t="s">
        <v>1307</v>
      </c>
      <c r="F404" s="231" t="s">
        <v>873</v>
      </c>
      <c r="G404" s="231" cm="1">
        <f t="array" ref="G404">_xlfn.IFS(J404&lt;301,2,J404&gt;300,48)</f>
        <v>48</v>
      </c>
      <c r="H404" s="231" t="s">
        <v>4257</v>
      </c>
      <c r="I404" s="281">
        <v>0</v>
      </c>
      <c r="J404" s="249">
        <v>2000</v>
      </c>
      <c r="K404" s="231" t="str">
        <f t="shared" si="6"/>
        <v>N/A</v>
      </c>
      <c r="L404" s="231"/>
      <c r="M404" s="231" t="s">
        <v>456</v>
      </c>
      <c r="N404" s="231" t="s">
        <v>253</v>
      </c>
      <c r="O404" s="231">
        <v>2021</v>
      </c>
      <c r="P404" s="281"/>
      <c r="Q404" s="231"/>
      <c r="R404" s="231"/>
      <c r="S404" s="236" t="s">
        <v>453</v>
      </c>
      <c r="T404" s="236" t="s">
        <v>264</v>
      </c>
    </row>
    <row r="405" spans="1:20" ht="14">
      <c r="A405" s="231">
        <v>404</v>
      </c>
      <c r="B405" s="235" t="s">
        <v>52</v>
      </c>
      <c r="C405" s="231" t="s">
        <v>10</v>
      </c>
      <c r="D405" s="250" t="s">
        <v>1308</v>
      </c>
      <c r="E405" s="239" t="s">
        <v>1309</v>
      </c>
      <c r="F405" s="231" t="s">
        <v>267</v>
      </c>
      <c r="G405" s="231" cm="1">
        <f t="array" ref="G405">_xlfn.IFS(J405&lt;301,2,J405&gt;300,48)</f>
        <v>2</v>
      </c>
      <c r="H405" s="231" t="s">
        <v>2765</v>
      </c>
      <c r="I405" s="281">
        <v>0</v>
      </c>
      <c r="J405" s="249">
        <v>250</v>
      </c>
      <c r="K405" s="231">
        <f t="shared" si="6"/>
        <v>20</v>
      </c>
      <c r="L405" s="231"/>
      <c r="M405" s="231" t="s">
        <v>16</v>
      </c>
      <c r="N405" s="231" t="s">
        <v>253</v>
      </c>
      <c r="O405" s="231">
        <v>2021</v>
      </c>
      <c r="P405" s="281"/>
      <c r="Q405" s="231"/>
      <c r="R405" s="231"/>
      <c r="S405" s="236" t="s">
        <v>453</v>
      </c>
      <c r="T405" s="236" t="s">
        <v>264</v>
      </c>
    </row>
    <row r="406" spans="1:20" ht="14">
      <c r="A406" s="231">
        <v>405</v>
      </c>
      <c r="B406" s="235" t="s">
        <v>52</v>
      </c>
      <c r="C406" s="231" t="s">
        <v>10</v>
      </c>
      <c r="D406" s="250" t="s">
        <v>1310</v>
      </c>
      <c r="E406" s="239" t="s">
        <v>1311</v>
      </c>
      <c r="F406" s="231" t="s">
        <v>267</v>
      </c>
      <c r="G406" s="231" cm="1">
        <f t="array" ref="G406">_xlfn.IFS(J406&lt;301,2,J406&gt;300,48)</f>
        <v>48</v>
      </c>
      <c r="H406" s="231" t="s">
        <v>3542</v>
      </c>
      <c r="I406" s="281">
        <v>0</v>
      </c>
      <c r="J406" s="249">
        <v>500</v>
      </c>
      <c r="K406" s="231">
        <f t="shared" si="6"/>
        <v>20</v>
      </c>
      <c r="L406" s="231"/>
      <c r="M406" s="231" t="s">
        <v>16</v>
      </c>
      <c r="N406" s="231" t="s">
        <v>253</v>
      </c>
      <c r="O406" s="231">
        <v>2021</v>
      </c>
      <c r="P406" s="281"/>
      <c r="Q406" s="231"/>
      <c r="R406" s="231"/>
      <c r="S406" s="236" t="s">
        <v>453</v>
      </c>
      <c r="T406" s="236" t="s">
        <v>264</v>
      </c>
    </row>
    <row r="407" spans="1:20" ht="14">
      <c r="A407" s="231">
        <v>406</v>
      </c>
      <c r="B407" s="235" t="s">
        <v>51</v>
      </c>
      <c r="C407" s="231" t="s">
        <v>10</v>
      </c>
      <c r="D407" s="250" t="s">
        <v>4679</v>
      </c>
      <c r="E407" s="239" t="s">
        <v>1312</v>
      </c>
      <c r="F407" s="231" t="s">
        <v>267</v>
      </c>
      <c r="G407" s="231" cm="1">
        <f t="array" ref="G407">_xlfn.IFS(J407&lt;301,2,J407&gt;300,48)</f>
        <v>48</v>
      </c>
      <c r="H407" s="231" t="s">
        <v>3142</v>
      </c>
      <c r="I407" s="281">
        <v>0</v>
      </c>
      <c r="J407" s="249">
        <v>1000</v>
      </c>
      <c r="K407" s="231">
        <f t="shared" si="6"/>
        <v>10</v>
      </c>
      <c r="L407" s="231"/>
      <c r="M407" s="299" t="s">
        <v>15</v>
      </c>
      <c r="N407" s="231" t="s">
        <v>253</v>
      </c>
      <c r="O407" s="231">
        <v>2021</v>
      </c>
      <c r="P407" s="281"/>
      <c r="Q407" s="231"/>
      <c r="R407" s="231"/>
      <c r="S407" s="236" t="s">
        <v>453</v>
      </c>
      <c r="T407" s="236" t="s">
        <v>264</v>
      </c>
    </row>
    <row r="408" spans="1:20" ht="14">
      <c r="A408" s="231">
        <v>407</v>
      </c>
      <c r="B408" s="235" t="s">
        <v>52</v>
      </c>
      <c r="C408" s="231" t="s">
        <v>10</v>
      </c>
      <c r="D408" s="250" t="s">
        <v>1313</v>
      </c>
      <c r="E408" s="239" t="s">
        <v>1314</v>
      </c>
      <c r="F408" s="231" t="s">
        <v>873</v>
      </c>
      <c r="G408" s="231" cm="1">
        <f t="array" ref="G408">_xlfn.IFS(J408&lt;301,2,J408&gt;300,48)</f>
        <v>48</v>
      </c>
      <c r="H408" s="231" t="s">
        <v>3111</v>
      </c>
      <c r="I408" s="281">
        <v>0</v>
      </c>
      <c r="J408" s="249">
        <v>500</v>
      </c>
      <c r="K408" s="231">
        <f t="shared" si="6"/>
        <v>10</v>
      </c>
      <c r="L408" s="231"/>
      <c r="M408" s="299" t="s">
        <v>15</v>
      </c>
      <c r="N408" s="231" t="s">
        <v>253</v>
      </c>
      <c r="O408" s="231">
        <v>2022</v>
      </c>
      <c r="P408" s="281"/>
      <c r="Q408" s="231"/>
      <c r="R408" s="231"/>
      <c r="S408" s="236" t="s">
        <v>453</v>
      </c>
      <c r="T408" s="236" t="s">
        <v>264</v>
      </c>
    </row>
    <row r="409" spans="1:20" ht="14">
      <c r="A409" s="231">
        <v>408</v>
      </c>
      <c r="B409" s="235" t="s">
        <v>52</v>
      </c>
      <c r="C409" s="231" t="s">
        <v>10</v>
      </c>
      <c r="D409" s="250" t="s">
        <v>1315</v>
      </c>
      <c r="E409" s="239" t="s">
        <v>1316</v>
      </c>
      <c r="F409" s="231" t="s">
        <v>763</v>
      </c>
      <c r="G409" s="231" cm="1">
        <f t="array" ref="G409">_xlfn.IFS(J409&lt;301,2,J409&gt;300,48)</f>
        <v>2</v>
      </c>
      <c r="H409" s="231" t="s">
        <v>2767</v>
      </c>
      <c r="I409" s="281">
        <v>0</v>
      </c>
      <c r="J409" s="249">
        <v>300</v>
      </c>
      <c r="K409" s="231">
        <f t="shared" si="6"/>
        <v>20</v>
      </c>
      <c r="L409" s="231"/>
      <c r="M409" s="231" t="s">
        <v>16</v>
      </c>
      <c r="N409" s="231" t="s">
        <v>253</v>
      </c>
      <c r="O409" s="231">
        <v>2022</v>
      </c>
      <c r="P409" s="281"/>
      <c r="Q409" s="231"/>
      <c r="R409" s="231"/>
      <c r="S409" s="236" t="s">
        <v>453</v>
      </c>
      <c r="T409" s="236" t="s">
        <v>264</v>
      </c>
    </row>
    <row r="410" spans="1:20" ht="14">
      <c r="A410" s="231">
        <v>409</v>
      </c>
      <c r="B410" s="235" t="s">
        <v>52</v>
      </c>
      <c r="C410" s="231" t="s">
        <v>10</v>
      </c>
      <c r="D410" s="250" t="s">
        <v>1317</v>
      </c>
      <c r="E410" s="239" t="s">
        <v>1318</v>
      </c>
      <c r="F410" s="231" t="s">
        <v>267</v>
      </c>
      <c r="G410" s="231" cm="1">
        <f t="array" ref="G410">_xlfn.IFS(J410&lt;301,2,J410&gt;300,48)</f>
        <v>48</v>
      </c>
      <c r="H410" s="231" t="s">
        <v>3542</v>
      </c>
      <c r="I410" s="281">
        <v>0</v>
      </c>
      <c r="J410" s="249">
        <v>950</v>
      </c>
      <c r="K410" s="231">
        <f t="shared" si="6"/>
        <v>20</v>
      </c>
      <c r="L410" s="231"/>
      <c r="M410" s="231" t="s">
        <v>16</v>
      </c>
      <c r="N410" s="231" t="s">
        <v>253</v>
      </c>
      <c r="O410" s="231">
        <v>2022</v>
      </c>
      <c r="P410" s="281"/>
      <c r="Q410" s="231"/>
      <c r="R410" s="231"/>
      <c r="S410" s="236" t="s">
        <v>453</v>
      </c>
      <c r="T410" s="236" t="s">
        <v>264</v>
      </c>
    </row>
    <row r="411" spans="1:20" ht="14">
      <c r="A411" s="231">
        <v>410</v>
      </c>
      <c r="B411" s="235" t="s">
        <v>52</v>
      </c>
      <c r="C411" s="231" t="s">
        <v>10</v>
      </c>
      <c r="D411" s="250" t="s">
        <v>1319</v>
      </c>
      <c r="E411" s="239" t="s">
        <v>1320</v>
      </c>
      <c r="F411" s="231" t="s">
        <v>763</v>
      </c>
      <c r="G411" s="231" cm="1">
        <f t="array" ref="G411">_xlfn.IFS(J411&lt;301,2,J411&gt;300,48)</f>
        <v>2</v>
      </c>
      <c r="H411" s="231" t="s">
        <v>2767</v>
      </c>
      <c r="I411" s="281">
        <v>0</v>
      </c>
      <c r="J411" s="249">
        <v>300</v>
      </c>
      <c r="K411" s="231">
        <f t="shared" si="6"/>
        <v>10</v>
      </c>
      <c r="L411" s="231"/>
      <c r="M411" s="299" t="s">
        <v>15</v>
      </c>
      <c r="N411" s="231" t="s">
        <v>253</v>
      </c>
      <c r="O411" s="231">
        <v>2022</v>
      </c>
      <c r="P411" s="281"/>
      <c r="Q411" s="231"/>
      <c r="R411" s="231"/>
      <c r="S411" s="236" t="s">
        <v>453</v>
      </c>
      <c r="T411" s="236" t="s">
        <v>264</v>
      </c>
    </row>
    <row r="412" spans="1:20" ht="14">
      <c r="A412" s="231">
        <v>411</v>
      </c>
      <c r="B412" s="235" t="s">
        <v>52</v>
      </c>
      <c r="C412" s="231" t="s">
        <v>10</v>
      </c>
      <c r="D412" s="250" t="s">
        <v>1321</v>
      </c>
      <c r="E412" s="239" t="s">
        <v>1322</v>
      </c>
      <c r="F412" s="231" t="s">
        <v>267</v>
      </c>
      <c r="G412" s="231" cm="1">
        <f t="array" ref="G412">_xlfn.IFS(J412&lt;301,2,J412&gt;300,48)</f>
        <v>48</v>
      </c>
      <c r="H412" s="231" t="s">
        <v>3542</v>
      </c>
      <c r="I412" s="281">
        <v>0</v>
      </c>
      <c r="J412" s="249">
        <v>1500</v>
      </c>
      <c r="K412" s="231">
        <f t="shared" si="6"/>
        <v>10</v>
      </c>
      <c r="L412" s="231"/>
      <c r="M412" s="299" t="s">
        <v>15</v>
      </c>
      <c r="N412" s="231" t="s">
        <v>253</v>
      </c>
      <c r="O412" s="231">
        <v>2022</v>
      </c>
      <c r="P412" s="281"/>
      <c r="Q412" s="231"/>
      <c r="R412" s="231"/>
      <c r="S412" s="236" t="s">
        <v>453</v>
      </c>
      <c r="T412" s="236" t="s">
        <v>264</v>
      </c>
    </row>
    <row r="413" spans="1:20" ht="14">
      <c r="A413" s="231">
        <v>412</v>
      </c>
      <c r="B413" s="235" t="s">
        <v>52</v>
      </c>
      <c r="C413" s="231" t="s">
        <v>10</v>
      </c>
      <c r="D413" s="250" t="s">
        <v>1323</v>
      </c>
      <c r="E413" s="239" t="s">
        <v>1324</v>
      </c>
      <c r="F413" s="231" t="s">
        <v>861</v>
      </c>
      <c r="G413" s="231" cm="1">
        <f t="array" ref="G413">_xlfn.IFS(J413&lt;301,2,J413&gt;300,48)</f>
        <v>48</v>
      </c>
      <c r="H413" s="231" t="s">
        <v>3524</v>
      </c>
      <c r="I413" s="281">
        <v>0</v>
      </c>
      <c r="J413" s="249">
        <v>800</v>
      </c>
      <c r="K413" s="231">
        <f t="shared" si="6"/>
        <v>10</v>
      </c>
      <c r="L413" s="231"/>
      <c r="M413" s="299" t="s">
        <v>15</v>
      </c>
      <c r="N413" s="231" t="s">
        <v>253</v>
      </c>
      <c r="O413" s="231">
        <v>2022</v>
      </c>
      <c r="P413" s="281"/>
      <c r="Q413" s="231"/>
      <c r="R413" s="231"/>
      <c r="S413" s="236" t="s">
        <v>453</v>
      </c>
      <c r="T413" s="236" t="s">
        <v>264</v>
      </c>
    </row>
    <row r="414" spans="1:20" ht="14">
      <c r="A414" s="231">
        <v>413</v>
      </c>
      <c r="B414" s="235" t="s">
        <v>52</v>
      </c>
      <c r="C414" s="231" t="s">
        <v>10</v>
      </c>
      <c r="D414" s="250" t="s">
        <v>1325</v>
      </c>
      <c r="E414" s="239" t="s">
        <v>1326</v>
      </c>
      <c r="F414" s="231" t="s">
        <v>878</v>
      </c>
      <c r="G414" s="231" cm="1">
        <f t="array" ref="G414">_xlfn.IFS(J414&lt;301,2,J414&gt;300,48)</f>
        <v>48</v>
      </c>
      <c r="H414" s="231" t="s">
        <v>3111</v>
      </c>
      <c r="I414" s="281">
        <v>0</v>
      </c>
      <c r="J414" s="249">
        <v>400</v>
      </c>
      <c r="K414" s="231">
        <f t="shared" si="6"/>
        <v>10</v>
      </c>
      <c r="L414" s="231"/>
      <c r="M414" s="299" t="s">
        <v>15</v>
      </c>
      <c r="N414" s="231" t="s">
        <v>253</v>
      </c>
      <c r="O414" s="231">
        <v>2021</v>
      </c>
      <c r="P414" s="281"/>
      <c r="Q414" s="231"/>
      <c r="R414" s="231"/>
      <c r="S414" s="236" t="s">
        <v>453</v>
      </c>
      <c r="T414" s="236" t="s">
        <v>264</v>
      </c>
    </row>
    <row r="415" spans="1:20" ht="14">
      <c r="A415" s="231">
        <v>414</v>
      </c>
      <c r="B415" s="235" t="s">
        <v>52</v>
      </c>
      <c r="C415" s="231" t="s">
        <v>10</v>
      </c>
      <c r="D415" s="250" t="s">
        <v>1327</v>
      </c>
      <c r="E415" s="319" t="s">
        <v>1328</v>
      </c>
      <c r="F415" s="316" t="s">
        <v>267</v>
      </c>
      <c r="G415" s="316" cm="1">
        <f t="array" ref="G415">_xlfn.IFS(J415&lt;301,2,J415&gt;300,48)</f>
        <v>2</v>
      </c>
      <c r="H415" s="231" t="s">
        <v>4555</v>
      </c>
      <c r="I415" s="281">
        <v>0</v>
      </c>
      <c r="J415" s="249">
        <v>300</v>
      </c>
      <c r="K415" s="231">
        <f t="shared" si="6"/>
        <v>20</v>
      </c>
      <c r="L415" s="231"/>
      <c r="M415" s="231" t="s">
        <v>16</v>
      </c>
      <c r="N415" s="231" t="s">
        <v>253</v>
      </c>
      <c r="O415" s="231">
        <v>2021</v>
      </c>
      <c r="P415" s="281"/>
      <c r="Q415" s="231"/>
      <c r="R415" s="231"/>
      <c r="S415" s="236" t="s">
        <v>453</v>
      </c>
      <c r="T415" s="236" t="s">
        <v>264</v>
      </c>
    </row>
    <row r="416" spans="1:20" ht="14">
      <c r="A416" s="231">
        <v>415</v>
      </c>
      <c r="B416" s="235" t="s">
        <v>52</v>
      </c>
      <c r="C416" s="231" t="s">
        <v>10</v>
      </c>
      <c r="D416" s="250" t="s">
        <v>1329</v>
      </c>
      <c r="E416" s="239" t="s">
        <v>1330</v>
      </c>
      <c r="F416" s="231" t="s">
        <v>267</v>
      </c>
      <c r="G416" s="231" cm="1">
        <f t="array" ref="G416">_xlfn.IFS(J416&lt;301,2,J416&gt;300,48)</f>
        <v>48</v>
      </c>
      <c r="H416" s="231" t="s">
        <v>4668</v>
      </c>
      <c r="I416" s="281">
        <v>0</v>
      </c>
      <c r="J416" s="249">
        <v>1000</v>
      </c>
      <c r="K416" s="231">
        <f t="shared" si="6"/>
        <v>20</v>
      </c>
      <c r="L416" s="231"/>
      <c r="M416" s="231" t="s">
        <v>16</v>
      </c>
      <c r="N416" s="231" t="s">
        <v>253</v>
      </c>
      <c r="O416" s="231">
        <v>2021</v>
      </c>
      <c r="P416" s="281"/>
      <c r="Q416" s="231"/>
      <c r="R416" s="231"/>
      <c r="S416" s="236" t="s">
        <v>453</v>
      </c>
      <c r="T416" s="236" t="s">
        <v>264</v>
      </c>
    </row>
    <row r="417" spans="1:20" ht="14">
      <c r="A417" s="231">
        <v>416</v>
      </c>
      <c r="B417" s="235" t="s">
        <v>52</v>
      </c>
      <c r="C417" s="231" t="s">
        <v>10</v>
      </c>
      <c r="D417" s="250" t="s">
        <v>1331</v>
      </c>
      <c r="E417" s="239" t="s">
        <v>1332</v>
      </c>
      <c r="F417" s="231" t="s">
        <v>267</v>
      </c>
      <c r="G417" s="231" cm="1">
        <f t="array" ref="G417">_xlfn.IFS(J417&lt;301,2,J417&gt;300,48)</f>
        <v>48</v>
      </c>
      <c r="H417" s="231" t="s">
        <v>3111</v>
      </c>
      <c r="I417" s="281">
        <v>0</v>
      </c>
      <c r="J417" s="249">
        <v>350</v>
      </c>
      <c r="K417" s="231">
        <f t="shared" si="6"/>
        <v>20</v>
      </c>
      <c r="L417" s="231"/>
      <c r="M417" s="231" t="s">
        <v>16</v>
      </c>
      <c r="N417" s="231" t="s">
        <v>253</v>
      </c>
      <c r="O417" s="231">
        <v>2021</v>
      </c>
      <c r="P417" s="281"/>
      <c r="Q417" s="231"/>
      <c r="R417" s="231"/>
      <c r="S417" s="236" t="s">
        <v>453</v>
      </c>
      <c r="T417" s="236" t="s">
        <v>264</v>
      </c>
    </row>
    <row r="418" spans="1:20" ht="14">
      <c r="A418" s="231">
        <v>417</v>
      </c>
      <c r="B418" s="235" t="s">
        <v>52</v>
      </c>
      <c r="C418" s="231" t="s">
        <v>10</v>
      </c>
      <c r="D418" s="250" t="s">
        <v>1333</v>
      </c>
      <c r="E418" s="239" t="s">
        <v>1334</v>
      </c>
      <c r="F418" s="231" t="s">
        <v>873</v>
      </c>
      <c r="G418" s="231" cm="1">
        <f t="array" ref="G418">_xlfn.IFS(J418&lt;301,2,J418&gt;300,48)</f>
        <v>48</v>
      </c>
      <c r="H418" s="231" t="s">
        <v>2767</v>
      </c>
      <c r="I418" s="281">
        <v>0</v>
      </c>
      <c r="J418" s="249">
        <v>500</v>
      </c>
      <c r="K418" s="231">
        <f t="shared" si="6"/>
        <v>10</v>
      </c>
      <c r="L418" s="231"/>
      <c r="M418" s="299" t="s">
        <v>15</v>
      </c>
      <c r="N418" s="231" t="s">
        <v>253</v>
      </c>
      <c r="O418" s="231">
        <v>2021</v>
      </c>
      <c r="P418" s="281"/>
      <c r="Q418" s="231"/>
      <c r="R418" s="231"/>
      <c r="S418" s="236" t="s">
        <v>453</v>
      </c>
      <c r="T418" s="236" t="s">
        <v>264</v>
      </c>
    </row>
    <row r="419" spans="1:20" ht="14">
      <c r="A419" s="231">
        <v>418</v>
      </c>
      <c r="B419" s="235" t="s">
        <v>52</v>
      </c>
      <c r="C419" s="231" t="s">
        <v>10</v>
      </c>
      <c r="D419" s="250" t="s">
        <v>1335</v>
      </c>
      <c r="E419" s="239" t="s">
        <v>1336</v>
      </c>
      <c r="F419" s="231" t="s">
        <v>267</v>
      </c>
      <c r="G419" s="231" cm="1">
        <f t="array" ref="G419">_xlfn.IFS(J419&lt;301,2,J419&gt;300,48)</f>
        <v>48</v>
      </c>
      <c r="H419" s="231" t="s">
        <v>3512</v>
      </c>
      <c r="I419" s="281">
        <v>0</v>
      </c>
      <c r="J419" s="249">
        <v>500</v>
      </c>
      <c r="K419" s="231">
        <f t="shared" si="6"/>
        <v>20</v>
      </c>
      <c r="L419" s="231"/>
      <c r="M419" s="231" t="s">
        <v>16</v>
      </c>
      <c r="N419" s="231" t="s">
        <v>253</v>
      </c>
      <c r="O419" s="231">
        <v>2021</v>
      </c>
      <c r="P419" s="281"/>
      <c r="Q419" s="231"/>
      <c r="R419" s="231"/>
      <c r="S419" s="236" t="s">
        <v>453</v>
      </c>
      <c r="T419" s="236" t="s">
        <v>264</v>
      </c>
    </row>
    <row r="420" spans="1:20" ht="14">
      <c r="A420" s="231">
        <v>419</v>
      </c>
      <c r="B420" s="235" t="s">
        <v>52</v>
      </c>
      <c r="C420" s="231" t="s">
        <v>10</v>
      </c>
      <c r="D420" s="250" t="s">
        <v>1337</v>
      </c>
      <c r="E420" s="239" t="s">
        <v>1338</v>
      </c>
      <c r="F420" s="231" t="s">
        <v>267</v>
      </c>
      <c r="G420" s="231" cm="1">
        <f t="array" ref="G420">_xlfn.IFS(J420&lt;301,2,J420&gt;300,48)</f>
        <v>48</v>
      </c>
      <c r="H420" s="231" t="s">
        <v>3512</v>
      </c>
      <c r="I420" s="281">
        <v>0</v>
      </c>
      <c r="J420" s="249">
        <v>700</v>
      </c>
      <c r="K420" s="231">
        <f t="shared" si="6"/>
        <v>20</v>
      </c>
      <c r="L420" s="231"/>
      <c r="M420" s="231" t="s">
        <v>16</v>
      </c>
      <c r="N420" s="231" t="s">
        <v>253</v>
      </c>
      <c r="O420" s="231">
        <v>2021</v>
      </c>
      <c r="P420" s="281"/>
      <c r="Q420" s="231"/>
      <c r="R420" s="231"/>
      <c r="S420" s="236" t="s">
        <v>453</v>
      </c>
      <c r="T420" s="236" t="s">
        <v>264</v>
      </c>
    </row>
    <row r="421" spans="1:20" ht="14">
      <c r="A421" s="231">
        <v>420</v>
      </c>
      <c r="B421" s="235" t="s">
        <v>52</v>
      </c>
      <c r="C421" s="231" t="s">
        <v>10</v>
      </c>
      <c r="D421" s="250" t="s">
        <v>1339</v>
      </c>
      <c r="E421" s="239" t="s">
        <v>1340</v>
      </c>
      <c r="F421" s="231" t="s">
        <v>873</v>
      </c>
      <c r="G421" s="231" cm="1">
        <f t="array" ref="G421">_xlfn.IFS(J421&lt;301,2,J421&gt;300,48)</f>
        <v>48</v>
      </c>
      <c r="H421" s="231" t="s">
        <v>2767</v>
      </c>
      <c r="I421" s="281">
        <v>0</v>
      </c>
      <c r="J421" s="249">
        <v>500</v>
      </c>
      <c r="K421" s="231">
        <f t="shared" si="6"/>
        <v>10</v>
      </c>
      <c r="L421" s="231"/>
      <c r="M421" s="299" t="s">
        <v>15</v>
      </c>
      <c r="N421" s="231" t="s">
        <v>253</v>
      </c>
      <c r="O421" s="231">
        <v>2021</v>
      </c>
      <c r="P421" s="281"/>
      <c r="Q421" s="231"/>
      <c r="R421" s="231"/>
      <c r="S421" s="236" t="s">
        <v>453</v>
      </c>
      <c r="T421" s="236" t="s">
        <v>264</v>
      </c>
    </row>
    <row r="422" spans="1:20" ht="14">
      <c r="A422" s="231">
        <v>421</v>
      </c>
      <c r="B422" s="235" t="s">
        <v>52</v>
      </c>
      <c r="C422" s="231" t="s">
        <v>10</v>
      </c>
      <c r="D422" s="250" t="s">
        <v>1341</v>
      </c>
      <c r="E422" s="239" t="s">
        <v>1342</v>
      </c>
      <c r="F422" s="231" t="s">
        <v>763</v>
      </c>
      <c r="G422" s="231" cm="1">
        <f t="array" ref="G422">_xlfn.IFS(J422&lt;301,2,J422&gt;300,48)</f>
        <v>2</v>
      </c>
      <c r="H422" s="231" t="s">
        <v>2767</v>
      </c>
      <c r="I422" s="281">
        <v>0</v>
      </c>
      <c r="J422" s="249">
        <v>300</v>
      </c>
      <c r="K422" s="231">
        <f t="shared" si="6"/>
        <v>10</v>
      </c>
      <c r="L422" s="231"/>
      <c r="M422" s="299" t="s">
        <v>15</v>
      </c>
      <c r="N422" s="231" t="s">
        <v>253</v>
      </c>
      <c r="O422" s="231">
        <v>2021</v>
      </c>
      <c r="P422" s="281"/>
      <c r="Q422" s="231"/>
      <c r="R422" s="231"/>
      <c r="S422" s="236" t="s">
        <v>453</v>
      </c>
      <c r="T422" s="236" t="s">
        <v>264</v>
      </c>
    </row>
    <row r="423" spans="1:20" ht="14">
      <c r="A423" s="231">
        <v>422</v>
      </c>
      <c r="B423" s="235" t="s">
        <v>52</v>
      </c>
      <c r="C423" s="231" t="s">
        <v>10</v>
      </c>
      <c r="D423" s="250" t="s">
        <v>1343</v>
      </c>
      <c r="E423" s="239" t="s">
        <v>1344</v>
      </c>
      <c r="F423" s="231" t="s">
        <v>267</v>
      </c>
      <c r="G423" s="231" cm="1">
        <f t="array" ref="G423">_xlfn.IFS(J423&lt;301,2,J423&gt;300,48)</f>
        <v>48</v>
      </c>
      <c r="H423" s="231" t="s">
        <v>3542</v>
      </c>
      <c r="I423" s="281">
        <v>0</v>
      </c>
      <c r="J423" s="249">
        <v>350</v>
      </c>
      <c r="K423" s="231">
        <f t="shared" si="6"/>
        <v>10</v>
      </c>
      <c r="L423" s="231"/>
      <c r="M423" s="299" t="s">
        <v>15</v>
      </c>
      <c r="N423" s="231" t="s">
        <v>253</v>
      </c>
      <c r="O423" s="231">
        <v>2021</v>
      </c>
      <c r="P423" s="281"/>
      <c r="Q423" s="231"/>
      <c r="R423" s="231"/>
      <c r="S423" s="236" t="s">
        <v>453</v>
      </c>
      <c r="T423" s="236" t="s">
        <v>264</v>
      </c>
    </row>
    <row r="424" spans="1:20" ht="14">
      <c r="A424" s="231">
        <v>423</v>
      </c>
      <c r="B424" s="235" t="s">
        <v>52</v>
      </c>
      <c r="C424" s="231" t="s">
        <v>10</v>
      </c>
      <c r="D424" s="250" t="s">
        <v>1345</v>
      </c>
      <c r="E424" s="239" t="s">
        <v>1346</v>
      </c>
      <c r="F424" s="231" t="s">
        <v>888</v>
      </c>
      <c r="G424" s="231" cm="1">
        <f t="array" ref="G424">_xlfn.IFS(J424&lt;301,2,J424&gt;300,48)</f>
        <v>48</v>
      </c>
      <c r="H424" s="231" t="s">
        <v>2773</v>
      </c>
      <c r="I424" s="281">
        <v>0</v>
      </c>
      <c r="J424" s="249">
        <v>2200</v>
      </c>
      <c r="K424" s="231">
        <f t="shared" si="6"/>
        <v>20</v>
      </c>
      <c r="L424" s="231"/>
      <c r="M424" s="231" t="s">
        <v>16</v>
      </c>
      <c r="N424" s="231" t="s">
        <v>253</v>
      </c>
      <c r="O424" s="231">
        <v>2021</v>
      </c>
      <c r="P424" s="281"/>
      <c r="Q424" s="231"/>
      <c r="R424" s="231"/>
      <c r="S424" s="236" t="s">
        <v>453</v>
      </c>
      <c r="T424" s="236" t="s">
        <v>264</v>
      </c>
    </row>
    <row r="425" spans="1:20" ht="14">
      <c r="A425" s="231">
        <v>424</v>
      </c>
      <c r="B425" s="235" t="s">
        <v>49</v>
      </c>
      <c r="C425" s="231" t="s">
        <v>10</v>
      </c>
      <c r="D425" s="250" t="s">
        <v>1347</v>
      </c>
      <c r="E425" s="239" t="s">
        <v>1348</v>
      </c>
      <c r="F425" s="231" t="s">
        <v>888</v>
      </c>
      <c r="G425" s="231" cm="1">
        <f t="array" ref="G425">_xlfn.IFS(J425&lt;301,2,J425&gt;300,48)</f>
        <v>48</v>
      </c>
      <c r="H425" s="231" t="s">
        <v>452</v>
      </c>
      <c r="I425" s="281">
        <v>0</v>
      </c>
      <c r="J425" s="249">
        <v>800</v>
      </c>
      <c r="K425" s="231">
        <f t="shared" si="6"/>
        <v>10</v>
      </c>
      <c r="L425" s="231"/>
      <c r="M425" s="299" t="s">
        <v>15</v>
      </c>
      <c r="N425" s="231" t="s">
        <v>253</v>
      </c>
      <c r="O425" s="231">
        <v>2021</v>
      </c>
      <c r="P425" s="281"/>
      <c r="Q425" s="231"/>
      <c r="R425" s="231"/>
      <c r="S425" s="236" t="s">
        <v>453</v>
      </c>
      <c r="T425" s="236" t="s">
        <v>264</v>
      </c>
    </row>
    <row r="426" spans="1:20" ht="14">
      <c r="A426" s="231">
        <v>425</v>
      </c>
      <c r="B426" s="235" t="s">
        <v>52</v>
      </c>
      <c r="C426" s="231" t="s">
        <v>10</v>
      </c>
      <c r="D426" s="250" t="s">
        <v>4723</v>
      </c>
      <c r="E426" s="239" t="s">
        <v>1349</v>
      </c>
      <c r="F426" s="231" t="s">
        <v>881</v>
      </c>
      <c r="G426" s="231" cm="1">
        <f t="array" ref="G426">_xlfn.IFS(J426&lt;301,2,J426&gt;300,48)</f>
        <v>48</v>
      </c>
      <c r="H426" s="231" t="s">
        <v>2763</v>
      </c>
      <c r="I426" s="281">
        <v>0</v>
      </c>
      <c r="J426" s="249">
        <v>1500</v>
      </c>
      <c r="K426" s="231">
        <f t="shared" si="6"/>
        <v>10</v>
      </c>
      <c r="L426" s="231"/>
      <c r="M426" s="299" t="s">
        <v>15</v>
      </c>
      <c r="N426" s="231" t="s">
        <v>253</v>
      </c>
      <c r="O426" s="231">
        <v>2021</v>
      </c>
      <c r="P426" s="281"/>
      <c r="Q426" s="231"/>
      <c r="R426" s="231"/>
      <c r="S426" s="236" t="s">
        <v>453</v>
      </c>
      <c r="T426" s="236" t="s">
        <v>264</v>
      </c>
    </row>
    <row r="427" spans="1:20" ht="14">
      <c r="A427" s="231">
        <v>426</v>
      </c>
      <c r="B427" s="235" t="s">
        <v>52</v>
      </c>
      <c r="C427" s="231" t="s">
        <v>10</v>
      </c>
      <c r="D427" s="250" t="s">
        <v>1350</v>
      </c>
      <c r="E427" s="239" t="s">
        <v>1351</v>
      </c>
      <c r="F427" s="231" t="s">
        <v>267</v>
      </c>
      <c r="G427" s="231" cm="1">
        <f t="array" ref="G427">_xlfn.IFS(J427&lt;301,2,J427&gt;300,48)</f>
        <v>48</v>
      </c>
      <c r="H427" s="231" t="s">
        <v>2875</v>
      </c>
      <c r="I427" s="281">
        <v>0</v>
      </c>
      <c r="J427" s="249">
        <v>1000</v>
      </c>
      <c r="K427" s="231">
        <f t="shared" si="6"/>
        <v>10</v>
      </c>
      <c r="L427" s="231"/>
      <c r="M427" s="299" t="s">
        <v>15</v>
      </c>
      <c r="N427" s="231" t="s">
        <v>253</v>
      </c>
      <c r="O427" s="231">
        <v>2021</v>
      </c>
      <c r="P427" s="281"/>
      <c r="Q427" s="231"/>
      <c r="R427" s="231"/>
      <c r="S427" s="236" t="s">
        <v>453</v>
      </c>
      <c r="T427" s="236" t="s">
        <v>264</v>
      </c>
    </row>
    <row r="428" spans="1:20" ht="14">
      <c r="A428" s="231">
        <v>427</v>
      </c>
      <c r="B428" s="235" t="s">
        <v>52</v>
      </c>
      <c r="C428" s="231" t="s">
        <v>10</v>
      </c>
      <c r="D428" s="250" t="s">
        <v>1352</v>
      </c>
      <c r="E428" s="239" t="s">
        <v>1353</v>
      </c>
      <c r="F428" s="231" t="s">
        <v>878</v>
      </c>
      <c r="G428" s="231" cm="1">
        <f t="array" ref="G428">_xlfn.IFS(J428&lt;301,2,J428&gt;300,48)</f>
        <v>48</v>
      </c>
      <c r="H428" s="231" t="s">
        <v>2779</v>
      </c>
      <c r="I428" s="281">
        <v>0</v>
      </c>
      <c r="J428" s="249">
        <v>1100</v>
      </c>
      <c r="K428" s="231">
        <f t="shared" si="6"/>
        <v>10</v>
      </c>
      <c r="L428" s="231"/>
      <c r="M428" s="299" t="s">
        <v>15</v>
      </c>
      <c r="N428" s="231" t="s">
        <v>253</v>
      </c>
      <c r="O428" s="231">
        <v>2021</v>
      </c>
      <c r="P428" s="281"/>
      <c r="Q428" s="231"/>
      <c r="R428" s="231"/>
      <c r="S428" s="236" t="s">
        <v>453</v>
      </c>
      <c r="T428" s="236" t="s">
        <v>264</v>
      </c>
    </row>
    <row r="429" spans="1:20" ht="14">
      <c r="A429" s="231">
        <v>428</v>
      </c>
      <c r="B429" s="235" t="s">
        <v>52</v>
      </c>
      <c r="C429" s="231" t="s">
        <v>10</v>
      </c>
      <c r="D429" s="250" t="s">
        <v>1354</v>
      </c>
      <c r="E429" s="239" t="s">
        <v>1355</v>
      </c>
      <c r="F429" s="231" t="s">
        <v>267</v>
      </c>
      <c r="G429" s="231" cm="1">
        <f t="array" ref="G429">_xlfn.IFS(J429&lt;301,2,J429&gt;300,48)</f>
        <v>48</v>
      </c>
      <c r="H429" s="231" t="s">
        <v>2765</v>
      </c>
      <c r="I429" s="281">
        <v>0</v>
      </c>
      <c r="J429" s="249">
        <v>480</v>
      </c>
      <c r="K429" s="231">
        <f t="shared" si="6"/>
        <v>20</v>
      </c>
      <c r="L429" s="231"/>
      <c r="M429" s="231" t="s">
        <v>16</v>
      </c>
      <c r="N429" s="231" t="s">
        <v>253</v>
      </c>
      <c r="O429" s="231">
        <v>2021</v>
      </c>
      <c r="P429" s="281"/>
      <c r="Q429" s="231"/>
      <c r="R429" s="231"/>
      <c r="S429" s="236" t="s">
        <v>453</v>
      </c>
      <c r="T429" s="236" t="s">
        <v>264</v>
      </c>
    </row>
    <row r="430" spans="1:20" ht="14">
      <c r="A430" s="231">
        <v>429</v>
      </c>
      <c r="B430" s="235" t="s">
        <v>52</v>
      </c>
      <c r="C430" s="231" t="s">
        <v>10</v>
      </c>
      <c r="D430" s="250" t="s">
        <v>1356</v>
      </c>
      <c r="E430" s="239" t="s">
        <v>1357</v>
      </c>
      <c r="F430" s="231" t="s">
        <v>814</v>
      </c>
      <c r="G430" s="231" cm="1">
        <f t="array" ref="G430">_xlfn.IFS(J430&lt;301,2,J430&gt;300,48)</f>
        <v>2</v>
      </c>
      <c r="H430" s="231" t="s">
        <v>3053</v>
      </c>
      <c r="I430" s="281">
        <v>0</v>
      </c>
      <c r="J430" s="249">
        <v>300</v>
      </c>
      <c r="K430" s="231">
        <f t="shared" si="6"/>
        <v>10</v>
      </c>
      <c r="L430" s="231"/>
      <c r="M430" s="299" t="s">
        <v>15</v>
      </c>
      <c r="N430" s="231" t="s">
        <v>253</v>
      </c>
      <c r="O430" s="231">
        <v>2021</v>
      </c>
      <c r="P430" s="281"/>
      <c r="Q430" s="231"/>
      <c r="R430" s="231"/>
      <c r="S430" s="236" t="s">
        <v>453</v>
      </c>
      <c r="T430" s="236" t="s">
        <v>264</v>
      </c>
    </row>
    <row r="431" spans="1:20" ht="14">
      <c r="A431" s="231">
        <v>430</v>
      </c>
      <c r="B431" s="235" t="s">
        <v>52</v>
      </c>
      <c r="C431" s="231" t="s">
        <v>10</v>
      </c>
      <c r="D431" s="250" t="s">
        <v>1358</v>
      </c>
      <c r="E431" s="239" t="s">
        <v>1359</v>
      </c>
      <c r="F431" s="231" t="s">
        <v>267</v>
      </c>
      <c r="G431" s="231" cm="1">
        <f t="array" ref="G431">_xlfn.IFS(J431&lt;301,2,J431&gt;300,48)</f>
        <v>48</v>
      </c>
      <c r="H431" s="231" t="s">
        <v>3542</v>
      </c>
      <c r="I431" s="281">
        <v>0</v>
      </c>
      <c r="J431" s="249">
        <v>500</v>
      </c>
      <c r="K431" s="231">
        <f t="shared" si="6"/>
        <v>10</v>
      </c>
      <c r="L431" s="231"/>
      <c r="M431" s="299" t="s">
        <v>15</v>
      </c>
      <c r="N431" s="231" t="s">
        <v>253</v>
      </c>
      <c r="O431" s="231">
        <v>2021</v>
      </c>
      <c r="P431" s="281"/>
      <c r="Q431" s="231"/>
      <c r="R431" s="231"/>
      <c r="S431" s="236" t="s">
        <v>453</v>
      </c>
      <c r="T431" s="236" t="s">
        <v>264</v>
      </c>
    </row>
    <row r="432" spans="1:20" ht="14">
      <c r="A432" s="231">
        <v>431</v>
      </c>
      <c r="B432" s="235" t="s">
        <v>52</v>
      </c>
      <c r="C432" s="231" t="s">
        <v>10</v>
      </c>
      <c r="D432" s="250" t="s">
        <v>1360</v>
      </c>
      <c r="E432" s="239" t="s">
        <v>1361</v>
      </c>
      <c r="F432" s="231" t="s">
        <v>873</v>
      </c>
      <c r="G432" s="231" cm="1">
        <f t="array" ref="G432">_xlfn.IFS(J432&lt;301,2,J432&gt;300,48)</f>
        <v>48</v>
      </c>
      <c r="H432" s="231" t="s">
        <v>2767</v>
      </c>
      <c r="I432" s="281">
        <v>0</v>
      </c>
      <c r="J432" s="249">
        <v>500</v>
      </c>
      <c r="K432" s="231">
        <f t="shared" si="6"/>
        <v>10</v>
      </c>
      <c r="L432" s="231"/>
      <c r="M432" s="299" t="s">
        <v>15</v>
      </c>
      <c r="N432" s="231" t="s">
        <v>253</v>
      </c>
      <c r="O432" s="231">
        <v>2021</v>
      </c>
      <c r="P432" s="281"/>
      <c r="Q432" s="231"/>
      <c r="R432" s="231"/>
      <c r="S432" s="236" t="s">
        <v>453</v>
      </c>
      <c r="T432" s="236" t="s">
        <v>264</v>
      </c>
    </row>
    <row r="433" spans="1:20" ht="14">
      <c r="A433" s="231">
        <v>432</v>
      </c>
      <c r="B433" s="235" t="s">
        <v>52</v>
      </c>
      <c r="C433" s="231" t="s">
        <v>10</v>
      </c>
      <c r="D433" s="250" t="s">
        <v>1362</v>
      </c>
      <c r="E433" s="239" t="s">
        <v>1363</v>
      </c>
      <c r="F433" s="231" t="s">
        <v>267</v>
      </c>
      <c r="G433" s="231" cm="1">
        <f t="array" ref="G433">_xlfn.IFS(J433&lt;301,2,J433&gt;300,48)</f>
        <v>48</v>
      </c>
      <c r="H433" s="231">
        <v>37</v>
      </c>
      <c r="I433" s="281">
        <v>0</v>
      </c>
      <c r="J433" s="249">
        <v>750</v>
      </c>
      <c r="K433" s="231">
        <f t="shared" si="6"/>
        <v>10</v>
      </c>
      <c r="L433" s="231"/>
      <c r="M433" s="299" t="s">
        <v>15</v>
      </c>
      <c r="N433" s="231" t="s">
        <v>253</v>
      </c>
      <c r="O433" s="231">
        <v>2021</v>
      </c>
      <c r="P433" s="281"/>
      <c r="Q433" s="231"/>
      <c r="R433" s="231"/>
      <c r="S433" s="236" t="s">
        <v>453</v>
      </c>
      <c r="T433" s="236" t="s">
        <v>264</v>
      </c>
    </row>
    <row r="434" spans="1:20" ht="14">
      <c r="A434" s="231">
        <v>433</v>
      </c>
      <c r="B434" s="235" t="s">
        <v>52</v>
      </c>
      <c r="C434" s="231" t="s">
        <v>10</v>
      </c>
      <c r="D434" s="250" t="s">
        <v>1364</v>
      </c>
      <c r="E434" s="239" t="s">
        <v>1365</v>
      </c>
      <c r="F434" s="231" t="s">
        <v>267</v>
      </c>
      <c r="G434" s="231" cm="1">
        <f t="array" ref="G434">_xlfn.IFS(J434&lt;301,2,J434&gt;300,48)</f>
        <v>2</v>
      </c>
      <c r="H434" s="231" t="s">
        <v>2765</v>
      </c>
      <c r="I434" s="281">
        <v>0</v>
      </c>
      <c r="J434" s="249">
        <v>300</v>
      </c>
      <c r="K434" s="231">
        <f t="shared" si="6"/>
        <v>20</v>
      </c>
      <c r="L434" s="231"/>
      <c r="M434" s="231" t="s">
        <v>16</v>
      </c>
      <c r="N434" s="231" t="s">
        <v>253</v>
      </c>
      <c r="O434" s="231">
        <v>2021</v>
      </c>
      <c r="P434" s="281"/>
      <c r="Q434" s="231"/>
      <c r="R434" s="231"/>
      <c r="S434" s="236" t="s">
        <v>453</v>
      </c>
      <c r="T434" s="236" t="s">
        <v>264</v>
      </c>
    </row>
    <row r="435" spans="1:20" ht="14">
      <c r="A435" s="231">
        <v>434</v>
      </c>
      <c r="B435" s="235" t="s">
        <v>52</v>
      </c>
      <c r="C435" s="231" t="s">
        <v>10</v>
      </c>
      <c r="D435" s="250" t="s">
        <v>1366</v>
      </c>
      <c r="E435" s="239" t="s">
        <v>1367</v>
      </c>
      <c r="F435" s="231" t="s">
        <v>873</v>
      </c>
      <c r="G435" s="231" cm="1">
        <f t="array" ref="G435">_xlfn.IFS(J435&lt;301,2,J435&gt;300,48)</f>
        <v>48</v>
      </c>
      <c r="H435" s="231" t="s">
        <v>4555</v>
      </c>
      <c r="I435" s="281">
        <v>0</v>
      </c>
      <c r="J435" s="249">
        <v>5000</v>
      </c>
      <c r="K435" s="231">
        <f t="shared" si="6"/>
        <v>20</v>
      </c>
      <c r="L435" s="231"/>
      <c r="M435" s="231" t="s">
        <v>16</v>
      </c>
      <c r="N435" s="231" t="s">
        <v>253</v>
      </c>
      <c r="O435" s="231">
        <v>2021</v>
      </c>
      <c r="P435" s="281"/>
      <c r="Q435" s="231"/>
      <c r="R435" s="231"/>
      <c r="S435" s="236" t="s">
        <v>453</v>
      </c>
      <c r="T435" s="236" t="s">
        <v>264</v>
      </c>
    </row>
    <row r="436" spans="1:20" ht="14">
      <c r="A436" s="231">
        <v>435</v>
      </c>
      <c r="B436" s="235" t="s">
        <v>52</v>
      </c>
      <c r="C436" s="231" t="s">
        <v>10</v>
      </c>
      <c r="D436" s="250" t="s">
        <v>1368</v>
      </c>
      <c r="E436" s="239" t="s">
        <v>1369</v>
      </c>
      <c r="F436" s="231" t="s">
        <v>267</v>
      </c>
      <c r="G436" s="231" cm="1">
        <f t="array" ref="G436">_xlfn.IFS(J436&lt;301,2,J436&gt;300,48)</f>
        <v>48</v>
      </c>
      <c r="H436" s="231" t="s">
        <v>3060</v>
      </c>
      <c r="I436" s="281">
        <v>0</v>
      </c>
      <c r="J436" s="249">
        <v>350</v>
      </c>
      <c r="K436" s="231">
        <f t="shared" si="6"/>
        <v>20</v>
      </c>
      <c r="L436" s="231"/>
      <c r="M436" s="231" t="s">
        <v>16</v>
      </c>
      <c r="N436" s="231" t="s">
        <v>253</v>
      </c>
      <c r="O436" s="231">
        <v>2021</v>
      </c>
      <c r="P436" s="281"/>
      <c r="Q436" s="231"/>
      <c r="R436" s="231"/>
      <c r="S436" s="236" t="s">
        <v>453</v>
      </c>
      <c r="T436" s="236" t="s">
        <v>264</v>
      </c>
    </row>
    <row r="437" spans="1:20" ht="14">
      <c r="A437" s="231">
        <v>436</v>
      </c>
      <c r="B437" s="235" t="s">
        <v>52</v>
      </c>
      <c r="C437" s="231" t="s">
        <v>10</v>
      </c>
      <c r="D437" s="250" t="s">
        <v>1370</v>
      </c>
      <c r="E437" s="239" t="s">
        <v>1371</v>
      </c>
      <c r="F437" s="231" t="s">
        <v>888</v>
      </c>
      <c r="G437" s="231" cm="1">
        <f t="array" ref="G437">_xlfn.IFS(J437&lt;301,2,J437&gt;300,48)</f>
        <v>48</v>
      </c>
      <c r="H437" s="231" t="s">
        <v>2773</v>
      </c>
      <c r="I437" s="281">
        <v>0</v>
      </c>
      <c r="J437" s="249">
        <v>1500</v>
      </c>
      <c r="K437" s="231">
        <f t="shared" si="6"/>
        <v>20</v>
      </c>
      <c r="L437" s="231"/>
      <c r="M437" s="231" t="s">
        <v>16</v>
      </c>
      <c r="N437" s="231" t="s">
        <v>253</v>
      </c>
      <c r="O437" s="231">
        <v>2021</v>
      </c>
      <c r="P437" s="281"/>
      <c r="Q437" s="231"/>
      <c r="R437" s="231"/>
      <c r="S437" s="236" t="s">
        <v>453</v>
      </c>
      <c r="T437" s="236" t="s">
        <v>264</v>
      </c>
    </row>
    <row r="438" spans="1:20" ht="14">
      <c r="A438" s="231">
        <v>437</v>
      </c>
      <c r="B438" s="235" t="s">
        <v>52</v>
      </c>
      <c r="C438" s="231" t="s">
        <v>10</v>
      </c>
      <c r="D438" s="250" t="s">
        <v>1372</v>
      </c>
      <c r="E438" s="239" t="s">
        <v>1373</v>
      </c>
      <c r="F438" s="231" t="s">
        <v>835</v>
      </c>
      <c r="G438" s="231" cm="1">
        <f t="array" ref="G438">_xlfn.IFS(J438&lt;301,2,J438&gt;300,48)</f>
        <v>48</v>
      </c>
      <c r="H438" s="231" t="s">
        <v>1440</v>
      </c>
      <c r="I438" s="281">
        <v>0</v>
      </c>
      <c r="J438" s="249">
        <v>5000</v>
      </c>
      <c r="K438" s="231">
        <f t="shared" si="6"/>
        <v>20</v>
      </c>
      <c r="L438" s="231"/>
      <c r="M438" s="299" t="s">
        <v>15</v>
      </c>
      <c r="N438" s="231" t="s">
        <v>253</v>
      </c>
      <c r="O438" s="231">
        <v>2021</v>
      </c>
      <c r="P438" s="281"/>
      <c r="Q438" s="231"/>
      <c r="R438" s="231"/>
      <c r="S438" s="236" t="s">
        <v>453</v>
      </c>
      <c r="T438" s="236" t="s">
        <v>264</v>
      </c>
    </row>
    <row r="439" spans="1:20" ht="14">
      <c r="A439" s="231">
        <v>438</v>
      </c>
      <c r="B439" s="235" t="s">
        <v>52</v>
      </c>
      <c r="C439" s="231" t="s">
        <v>10</v>
      </c>
      <c r="D439" s="250" t="s">
        <v>4662</v>
      </c>
      <c r="E439" s="239" t="s">
        <v>1374</v>
      </c>
      <c r="F439" s="231" t="s">
        <v>267</v>
      </c>
      <c r="G439" s="231" cm="1">
        <f t="array" ref="G439">_xlfn.IFS(J439&lt;301,2,J439&gt;300,48)</f>
        <v>2</v>
      </c>
      <c r="H439" s="231" t="s">
        <v>3512</v>
      </c>
      <c r="I439" s="281">
        <v>0</v>
      </c>
      <c r="J439" s="249">
        <v>300</v>
      </c>
      <c r="K439" s="231">
        <f t="shared" si="6"/>
        <v>20</v>
      </c>
      <c r="L439" s="231"/>
      <c r="M439" s="231" t="s">
        <v>16</v>
      </c>
      <c r="N439" s="231" t="s">
        <v>253</v>
      </c>
      <c r="O439" s="231">
        <v>2021</v>
      </c>
      <c r="P439" s="281"/>
      <c r="Q439" s="231"/>
      <c r="R439" s="231"/>
      <c r="S439" s="236" t="s">
        <v>453</v>
      </c>
      <c r="T439" s="236" t="s">
        <v>264</v>
      </c>
    </row>
    <row r="440" spans="1:20" ht="14">
      <c r="A440" s="231">
        <v>439</v>
      </c>
      <c r="B440" s="235" t="s">
        <v>52</v>
      </c>
      <c r="C440" s="231" t="s">
        <v>10</v>
      </c>
      <c r="D440" s="250" t="s">
        <v>1375</v>
      </c>
      <c r="E440" s="239" t="s">
        <v>1376</v>
      </c>
      <c r="F440" s="231" t="s">
        <v>873</v>
      </c>
      <c r="G440" s="231" cm="1">
        <f t="array" ref="G440">_xlfn.IFS(J440&lt;301,2,J440&gt;300,48)</f>
        <v>2</v>
      </c>
      <c r="H440" s="231" t="s">
        <v>2767</v>
      </c>
      <c r="I440" s="281">
        <v>0</v>
      </c>
      <c r="J440" s="249">
        <v>300</v>
      </c>
      <c r="K440" s="231">
        <f t="shared" si="6"/>
        <v>20</v>
      </c>
      <c r="L440" s="231"/>
      <c r="M440" s="231" t="s">
        <v>16</v>
      </c>
      <c r="N440" s="231" t="s">
        <v>253</v>
      </c>
      <c r="O440" s="231">
        <v>2021</v>
      </c>
      <c r="P440" s="281"/>
      <c r="Q440" s="231"/>
      <c r="R440" s="231"/>
      <c r="S440" s="236" t="s">
        <v>453</v>
      </c>
      <c r="T440" s="236" t="s">
        <v>264</v>
      </c>
    </row>
    <row r="441" spans="1:20" ht="14">
      <c r="A441" s="231">
        <v>440</v>
      </c>
      <c r="B441" s="235" t="s">
        <v>52</v>
      </c>
      <c r="C441" s="231" t="s">
        <v>10</v>
      </c>
      <c r="D441" s="250" t="s">
        <v>1377</v>
      </c>
      <c r="E441" s="239" t="s">
        <v>1378</v>
      </c>
      <c r="F441" s="231" t="s">
        <v>267</v>
      </c>
      <c r="G441" s="231" cm="1">
        <f t="array" ref="G441">_xlfn.IFS(J441&lt;301,2,J441&gt;300,48)</f>
        <v>48</v>
      </c>
      <c r="H441" s="231" t="s">
        <v>3542</v>
      </c>
      <c r="I441" s="281">
        <v>0</v>
      </c>
      <c r="J441" s="249">
        <v>520</v>
      </c>
      <c r="K441" s="231">
        <f t="shared" si="6"/>
        <v>20</v>
      </c>
      <c r="L441" s="231"/>
      <c r="M441" s="231" t="s">
        <v>16</v>
      </c>
      <c r="N441" s="231" t="s">
        <v>253</v>
      </c>
      <c r="O441" s="231">
        <v>2021</v>
      </c>
      <c r="P441" s="281"/>
      <c r="Q441" s="231"/>
      <c r="R441" s="231"/>
      <c r="S441" s="236" t="s">
        <v>453</v>
      </c>
      <c r="T441" s="236" t="s">
        <v>264</v>
      </c>
    </row>
    <row r="442" spans="1:20" ht="14">
      <c r="A442" s="231">
        <v>441</v>
      </c>
      <c r="B442" s="235" t="s">
        <v>52</v>
      </c>
      <c r="C442" s="231" t="s">
        <v>10</v>
      </c>
      <c r="D442" s="250" t="s">
        <v>1379</v>
      </c>
      <c r="E442" s="239" t="s">
        <v>1380</v>
      </c>
      <c r="F442" s="231" t="s">
        <v>881</v>
      </c>
      <c r="G442" s="231" cm="1">
        <f t="array" ref="G442">_xlfn.IFS(J442&lt;301,2,J442&gt;300,48)</f>
        <v>48</v>
      </c>
      <c r="H442" s="231" t="s">
        <v>4669</v>
      </c>
      <c r="I442" s="281">
        <v>0</v>
      </c>
      <c r="J442" s="249">
        <v>1200</v>
      </c>
      <c r="K442" s="231">
        <f t="shared" si="6"/>
        <v>20</v>
      </c>
      <c r="L442" s="231"/>
      <c r="M442" s="231" t="s">
        <v>16</v>
      </c>
      <c r="N442" s="231" t="s">
        <v>253</v>
      </c>
      <c r="O442" s="231">
        <v>2021</v>
      </c>
      <c r="P442" s="281"/>
      <c r="Q442" s="231"/>
      <c r="R442" s="231"/>
      <c r="S442" s="236" t="s">
        <v>453</v>
      </c>
      <c r="T442" s="236" t="s">
        <v>264</v>
      </c>
    </row>
    <row r="443" spans="1:20" ht="14">
      <c r="A443" s="231">
        <v>442</v>
      </c>
      <c r="B443" s="235" t="s">
        <v>52</v>
      </c>
      <c r="C443" s="231" t="s">
        <v>10</v>
      </c>
      <c r="D443" s="250" t="s">
        <v>1381</v>
      </c>
      <c r="E443" s="239" t="s">
        <v>1382</v>
      </c>
      <c r="F443" s="231" t="s">
        <v>881</v>
      </c>
      <c r="G443" s="231" cm="1">
        <f t="array" ref="G443">_xlfn.IFS(J443&lt;301,2,J443&gt;300,48)</f>
        <v>48</v>
      </c>
      <c r="H443" s="231" t="s">
        <v>4670</v>
      </c>
      <c r="I443" s="281">
        <v>0</v>
      </c>
      <c r="J443" s="249">
        <v>800</v>
      </c>
      <c r="K443" s="231">
        <f t="shared" si="6"/>
        <v>20</v>
      </c>
      <c r="L443" s="231"/>
      <c r="M443" s="231" t="s">
        <v>16</v>
      </c>
      <c r="N443" s="231" t="s">
        <v>253</v>
      </c>
      <c r="O443" s="231">
        <v>2022</v>
      </c>
      <c r="P443" s="281"/>
      <c r="Q443" s="231"/>
      <c r="R443" s="231"/>
      <c r="S443" s="236" t="s">
        <v>453</v>
      </c>
      <c r="T443" s="236" t="s">
        <v>264</v>
      </c>
    </row>
    <row r="444" spans="1:20" ht="14">
      <c r="A444" s="231">
        <v>443</v>
      </c>
      <c r="B444" s="235" t="s">
        <v>52</v>
      </c>
      <c r="C444" s="231" t="s">
        <v>10</v>
      </c>
      <c r="D444" s="250" t="s">
        <v>1383</v>
      </c>
      <c r="E444" s="239" t="s">
        <v>1384</v>
      </c>
      <c r="F444" s="231" t="s">
        <v>753</v>
      </c>
      <c r="G444" s="231" cm="1">
        <f t="array" ref="G444">_xlfn.IFS(J444&lt;301,2,J444&gt;300,48)</f>
        <v>48</v>
      </c>
      <c r="H444" s="231" t="s">
        <v>3542</v>
      </c>
      <c r="I444" s="281">
        <v>0</v>
      </c>
      <c r="J444" s="249">
        <v>350</v>
      </c>
      <c r="K444" s="231">
        <f t="shared" si="6"/>
        <v>20</v>
      </c>
      <c r="L444" s="231"/>
      <c r="M444" s="231" t="s">
        <v>16</v>
      </c>
      <c r="N444" s="231" t="s">
        <v>253</v>
      </c>
      <c r="O444" s="231">
        <v>2021</v>
      </c>
      <c r="P444" s="281"/>
      <c r="Q444" s="231"/>
      <c r="R444" s="231"/>
      <c r="S444" s="236" t="s">
        <v>453</v>
      </c>
      <c r="T444" s="236" t="s">
        <v>264</v>
      </c>
    </row>
    <row r="445" spans="1:20" ht="14">
      <c r="A445" s="231">
        <v>444</v>
      </c>
      <c r="B445" s="235" t="s">
        <v>52</v>
      </c>
      <c r="C445" s="231" t="s">
        <v>10</v>
      </c>
      <c r="D445" s="250" t="s">
        <v>1385</v>
      </c>
      <c r="E445" s="239" t="s">
        <v>1386</v>
      </c>
      <c r="F445" s="231" t="s">
        <v>888</v>
      </c>
      <c r="G445" s="231" cm="1">
        <f t="array" ref="G445">_xlfn.IFS(J445&lt;301,2,J445&gt;300,48)</f>
        <v>48</v>
      </c>
      <c r="H445" s="231" t="s">
        <v>2773</v>
      </c>
      <c r="I445" s="281">
        <v>0</v>
      </c>
      <c r="J445" s="249">
        <v>2200</v>
      </c>
      <c r="K445" s="231">
        <f t="shared" si="6"/>
        <v>20</v>
      </c>
      <c r="L445" s="231"/>
      <c r="M445" s="231" t="s">
        <v>16</v>
      </c>
      <c r="N445" s="231" t="s">
        <v>253</v>
      </c>
      <c r="O445" s="231">
        <v>2022</v>
      </c>
      <c r="P445" s="281"/>
      <c r="Q445" s="231"/>
      <c r="R445" s="231"/>
      <c r="S445" s="236" t="s">
        <v>453</v>
      </c>
      <c r="T445" s="236" t="s">
        <v>264</v>
      </c>
    </row>
    <row r="446" spans="1:20" ht="14">
      <c r="A446" s="231">
        <v>445</v>
      </c>
      <c r="B446" s="235" t="s">
        <v>52</v>
      </c>
      <c r="C446" s="231" t="s">
        <v>10</v>
      </c>
      <c r="D446" s="250" t="s">
        <v>1387</v>
      </c>
      <c r="E446" s="239" t="s">
        <v>1388</v>
      </c>
      <c r="F446" s="231" t="s">
        <v>888</v>
      </c>
      <c r="G446" s="231" cm="1">
        <f t="array" ref="G446">_xlfn.IFS(J446&lt;301,2,J446&gt;300,48)</f>
        <v>2</v>
      </c>
      <c r="H446" s="231" t="s">
        <v>2773</v>
      </c>
      <c r="I446" s="281">
        <v>0</v>
      </c>
      <c r="J446" s="249">
        <v>300</v>
      </c>
      <c r="K446" s="231">
        <f t="shared" si="6"/>
        <v>20</v>
      </c>
      <c r="L446" s="231"/>
      <c r="M446" s="231" t="s">
        <v>16</v>
      </c>
      <c r="N446" s="231" t="s">
        <v>253</v>
      </c>
      <c r="O446" s="231">
        <v>2021</v>
      </c>
      <c r="P446" s="281"/>
      <c r="Q446" s="231"/>
      <c r="R446" s="231"/>
      <c r="S446" s="236" t="s">
        <v>453</v>
      </c>
      <c r="T446" s="236" t="s">
        <v>264</v>
      </c>
    </row>
    <row r="447" spans="1:20" ht="14">
      <c r="A447" s="231">
        <v>446</v>
      </c>
      <c r="B447" s="235" t="s">
        <v>52</v>
      </c>
      <c r="C447" s="231" t="s">
        <v>10</v>
      </c>
      <c r="D447" s="250" t="s">
        <v>1389</v>
      </c>
      <c r="E447" s="239" t="s">
        <v>1390</v>
      </c>
      <c r="F447" s="231" t="s">
        <v>814</v>
      </c>
      <c r="G447" s="231" cm="1">
        <f t="array" ref="G447">_xlfn.IFS(J447&lt;301,2,J447&gt;300,48)</f>
        <v>2</v>
      </c>
      <c r="H447" s="231" t="s">
        <v>3053</v>
      </c>
      <c r="I447" s="281">
        <v>0</v>
      </c>
      <c r="J447" s="249">
        <v>300</v>
      </c>
      <c r="K447" s="231">
        <f t="shared" si="6"/>
        <v>10</v>
      </c>
      <c r="L447" s="231"/>
      <c r="M447" s="299" t="s">
        <v>15</v>
      </c>
      <c r="N447" s="231" t="s">
        <v>253</v>
      </c>
      <c r="O447" s="231">
        <v>2021</v>
      </c>
      <c r="P447" s="281"/>
      <c r="Q447" s="231"/>
      <c r="R447" s="231"/>
      <c r="S447" s="236" t="s">
        <v>453</v>
      </c>
      <c r="T447" s="236" t="s">
        <v>264</v>
      </c>
    </row>
    <row r="448" spans="1:20" ht="14">
      <c r="A448" s="231">
        <v>447</v>
      </c>
      <c r="B448" s="235" t="s">
        <v>52</v>
      </c>
      <c r="C448" s="231" t="s">
        <v>10</v>
      </c>
      <c r="D448" s="250" t="s">
        <v>1391</v>
      </c>
      <c r="E448" s="239" t="s">
        <v>1392</v>
      </c>
      <c r="F448" s="231" t="s">
        <v>854</v>
      </c>
      <c r="G448" s="231" cm="1">
        <f t="array" ref="G448">_xlfn.IFS(J448&lt;301,2,J448&gt;300,48)</f>
        <v>2</v>
      </c>
      <c r="H448" s="231" t="s">
        <v>3060</v>
      </c>
      <c r="I448" s="281">
        <v>0</v>
      </c>
      <c r="J448" s="249">
        <v>300</v>
      </c>
      <c r="K448" s="231">
        <f t="shared" si="6"/>
        <v>10</v>
      </c>
      <c r="L448" s="231"/>
      <c r="M448" s="299" t="s">
        <v>15</v>
      </c>
      <c r="N448" s="231" t="s">
        <v>253</v>
      </c>
      <c r="O448" s="231">
        <v>2021</v>
      </c>
      <c r="P448" s="281"/>
      <c r="Q448" s="231"/>
      <c r="R448" s="231"/>
      <c r="S448" s="236" t="s">
        <v>453</v>
      </c>
      <c r="T448" s="236" t="s">
        <v>264</v>
      </c>
    </row>
    <row r="449" spans="1:20" ht="14">
      <c r="A449" s="231">
        <v>448</v>
      </c>
      <c r="B449" s="235" t="s">
        <v>52</v>
      </c>
      <c r="C449" s="231" t="s">
        <v>10</v>
      </c>
      <c r="D449" s="250" t="s">
        <v>1393</v>
      </c>
      <c r="E449" s="239" t="s">
        <v>1394</v>
      </c>
      <c r="F449" s="231" t="s">
        <v>873</v>
      </c>
      <c r="G449" s="231" cm="1">
        <f t="array" ref="G449">_xlfn.IFS(J449&lt;301,2,J449&gt;300,48)</f>
        <v>2</v>
      </c>
      <c r="H449" s="231" t="s">
        <v>2767</v>
      </c>
      <c r="I449" s="281">
        <v>0</v>
      </c>
      <c r="J449" s="249">
        <v>200</v>
      </c>
      <c r="K449" s="231">
        <f t="shared" ref="K449:K512" si="7">IF(M449="ONT",20,IF(M449="N/A","N/A",IF(M449="MIKROTIK",IF(J449&lt;3000,10,IF(3000&lt;J449&gt;10000,20,IF(10000&lt;J449&gt;20000,40,IF(20000&lt;J449&gt;40000,60,IF(J449&gt;40000,80,IF(J449&lt;300,3,)))))))))</f>
        <v>10</v>
      </c>
      <c r="L449" s="231"/>
      <c r="M449" s="299" t="s">
        <v>15</v>
      </c>
      <c r="N449" s="231" t="s">
        <v>253</v>
      </c>
      <c r="O449" s="231">
        <v>2022</v>
      </c>
      <c r="P449" s="281"/>
      <c r="Q449" s="231"/>
      <c r="R449" s="231"/>
      <c r="S449" s="236" t="s">
        <v>453</v>
      </c>
      <c r="T449" s="236" t="s">
        <v>264</v>
      </c>
    </row>
    <row r="450" spans="1:20" ht="14">
      <c r="A450" s="231">
        <v>449</v>
      </c>
      <c r="B450" s="235" t="s">
        <v>52</v>
      </c>
      <c r="C450" s="231" t="s">
        <v>10</v>
      </c>
      <c r="D450" s="250" t="s">
        <v>1395</v>
      </c>
      <c r="E450" s="239" t="s">
        <v>1396</v>
      </c>
      <c r="F450" s="231" t="s">
        <v>835</v>
      </c>
      <c r="G450" s="231" cm="1">
        <f t="array" ref="G450">_xlfn.IFS(J450&lt;301,2,J450&gt;300,48)</f>
        <v>48</v>
      </c>
      <c r="H450" s="231" t="s">
        <v>4251</v>
      </c>
      <c r="I450" s="281">
        <v>0</v>
      </c>
      <c r="J450" s="249">
        <v>500</v>
      </c>
      <c r="K450" s="231">
        <f t="shared" si="7"/>
        <v>10</v>
      </c>
      <c r="L450" s="231"/>
      <c r="M450" s="299" t="s">
        <v>15</v>
      </c>
      <c r="N450" s="231" t="s">
        <v>253</v>
      </c>
      <c r="O450" s="231">
        <v>2022</v>
      </c>
      <c r="P450" s="281"/>
      <c r="Q450" s="231"/>
      <c r="R450" s="231"/>
      <c r="S450" s="236" t="s">
        <v>453</v>
      </c>
      <c r="T450" s="236" t="s">
        <v>264</v>
      </c>
    </row>
    <row r="451" spans="1:20" ht="14">
      <c r="A451" s="231">
        <v>450</v>
      </c>
      <c r="B451" s="235" t="s">
        <v>52</v>
      </c>
      <c r="C451" s="231" t="s">
        <v>10</v>
      </c>
      <c r="D451" s="250" t="s">
        <v>1397</v>
      </c>
      <c r="E451" s="239" t="s">
        <v>1398</v>
      </c>
      <c r="F451" s="231" t="s">
        <v>878</v>
      </c>
      <c r="G451" s="231" cm="1">
        <f t="array" ref="G451">_xlfn.IFS(J451&lt;301,2,J451&gt;300,48)</f>
        <v>2</v>
      </c>
      <c r="H451" s="231" t="s">
        <v>4254</v>
      </c>
      <c r="I451" s="281">
        <v>0</v>
      </c>
      <c r="J451" s="249">
        <v>300</v>
      </c>
      <c r="K451" s="231">
        <f t="shared" si="7"/>
        <v>10</v>
      </c>
      <c r="L451" s="231"/>
      <c r="M451" s="299" t="s">
        <v>15</v>
      </c>
      <c r="N451" s="231" t="s">
        <v>253</v>
      </c>
      <c r="O451" s="231">
        <v>2022</v>
      </c>
      <c r="P451" s="281"/>
      <c r="Q451" s="231"/>
      <c r="R451" s="231"/>
      <c r="S451" s="236" t="s">
        <v>453</v>
      </c>
      <c r="T451" s="236" t="s">
        <v>264</v>
      </c>
    </row>
    <row r="452" spans="1:20" ht="14">
      <c r="A452" s="231">
        <v>451</v>
      </c>
      <c r="B452" s="235" t="s">
        <v>52</v>
      </c>
      <c r="C452" s="231" t="s">
        <v>10</v>
      </c>
      <c r="D452" s="250" t="s">
        <v>1399</v>
      </c>
      <c r="E452" s="239" t="s">
        <v>1400</v>
      </c>
      <c r="F452" s="231" t="s">
        <v>854</v>
      </c>
      <c r="G452" s="231" cm="1">
        <f t="array" ref="G452">_xlfn.IFS(J452&lt;301,2,J452&gt;300,48)</f>
        <v>48</v>
      </c>
      <c r="H452" s="231" t="s">
        <v>2763</v>
      </c>
      <c r="I452" s="281">
        <v>0</v>
      </c>
      <c r="J452" s="249">
        <v>1300</v>
      </c>
      <c r="K452" s="231">
        <f t="shared" si="7"/>
        <v>10</v>
      </c>
      <c r="L452" s="231"/>
      <c r="M452" s="299" t="s">
        <v>15</v>
      </c>
      <c r="N452" s="231" t="s">
        <v>253</v>
      </c>
      <c r="O452" s="231">
        <v>2022</v>
      </c>
      <c r="P452" s="281"/>
      <c r="Q452" s="231"/>
      <c r="R452" s="231"/>
      <c r="S452" s="236" t="s">
        <v>453</v>
      </c>
      <c r="T452" s="236" t="s">
        <v>264</v>
      </c>
    </row>
    <row r="453" spans="1:20" ht="14">
      <c r="A453" s="231">
        <v>452</v>
      </c>
      <c r="B453" s="235" t="s">
        <v>51</v>
      </c>
      <c r="C453" s="231" t="s">
        <v>10</v>
      </c>
      <c r="D453" s="250" t="s">
        <v>1401</v>
      </c>
      <c r="E453" s="239" t="s">
        <v>1402</v>
      </c>
      <c r="F453" s="231" t="s">
        <v>778</v>
      </c>
      <c r="G453" s="231" cm="1">
        <f t="array" ref="G453">_xlfn.IFS(J453&lt;301,2,J453&gt;300,48)</f>
        <v>48</v>
      </c>
      <c r="H453" s="231" t="s">
        <v>148</v>
      </c>
      <c r="I453" s="281">
        <v>0</v>
      </c>
      <c r="J453" s="249">
        <v>1500</v>
      </c>
      <c r="K453" s="231">
        <f t="shared" si="7"/>
        <v>10</v>
      </c>
      <c r="L453" s="231"/>
      <c r="M453" s="299" t="s">
        <v>15</v>
      </c>
      <c r="N453" s="231" t="s">
        <v>253</v>
      </c>
      <c r="O453" s="231">
        <v>2022</v>
      </c>
      <c r="P453" s="281"/>
      <c r="Q453" s="231"/>
      <c r="R453" s="231"/>
      <c r="S453" s="236" t="s">
        <v>453</v>
      </c>
      <c r="T453" s="236" t="s">
        <v>264</v>
      </c>
    </row>
    <row r="454" spans="1:20" ht="14">
      <c r="A454" s="231">
        <v>453</v>
      </c>
      <c r="B454" s="235" t="s">
        <v>52</v>
      </c>
      <c r="C454" s="231" t="s">
        <v>10</v>
      </c>
      <c r="D454" s="250" t="s">
        <v>1403</v>
      </c>
      <c r="E454" s="239" t="s">
        <v>1404</v>
      </c>
      <c r="F454" s="231" t="s">
        <v>861</v>
      </c>
      <c r="G454" s="231" cm="1">
        <f t="array" ref="G454">_xlfn.IFS(J454&lt;301,2,J454&gt;300,48)</f>
        <v>2</v>
      </c>
      <c r="H454" s="231" t="s">
        <v>3524</v>
      </c>
      <c r="I454" s="281">
        <v>0</v>
      </c>
      <c r="J454" s="249">
        <v>300</v>
      </c>
      <c r="K454" s="231">
        <f t="shared" si="7"/>
        <v>10</v>
      </c>
      <c r="L454" s="231"/>
      <c r="M454" s="299" t="s">
        <v>15</v>
      </c>
      <c r="N454" s="231" t="s">
        <v>253</v>
      </c>
      <c r="O454" s="231">
        <v>2022</v>
      </c>
      <c r="P454" s="281"/>
      <c r="Q454" s="231"/>
      <c r="R454" s="231"/>
      <c r="S454" s="236" t="s">
        <v>453</v>
      </c>
      <c r="T454" s="236" t="s">
        <v>264</v>
      </c>
    </row>
    <row r="455" spans="1:20" ht="14">
      <c r="A455" s="231">
        <v>454</v>
      </c>
      <c r="B455" s="235" t="s">
        <v>52</v>
      </c>
      <c r="C455" s="231" t="s">
        <v>10</v>
      </c>
      <c r="D455" s="250" t="s">
        <v>1405</v>
      </c>
      <c r="E455" s="239" t="s">
        <v>1406</v>
      </c>
      <c r="F455" s="231" t="s">
        <v>878</v>
      </c>
      <c r="G455" s="231" cm="1">
        <f t="array" ref="G455">_xlfn.IFS(J455&lt;301,2,J455&gt;300,48)</f>
        <v>48</v>
      </c>
      <c r="H455" s="231" t="s">
        <v>2773</v>
      </c>
      <c r="I455" s="281">
        <v>0</v>
      </c>
      <c r="J455" s="249">
        <v>1500</v>
      </c>
      <c r="K455" s="231">
        <f t="shared" si="7"/>
        <v>20</v>
      </c>
      <c r="L455" s="231"/>
      <c r="M455" s="231" t="s">
        <v>16</v>
      </c>
      <c r="N455" s="231" t="s">
        <v>253</v>
      </c>
      <c r="O455" s="231">
        <v>2022</v>
      </c>
      <c r="P455" s="281"/>
      <c r="Q455" s="231"/>
      <c r="R455" s="231"/>
      <c r="S455" s="236" t="s">
        <v>453</v>
      </c>
      <c r="T455" s="236" t="s">
        <v>264</v>
      </c>
    </row>
    <row r="456" spans="1:20" ht="14">
      <c r="A456" s="231">
        <v>455</v>
      </c>
      <c r="B456" s="235" t="s">
        <v>52</v>
      </c>
      <c r="C456" s="231" t="s">
        <v>10</v>
      </c>
      <c r="D456" s="250" t="s">
        <v>1407</v>
      </c>
      <c r="E456" s="239" t="s">
        <v>1408</v>
      </c>
      <c r="F456" s="231" t="s">
        <v>854</v>
      </c>
      <c r="G456" s="231" cm="1">
        <f t="array" ref="G456">_xlfn.IFS(J456&lt;301,2,J456&gt;300,48)</f>
        <v>48</v>
      </c>
      <c r="H456" s="231" t="s">
        <v>4545</v>
      </c>
      <c r="I456" s="281">
        <v>0</v>
      </c>
      <c r="J456" s="249">
        <v>400</v>
      </c>
      <c r="K456" s="231">
        <f t="shared" si="7"/>
        <v>20</v>
      </c>
      <c r="L456" s="231"/>
      <c r="M456" s="231" t="s">
        <v>16</v>
      </c>
      <c r="N456" s="231" t="s">
        <v>253</v>
      </c>
      <c r="O456" s="231">
        <v>2022</v>
      </c>
      <c r="P456" s="281"/>
      <c r="Q456" s="231"/>
      <c r="R456" s="231"/>
      <c r="S456" s="236" t="s">
        <v>453</v>
      </c>
      <c r="T456" s="236" t="s">
        <v>264</v>
      </c>
    </row>
    <row r="457" spans="1:20" ht="14">
      <c r="A457" s="231">
        <v>456</v>
      </c>
      <c r="B457" s="235" t="s">
        <v>52</v>
      </c>
      <c r="C457" s="231" t="s">
        <v>10</v>
      </c>
      <c r="D457" s="250" t="s">
        <v>1409</v>
      </c>
      <c r="E457" s="239" t="s">
        <v>1410</v>
      </c>
      <c r="F457" s="231" t="s">
        <v>844</v>
      </c>
      <c r="G457" s="231" cm="1">
        <f t="array" ref="G457">_xlfn.IFS(J457&lt;301,2,J457&gt;300,48)</f>
        <v>48</v>
      </c>
      <c r="H457" s="231" t="s">
        <v>4550</v>
      </c>
      <c r="I457" s="281">
        <v>0</v>
      </c>
      <c r="J457" s="249">
        <v>700</v>
      </c>
      <c r="K457" s="231">
        <f t="shared" si="7"/>
        <v>10</v>
      </c>
      <c r="L457" s="231"/>
      <c r="M457" s="299" t="s">
        <v>15</v>
      </c>
      <c r="N457" s="231" t="s">
        <v>253</v>
      </c>
      <c r="O457" s="231">
        <v>2022</v>
      </c>
      <c r="P457" s="281"/>
      <c r="Q457" s="231"/>
      <c r="R457" s="231"/>
      <c r="S457" s="236" t="s">
        <v>453</v>
      </c>
      <c r="T457" s="236" t="s">
        <v>264</v>
      </c>
    </row>
    <row r="458" spans="1:20" ht="14">
      <c r="A458" s="231">
        <v>457</v>
      </c>
      <c r="B458" s="235" t="s">
        <v>52</v>
      </c>
      <c r="C458" s="231" t="s">
        <v>10</v>
      </c>
      <c r="D458" s="250" t="s">
        <v>1411</v>
      </c>
      <c r="E458" s="239" t="s">
        <v>1412</v>
      </c>
      <c r="F458" s="231" t="s">
        <v>854</v>
      </c>
      <c r="G458" s="231" cm="1">
        <f t="array" ref="G458">_xlfn.IFS(J458&lt;301,2,J458&gt;300,48)</f>
        <v>48</v>
      </c>
      <c r="H458" s="231" t="s">
        <v>4641</v>
      </c>
      <c r="I458" s="281">
        <v>0</v>
      </c>
      <c r="J458" s="249">
        <v>2100</v>
      </c>
      <c r="K458" s="231">
        <f t="shared" si="7"/>
        <v>20</v>
      </c>
      <c r="L458" s="231"/>
      <c r="M458" s="231" t="s">
        <v>16</v>
      </c>
      <c r="N458" s="231" t="s">
        <v>253</v>
      </c>
      <c r="O458" s="231">
        <v>2022</v>
      </c>
      <c r="P458" s="281"/>
      <c r="Q458" s="231"/>
      <c r="R458" s="231"/>
      <c r="S458" s="236" t="s">
        <v>453</v>
      </c>
      <c r="T458" s="236" t="s">
        <v>264</v>
      </c>
    </row>
    <row r="459" spans="1:20" ht="14">
      <c r="A459" s="231">
        <v>458</v>
      </c>
      <c r="B459" s="235" t="s">
        <v>52</v>
      </c>
      <c r="C459" s="231" t="s">
        <v>10</v>
      </c>
      <c r="D459" s="250" t="s">
        <v>1413</v>
      </c>
      <c r="E459" s="239" t="s">
        <v>1414</v>
      </c>
      <c r="F459" s="231" t="s">
        <v>1415</v>
      </c>
      <c r="G459" s="231" cm="1">
        <f t="array" ref="G459">_xlfn.IFS(J459&lt;301,2,J459&gt;300,48)</f>
        <v>48</v>
      </c>
      <c r="H459" s="231" t="s">
        <v>3111</v>
      </c>
      <c r="I459" s="281">
        <v>0</v>
      </c>
      <c r="J459" s="249">
        <v>700</v>
      </c>
      <c r="K459" s="231">
        <f t="shared" si="7"/>
        <v>10</v>
      </c>
      <c r="L459" s="231"/>
      <c r="M459" s="299" t="s">
        <v>15</v>
      </c>
      <c r="N459" s="231" t="s">
        <v>253</v>
      </c>
      <c r="O459" s="231">
        <v>2022</v>
      </c>
      <c r="P459" s="281"/>
      <c r="Q459" s="231"/>
      <c r="R459" s="231"/>
      <c r="S459" s="236" t="s">
        <v>453</v>
      </c>
      <c r="T459" s="236" t="s">
        <v>264</v>
      </c>
    </row>
    <row r="460" spans="1:20" ht="14">
      <c r="A460" s="231">
        <v>459</v>
      </c>
      <c r="B460" s="235" t="s">
        <v>52</v>
      </c>
      <c r="C460" s="231" t="s">
        <v>10</v>
      </c>
      <c r="D460" s="250" t="s">
        <v>1416</v>
      </c>
      <c r="E460" s="239" t="s">
        <v>1417</v>
      </c>
      <c r="F460" s="231" t="s">
        <v>888</v>
      </c>
      <c r="G460" s="231" cm="1">
        <f t="array" ref="G460">_xlfn.IFS(J460&lt;301,2,J460&gt;300,48)</f>
        <v>48</v>
      </c>
      <c r="H460" s="231" t="s">
        <v>2773</v>
      </c>
      <c r="I460" s="281">
        <v>0</v>
      </c>
      <c r="J460" s="249">
        <v>1300</v>
      </c>
      <c r="K460" s="231">
        <f t="shared" si="7"/>
        <v>20</v>
      </c>
      <c r="L460" s="231"/>
      <c r="M460" s="231" t="s">
        <v>16</v>
      </c>
      <c r="N460" s="231" t="s">
        <v>253</v>
      </c>
      <c r="O460" s="231">
        <v>2022</v>
      </c>
      <c r="P460" s="281"/>
      <c r="Q460" s="231"/>
      <c r="R460" s="231"/>
      <c r="S460" s="236" t="s">
        <v>453</v>
      </c>
      <c r="T460" s="236" t="s">
        <v>264</v>
      </c>
    </row>
    <row r="461" spans="1:20" ht="14">
      <c r="A461" s="231">
        <v>460</v>
      </c>
      <c r="B461" s="235" t="s">
        <v>52</v>
      </c>
      <c r="C461" s="231" t="s">
        <v>10</v>
      </c>
      <c r="D461" s="250" t="s">
        <v>1418</v>
      </c>
      <c r="E461" s="239" t="s">
        <v>1419</v>
      </c>
      <c r="F461" s="231" t="s">
        <v>861</v>
      </c>
      <c r="G461" s="231" cm="1">
        <f t="array" ref="G461">_xlfn.IFS(J461&lt;301,2,J461&gt;300,48)</f>
        <v>48</v>
      </c>
      <c r="H461" s="231" t="s">
        <v>3524</v>
      </c>
      <c r="I461" s="281">
        <v>0</v>
      </c>
      <c r="J461" s="249">
        <v>1000</v>
      </c>
      <c r="K461" s="231">
        <f t="shared" si="7"/>
        <v>10</v>
      </c>
      <c r="L461" s="231"/>
      <c r="M461" s="299" t="s">
        <v>15</v>
      </c>
      <c r="N461" s="231" t="s">
        <v>253</v>
      </c>
      <c r="O461" s="231">
        <v>2023</v>
      </c>
      <c r="P461" s="281"/>
      <c r="Q461" s="231"/>
      <c r="R461" s="231"/>
      <c r="S461" s="236" t="s">
        <v>453</v>
      </c>
      <c r="T461" s="236" t="s">
        <v>264</v>
      </c>
    </row>
    <row r="462" spans="1:20" ht="14">
      <c r="A462" s="231">
        <v>461</v>
      </c>
      <c r="B462" s="235" t="s">
        <v>52</v>
      </c>
      <c r="C462" s="231" t="s">
        <v>10</v>
      </c>
      <c r="D462" s="250" t="s">
        <v>1420</v>
      </c>
      <c r="E462" s="239" t="s">
        <v>1421</v>
      </c>
      <c r="F462" s="231" t="s">
        <v>888</v>
      </c>
      <c r="G462" s="231" cm="1">
        <f t="array" ref="G462">_xlfn.IFS(J462&lt;301,2,J462&gt;300,48)</f>
        <v>48</v>
      </c>
      <c r="H462" s="231" t="s">
        <v>2781</v>
      </c>
      <c r="I462" s="281">
        <v>0</v>
      </c>
      <c r="J462" s="249">
        <v>1100</v>
      </c>
      <c r="K462" s="231">
        <f t="shared" si="7"/>
        <v>20</v>
      </c>
      <c r="L462" s="231"/>
      <c r="M462" s="231" t="s">
        <v>16</v>
      </c>
      <c r="N462" s="231" t="s">
        <v>253</v>
      </c>
      <c r="O462" s="231">
        <v>2022</v>
      </c>
      <c r="P462" s="281"/>
      <c r="Q462" s="231"/>
      <c r="R462" s="231"/>
      <c r="S462" s="236" t="s">
        <v>453</v>
      </c>
      <c r="T462" s="236" t="s">
        <v>264</v>
      </c>
    </row>
    <row r="463" spans="1:20" ht="14">
      <c r="A463" s="231">
        <v>462</v>
      </c>
      <c r="B463" s="235" t="s">
        <v>52</v>
      </c>
      <c r="C463" s="231" t="s">
        <v>10</v>
      </c>
      <c r="D463" s="250" t="s">
        <v>1422</v>
      </c>
      <c r="E463" s="239" t="s">
        <v>1423</v>
      </c>
      <c r="F463" s="231" t="s">
        <v>267</v>
      </c>
      <c r="G463" s="231" cm="1">
        <f t="array" ref="G463">_xlfn.IFS(J463&lt;301,2,J463&gt;300,48)</f>
        <v>48</v>
      </c>
      <c r="H463" s="231" t="s">
        <v>4258</v>
      </c>
      <c r="I463" s="281">
        <v>0</v>
      </c>
      <c r="J463" s="249">
        <v>6000</v>
      </c>
      <c r="K463" s="231" t="str">
        <f t="shared" si="7"/>
        <v>N/A</v>
      </c>
      <c r="L463" s="231"/>
      <c r="M463" s="231" t="s">
        <v>456</v>
      </c>
      <c r="N463" s="231" t="s">
        <v>253</v>
      </c>
      <c r="O463" s="231">
        <v>2022</v>
      </c>
      <c r="P463" s="281"/>
      <c r="Q463" s="231"/>
      <c r="R463" s="231"/>
      <c r="S463" s="236" t="s">
        <v>453</v>
      </c>
      <c r="T463" s="236" t="s">
        <v>264</v>
      </c>
    </row>
    <row r="464" spans="1:20" ht="14">
      <c r="A464" s="231">
        <v>463</v>
      </c>
      <c r="B464" s="235" t="s">
        <v>52</v>
      </c>
      <c r="C464" s="231" t="s">
        <v>10</v>
      </c>
      <c r="D464" s="250" t="s">
        <v>1424</v>
      </c>
      <c r="E464" s="239" t="s">
        <v>1425</v>
      </c>
      <c r="F464" s="231" t="s">
        <v>763</v>
      </c>
      <c r="G464" s="231" cm="1">
        <f t="array" ref="G464">_xlfn.IFS(J464&lt;301,2,J464&gt;300,48)</f>
        <v>48</v>
      </c>
      <c r="H464" s="231" t="s">
        <v>4258</v>
      </c>
      <c r="I464" s="281">
        <v>0</v>
      </c>
      <c r="J464" s="249">
        <v>10000</v>
      </c>
      <c r="K464" s="231" t="str">
        <f t="shared" si="7"/>
        <v>N/A</v>
      </c>
      <c r="L464" s="231"/>
      <c r="M464" s="231" t="s">
        <v>456</v>
      </c>
      <c r="N464" s="231" t="s">
        <v>253</v>
      </c>
      <c r="O464" s="231">
        <v>2022</v>
      </c>
      <c r="P464" s="281"/>
      <c r="Q464" s="231"/>
      <c r="R464" s="231"/>
      <c r="S464" s="236" t="s">
        <v>453</v>
      </c>
      <c r="T464" s="236" t="s">
        <v>264</v>
      </c>
    </row>
    <row r="465" spans="1:20" ht="14">
      <c r="A465" s="231">
        <v>464</v>
      </c>
      <c r="B465" s="235" t="s">
        <v>52</v>
      </c>
      <c r="C465" s="231" t="s">
        <v>10</v>
      </c>
      <c r="D465" s="250" t="s">
        <v>1426</v>
      </c>
      <c r="E465" s="239" t="s">
        <v>1427</v>
      </c>
      <c r="F465" s="231" t="s">
        <v>763</v>
      </c>
      <c r="G465" s="231" cm="1">
        <f t="array" ref="G465">_xlfn.IFS(J465&lt;301,2,J465&gt;300,48)</f>
        <v>48</v>
      </c>
      <c r="H465" s="231" t="s">
        <v>2767</v>
      </c>
      <c r="I465" s="281">
        <v>0</v>
      </c>
      <c r="J465" s="249">
        <v>800</v>
      </c>
      <c r="K465" s="231">
        <f t="shared" si="7"/>
        <v>20</v>
      </c>
      <c r="L465" s="231"/>
      <c r="M465" s="231" t="s">
        <v>16</v>
      </c>
      <c r="N465" s="231" t="s">
        <v>253</v>
      </c>
      <c r="O465" s="231">
        <v>2022</v>
      </c>
      <c r="P465" s="281"/>
      <c r="Q465" s="231"/>
      <c r="R465" s="231"/>
      <c r="S465" s="236" t="s">
        <v>453</v>
      </c>
      <c r="T465" s="236" t="s">
        <v>264</v>
      </c>
    </row>
    <row r="466" spans="1:20" ht="14">
      <c r="A466" s="231">
        <v>465</v>
      </c>
      <c r="B466" s="235" t="s">
        <v>52</v>
      </c>
      <c r="C466" s="231" t="s">
        <v>10</v>
      </c>
      <c r="D466" s="250" t="s">
        <v>1428</v>
      </c>
      <c r="E466" s="239" t="s">
        <v>1429</v>
      </c>
      <c r="F466" s="231" t="s">
        <v>1430</v>
      </c>
      <c r="G466" s="231" cm="1">
        <f t="array" ref="G466">_xlfn.IFS(J466&lt;301,2,J466&gt;300,48)</f>
        <v>48</v>
      </c>
      <c r="H466" s="231" t="s">
        <v>2765</v>
      </c>
      <c r="I466" s="281">
        <v>0</v>
      </c>
      <c r="J466" s="249">
        <v>1785</v>
      </c>
      <c r="K466" s="231">
        <f t="shared" si="7"/>
        <v>10</v>
      </c>
      <c r="L466" s="231"/>
      <c r="M466" s="299" t="s">
        <v>15</v>
      </c>
      <c r="N466" s="231" t="s">
        <v>253</v>
      </c>
      <c r="O466" s="231">
        <v>2023</v>
      </c>
      <c r="P466" s="281"/>
      <c r="Q466" s="231"/>
      <c r="R466" s="231"/>
      <c r="S466" s="236" t="s">
        <v>453</v>
      </c>
      <c r="T466" s="236" t="s">
        <v>264</v>
      </c>
    </row>
    <row r="467" spans="1:20" ht="14">
      <c r="A467" s="231">
        <v>466</v>
      </c>
      <c r="B467" s="235" t="s">
        <v>52</v>
      </c>
      <c r="C467" s="231" t="s">
        <v>10</v>
      </c>
      <c r="D467" s="250" t="s">
        <v>1431</v>
      </c>
      <c r="E467" s="239" t="s">
        <v>1432</v>
      </c>
      <c r="F467" s="231" t="s">
        <v>1433</v>
      </c>
      <c r="G467" s="231" cm="1">
        <f t="array" ref="G467">_xlfn.IFS(J467&lt;301,2,J467&gt;300,48)</f>
        <v>48</v>
      </c>
      <c r="H467" s="231" t="s">
        <v>3542</v>
      </c>
      <c r="I467" s="281">
        <v>0</v>
      </c>
      <c r="J467" s="249">
        <v>840</v>
      </c>
      <c r="K467" s="231">
        <f t="shared" si="7"/>
        <v>20</v>
      </c>
      <c r="L467" s="231"/>
      <c r="M467" s="231" t="s">
        <v>16</v>
      </c>
      <c r="N467" s="231" t="s">
        <v>253</v>
      </c>
      <c r="O467" s="231">
        <v>2023</v>
      </c>
      <c r="P467" s="281"/>
      <c r="Q467" s="231"/>
      <c r="R467" s="231"/>
      <c r="S467" s="236" t="s">
        <v>453</v>
      </c>
      <c r="T467" s="236" t="s">
        <v>264</v>
      </c>
    </row>
    <row r="468" spans="1:20" ht="14">
      <c r="A468" s="231">
        <v>467</v>
      </c>
      <c r="B468" s="235" t="s">
        <v>52</v>
      </c>
      <c r="C468" s="231" t="s">
        <v>10</v>
      </c>
      <c r="D468" s="250" t="s">
        <v>1434</v>
      </c>
      <c r="E468" s="239" t="s">
        <v>1435</v>
      </c>
      <c r="F468" s="231" t="s">
        <v>1436</v>
      </c>
      <c r="G468" s="231" cm="1">
        <f t="array" ref="G468">_xlfn.IFS(J468&lt;301,2,J468&gt;300,48)</f>
        <v>48</v>
      </c>
      <c r="H468" s="231" t="s">
        <v>2773</v>
      </c>
      <c r="I468" s="281">
        <v>0</v>
      </c>
      <c r="J468" s="249">
        <v>2100</v>
      </c>
      <c r="K468" s="231">
        <f t="shared" si="7"/>
        <v>10</v>
      </c>
      <c r="L468" s="231"/>
      <c r="M468" s="299" t="s">
        <v>15</v>
      </c>
      <c r="N468" s="231" t="s">
        <v>253</v>
      </c>
      <c r="O468" s="231">
        <v>2023</v>
      </c>
      <c r="P468" s="281"/>
      <c r="Q468" s="231"/>
      <c r="R468" s="231"/>
      <c r="S468" s="236" t="s">
        <v>453</v>
      </c>
      <c r="T468" s="236" t="s">
        <v>264</v>
      </c>
    </row>
    <row r="469" spans="1:20" ht="14">
      <c r="A469" s="231">
        <v>468</v>
      </c>
      <c r="B469" s="235" t="s">
        <v>52</v>
      </c>
      <c r="C469" s="231" t="s">
        <v>10</v>
      </c>
      <c r="D469" s="250" t="s">
        <v>1437</v>
      </c>
      <c r="E469" s="239" t="s">
        <v>1438</v>
      </c>
      <c r="F469" s="231" t="s">
        <v>1439</v>
      </c>
      <c r="G469" s="231" cm="1">
        <f t="array" ref="G469">_xlfn.IFS(J469&lt;301,2,J469&gt;300,48)</f>
        <v>48</v>
      </c>
      <c r="H469" s="231" t="s">
        <v>187</v>
      </c>
      <c r="I469" s="281">
        <v>0</v>
      </c>
      <c r="J469" s="249">
        <v>1837.5</v>
      </c>
      <c r="K469" s="231">
        <f t="shared" si="7"/>
        <v>10</v>
      </c>
      <c r="L469" s="231"/>
      <c r="M469" s="299" t="s">
        <v>15</v>
      </c>
      <c r="N469" s="231" t="s">
        <v>253</v>
      </c>
      <c r="O469" s="231">
        <v>2023</v>
      </c>
      <c r="P469" s="281"/>
      <c r="Q469" s="231"/>
      <c r="R469" s="231"/>
      <c r="S469" s="236" t="s">
        <v>453</v>
      </c>
      <c r="T469" s="236" t="s">
        <v>264</v>
      </c>
    </row>
    <row r="470" spans="1:20" ht="14">
      <c r="A470" s="231">
        <v>469</v>
      </c>
      <c r="B470" s="235" t="s">
        <v>52</v>
      </c>
      <c r="C470" s="231" t="s">
        <v>10</v>
      </c>
      <c r="D470" s="250" t="s">
        <v>4600</v>
      </c>
      <c r="E470" s="239" t="s">
        <v>1441</v>
      </c>
      <c r="F470" s="231" t="s">
        <v>1442</v>
      </c>
      <c r="G470" s="231" cm="1">
        <f t="array" ref="G470">_xlfn.IFS(J470&lt;301,2,J470&gt;300,48)</f>
        <v>48</v>
      </c>
      <c r="H470" s="231" t="s">
        <v>1440</v>
      </c>
      <c r="I470" s="281">
        <v>0</v>
      </c>
      <c r="J470" s="249">
        <v>315</v>
      </c>
      <c r="K470" s="231">
        <f t="shared" si="7"/>
        <v>10</v>
      </c>
      <c r="L470" s="231"/>
      <c r="M470" s="299" t="s">
        <v>15</v>
      </c>
      <c r="N470" s="231" t="s">
        <v>253</v>
      </c>
      <c r="O470" s="231">
        <v>2023</v>
      </c>
      <c r="P470" s="281"/>
      <c r="Q470" s="231"/>
      <c r="R470" s="231"/>
      <c r="S470" s="236" t="s">
        <v>453</v>
      </c>
      <c r="T470" s="236" t="s">
        <v>264</v>
      </c>
    </row>
    <row r="471" spans="1:20" ht="14">
      <c r="A471" s="231">
        <v>470</v>
      </c>
      <c r="B471" s="235" t="s">
        <v>52</v>
      </c>
      <c r="C471" s="231" t="s">
        <v>10</v>
      </c>
      <c r="D471" s="250" t="s">
        <v>4601</v>
      </c>
      <c r="E471" s="239" t="s">
        <v>1444</v>
      </c>
      <c r="F471" s="231" t="s">
        <v>1445</v>
      </c>
      <c r="G471" s="231" cm="1">
        <f t="array" ref="G471">_xlfn.IFS(J471&lt;301,2,J471&gt;300,48)</f>
        <v>48</v>
      </c>
      <c r="H471" s="231" t="s">
        <v>1443</v>
      </c>
      <c r="I471" s="281">
        <v>0</v>
      </c>
      <c r="J471" s="249">
        <v>405.3</v>
      </c>
      <c r="K471" s="231">
        <f t="shared" si="7"/>
        <v>10</v>
      </c>
      <c r="L471" s="231"/>
      <c r="M471" s="299" t="s">
        <v>15</v>
      </c>
      <c r="N471" s="231" t="s">
        <v>253</v>
      </c>
      <c r="O471" s="231">
        <v>2023</v>
      </c>
      <c r="P471" s="281"/>
      <c r="Q471" s="231"/>
      <c r="R471" s="231"/>
      <c r="S471" s="236" t="s">
        <v>453</v>
      </c>
      <c r="T471" s="236" t="s">
        <v>264</v>
      </c>
    </row>
    <row r="472" spans="1:20" ht="14">
      <c r="A472" s="231">
        <v>471</v>
      </c>
      <c r="B472" s="235" t="s">
        <v>52</v>
      </c>
      <c r="C472" s="231" t="s">
        <v>10</v>
      </c>
      <c r="D472" s="250" t="s">
        <v>4602</v>
      </c>
      <c r="E472" s="239" t="s">
        <v>1447</v>
      </c>
      <c r="F472" s="231" t="s">
        <v>1448</v>
      </c>
      <c r="G472" s="231" cm="1">
        <f t="array" ref="G472">_xlfn.IFS(J472&lt;301,2,J472&gt;300,48)</f>
        <v>48</v>
      </c>
      <c r="H472" s="231" t="s">
        <v>1446</v>
      </c>
      <c r="I472" s="281">
        <v>0</v>
      </c>
      <c r="J472" s="249">
        <v>315</v>
      </c>
      <c r="K472" s="231">
        <f t="shared" si="7"/>
        <v>10</v>
      </c>
      <c r="L472" s="231"/>
      <c r="M472" s="299" t="s">
        <v>15</v>
      </c>
      <c r="N472" s="231" t="s">
        <v>253</v>
      </c>
      <c r="O472" s="231">
        <v>2023</v>
      </c>
      <c r="P472" s="281"/>
      <c r="Q472" s="231"/>
      <c r="R472" s="231"/>
      <c r="S472" s="236" t="s">
        <v>453</v>
      </c>
      <c r="T472" s="236" t="s">
        <v>264</v>
      </c>
    </row>
    <row r="473" spans="1:20" ht="14">
      <c r="A473" s="231">
        <v>472</v>
      </c>
      <c r="B473" s="235" t="s">
        <v>52</v>
      </c>
      <c r="C473" s="231" t="s">
        <v>10</v>
      </c>
      <c r="D473" s="250" t="s">
        <v>4603</v>
      </c>
      <c r="E473" s="239" t="s">
        <v>1449</v>
      </c>
      <c r="F473" s="231" t="s">
        <v>1450</v>
      </c>
      <c r="G473" s="231" cm="1">
        <f t="array" ref="G473">_xlfn.IFS(J473&lt;301,2,J473&gt;300,48)</f>
        <v>48</v>
      </c>
      <c r="H473" s="231" t="s">
        <v>4599</v>
      </c>
      <c r="I473" s="281">
        <v>0</v>
      </c>
      <c r="J473" s="249">
        <v>525</v>
      </c>
      <c r="K473" s="231">
        <f t="shared" si="7"/>
        <v>10</v>
      </c>
      <c r="L473" s="231"/>
      <c r="M473" s="299" t="s">
        <v>15</v>
      </c>
      <c r="N473" s="231" t="s">
        <v>253</v>
      </c>
      <c r="O473" s="231">
        <v>2023</v>
      </c>
      <c r="P473" s="281"/>
      <c r="Q473" s="231"/>
      <c r="R473" s="231"/>
      <c r="S473" s="236" t="s">
        <v>453</v>
      </c>
      <c r="T473" s="236" t="s">
        <v>264</v>
      </c>
    </row>
    <row r="474" spans="1:20" ht="14">
      <c r="A474" s="231">
        <v>473</v>
      </c>
      <c r="B474" s="235" t="s">
        <v>52</v>
      </c>
      <c r="C474" s="231" t="s">
        <v>10</v>
      </c>
      <c r="D474" s="250" t="s">
        <v>4604</v>
      </c>
      <c r="E474" s="239" t="s">
        <v>1451</v>
      </c>
      <c r="F474" s="231" t="s">
        <v>1452</v>
      </c>
      <c r="G474" s="231" cm="1">
        <f t="array" ref="G474">_xlfn.IFS(J474&lt;301,2,J474&gt;300,48)</f>
        <v>48</v>
      </c>
      <c r="H474" s="231" t="s">
        <v>4605</v>
      </c>
      <c r="I474" s="281">
        <v>0</v>
      </c>
      <c r="J474" s="249">
        <v>315</v>
      </c>
      <c r="K474" s="231">
        <f t="shared" si="7"/>
        <v>10</v>
      </c>
      <c r="L474" s="231"/>
      <c r="M474" s="299" t="s">
        <v>15</v>
      </c>
      <c r="N474" s="231" t="s">
        <v>253</v>
      </c>
      <c r="O474" s="231">
        <v>2023</v>
      </c>
      <c r="P474" s="281"/>
      <c r="Q474" s="231"/>
      <c r="R474" s="231"/>
      <c r="S474" s="236" t="s">
        <v>453</v>
      </c>
      <c r="T474" s="236" t="s">
        <v>264</v>
      </c>
    </row>
    <row r="475" spans="1:20" ht="14">
      <c r="A475" s="231">
        <v>474</v>
      </c>
      <c r="B475" s="235" t="s">
        <v>52</v>
      </c>
      <c r="C475" s="231" t="s">
        <v>10</v>
      </c>
      <c r="D475" s="250" t="s">
        <v>1453</v>
      </c>
      <c r="E475" s="239" t="s">
        <v>1454</v>
      </c>
      <c r="F475" s="231" t="s">
        <v>1455</v>
      </c>
      <c r="G475" s="231" cm="1">
        <f t="array" ref="G475">_xlfn.IFS(J475&lt;301,2,J475&gt;300,48)</f>
        <v>48</v>
      </c>
      <c r="H475" s="231" t="s">
        <v>2767</v>
      </c>
      <c r="I475" s="281">
        <v>0</v>
      </c>
      <c r="J475" s="249">
        <v>530.25</v>
      </c>
      <c r="K475" s="231">
        <f t="shared" si="7"/>
        <v>10</v>
      </c>
      <c r="L475" s="231"/>
      <c r="M475" s="299" t="s">
        <v>15</v>
      </c>
      <c r="N475" s="231" t="s">
        <v>253</v>
      </c>
      <c r="O475" s="231">
        <v>2023</v>
      </c>
      <c r="P475" s="281"/>
      <c r="Q475" s="231"/>
      <c r="R475" s="231"/>
      <c r="S475" s="236" t="s">
        <v>453</v>
      </c>
      <c r="T475" s="236" t="s">
        <v>264</v>
      </c>
    </row>
    <row r="476" spans="1:20" ht="14">
      <c r="A476" s="231">
        <v>475</v>
      </c>
      <c r="B476" s="235" t="s">
        <v>52</v>
      </c>
      <c r="C476" s="231" t="s">
        <v>10</v>
      </c>
      <c r="D476" s="250" t="s">
        <v>1456</v>
      </c>
      <c r="E476" s="239" t="s">
        <v>1457</v>
      </c>
      <c r="F476" s="231" t="s">
        <v>1458</v>
      </c>
      <c r="G476" s="231" cm="1">
        <f t="array" ref="G476">_xlfn.IFS(J476&lt;301,2,J476&gt;300,48)</f>
        <v>48</v>
      </c>
      <c r="H476" s="231" t="s">
        <v>2980</v>
      </c>
      <c r="I476" s="281">
        <v>0</v>
      </c>
      <c r="J476" s="249">
        <v>315</v>
      </c>
      <c r="K476" s="231">
        <f t="shared" si="7"/>
        <v>10</v>
      </c>
      <c r="L476" s="231"/>
      <c r="M476" s="299" t="s">
        <v>15</v>
      </c>
      <c r="N476" s="231" t="s">
        <v>253</v>
      </c>
      <c r="O476" s="231">
        <v>2023</v>
      </c>
      <c r="P476" s="281"/>
      <c r="Q476" s="231"/>
      <c r="R476" s="231"/>
      <c r="S476" s="236" t="s">
        <v>453</v>
      </c>
      <c r="T476" s="236" t="s">
        <v>264</v>
      </c>
    </row>
    <row r="477" spans="1:20" ht="14">
      <c r="A477" s="231">
        <v>476</v>
      </c>
      <c r="B477" s="235" t="s">
        <v>52</v>
      </c>
      <c r="C477" s="231" t="s">
        <v>10</v>
      </c>
      <c r="D477" s="250" t="s">
        <v>1459</v>
      </c>
      <c r="E477" s="239" t="s">
        <v>1460</v>
      </c>
      <c r="F477" s="231" t="s">
        <v>1461</v>
      </c>
      <c r="G477" s="231" cm="1">
        <f t="array" ref="G477">_xlfn.IFS(J477&lt;301,2,J477&gt;300,48)</f>
        <v>48</v>
      </c>
      <c r="H477" s="231" t="s">
        <v>2767</v>
      </c>
      <c r="I477" s="281">
        <v>0</v>
      </c>
      <c r="J477" s="249">
        <v>799.05</v>
      </c>
      <c r="K477" s="231">
        <f t="shared" si="7"/>
        <v>10</v>
      </c>
      <c r="L477" s="231"/>
      <c r="M477" s="299" t="s">
        <v>15</v>
      </c>
      <c r="N477" s="231" t="s">
        <v>253</v>
      </c>
      <c r="O477" s="231">
        <v>2023</v>
      </c>
      <c r="P477" s="281"/>
      <c r="Q477" s="231"/>
      <c r="R477" s="231"/>
      <c r="S477" s="236" t="s">
        <v>453</v>
      </c>
      <c r="T477" s="236" t="s">
        <v>264</v>
      </c>
    </row>
    <row r="478" spans="1:20" ht="14">
      <c r="A478" s="231">
        <v>477</v>
      </c>
      <c r="B478" s="235" t="s">
        <v>52</v>
      </c>
      <c r="C478" s="231" t="s">
        <v>10</v>
      </c>
      <c r="D478" s="250" t="s">
        <v>1462</v>
      </c>
      <c r="E478" s="239" t="s">
        <v>1463</v>
      </c>
      <c r="F478" s="231" t="s">
        <v>1464</v>
      </c>
      <c r="G478" s="231" cm="1">
        <f t="array" ref="G478">_xlfn.IFS(J478&lt;301,2,J478&gt;300,48)</f>
        <v>48</v>
      </c>
      <c r="H478" s="231" t="s">
        <v>2767</v>
      </c>
      <c r="I478" s="281">
        <v>0</v>
      </c>
      <c r="J478" s="249">
        <v>525</v>
      </c>
      <c r="K478" s="231">
        <f t="shared" si="7"/>
        <v>10</v>
      </c>
      <c r="L478" s="231"/>
      <c r="M478" s="299" t="s">
        <v>15</v>
      </c>
      <c r="N478" s="231" t="s">
        <v>253</v>
      </c>
      <c r="O478" s="231">
        <v>2023</v>
      </c>
      <c r="P478" s="281"/>
      <c r="Q478" s="231"/>
      <c r="R478" s="231"/>
      <c r="S478" s="236" t="s">
        <v>453</v>
      </c>
      <c r="T478" s="236" t="s">
        <v>264</v>
      </c>
    </row>
    <row r="479" spans="1:20" ht="14">
      <c r="A479" s="231">
        <v>478</v>
      </c>
      <c r="B479" s="235" t="s">
        <v>52</v>
      </c>
      <c r="C479" s="231" t="s">
        <v>10</v>
      </c>
      <c r="D479" s="250" t="s">
        <v>1465</v>
      </c>
      <c r="E479" s="239" t="s">
        <v>1466</v>
      </c>
      <c r="F479" s="231" t="s">
        <v>1467</v>
      </c>
      <c r="G479" s="231" cm="1">
        <f t="array" ref="G479">_xlfn.IFS(J479&lt;301,2,J479&gt;300,48)</f>
        <v>48</v>
      </c>
      <c r="H479" s="231" t="s">
        <v>2767</v>
      </c>
      <c r="I479" s="281">
        <v>0</v>
      </c>
      <c r="J479" s="249">
        <v>613.20000000000005</v>
      </c>
      <c r="K479" s="231">
        <f t="shared" si="7"/>
        <v>10</v>
      </c>
      <c r="L479" s="231"/>
      <c r="M479" s="299" t="s">
        <v>15</v>
      </c>
      <c r="N479" s="231" t="s">
        <v>253</v>
      </c>
      <c r="O479" s="231">
        <v>2023</v>
      </c>
      <c r="P479" s="281"/>
      <c r="Q479" s="231"/>
      <c r="R479" s="231"/>
      <c r="S479" s="236" t="s">
        <v>453</v>
      </c>
      <c r="T479" s="236" t="s">
        <v>264</v>
      </c>
    </row>
    <row r="480" spans="1:20" ht="14">
      <c r="A480" s="231">
        <v>479</v>
      </c>
      <c r="B480" s="235" t="s">
        <v>52</v>
      </c>
      <c r="C480" s="231" t="s">
        <v>10</v>
      </c>
      <c r="D480" s="250" t="s">
        <v>1468</v>
      </c>
      <c r="E480" s="239" t="s">
        <v>1469</v>
      </c>
      <c r="F480" s="231" t="s">
        <v>1470</v>
      </c>
      <c r="G480" s="231" cm="1">
        <f t="array" ref="G480">_xlfn.IFS(J480&lt;301,2,J480&gt;300,48)</f>
        <v>48</v>
      </c>
      <c r="H480" s="231" t="s">
        <v>2767</v>
      </c>
      <c r="I480" s="281">
        <v>0</v>
      </c>
      <c r="J480" s="249">
        <v>645.75</v>
      </c>
      <c r="K480" s="231">
        <f t="shared" si="7"/>
        <v>10</v>
      </c>
      <c r="L480" s="231"/>
      <c r="M480" s="299" t="s">
        <v>15</v>
      </c>
      <c r="N480" s="231" t="s">
        <v>253</v>
      </c>
      <c r="O480" s="231">
        <v>2023</v>
      </c>
      <c r="P480" s="281"/>
      <c r="Q480" s="231"/>
      <c r="R480" s="231"/>
      <c r="S480" s="236" t="s">
        <v>453</v>
      </c>
      <c r="T480" s="236" t="s">
        <v>264</v>
      </c>
    </row>
    <row r="481" spans="1:20" ht="14">
      <c r="A481" s="231">
        <v>480</v>
      </c>
      <c r="B481" s="235" t="s">
        <v>52</v>
      </c>
      <c r="C481" s="231" t="s">
        <v>10</v>
      </c>
      <c r="D481" s="250" t="s">
        <v>1471</v>
      </c>
      <c r="E481" s="239" t="s">
        <v>1472</v>
      </c>
      <c r="F481" s="231" t="s">
        <v>1473</v>
      </c>
      <c r="G481" s="231" cm="1">
        <f t="array" ref="G481">_xlfn.IFS(J481&lt;301,2,J481&gt;300,48)</f>
        <v>48</v>
      </c>
      <c r="H481" s="231" t="s">
        <v>4606</v>
      </c>
      <c r="I481" s="281">
        <v>0</v>
      </c>
      <c r="J481" s="249">
        <v>315</v>
      </c>
      <c r="K481" s="231">
        <f t="shared" si="7"/>
        <v>10</v>
      </c>
      <c r="L481" s="231"/>
      <c r="M481" s="299" t="s">
        <v>15</v>
      </c>
      <c r="N481" s="231" t="s">
        <v>253</v>
      </c>
      <c r="O481" s="231">
        <v>2023</v>
      </c>
      <c r="P481" s="281"/>
      <c r="Q481" s="231"/>
      <c r="R481" s="231"/>
      <c r="S481" s="236" t="s">
        <v>453</v>
      </c>
      <c r="T481" s="236" t="s">
        <v>264</v>
      </c>
    </row>
    <row r="482" spans="1:20" ht="14">
      <c r="A482" s="231">
        <v>481</v>
      </c>
      <c r="B482" s="235" t="s">
        <v>52</v>
      </c>
      <c r="C482" s="231" t="s">
        <v>10</v>
      </c>
      <c r="D482" s="250" t="s">
        <v>4607</v>
      </c>
      <c r="E482" s="239" t="s">
        <v>1474</v>
      </c>
      <c r="F482" s="231" t="s">
        <v>1475</v>
      </c>
      <c r="G482" s="231" cm="1">
        <f t="array" ref="G482">_xlfn.IFS(J482&lt;301,2,J482&gt;300,48)</f>
        <v>48</v>
      </c>
      <c r="H482" s="231" t="s">
        <v>189</v>
      </c>
      <c r="I482" s="281">
        <v>0</v>
      </c>
      <c r="J482" s="249">
        <v>597.45000000000005</v>
      </c>
      <c r="K482" s="231">
        <f t="shared" si="7"/>
        <v>10</v>
      </c>
      <c r="L482" s="231"/>
      <c r="M482" s="299" t="s">
        <v>15</v>
      </c>
      <c r="N482" s="231" t="s">
        <v>253</v>
      </c>
      <c r="O482" s="231">
        <v>2023</v>
      </c>
      <c r="P482" s="281"/>
      <c r="Q482" s="231"/>
      <c r="R482" s="231"/>
      <c r="S482" s="236" t="s">
        <v>453</v>
      </c>
      <c r="T482" s="236" t="s">
        <v>264</v>
      </c>
    </row>
    <row r="483" spans="1:20" ht="14">
      <c r="A483" s="231">
        <v>482</v>
      </c>
      <c r="B483" s="235" t="s">
        <v>52</v>
      </c>
      <c r="C483" s="231" t="s">
        <v>10</v>
      </c>
      <c r="D483" s="250" t="s">
        <v>1476</v>
      </c>
      <c r="E483" s="239" t="s">
        <v>1477</v>
      </c>
      <c r="F483" s="231" t="s">
        <v>1478</v>
      </c>
      <c r="G483" s="231" cm="1">
        <f t="array" ref="G483">_xlfn.IFS(J483&lt;301,2,J483&gt;300,48)</f>
        <v>48</v>
      </c>
      <c r="H483" s="231" t="s">
        <v>1443</v>
      </c>
      <c r="I483" s="281">
        <v>0</v>
      </c>
      <c r="J483" s="249">
        <v>315</v>
      </c>
      <c r="K483" s="231" t="str">
        <f t="shared" si="7"/>
        <v>N/A</v>
      </c>
      <c r="L483" s="231">
        <v>20</v>
      </c>
      <c r="M483" s="231" t="s">
        <v>456</v>
      </c>
      <c r="N483" s="231" t="s">
        <v>253</v>
      </c>
      <c r="O483" s="231">
        <v>2021</v>
      </c>
      <c r="P483" s="281"/>
      <c r="Q483" s="231"/>
      <c r="R483" s="231"/>
      <c r="S483" s="236" t="s">
        <v>453</v>
      </c>
      <c r="T483" s="236" t="s">
        <v>264</v>
      </c>
    </row>
    <row r="484" spans="1:20" ht="14">
      <c r="A484" s="231">
        <v>483</v>
      </c>
      <c r="B484" s="235" t="s">
        <v>52</v>
      </c>
      <c r="C484" s="231" t="s">
        <v>10</v>
      </c>
      <c r="D484" s="250" t="s">
        <v>1479</v>
      </c>
      <c r="E484" s="239" t="s">
        <v>1480</v>
      </c>
      <c r="F484" s="231" t="s">
        <v>1481</v>
      </c>
      <c r="G484" s="231" cm="1">
        <f t="array" ref="G484">_xlfn.IFS(J484&lt;301,2,J484&gt;300,48)</f>
        <v>48</v>
      </c>
      <c r="H484" s="231" t="s">
        <v>2773</v>
      </c>
      <c r="I484" s="281">
        <v>0</v>
      </c>
      <c r="J484" s="249">
        <v>5524.05</v>
      </c>
      <c r="K484" s="231">
        <f t="shared" si="7"/>
        <v>20</v>
      </c>
      <c r="L484" s="231"/>
      <c r="M484" s="231" t="s">
        <v>16</v>
      </c>
      <c r="N484" s="231" t="s">
        <v>253</v>
      </c>
      <c r="O484" s="231">
        <v>2023</v>
      </c>
      <c r="P484" s="281"/>
      <c r="Q484" s="231"/>
      <c r="R484" s="231"/>
      <c r="S484" s="236" t="s">
        <v>453</v>
      </c>
      <c r="T484" s="236" t="s">
        <v>264</v>
      </c>
    </row>
    <row r="485" spans="1:20" ht="14">
      <c r="A485" s="231">
        <v>484</v>
      </c>
      <c r="B485" s="235" t="s">
        <v>52</v>
      </c>
      <c r="C485" s="231" t="s">
        <v>10</v>
      </c>
      <c r="D485" s="250" t="s">
        <v>1482</v>
      </c>
      <c r="E485" s="239" t="s">
        <v>1483</v>
      </c>
      <c r="F485" s="231" t="s">
        <v>1484</v>
      </c>
      <c r="G485" s="231" cm="1">
        <f t="array" ref="G485">_xlfn.IFS(J485&lt;301,2,J485&gt;300,48)</f>
        <v>48</v>
      </c>
      <c r="H485" s="231" t="s">
        <v>2765</v>
      </c>
      <c r="I485" s="281">
        <v>0</v>
      </c>
      <c r="J485" s="249">
        <v>315</v>
      </c>
      <c r="K485" s="231">
        <f t="shared" si="7"/>
        <v>10</v>
      </c>
      <c r="L485" s="231"/>
      <c r="M485" s="299" t="s">
        <v>15</v>
      </c>
      <c r="N485" s="231" t="s">
        <v>253</v>
      </c>
      <c r="O485" s="231">
        <v>2022</v>
      </c>
      <c r="P485" s="281"/>
      <c r="Q485" s="231"/>
      <c r="R485" s="231"/>
      <c r="S485" s="236" t="s">
        <v>453</v>
      </c>
      <c r="T485" s="236" t="s">
        <v>264</v>
      </c>
    </row>
    <row r="486" spans="1:20" ht="14">
      <c r="A486" s="231">
        <v>485</v>
      </c>
      <c r="B486" s="235" t="s">
        <v>52</v>
      </c>
      <c r="C486" s="231" t="s">
        <v>10</v>
      </c>
      <c r="D486" s="250" t="s">
        <v>1485</v>
      </c>
      <c r="E486" s="239" t="s">
        <v>1486</v>
      </c>
      <c r="F486" s="231" t="s">
        <v>1487</v>
      </c>
      <c r="G486" s="231" cm="1">
        <f t="array" ref="G486">_xlfn.IFS(J486&lt;301,2,J486&gt;300,48)</f>
        <v>48</v>
      </c>
      <c r="H486" s="231" t="s">
        <v>2773</v>
      </c>
      <c r="I486" s="281">
        <v>0</v>
      </c>
      <c r="J486" s="249">
        <v>792.75</v>
      </c>
      <c r="K486" s="231">
        <f t="shared" si="7"/>
        <v>10</v>
      </c>
      <c r="L486" s="231"/>
      <c r="M486" s="299" t="s">
        <v>15</v>
      </c>
      <c r="N486" s="231" t="s">
        <v>253</v>
      </c>
      <c r="O486" s="231">
        <v>2023</v>
      </c>
      <c r="P486" s="281"/>
      <c r="Q486" s="231"/>
      <c r="R486" s="231"/>
      <c r="S486" s="236" t="s">
        <v>453</v>
      </c>
      <c r="T486" s="236" t="s">
        <v>264</v>
      </c>
    </row>
    <row r="487" spans="1:20" ht="14">
      <c r="A487" s="231">
        <v>486</v>
      </c>
      <c r="B487" s="235" t="s">
        <v>52</v>
      </c>
      <c r="C487" s="231" t="s">
        <v>10</v>
      </c>
      <c r="D487" s="250" t="s">
        <v>1488</v>
      </c>
      <c r="E487" s="239" t="s">
        <v>1486</v>
      </c>
      <c r="F487" s="231" t="s">
        <v>1489</v>
      </c>
      <c r="G487" s="231" cm="1">
        <f t="array" ref="G487">_xlfn.IFS(J487&lt;301,2,J487&gt;300,48)</f>
        <v>48</v>
      </c>
      <c r="H487" s="231" t="s">
        <v>2773</v>
      </c>
      <c r="I487" s="281">
        <v>0</v>
      </c>
      <c r="J487" s="249">
        <v>448.35</v>
      </c>
      <c r="K487" s="231">
        <f t="shared" si="7"/>
        <v>10</v>
      </c>
      <c r="L487" s="231"/>
      <c r="M487" s="299" t="s">
        <v>15</v>
      </c>
      <c r="N487" s="231" t="s">
        <v>253</v>
      </c>
      <c r="O487" s="231">
        <v>2023</v>
      </c>
      <c r="P487" s="281"/>
      <c r="Q487" s="231"/>
      <c r="R487" s="231"/>
      <c r="S487" s="236" t="s">
        <v>453</v>
      </c>
      <c r="T487" s="236" t="s">
        <v>264</v>
      </c>
    </row>
    <row r="488" spans="1:20" ht="14">
      <c r="A488" s="231">
        <v>487</v>
      </c>
      <c r="B488" s="235" t="s">
        <v>52</v>
      </c>
      <c r="C488" s="231" t="s">
        <v>10</v>
      </c>
      <c r="D488" s="250" t="s">
        <v>1490</v>
      </c>
      <c r="E488" s="239" t="s">
        <v>1491</v>
      </c>
      <c r="F488" s="231" t="s">
        <v>1492</v>
      </c>
      <c r="G488" s="231" cm="1">
        <f t="array" ref="G488">_xlfn.IFS(J488&lt;301,2,J488&gt;300,48)</f>
        <v>48</v>
      </c>
      <c r="H488" s="231" t="s">
        <v>3060</v>
      </c>
      <c r="I488" s="281">
        <v>0</v>
      </c>
      <c r="J488" s="249">
        <v>1429.05</v>
      </c>
      <c r="K488" s="231">
        <f t="shared" si="7"/>
        <v>10</v>
      </c>
      <c r="L488" s="231"/>
      <c r="M488" s="299" t="s">
        <v>15</v>
      </c>
      <c r="N488" s="231" t="s">
        <v>253</v>
      </c>
      <c r="O488" s="231">
        <v>2023</v>
      </c>
      <c r="P488" s="281"/>
      <c r="Q488" s="231"/>
      <c r="R488" s="231"/>
      <c r="S488" s="236" t="s">
        <v>453</v>
      </c>
      <c r="T488" s="236" t="s">
        <v>264</v>
      </c>
    </row>
    <row r="489" spans="1:20" ht="14">
      <c r="A489" s="231">
        <v>488</v>
      </c>
      <c r="B489" s="235" t="s">
        <v>52</v>
      </c>
      <c r="C489" s="231" t="s">
        <v>10</v>
      </c>
      <c r="D489" s="250" t="s">
        <v>1493</v>
      </c>
      <c r="E489" s="239" t="s">
        <v>1494</v>
      </c>
      <c r="F489" s="231" t="s">
        <v>1495</v>
      </c>
      <c r="G489" s="231" cm="1">
        <f t="array" ref="G489">_xlfn.IFS(J489&lt;301,2,J489&gt;300,48)</f>
        <v>48</v>
      </c>
      <c r="H489" s="231" t="s">
        <v>3060</v>
      </c>
      <c r="I489" s="281">
        <v>0</v>
      </c>
      <c r="J489" s="249">
        <v>586.95000000000005</v>
      </c>
      <c r="K489" s="231">
        <f t="shared" si="7"/>
        <v>10</v>
      </c>
      <c r="L489" s="231"/>
      <c r="M489" s="299" t="s">
        <v>15</v>
      </c>
      <c r="N489" s="231" t="s">
        <v>253</v>
      </c>
      <c r="O489" s="231">
        <v>2023</v>
      </c>
      <c r="P489" s="281"/>
      <c r="Q489" s="231"/>
      <c r="R489" s="231"/>
      <c r="S489" s="236" t="s">
        <v>453</v>
      </c>
      <c r="T489" s="236" t="s">
        <v>264</v>
      </c>
    </row>
    <row r="490" spans="1:20" ht="14">
      <c r="A490" s="231">
        <v>489</v>
      </c>
      <c r="B490" s="235" t="s">
        <v>52</v>
      </c>
      <c r="C490" s="231" t="s">
        <v>10</v>
      </c>
      <c r="D490" s="250" t="s">
        <v>1496</v>
      </c>
      <c r="E490" s="239" t="s">
        <v>1497</v>
      </c>
      <c r="F490" s="231" t="s">
        <v>1498</v>
      </c>
      <c r="G490" s="231" cm="1">
        <f t="array" ref="G490">_xlfn.IFS(J490&lt;301,2,J490&gt;300,48)</f>
        <v>48</v>
      </c>
      <c r="H490" s="231" t="s">
        <v>3063</v>
      </c>
      <c r="I490" s="281">
        <v>0</v>
      </c>
      <c r="J490" s="249">
        <v>3675</v>
      </c>
      <c r="K490" s="231">
        <f t="shared" si="7"/>
        <v>20</v>
      </c>
      <c r="L490" s="231"/>
      <c r="M490" s="231" t="s">
        <v>16</v>
      </c>
      <c r="N490" s="231" t="s">
        <v>253</v>
      </c>
      <c r="O490" s="231">
        <v>2023</v>
      </c>
      <c r="P490" s="281"/>
      <c r="Q490" s="231"/>
      <c r="R490" s="231"/>
      <c r="S490" s="236" t="s">
        <v>453</v>
      </c>
      <c r="T490" s="236" t="s">
        <v>264</v>
      </c>
    </row>
    <row r="491" spans="1:20" ht="14">
      <c r="A491" s="231">
        <v>490</v>
      </c>
      <c r="B491" s="235" t="s">
        <v>55</v>
      </c>
      <c r="C491" s="231" t="s">
        <v>10</v>
      </c>
      <c r="D491" s="250" t="s">
        <v>4608</v>
      </c>
      <c r="E491" s="239" t="s">
        <v>1499</v>
      </c>
      <c r="F491" s="231" t="s">
        <v>1500</v>
      </c>
      <c r="G491" s="231" cm="1">
        <f t="array" ref="G491">_xlfn.IFS(J491&lt;301,2,J491&gt;300,48)</f>
        <v>48</v>
      </c>
      <c r="H491" s="231" t="s">
        <v>231</v>
      </c>
      <c r="I491" s="281">
        <v>0</v>
      </c>
      <c r="J491" s="249">
        <v>315</v>
      </c>
      <c r="K491" s="231">
        <f t="shared" si="7"/>
        <v>10</v>
      </c>
      <c r="L491" s="231"/>
      <c r="M491" s="299" t="s">
        <v>15</v>
      </c>
      <c r="N491" s="231" t="s">
        <v>253</v>
      </c>
      <c r="O491" s="231">
        <v>2023</v>
      </c>
      <c r="P491" s="281"/>
      <c r="Q491" s="231"/>
      <c r="R491" s="231"/>
      <c r="S491" s="236" t="s">
        <v>453</v>
      </c>
      <c r="T491" s="236" t="s">
        <v>264</v>
      </c>
    </row>
    <row r="492" spans="1:20" ht="14">
      <c r="A492" s="231">
        <v>491</v>
      </c>
      <c r="B492" s="235" t="s">
        <v>55</v>
      </c>
      <c r="C492" s="231" t="s">
        <v>10</v>
      </c>
      <c r="D492" s="250" t="s">
        <v>1501</v>
      </c>
      <c r="E492" s="239" t="s">
        <v>1502</v>
      </c>
      <c r="F492" s="231" t="s">
        <v>1503</v>
      </c>
      <c r="G492" s="231" cm="1">
        <f t="array" ref="G492">_xlfn.IFS(J492&lt;301,2,J492&gt;300,48)</f>
        <v>48</v>
      </c>
      <c r="H492" s="231" t="s">
        <v>231</v>
      </c>
      <c r="I492" s="281">
        <v>0</v>
      </c>
      <c r="J492" s="249">
        <v>1470</v>
      </c>
      <c r="K492" s="231">
        <f t="shared" si="7"/>
        <v>10</v>
      </c>
      <c r="L492" s="231"/>
      <c r="M492" s="299" t="s">
        <v>15</v>
      </c>
      <c r="N492" s="231" t="s">
        <v>253</v>
      </c>
      <c r="O492" s="231">
        <v>2023</v>
      </c>
      <c r="P492" s="281"/>
      <c r="Q492" s="231"/>
      <c r="R492" s="231"/>
      <c r="S492" s="236" t="s">
        <v>453</v>
      </c>
      <c r="T492" s="236" t="s">
        <v>264</v>
      </c>
    </row>
    <row r="493" spans="1:20" ht="14">
      <c r="A493" s="231">
        <v>492</v>
      </c>
      <c r="B493" s="235" t="s">
        <v>55</v>
      </c>
      <c r="C493" s="231" t="s">
        <v>10</v>
      </c>
      <c r="D493" s="250" t="s">
        <v>1504</v>
      </c>
      <c r="E493" s="239" t="s">
        <v>1505</v>
      </c>
      <c r="F493" s="231" t="s">
        <v>1506</v>
      </c>
      <c r="G493" s="231" cm="1">
        <f t="array" ref="G493">_xlfn.IFS(J493&lt;301,2,J493&gt;300,48)</f>
        <v>48</v>
      </c>
      <c r="H493" s="231" t="s">
        <v>231</v>
      </c>
      <c r="I493" s="281">
        <v>0</v>
      </c>
      <c r="J493" s="249">
        <v>787.5</v>
      </c>
      <c r="K493" s="231">
        <f t="shared" si="7"/>
        <v>10</v>
      </c>
      <c r="L493" s="231"/>
      <c r="M493" s="299" t="s">
        <v>15</v>
      </c>
      <c r="N493" s="231" t="s">
        <v>253</v>
      </c>
      <c r="O493" s="231">
        <v>2023</v>
      </c>
      <c r="P493" s="281"/>
      <c r="Q493" s="231"/>
      <c r="R493" s="231"/>
      <c r="S493" s="236" t="s">
        <v>453</v>
      </c>
      <c r="T493" s="236" t="s">
        <v>264</v>
      </c>
    </row>
    <row r="494" spans="1:20" ht="14">
      <c r="A494" s="231">
        <v>493</v>
      </c>
      <c r="B494" s="235" t="s">
        <v>55</v>
      </c>
      <c r="C494" s="231" t="s">
        <v>10</v>
      </c>
      <c r="D494" s="250" t="s">
        <v>1507</v>
      </c>
      <c r="E494" s="239" t="s">
        <v>1508</v>
      </c>
      <c r="F494" s="231" t="s">
        <v>1509</v>
      </c>
      <c r="G494" s="231" cm="1">
        <f t="array" ref="G494">_xlfn.IFS(J494&lt;301,2,J494&gt;300,48)</f>
        <v>48</v>
      </c>
      <c r="H494" s="231" t="s">
        <v>231</v>
      </c>
      <c r="I494" s="281">
        <v>0</v>
      </c>
      <c r="J494" s="249">
        <v>3885</v>
      </c>
      <c r="K494" s="231">
        <f t="shared" si="7"/>
        <v>20</v>
      </c>
      <c r="L494" s="231"/>
      <c r="M494" s="299" t="s">
        <v>15</v>
      </c>
      <c r="N494" s="231" t="s">
        <v>253</v>
      </c>
      <c r="O494" s="231">
        <v>2023</v>
      </c>
      <c r="P494" s="281"/>
      <c r="Q494" s="231"/>
      <c r="R494" s="231"/>
      <c r="S494" s="236" t="s">
        <v>453</v>
      </c>
      <c r="T494" s="236" t="s">
        <v>264</v>
      </c>
    </row>
    <row r="495" spans="1:20" ht="14">
      <c r="A495" s="231">
        <v>494</v>
      </c>
      <c r="B495" s="235" t="s">
        <v>52</v>
      </c>
      <c r="C495" s="231" t="s">
        <v>10</v>
      </c>
      <c r="D495" s="250" t="s">
        <v>1510</v>
      </c>
      <c r="E495" s="239" t="s">
        <v>1511</v>
      </c>
      <c r="F495" s="231" t="s">
        <v>1512</v>
      </c>
      <c r="G495" s="231" cm="1">
        <f t="array" ref="G495">_xlfn.IFS(J495&lt;301,2,J495&gt;300,48)</f>
        <v>48</v>
      </c>
      <c r="H495" s="231" t="s">
        <v>2773</v>
      </c>
      <c r="I495" s="281">
        <v>0</v>
      </c>
      <c r="J495" s="249">
        <v>525</v>
      </c>
      <c r="K495" s="231">
        <f t="shared" si="7"/>
        <v>20</v>
      </c>
      <c r="L495" s="231"/>
      <c r="M495" s="231" t="s">
        <v>16</v>
      </c>
      <c r="N495" s="231" t="s">
        <v>253</v>
      </c>
      <c r="O495" s="231">
        <v>2022</v>
      </c>
      <c r="P495" s="281"/>
      <c r="Q495" s="231"/>
      <c r="R495" s="231"/>
      <c r="S495" s="236" t="s">
        <v>453</v>
      </c>
      <c r="T495" s="236" t="s">
        <v>264</v>
      </c>
    </row>
    <row r="496" spans="1:20" ht="14">
      <c r="A496" s="231">
        <v>495</v>
      </c>
      <c r="B496" s="235" t="s">
        <v>52</v>
      </c>
      <c r="C496" s="231" t="s">
        <v>10</v>
      </c>
      <c r="D496" s="250" t="s">
        <v>4642</v>
      </c>
      <c r="E496" s="239" t="s">
        <v>1513</v>
      </c>
      <c r="F496" s="231" t="s">
        <v>1514</v>
      </c>
      <c r="G496" s="231" cm="1">
        <f t="array" ref="G496">_xlfn.IFS(J496&lt;301,2,J496&gt;300,48)</f>
        <v>48</v>
      </c>
      <c r="H496" s="231" t="s">
        <v>4261</v>
      </c>
      <c r="I496" s="281">
        <v>0</v>
      </c>
      <c r="J496" s="249">
        <v>1995</v>
      </c>
      <c r="K496" s="231">
        <f t="shared" si="7"/>
        <v>10</v>
      </c>
      <c r="L496" s="231"/>
      <c r="M496" s="299" t="s">
        <v>15</v>
      </c>
      <c r="N496" s="231" t="s">
        <v>253</v>
      </c>
      <c r="O496" s="231">
        <v>2022</v>
      </c>
      <c r="P496" s="281"/>
      <c r="Q496" s="231"/>
      <c r="R496" s="231"/>
      <c r="S496" s="236" t="s">
        <v>453</v>
      </c>
      <c r="T496" s="236" t="s">
        <v>264</v>
      </c>
    </row>
    <row r="497" spans="1:20" ht="14">
      <c r="A497" s="231">
        <v>496</v>
      </c>
      <c r="B497" s="235" t="s">
        <v>52</v>
      </c>
      <c r="C497" s="231" t="s">
        <v>10</v>
      </c>
      <c r="D497" s="250" t="s">
        <v>1515</v>
      </c>
      <c r="E497" s="239" t="s">
        <v>1516</v>
      </c>
      <c r="F497" s="231" t="s">
        <v>1517</v>
      </c>
      <c r="G497" s="231" cm="1">
        <f t="array" ref="G497">_xlfn.IFS(J497&lt;301,2,J497&gt;300,48)</f>
        <v>48</v>
      </c>
      <c r="H497" s="231" t="s">
        <v>3542</v>
      </c>
      <c r="I497" s="281">
        <v>0</v>
      </c>
      <c r="J497" s="249">
        <v>315</v>
      </c>
      <c r="K497" s="231">
        <f t="shared" si="7"/>
        <v>10</v>
      </c>
      <c r="L497" s="231"/>
      <c r="M497" s="299" t="s">
        <v>15</v>
      </c>
      <c r="N497" s="231" t="s">
        <v>253</v>
      </c>
      <c r="O497" s="231">
        <v>2023</v>
      </c>
      <c r="P497" s="281"/>
      <c r="Q497" s="231"/>
      <c r="R497" s="231"/>
      <c r="S497" s="236" t="s">
        <v>453</v>
      </c>
      <c r="T497" s="236" t="s">
        <v>264</v>
      </c>
    </row>
    <row r="498" spans="1:20" ht="14">
      <c r="A498" s="231">
        <v>497</v>
      </c>
      <c r="B498" s="235" t="s">
        <v>52</v>
      </c>
      <c r="C498" s="231" t="s">
        <v>10</v>
      </c>
      <c r="D498" s="250" t="s">
        <v>1518</v>
      </c>
      <c r="E498" s="239" t="s">
        <v>1519</v>
      </c>
      <c r="F498" s="231" t="s">
        <v>1520</v>
      </c>
      <c r="G498" s="231" cm="1">
        <f t="array" ref="G498">_xlfn.IFS(J498&lt;301,2,J498&gt;300,48)</f>
        <v>48</v>
      </c>
      <c r="H498" s="231" t="s">
        <v>4609</v>
      </c>
      <c r="I498" s="281">
        <v>0</v>
      </c>
      <c r="J498" s="249">
        <v>14928</v>
      </c>
      <c r="K498" s="231">
        <f t="shared" si="7"/>
        <v>20</v>
      </c>
      <c r="L498" s="231"/>
      <c r="M498" s="299" t="s">
        <v>15</v>
      </c>
      <c r="N498" s="231" t="s">
        <v>253</v>
      </c>
      <c r="O498" s="231">
        <v>2023</v>
      </c>
      <c r="P498" s="281"/>
      <c r="Q498" s="231"/>
      <c r="R498" s="231"/>
      <c r="S498" s="236" t="s">
        <v>453</v>
      </c>
      <c r="T498" s="236" t="s">
        <v>264</v>
      </c>
    </row>
    <row r="499" spans="1:20" ht="14">
      <c r="A499" s="231">
        <v>498</v>
      </c>
      <c r="B499" s="235" t="s">
        <v>52</v>
      </c>
      <c r="C499" s="231" t="s">
        <v>10</v>
      </c>
      <c r="D499" s="250" t="s">
        <v>1521</v>
      </c>
      <c r="E499" s="239" t="s">
        <v>1522</v>
      </c>
      <c r="F499" s="231" t="s">
        <v>1523</v>
      </c>
      <c r="G499" s="231" cm="1">
        <f t="array" ref="G499">_xlfn.IFS(J499&lt;301,2,J499&gt;300,48)</f>
        <v>48</v>
      </c>
      <c r="H499" s="231" t="s">
        <v>4590</v>
      </c>
      <c r="I499" s="281">
        <v>0</v>
      </c>
      <c r="J499" s="249">
        <v>641.54999999999995</v>
      </c>
      <c r="K499" s="231">
        <f t="shared" si="7"/>
        <v>10</v>
      </c>
      <c r="L499" s="231"/>
      <c r="M499" s="299" t="s">
        <v>15</v>
      </c>
      <c r="N499" s="231" t="s">
        <v>253</v>
      </c>
      <c r="O499" s="231">
        <v>2022</v>
      </c>
      <c r="P499" s="281"/>
      <c r="Q499" s="231"/>
      <c r="R499" s="231"/>
      <c r="S499" s="236" t="s">
        <v>453</v>
      </c>
      <c r="T499" s="236" t="s">
        <v>264</v>
      </c>
    </row>
    <row r="500" spans="1:20" ht="14">
      <c r="A500" s="231">
        <v>499</v>
      </c>
      <c r="B500" s="235" t="s">
        <v>52</v>
      </c>
      <c r="C500" s="231" t="s">
        <v>10</v>
      </c>
      <c r="D500" s="250" t="s">
        <v>1524</v>
      </c>
      <c r="E500" s="239" t="s">
        <v>1525</v>
      </c>
      <c r="F500" s="231" t="s">
        <v>1526</v>
      </c>
      <c r="G500" s="231" cm="1">
        <f t="array" ref="G500">_xlfn.IFS(J500&lt;301,2,J500&gt;300,48)</f>
        <v>48</v>
      </c>
      <c r="H500" s="231" t="s">
        <v>2773</v>
      </c>
      <c r="I500" s="281">
        <v>0</v>
      </c>
      <c r="J500" s="249">
        <v>828.45</v>
      </c>
      <c r="K500" s="231">
        <f t="shared" si="7"/>
        <v>10</v>
      </c>
      <c r="L500" s="231"/>
      <c r="M500" s="299" t="s">
        <v>15</v>
      </c>
      <c r="N500" s="231" t="s">
        <v>253</v>
      </c>
      <c r="O500" s="231">
        <v>2022</v>
      </c>
      <c r="P500" s="281"/>
      <c r="Q500" s="231"/>
      <c r="R500" s="231"/>
      <c r="S500" s="236" t="s">
        <v>453</v>
      </c>
      <c r="T500" s="236" t="s">
        <v>264</v>
      </c>
    </row>
    <row r="501" spans="1:20" ht="14">
      <c r="A501" s="231">
        <v>500</v>
      </c>
      <c r="B501" s="235" t="s">
        <v>52</v>
      </c>
      <c r="C501" s="231" t="s">
        <v>10</v>
      </c>
      <c r="D501" s="250" t="s">
        <v>1527</v>
      </c>
      <c r="E501" s="239" t="s">
        <v>1525</v>
      </c>
      <c r="F501" s="231" t="s">
        <v>1528</v>
      </c>
      <c r="G501" s="231" cm="1">
        <f t="array" ref="G501">_xlfn.IFS(J501&lt;301,2,J501&gt;300,48)</f>
        <v>48</v>
      </c>
      <c r="H501" s="231" t="s">
        <v>2773</v>
      </c>
      <c r="I501" s="281">
        <v>0</v>
      </c>
      <c r="J501" s="249">
        <v>315</v>
      </c>
      <c r="K501" s="231">
        <f t="shared" si="7"/>
        <v>10</v>
      </c>
      <c r="L501" s="231"/>
      <c r="M501" s="299" t="s">
        <v>15</v>
      </c>
      <c r="N501" s="231" t="s">
        <v>253</v>
      </c>
      <c r="O501" s="231">
        <v>2022</v>
      </c>
      <c r="P501" s="281"/>
      <c r="Q501" s="231"/>
      <c r="R501" s="231"/>
      <c r="S501" s="236" t="s">
        <v>453</v>
      </c>
      <c r="T501" s="236" t="s">
        <v>264</v>
      </c>
    </row>
    <row r="502" spans="1:20" ht="14">
      <c r="A502" s="231">
        <v>501</v>
      </c>
      <c r="B502" s="235" t="s">
        <v>52</v>
      </c>
      <c r="C502" s="231" t="s">
        <v>10</v>
      </c>
      <c r="D502" s="250" t="s">
        <v>1529</v>
      </c>
      <c r="E502" s="239" t="s">
        <v>1530</v>
      </c>
      <c r="F502" s="231" t="s">
        <v>1531</v>
      </c>
      <c r="G502" s="231" cm="1">
        <f t="array" ref="G502">_xlfn.IFS(J502&lt;301,2,J502&gt;300,48)</f>
        <v>48</v>
      </c>
      <c r="H502" s="231" t="s">
        <v>4643</v>
      </c>
      <c r="I502" s="281">
        <v>0</v>
      </c>
      <c r="J502" s="249">
        <v>6825</v>
      </c>
      <c r="K502" s="231">
        <f t="shared" si="7"/>
        <v>20</v>
      </c>
      <c r="L502" s="231"/>
      <c r="M502" s="299" t="s">
        <v>15</v>
      </c>
      <c r="N502" s="231" t="s">
        <v>253</v>
      </c>
      <c r="O502" s="231">
        <v>2022</v>
      </c>
      <c r="P502" s="281"/>
      <c r="Q502" s="231"/>
      <c r="R502" s="231"/>
      <c r="S502" s="236" t="s">
        <v>453</v>
      </c>
      <c r="T502" s="236" t="s">
        <v>264</v>
      </c>
    </row>
    <row r="503" spans="1:20" ht="14">
      <c r="A503" s="231">
        <v>502</v>
      </c>
      <c r="B503" s="235" t="s">
        <v>52</v>
      </c>
      <c r="C503" s="231" t="s">
        <v>10</v>
      </c>
      <c r="D503" s="250" t="s">
        <v>1532</v>
      </c>
      <c r="E503" s="239" t="s">
        <v>1533</v>
      </c>
      <c r="F503" s="231" t="s">
        <v>1534</v>
      </c>
      <c r="G503" s="231" cm="1">
        <f t="array" ref="G503">_xlfn.IFS(J503&lt;301,2,J503&gt;300,48)</f>
        <v>48</v>
      </c>
      <c r="H503" s="231" t="s">
        <v>4576</v>
      </c>
      <c r="I503" s="281">
        <v>0</v>
      </c>
      <c r="J503" s="249">
        <v>2986.2</v>
      </c>
      <c r="K503" s="231">
        <f t="shared" si="7"/>
        <v>20</v>
      </c>
      <c r="L503" s="231"/>
      <c r="M503" s="231" t="s">
        <v>16</v>
      </c>
      <c r="N503" s="231" t="s">
        <v>253</v>
      </c>
      <c r="O503" s="231">
        <v>2021</v>
      </c>
      <c r="P503" s="281"/>
      <c r="Q503" s="231"/>
      <c r="R503" s="231"/>
      <c r="S503" s="236" t="s">
        <v>453</v>
      </c>
      <c r="T503" s="236" t="s">
        <v>264</v>
      </c>
    </row>
    <row r="504" spans="1:20" ht="14">
      <c r="A504" s="231">
        <v>503</v>
      </c>
      <c r="B504" s="235" t="s">
        <v>52</v>
      </c>
      <c r="C504" s="231" t="s">
        <v>10</v>
      </c>
      <c r="D504" s="250" t="s">
        <v>4663</v>
      </c>
      <c r="E504" s="239" t="s">
        <v>1535</v>
      </c>
      <c r="F504" s="231" t="s">
        <v>1536</v>
      </c>
      <c r="G504" s="231" cm="1">
        <f t="array" ref="G504">_xlfn.IFS(J504&lt;301,2,J504&gt;300,48)</f>
        <v>48</v>
      </c>
      <c r="H504" s="231" t="s">
        <v>4555</v>
      </c>
      <c r="I504" s="281">
        <v>0</v>
      </c>
      <c r="J504" s="249">
        <v>1149.75</v>
      </c>
      <c r="K504" s="231">
        <f t="shared" si="7"/>
        <v>10</v>
      </c>
      <c r="L504" s="231"/>
      <c r="M504" s="299" t="s">
        <v>15</v>
      </c>
      <c r="N504" s="231" t="s">
        <v>253</v>
      </c>
      <c r="O504" s="231">
        <v>2021</v>
      </c>
      <c r="P504" s="281"/>
      <c r="Q504" s="231"/>
      <c r="R504" s="231"/>
      <c r="S504" s="236" t="s">
        <v>453</v>
      </c>
      <c r="T504" s="236" t="s">
        <v>264</v>
      </c>
    </row>
    <row r="505" spans="1:20" ht="14">
      <c r="A505" s="231">
        <v>504</v>
      </c>
      <c r="B505" s="235" t="s">
        <v>52</v>
      </c>
      <c r="C505" s="231" t="s">
        <v>10</v>
      </c>
      <c r="D505" s="250" t="s">
        <v>1537</v>
      </c>
      <c r="E505" s="239" t="s">
        <v>1538</v>
      </c>
      <c r="F505" s="231" t="s">
        <v>1539</v>
      </c>
      <c r="G505" s="231" cm="1">
        <f t="array" ref="G505">_xlfn.IFS(J505&lt;301,2,J505&gt;300,48)</f>
        <v>48</v>
      </c>
      <c r="H505" s="231" t="s">
        <v>2763</v>
      </c>
      <c r="I505" s="281">
        <v>0</v>
      </c>
      <c r="J505" s="249">
        <v>841.05</v>
      </c>
      <c r="K505" s="231">
        <f t="shared" si="7"/>
        <v>10</v>
      </c>
      <c r="L505" s="231"/>
      <c r="M505" s="299" t="s">
        <v>15</v>
      </c>
      <c r="N505" s="231" t="s">
        <v>253</v>
      </c>
      <c r="O505" s="231">
        <v>2022</v>
      </c>
      <c r="P505" s="281"/>
      <c r="Q505" s="231"/>
      <c r="R505" s="231"/>
      <c r="S505" s="236" t="s">
        <v>453</v>
      </c>
      <c r="T505" s="236" t="s">
        <v>264</v>
      </c>
    </row>
    <row r="506" spans="1:20" ht="14">
      <c r="A506" s="231">
        <v>505</v>
      </c>
      <c r="B506" s="235" t="s">
        <v>52</v>
      </c>
      <c r="C506" s="231" t="s">
        <v>10</v>
      </c>
      <c r="D506" s="250" t="s">
        <v>1540</v>
      </c>
      <c r="E506" s="239" t="s">
        <v>1541</v>
      </c>
      <c r="F506" s="231" t="s">
        <v>1542</v>
      </c>
      <c r="G506" s="231" cm="1">
        <f t="array" ref="G506">_xlfn.IFS(J506&lt;301,2,J506&gt;300,48)</f>
        <v>48</v>
      </c>
      <c r="H506" s="231">
        <v>37</v>
      </c>
      <c r="I506" s="281">
        <v>0</v>
      </c>
      <c r="J506" s="249">
        <v>718.2</v>
      </c>
      <c r="K506" s="231">
        <f t="shared" si="7"/>
        <v>20</v>
      </c>
      <c r="L506" s="231"/>
      <c r="M506" s="231" t="s">
        <v>16</v>
      </c>
      <c r="N506" s="231" t="s">
        <v>253</v>
      </c>
      <c r="O506" s="231">
        <v>2022</v>
      </c>
      <c r="P506" s="281"/>
      <c r="Q506" s="231"/>
      <c r="R506" s="231"/>
      <c r="S506" s="236" t="s">
        <v>453</v>
      </c>
      <c r="T506" s="236" t="s">
        <v>264</v>
      </c>
    </row>
    <row r="507" spans="1:20" ht="14">
      <c r="A507" s="231">
        <v>506</v>
      </c>
      <c r="B507" s="235" t="s">
        <v>52</v>
      </c>
      <c r="C507" s="231" t="s">
        <v>10</v>
      </c>
      <c r="D507" s="250" t="s">
        <v>1543</v>
      </c>
      <c r="E507" s="239" t="s">
        <v>1544</v>
      </c>
      <c r="F507" s="231" t="s">
        <v>1545</v>
      </c>
      <c r="G507" s="231" cm="1">
        <f t="array" ref="G507">_xlfn.IFS(J507&lt;301,2,J507&gt;300,48)</f>
        <v>48</v>
      </c>
      <c r="H507" s="231" t="s">
        <v>2763</v>
      </c>
      <c r="I507" s="281">
        <v>0</v>
      </c>
      <c r="J507" s="249">
        <v>2859.15</v>
      </c>
      <c r="K507" s="231">
        <f t="shared" si="7"/>
        <v>10</v>
      </c>
      <c r="L507" s="231"/>
      <c r="M507" s="299" t="s">
        <v>15</v>
      </c>
      <c r="N507" s="231" t="s">
        <v>253</v>
      </c>
      <c r="O507" s="231">
        <v>2022</v>
      </c>
      <c r="P507" s="281"/>
      <c r="Q507" s="231"/>
      <c r="R507" s="231"/>
      <c r="S507" s="236" t="s">
        <v>453</v>
      </c>
      <c r="T507" s="236" t="s">
        <v>264</v>
      </c>
    </row>
    <row r="508" spans="1:20" ht="14">
      <c r="A508" s="231">
        <v>507</v>
      </c>
      <c r="B508" s="235" t="s">
        <v>52</v>
      </c>
      <c r="C508" s="231" t="s">
        <v>10</v>
      </c>
      <c r="D508" s="250" t="s">
        <v>1546</v>
      </c>
      <c r="E508" s="239" t="s">
        <v>1547</v>
      </c>
      <c r="F508" s="231" t="s">
        <v>1548</v>
      </c>
      <c r="G508" s="231" cm="1">
        <f t="array" ref="G508">_xlfn.IFS(J508&lt;301,2,J508&gt;300,48)</f>
        <v>48</v>
      </c>
      <c r="H508" s="231" t="s">
        <v>4269</v>
      </c>
      <c r="I508" s="281">
        <v>0</v>
      </c>
      <c r="J508" s="249">
        <v>1836.45</v>
      </c>
      <c r="K508" s="231">
        <f t="shared" si="7"/>
        <v>20</v>
      </c>
      <c r="L508" s="231"/>
      <c r="M508" s="231" t="s">
        <v>16</v>
      </c>
      <c r="N508" s="231" t="s">
        <v>253</v>
      </c>
      <c r="O508" s="231">
        <v>2022</v>
      </c>
      <c r="P508" s="281"/>
      <c r="Q508" s="231"/>
      <c r="R508" s="231"/>
      <c r="S508" s="236" t="s">
        <v>453</v>
      </c>
      <c r="T508" s="236" t="s">
        <v>264</v>
      </c>
    </row>
    <row r="509" spans="1:20" ht="14">
      <c r="A509" s="231">
        <v>508</v>
      </c>
      <c r="B509" s="235" t="s">
        <v>52</v>
      </c>
      <c r="C509" s="231" t="s">
        <v>10</v>
      </c>
      <c r="D509" s="250" t="s">
        <v>1549</v>
      </c>
      <c r="E509" s="239" t="s">
        <v>1550</v>
      </c>
      <c r="F509" s="231" t="s">
        <v>1551</v>
      </c>
      <c r="G509" s="231" cm="1">
        <f t="array" ref="G509">_xlfn.IFS(J509&lt;301,2,J509&gt;300,48)</f>
        <v>48</v>
      </c>
      <c r="H509" s="231" t="s">
        <v>2875</v>
      </c>
      <c r="I509" s="281">
        <v>0</v>
      </c>
      <c r="J509" s="249">
        <v>1576.05</v>
      </c>
      <c r="K509" s="231">
        <f t="shared" si="7"/>
        <v>10</v>
      </c>
      <c r="L509" s="231"/>
      <c r="M509" s="299" t="s">
        <v>15</v>
      </c>
      <c r="N509" s="231" t="s">
        <v>253</v>
      </c>
      <c r="O509" s="231">
        <v>2022</v>
      </c>
      <c r="P509" s="281"/>
      <c r="Q509" s="231"/>
      <c r="R509" s="231"/>
      <c r="S509" s="236" t="s">
        <v>453</v>
      </c>
      <c r="T509" s="236" t="s">
        <v>264</v>
      </c>
    </row>
    <row r="510" spans="1:20" ht="14">
      <c r="A510" s="231">
        <v>509</v>
      </c>
      <c r="B510" s="235" t="s">
        <v>52</v>
      </c>
      <c r="C510" s="231" t="s">
        <v>10</v>
      </c>
      <c r="D510" s="250" t="s">
        <v>1552</v>
      </c>
      <c r="E510" s="239" t="s">
        <v>1553</v>
      </c>
      <c r="F510" s="231" t="s">
        <v>1554</v>
      </c>
      <c r="G510" s="231" cm="1">
        <f t="array" ref="G510">_xlfn.IFS(J510&lt;301,2,J510&gt;300,48)</f>
        <v>48</v>
      </c>
      <c r="H510" s="231" t="s">
        <v>4563</v>
      </c>
      <c r="I510" s="281">
        <v>0</v>
      </c>
      <c r="J510" s="249">
        <v>3090.15</v>
      </c>
      <c r="K510" s="231">
        <f t="shared" si="7"/>
        <v>20</v>
      </c>
      <c r="L510" s="231"/>
      <c r="M510" s="231" t="s">
        <v>16</v>
      </c>
      <c r="N510" s="231" t="s">
        <v>253</v>
      </c>
      <c r="O510" s="231">
        <v>2022</v>
      </c>
      <c r="P510" s="281"/>
      <c r="Q510" s="231"/>
      <c r="R510" s="231"/>
      <c r="S510" s="236" t="s">
        <v>453</v>
      </c>
      <c r="T510" s="236" t="s">
        <v>264</v>
      </c>
    </row>
    <row r="511" spans="1:20" ht="14">
      <c r="A511" s="231">
        <v>510</v>
      </c>
      <c r="B511" s="235" t="s">
        <v>52</v>
      </c>
      <c r="C511" s="231" t="s">
        <v>10</v>
      </c>
      <c r="D511" s="250" t="s">
        <v>1555</v>
      </c>
      <c r="E511" s="239" t="s">
        <v>1556</v>
      </c>
      <c r="F511" s="231" t="s">
        <v>1557</v>
      </c>
      <c r="G511" s="231" cm="1">
        <f t="array" ref="G511">_xlfn.IFS(J511&lt;301,2,J511&gt;300,48)</f>
        <v>48</v>
      </c>
      <c r="H511" s="231" t="s">
        <v>2773</v>
      </c>
      <c r="I511" s="281">
        <v>0</v>
      </c>
      <c r="J511" s="249">
        <v>1494.15</v>
      </c>
      <c r="K511" s="231">
        <f t="shared" si="7"/>
        <v>10</v>
      </c>
      <c r="L511" s="231"/>
      <c r="M511" s="299" t="s">
        <v>15</v>
      </c>
      <c r="N511" s="231" t="s">
        <v>253</v>
      </c>
      <c r="O511" s="231">
        <v>2022</v>
      </c>
      <c r="P511" s="281"/>
      <c r="Q511" s="231"/>
      <c r="R511" s="231"/>
      <c r="S511" s="236" t="s">
        <v>453</v>
      </c>
      <c r="T511" s="236" t="s">
        <v>264</v>
      </c>
    </row>
    <row r="512" spans="1:20" ht="14">
      <c r="A512" s="231">
        <v>511</v>
      </c>
      <c r="B512" s="235" t="s">
        <v>52</v>
      </c>
      <c r="C512" s="231" t="s">
        <v>10</v>
      </c>
      <c r="D512" s="250" t="s">
        <v>1558</v>
      </c>
      <c r="E512" s="239" t="s">
        <v>1559</v>
      </c>
      <c r="F512" s="231" t="s">
        <v>1560</v>
      </c>
      <c r="G512" s="231" cm="1">
        <f t="array" ref="G512">_xlfn.IFS(J512&lt;301,2,J512&gt;300,48)</f>
        <v>48</v>
      </c>
      <c r="H512" s="231" t="s">
        <v>3060</v>
      </c>
      <c r="I512" s="281">
        <v>0</v>
      </c>
      <c r="J512" s="249">
        <v>527.1</v>
      </c>
      <c r="K512" s="231">
        <f t="shared" si="7"/>
        <v>20</v>
      </c>
      <c r="L512" s="231"/>
      <c r="M512" s="231" t="s">
        <v>16</v>
      </c>
      <c r="N512" s="231" t="s">
        <v>253</v>
      </c>
      <c r="O512" s="231">
        <v>2022</v>
      </c>
      <c r="P512" s="281"/>
      <c r="Q512" s="231"/>
      <c r="R512" s="231"/>
      <c r="S512" s="236" t="s">
        <v>453</v>
      </c>
      <c r="T512" s="236" t="s">
        <v>264</v>
      </c>
    </row>
    <row r="513" spans="1:92" ht="14">
      <c r="A513" s="231">
        <v>512</v>
      </c>
      <c r="B513" s="235" t="s">
        <v>52</v>
      </c>
      <c r="C513" s="231" t="s">
        <v>10</v>
      </c>
      <c r="D513" s="250" t="s">
        <v>4684</v>
      </c>
      <c r="E513" s="239" t="s">
        <v>1561</v>
      </c>
      <c r="F513" s="231" t="s">
        <v>1562</v>
      </c>
      <c r="G513" s="231" cm="1">
        <f t="array" ref="G513">_xlfn.IFS(J513&lt;301,2,J513&gt;300,48)</f>
        <v>48</v>
      </c>
      <c r="H513" s="231" t="s">
        <v>2853</v>
      </c>
      <c r="I513" s="281">
        <v>0</v>
      </c>
      <c r="J513" s="249">
        <v>948.15</v>
      </c>
      <c r="K513" s="231">
        <f t="shared" ref="K513:K576" si="8">IF(M513="ONT",20,IF(M513="N/A","N/A",IF(M513="MIKROTIK",IF(J513&lt;3000,10,IF(3000&lt;J513&gt;10000,20,IF(10000&lt;J513&gt;20000,40,IF(20000&lt;J513&gt;40000,60,IF(J513&gt;40000,80,IF(J513&lt;300,3,)))))))))</f>
        <v>10</v>
      </c>
      <c r="L513" s="231"/>
      <c r="M513" s="299" t="s">
        <v>15</v>
      </c>
      <c r="N513" s="231" t="s">
        <v>253</v>
      </c>
      <c r="O513" s="231">
        <v>2022</v>
      </c>
      <c r="P513" s="281"/>
      <c r="Q513" s="231"/>
      <c r="R513" s="231"/>
      <c r="S513" s="236" t="s">
        <v>453</v>
      </c>
      <c r="T513" s="236" t="s">
        <v>264</v>
      </c>
    </row>
    <row r="514" spans="1:92" ht="14">
      <c r="A514" s="231">
        <v>513</v>
      </c>
      <c r="B514" s="235" t="s">
        <v>52</v>
      </c>
      <c r="C514" s="231" t="s">
        <v>10</v>
      </c>
      <c r="D514" s="250" t="s">
        <v>1563</v>
      </c>
      <c r="E514" s="239" t="s">
        <v>1564</v>
      </c>
      <c r="F514" s="231" t="s">
        <v>1565</v>
      </c>
      <c r="G514" s="231" cm="1">
        <f t="array" ref="G514">_xlfn.IFS(J514&lt;301,2,J514&gt;300,48)</f>
        <v>48</v>
      </c>
      <c r="H514" s="231" t="s">
        <v>4689</v>
      </c>
      <c r="I514" s="281">
        <v>0</v>
      </c>
      <c r="J514" s="249">
        <v>315</v>
      </c>
      <c r="K514" s="231">
        <f t="shared" si="8"/>
        <v>20</v>
      </c>
      <c r="L514" s="231"/>
      <c r="M514" s="231" t="s">
        <v>16</v>
      </c>
      <c r="N514" s="231" t="s">
        <v>253</v>
      </c>
      <c r="O514" s="231">
        <v>2022</v>
      </c>
      <c r="P514" s="281"/>
      <c r="Q514" s="231"/>
      <c r="R514" s="231"/>
      <c r="S514" s="236" t="s">
        <v>453</v>
      </c>
      <c r="T514" s="236" t="s">
        <v>264</v>
      </c>
    </row>
    <row r="515" spans="1:92" ht="14">
      <c r="A515" s="231">
        <v>514</v>
      </c>
      <c r="B515" s="235" t="s">
        <v>52</v>
      </c>
      <c r="C515" s="231" t="s">
        <v>10</v>
      </c>
      <c r="D515" s="250" t="s">
        <v>1566</v>
      </c>
      <c r="E515" s="239" t="s">
        <v>1567</v>
      </c>
      <c r="F515" s="231" t="s">
        <v>1568</v>
      </c>
      <c r="G515" s="231" cm="1">
        <f t="array" ref="G515">_xlfn.IFS(J515&lt;301,2,J515&gt;300,48)</f>
        <v>48</v>
      </c>
      <c r="H515" s="231" t="s">
        <v>4646</v>
      </c>
      <c r="I515" s="281">
        <v>0</v>
      </c>
      <c r="J515" s="249">
        <v>315</v>
      </c>
      <c r="K515" s="231">
        <f t="shared" si="8"/>
        <v>10</v>
      </c>
      <c r="L515" s="231"/>
      <c r="M515" s="299" t="s">
        <v>15</v>
      </c>
      <c r="N515" s="231" t="s">
        <v>253</v>
      </c>
      <c r="O515" s="231">
        <v>2022</v>
      </c>
      <c r="P515" s="281"/>
      <c r="Q515" s="231"/>
      <c r="R515" s="231"/>
      <c r="S515" s="236" t="s">
        <v>453</v>
      </c>
      <c r="T515" s="236" t="s">
        <v>264</v>
      </c>
    </row>
    <row r="516" spans="1:92" ht="14">
      <c r="A516" s="231">
        <v>515</v>
      </c>
      <c r="B516" s="235" t="s">
        <v>52</v>
      </c>
      <c r="C516" s="231" t="s">
        <v>10</v>
      </c>
      <c r="D516" s="250" t="s">
        <v>1569</v>
      </c>
      <c r="E516" s="239" t="s">
        <v>1570</v>
      </c>
      <c r="F516" s="231" t="s">
        <v>1571</v>
      </c>
      <c r="G516" s="231" cm="1">
        <f t="array" ref="G516">_xlfn.IFS(J516&lt;301,2,J516&gt;300,48)</f>
        <v>48</v>
      </c>
      <c r="H516" s="231" t="s">
        <v>2773</v>
      </c>
      <c r="I516" s="281">
        <v>0</v>
      </c>
      <c r="J516" s="249">
        <v>956.55</v>
      </c>
      <c r="K516" s="231">
        <f t="shared" si="8"/>
        <v>10</v>
      </c>
      <c r="L516" s="231"/>
      <c r="M516" s="299" t="s">
        <v>15</v>
      </c>
      <c r="N516" s="231" t="s">
        <v>253</v>
      </c>
      <c r="O516" s="231">
        <v>2022</v>
      </c>
      <c r="P516" s="281"/>
      <c r="Q516" s="231"/>
      <c r="R516" s="231"/>
      <c r="S516" s="236" t="s">
        <v>453</v>
      </c>
      <c r="T516" s="236" t="s">
        <v>264</v>
      </c>
    </row>
    <row r="517" spans="1:92" ht="14">
      <c r="A517" s="231">
        <v>516</v>
      </c>
      <c r="B517" s="235" t="s">
        <v>52</v>
      </c>
      <c r="C517" s="231" t="s">
        <v>10</v>
      </c>
      <c r="D517" s="250" t="s">
        <v>1572</v>
      </c>
      <c r="E517" s="239" t="s">
        <v>1573</v>
      </c>
      <c r="F517" s="231" t="s">
        <v>1574</v>
      </c>
      <c r="G517" s="231" cm="1">
        <f t="array" ref="G517">_xlfn.IFS(J517&lt;301,2,J517&gt;300,48)</f>
        <v>48</v>
      </c>
      <c r="H517" s="231" t="s">
        <v>3053</v>
      </c>
      <c r="I517" s="281">
        <v>0</v>
      </c>
      <c r="J517" s="249">
        <v>3956.4</v>
      </c>
      <c r="K517" s="231">
        <f t="shared" si="8"/>
        <v>20</v>
      </c>
      <c r="L517" s="231"/>
      <c r="M517" s="299" t="s">
        <v>15</v>
      </c>
      <c r="N517" s="231" t="s">
        <v>253</v>
      </c>
      <c r="O517" s="231">
        <v>2022</v>
      </c>
      <c r="P517" s="281"/>
      <c r="Q517" s="231"/>
      <c r="R517" s="231"/>
      <c r="S517" s="236" t="s">
        <v>453</v>
      </c>
      <c r="T517" s="236" t="s">
        <v>264</v>
      </c>
    </row>
    <row r="518" spans="1:92" ht="14">
      <c r="A518" s="231">
        <v>517</v>
      </c>
      <c r="B518" s="235" t="s">
        <v>52</v>
      </c>
      <c r="C518" s="231" t="s">
        <v>10</v>
      </c>
      <c r="D518" s="250" t="s">
        <v>4688</v>
      </c>
      <c r="E518" s="239" t="s">
        <v>1575</v>
      </c>
      <c r="F518" s="231" t="s">
        <v>1576</v>
      </c>
      <c r="G518" s="231" cm="1">
        <f t="array" ref="G518">_xlfn.IFS(J518&lt;301,2,J518&gt;300,48)</f>
        <v>48</v>
      </c>
      <c r="H518" s="231" t="s">
        <v>2783</v>
      </c>
      <c r="I518" s="281">
        <v>0</v>
      </c>
      <c r="J518" s="249">
        <v>1282.05</v>
      </c>
      <c r="K518" s="231">
        <f t="shared" si="8"/>
        <v>20</v>
      </c>
      <c r="L518" s="231"/>
      <c r="M518" s="231" t="s">
        <v>16</v>
      </c>
      <c r="N518" s="231" t="s">
        <v>253</v>
      </c>
      <c r="O518" s="231">
        <v>2022</v>
      </c>
      <c r="P518" s="281"/>
      <c r="Q518" s="231"/>
      <c r="R518" s="231"/>
      <c r="S518" s="236" t="s">
        <v>453</v>
      </c>
      <c r="T518" s="236" t="s">
        <v>264</v>
      </c>
    </row>
    <row r="519" spans="1:92" s="147" customFormat="1" ht="14">
      <c r="A519" s="231">
        <v>518</v>
      </c>
      <c r="B519" s="235" t="s">
        <v>52</v>
      </c>
      <c r="C519" s="231" t="s">
        <v>10</v>
      </c>
      <c r="D519" s="250" t="s">
        <v>1577</v>
      </c>
      <c r="E519" s="239" t="s">
        <v>1578</v>
      </c>
      <c r="F519" s="231" t="s">
        <v>1579</v>
      </c>
      <c r="G519" s="231" cm="1">
        <f t="array" ref="G519">_xlfn.IFS(J519&lt;301,2,J519&gt;300,48)</f>
        <v>48</v>
      </c>
      <c r="H519" s="231" t="s">
        <v>4690</v>
      </c>
      <c r="I519" s="281">
        <v>0</v>
      </c>
      <c r="J519" s="249">
        <v>768.6</v>
      </c>
      <c r="K519" s="231">
        <f t="shared" si="8"/>
        <v>20</v>
      </c>
      <c r="L519" s="231"/>
      <c r="M519" s="231" t="s">
        <v>16</v>
      </c>
      <c r="N519" s="231" t="s">
        <v>253</v>
      </c>
      <c r="O519" s="231">
        <v>2022</v>
      </c>
      <c r="P519" s="281"/>
      <c r="Q519" s="231"/>
      <c r="R519" s="231"/>
      <c r="S519" s="236" t="s">
        <v>453</v>
      </c>
      <c r="T519" s="236" t="s">
        <v>264</v>
      </c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  <c r="AQ519" s="90"/>
      <c r="AR519" s="90"/>
      <c r="AS519" s="90"/>
      <c r="AT519" s="90"/>
      <c r="AU519" s="90"/>
      <c r="AV519" s="90"/>
      <c r="AW519" s="90"/>
      <c r="AX519" s="90"/>
      <c r="AY519" s="90"/>
      <c r="AZ519" s="90"/>
      <c r="BA519" s="90"/>
      <c r="BB519" s="90"/>
      <c r="BC519" s="90"/>
      <c r="BD519" s="90"/>
      <c r="BE519" s="90"/>
      <c r="BF519" s="90"/>
      <c r="BG519" s="90"/>
      <c r="BH519" s="90"/>
      <c r="BI519" s="90"/>
      <c r="BJ519" s="90"/>
      <c r="BK519" s="90"/>
      <c r="BL519" s="90"/>
      <c r="BM519" s="90"/>
      <c r="BN519" s="90"/>
      <c r="BO519" s="90"/>
      <c r="BP519" s="90"/>
      <c r="BQ519" s="90"/>
      <c r="BR519" s="90"/>
      <c r="BS519" s="90"/>
      <c r="BT519" s="90"/>
      <c r="BU519" s="90"/>
      <c r="BV519" s="90"/>
      <c r="BW519" s="90"/>
      <c r="BX519" s="90"/>
      <c r="BY519" s="90"/>
      <c r="BZ519" s="90"/>
      <c r="CA519" s="90"/>
      <c r="CB519" s="90"/>
      <c r="CC519" s="90"/>
      <c r="CD519" s="90"/>
      <c r="CE519" s="90"/>
      <c r="CF519" s="90"/>
      <c r="CG519" s="90"/>
      <c r="CH519" s="90"/>
      <c r="CI519" s="90"/>
      <c r="CJ519" s="90"/>
      <c r="CK519" s="90"/>
      <c r="CL519" s="90"/>
      <c r="CM519" s="90"/>
      <c r="CN519" s="90"/>
    </row>
    <row r="520" spans="1:92" ht="14">
      <c r="A520" s="231">
        <v>519</v>
      </c>
      <c r="B520" s="235" t="s">
        <v>52</v>
      </c>
      <c r="C520" s="231" t="s">
        <v>10</v>
      </c>
      <c r="D520" s="250" t="s">
        <v>4685</v>
      </c>
      <c r="E520" s="239" t="s">
        <v>1580</v>
      </c>
      <c r="F520" s="231" t="s">
        <v>267</v>
      </c>
      <c r="G520" s="231" cm="1">
        <f t="array" ref="G520">_xlfn.IFS(J520&lt;301,2,J520&gt;300,48)</f>
        <v>48</v>
      </c>
      <c r="H520" s="231" t="s">
        <v>3060</v>
      </c>
      <c r="I520" s="281">
        <v>0</v>
      </c>
      <c r="J520" s="249">
        <v>2791.95</v>
      </c>
      <c r="K520" s="231">
        <f t="shared" si="8"/>
        <v>20</v>
      </c>
      <c r="L520" s="231"/>
      <c r="M520" s="231" t="s">
        <v>16</v>
      </c>
      <c r="N520" s="231" t="s">
        <v>253</v>
      </c>
      <c r="O520" s="231">
        <v>2021</v>
      </c>
      <c r="P520" s="281"/>
      <c r="Q520" s="231"/>
      <c r="R520" s="231"/>
      <c r="S520" s="236" t="s">
        <v>453</v>
      </c>
      <c r="T520" s="236" t="s">
        <v>264</v>
      </c>
    </row>
    <row r="521" spans="1:92" ht="14">
      <c r="A521" s="231">
        <v>520</v>
      </c>
      <c r="B521" s="235" t="s">
        <v>52</v>
      </c>
      <c r="C521" s="231" t="s">
        <v>10</v>
      </c>
      <c r="D521" s="250" t="s">
        <v>4686</v>
      </c>
      <c r="E521" s="239" t="s">
        <v>1581</v>
      </c>
      <c r="F521" s="231" t="s">
        <v>888</v>
      </c>
      <c r="G521" s="231" cm="1">
        <f t="array" ref="G521">_xlfn.IFS(J521&lt;301,2,J521&gt;300,48)</f>
        <v>48</v>
      </c>
      <c r="H521" s="231" t="s">
        <v>2773</v>
      </c>
      <c r="I521" s="281">
        <v>0</v>
      </c>
      <c r="J521" s="249">
        <v>1499.4</v>
      </c>
      <c r="K521" s="231">
        <f t="shared" si="8"/>
        <v>20</v>
      </c>
      <c r="L521" s="231"/>
      <c r="M521" s="231" t="s">
        <v>16</v>
      </c>
      <c r="N521" s="231" t="s">
        <v>253</v>
      </c>
      <c r="O521" s="231">
        <v>2022</v>
      </c>
      <c r="P521" s="281"/>
      <c r="Q521" s="231"/>
      <c r="R521" s="231"/>
      <c r="S521" s="236" t="s">
        <v>453</v>
      </c>
      <c r="T521" s="236" t="s">
        <v>264</v>
      </c>
    </row>
    <row r="522" spans="1:92" ht="14">
      <c r="A522" s="231">
        <v>521</v>
      </c>
      <c r="B522" s="235" t="s">
        <v>52</v>
      </c>
      <c r="C522" s="231" t="s">
        <v>10</v>
      </c>
      <c r="D522" s="250" t="s">
        <v>1582</v>
      </c>
      <c r="E522" s="239" t="s">
        <v>1583</v>
      </c>
      <c r="F522" s="231" t="s">
        <v>267</v>
      </c>
      <c r="G522" s="231" cm="1">
        <f t="array" ref="G522">_xlfn.IFS(J522&lt;301,2,J522&gt;300,48)</f>
        <v>48</v>
      </c>
      <c r="H522" s="231" t="s">
        <v>4265</v>
      </c>
      <c r="I522" s="281">
        <v>0</v>
      </c>
      <c r="J522" s="249">
        <v>580.65</v>
      </c>
      <c r="K522" s="231">
        <f t="shared" si="8"/>
        <v>20</v>
      </c>
      <c r="L522" s="231"/>
      <c r="M522" s="231" t="s">
        <v>16</v>
      </c>
      <c r="N522" s="231" t="s">
        <v>253</v>
      </c>
      <c r="O522" s="231">
        <v>2022</v>
      </c>
      <c r="P522" s="281"/>
      <c r="Q522" s="231"/>
      <c r="R522" s="231"/>
      <c r="S522" s="236" t="s">
        <v>453</v>
      </c>
      <c r="T522" s="236" t="s">
        <v>264</v>
      </c>
    </row>
    <row r="523" spans="1:92" ht="14">
      <c r="A523" s="231">
        <v>522</v>
      </c>
      <c r="B523" s="235" t="s">
        <v>52</v>
      </c>
      <c r="C523" s="231" t="s">
        <v>10</v>
      </c>
      <c r="D523" s="250" t="s">
        <v>1584</v>
      </c>
      <c r="E523" s="239" t="s">
        <v>1585</v>
      </c>
      <c r="F523" s="231" t="s">
        <v>267</v>
      </c>
      <c r="G523" s="231" cm="1">
        <f t="array" ref="G523">_xlfn.IFS(J523&lt;301,2,J523&gt;300,48)</f>
        <v>48</v>
      </c>
      <c r="H523" s="231" t="s">
        <v>3542</v>
      </c>
      <c r="I523" s="281">
        <v>0</v>
      </c>
      <c r="J523" s="249">
        <v>867.3</v>
      </c>
      <c r="K523" s="231">
        <f t="shared" si="8"/>
        <v>10</v>
      </c>
      <c r="L523" s="231"/>
      <c r="M523" s="299" t="s">
        <v>15</v>
      </c>
      <c r="N523" s="231" t="s">
        <v>253</v>
      </c>
      <c r="O523" s="231">
        <v>2022</v>
      </c>
      <c r="P523" s="281"/>
      <c r="Q523" s="231"/>
      <c r="R523" s="231"/>
      <c r="S523" s="236" t="s">
        <v>453</v>
      </c>
      <c r="T523" s="236" t="s">
        <v>264</v>
      </c>
    </row>
    <row r="524" spans="1:92" ht="14">
      <c r="A524" s="231">
        <v>523</v>
      </c>
      <c r="B524" s="235" t="s">
        <v>52</v>
      </c>
      <c r="C524" s="231" t="s">
        <v>10</v>
      </c>
      <c r="D524" s="250" t="s">
        <v>1586</v>
      </c>
      <c r="E524" s="239" t="s">
        <v>1587</v>
      </c>
      <c r="F524" s="231" t="s">
        <v>864</v>
      </c>
      <c r="G524" s="231" cm="1">
        <f t="array" ref="G524">_xlfn.IFS(J524&lt;301,2,J524&gt;300,48)</f>
        <v>48</v>
      </c>
      <c r="H524" s="231" t="s">
        <v>4588</v>
      </c>
      <c r="I524" s="281">
        <v>0</v>
      </c>
      <c r="J524" s="249">
        <v>315</v>
      </c>
      <c r="K524" s="231">
        <f t="shared" si="8"/>
        <v>10</v>
      </c>
      <c r="L524" s="231"/>
      <c r="M524" s="299" t="s">
        <v>15</v>
      </c>
      <c r="N524" s="231" t="s">
        <v>253</v>
      </c>
      <c r="O524" s="231">
        <v>2021</v>
      </c>
      <c r="P524" s="281"/>
      <c r="Q524" s="231"/>
      <c r="R524" s="231"/>
      <c r="S524" s="236" t="s">
        <v>453</v>
      </c>
      <c r="T524" s="236" t="s">
        <v>264</v>
      </c>
    </row>
    <row r="525" spans="1:92" ht="14">
      <c r="A525" s="231">
        <v>524</v>
      </c>
      <c r="B525" s="235" t="s">
        <v>52</v>
      </c>
      <c r="C525" s="231" t="s">
        <v>10</v>
      </c>
      <c r="D525" s="250" t="s">
        <v>1588</v>
      </c>
      <c r="E525" s="239" t="s">
        <v>1589</v>
      </c>
      <c r="F525" s="231" t="s">
        <v>854</v>
      </c>
      <c r="G525" s="231" cm="1">
        <f t="array" ref="G525">_xlfn.IFS(J525&lt;301,2,J525&gt;300,48)</f>
        <v>48</v>
      </c>
      <c r="H525" s="231" t="s">
        <v>2783</v>
      </c>
      <c r="I525" s="281">
        <v>0</v>
      </c>
      <c r="J525" s="249">
        <v>4086.6</v>
      </c>
      <c r="K525" s="231">
        <f t="shared" si="8"/>
        <v>20</v>
      </c>
      <c r="L525" s="231"/>
      <c r="M525" s="299" t="s">
        <v>15</v>
      </c>
      <c r="N525" s="231" t="s">
        <v>253</v>
      </c>
      <c r="O525" s="231">
        <v>2020</v>
      </c>
      <c r="P525" s="281"/>
      <c r="Q525" s="231"/>
      <c r="R525" s="231"/>
      <c r="S525" s="236" t="s">
        <v>453</v>
      </c>
      <c r="T525" s="236" t="s">
        <v>264</v>
      </c>
    </row>
    <row r="526" spans="1:92" s="147" customFormat="1" ht="14">
      <c r="A526" s="231">
        <v>525</v>
      </c>
      <c r="B526" s="235" t="s">
        <v>52</v>
      </c>
      <c r="C526" s="231" t="s">
        <v>10</v>
      </c>
      <c r="D526" s="250" t="s">
        <v>1590</v>
      </c>
      <c r="E526" s="239" t="s">
        <v>1591</v>
      </c>
      <c r="F526" s="231" t="s">
        <v>267</v>
      </c>
      <c r="G526" s="231" cm="1">
        <f t="array" ref="G526">_xlfn.IFS(J526&lt;301,2,J526&gt;300,48)</f>
        <v>48</v>
      </c>
      <c r="H526" s="231" t="s">
        <v>2877</v>
      </c>
      <c r="I526" s="281">
        <v>0</v>
      </c>
      <c r="J526" s="249">
        <v>315</v>
      </c>
      <c r="K526" s="231">
        <f t="shared" si="8"/>
        <v>20</v>
      </c>
      <c r="L526" s="231"/>
      <c r="M526" s="231" t="s">
        <v>16</v>
      </c>
      <c r="N526" s="231" t="s">
        <v>253</v>
      </c>
      <c r="O526" s="231">
        <v>2022</v>
      </c>
      <c r="P526" s="281"/>
      <c r="Q526" s="231"/>
      <c r="R526" s="231"/>
      <c r="S526" s="236" t="s">
        <v>453</v>
      </c>
      <c r="T526" s="236" t="s">
        <v>264</v>
      </c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  <c r="AQ526" s="90"/>
      <c r="AR526" s="90"/>
      <c r="AS526" s="90"/>
      <c r="AT526" s="90"/>
      <c r="AU526" s="90"/>
      <c r="AV526" s="90"/>
      <c r="AW526" s="90"/>
      <c r="AX526" s="90"/>
      <c r="AY526" s="90"/>
      <c r="AZ526" s="90"/>
      <c r="BA526" s="90"/>
      <c r="BB526" s="90"/>
      <c r="BC526" s="90"/>
      <c r="BD526" s="90"/>
      <c r="BE526" s="90"/>
      <c r="BF526" s="90"/>
      <c r="BG526" s="90"/>
      <c r="BH526" s="90"/>
      <c r="BI526" s="90"/>
      <c r="BJ526" s="90"/>
      <c r="BK526" s="90"/>
      <c r="BL526" s="90"/>
      <c r="BM526" s="90"/>
      <c r="BN526" s="90"/>
      <c r="BO526" s="90"/>
      <c r="BP526" s="90"/>
      <c r="BQ526" s="90"/>
      <c r="BR526" s="90"/>
      <c r="BS526" s="90"/>
      <c r="BT526" s="90"/>
      <c r="BU526" s="90"/>
      <c r="BV526" s="90"/>
      <c r="BW526" s="90"/>
      <c r="BX526" s="90"/>
      <c r="BY526" s="90"/>
      <c r="BZ526" s="90"/>
      <c r="CA526" s="90"/>
      <c r="CB526" s="90"/>
      <c r="CC526" s="90"/>
      <c r="CD526" s="90"/>
      <c r="CE526" s="90"/>
      <c r="CF526" s="90"/>
      <c r="CG526" s="90"/>
      <c r="CH526" s="90"/>
      <c r="CI526" s="90"/>
      <c r="CJ526" s="90"/>
      <c r="CK526" s="90"/>
      <c r="CL526" s="90"/>
      <c r="CM526" s="90"/>
      <c r="CN526" s="90"/>
    </row>
    <row r="527" spans="1:92" ht="14">
      <c r="A527" s="231">
        <v>526</v>
      </c>
      <c r="B527" s="235" t="s">
        <v>52</v>
      </c>
      <c r="C527" s="231" t="s">
        <v>10</v>
      </c>
      <c r="D527" s="250" t="s">
        <v>1592</v>
      </c>
      <c r="E527" s="239" t="s">
        <v>1593</v>
      </c>
      <c r="F527" s="231" t="s">
        <v>267</v>
      </c>
      <c r="G527" s="231" cm="1">
        <f t="array" ref="G527">_xlfn.IFS(J527&lt;301,2,J527&gt;300,48)</f>
        <v>2</v>
      </c>
      <c r="H527" s="231" t="s">
        <v>4271</v>
      </c>
      <c r="I527" s="281">
        <v>0</v>
      </c>
      <c r="J527" s="249">
        <v>300</v>
      </c>
      <c r="K527" s="231">
        <f t="shared" si="8"/>
        <v>20</v>
      </c>
      <c r="L527" s="231"/>
      <c r="M527" s="231" t="s">
        <v>16</v>
      </c>
      <c r="N527" s="231" t="s">
        <v>253</v>
      </c>
      <c r="O527" s="231">
        <v>2022</v>
      </c>
      <c r="P527" s="281"/>
      <c r="Q527" s="231"/>
      <c r="R527" s="231"/>
      <c r="S527" s="236" t="s">
        <v>453</v>
      </c>
      <c r="T527" s="236" t="s">
        <v>264</v>
      </c>
    </row>
    <row r="528" spans="1:92" ht="14">
      <c r="A528" s="231">
        <v>527</v>
      </c>
      <c r="B528" s="235" t="s">
        <v>52</v>
      </c>
      <c r="C528" s="231" t="s">
        <v>10</v>
      </c>
      <c r="D528" s="250" t="s">
        <v>1594</v>
      </c>
      <c r="E528" s="239" t="s">
        <v>1595</v>
      </c>
      <c r="F528" s="231" t="s">
        <v>267</v>
      </c>
      <c r="G528" s="231" cm="1">
        <f t="array" ref="G528">_xlfn.IFS(J528&lt;301,2,J528&gt;300,48)</f>
        <v>48</v>
      </c>
      <c r="H528" s="231" t="s">
        <v>2877</v>
      </c>
      <c r="I528" s="281">
        <v>0</v>
      </c>
      <c r="J528" s="249">
        <v>945</v>
      </c>
      <c r="K528" s="231">
        <f t="shared" si="8"/>
        <v>20</v>
      </c>
      <c r="L528" s="231"/>
      <c r="M528" s="231" t="s">
        <v>16</v>
      </c>
      <c r="N528" s="231" t="s">
        <v>253</v>
      </c>
      <c r="O528" s="231">
        <v>2022</v>
      </c>
      <c r="P528" s="281"/>
      <c r="Q528" s="231"/>
      <c r="R528" s="231"/>
      <c r="S528" s="236" t="s">
        <v>453</v>
      </c>
      <c r="T528" s="236" t="s">
        <v>264</v>
      </c>
    </row>
    <row r="529" spans="1:92" ht="14">
      <c r="A529" s="231">
        <v>528</v>
      </c>
      <c r="B529" s="235" t="s">
        <v>52</v>
      </c>
      <c r="C529" s="231" t="s">
        <v>10</v>
      </c>
      <c r="D529" s="250" t="s">
        <v>1596</v>
      </c>
      <c r="E529" s="239" t="s">
        <v>1597</v>
      </c>
      <c r="F529" s="231" t="s">
        <v>267</v>
      </c>
      <c r="G529" s="231" cm="1">
        <f t="array" ref="G529">_xlfn.IFS(J529&lt;301,2,J529&gt;300,48)</f>
        <v>48</v>
      </c>
      <c r="H529" s="231" t="s">
        <v>2877</v>
      </c>
      <c r="I529" s="281">
        <v>0</v>
      </c>
      <c r="J529" s="249">
        <v>315</v>
      </c>
      <c r="K529" s="231">
        <f t="shared" si="8"/>
        <v>20</v>
      </c>
      <c r="L529" s="231"/>
      <c r="M529" s="231" t="s">
        <v>16</v>
      </c>
      <c r="N529" s="231" t="s">
        <v>253</v>
      </c>
      <c r="O529" s="231">
        <v>2021</v>
      </c>
      <c r="P529" s="281"/>
      <c r="Q529" s="231"/>
      <c r="R529" s="231"/>
      <c r="S529" s="236" t="s">
        <v>453</v>
      </c>
      <c r="T529" s="236" t="s">
        <v>264</v>
      </c>
    </row>
    <row r="530" spans="1:92" ht="14">
      <c r="A530" s="231">
        <v>529</v>
      </c>
      <c r="B530" s="235" t="s">
        <v>52</v>
      </c>
      <c r="C530" s="231" t="s">
        <v>10</v>
      </c>
      <c r="D530" s="250" t="s">
        <v>4693</v>
      </c>
      <c r="E530" s="239" t="s">
        <v>1598</v>
      </c>
      <c r="F530" s="231" t="s">
        <v>881</v>
      </c>
      <c r="G530" s="231" cm="1">
        <f t="array" ref="G530">_xlfn.IFS(J530&lt;301,2,J530&gt;300,48)</f>
        <v>48</v>
      </c>
      <c r="H530" s="231" t="s">
        <v>3542</v>
      </c>
      <c r="I530" s="281">
        <v>0</v>
      </c>
      <c r="J530" s="249">
        <v>539.70000000000005</v>
      </c>
      <c r="K530" s="231" t="str">
        <f t="shared" si="8"/>
        <v>N/A</v>
      </c>
      <c r="L530" s="231">
        <v>60</v>
      </c>
      <c r="M530" s="231" t="s">
        <v>456</v>
      </c>
      <c r="N530" s="231" t="s">
        <v>253</v>
      </c>
      <c r="O530" s="231">
        <v>2022</v>
      </c>
      <c r="P530" s="281"/>
      <c r="Q530" s="231"/>
      <c r="R530" s="231"/>
      <c r="S530" s="236" t="s">
        <v>453</v>
      </c>
      <c r="T530" s="236" t="s">
        <v>264</v>
      </c>
    </row>
    <row r="531" spans="1:92" ht="14">
      <c r="A531" s="231">
        <v>530</v>
      </c>
      <c r="B531" s="235" t="s">
        <v>52</v>
      </c>
      <c r="C531" s="231" t="s">
        <v>10</v>
      </c>
      <c r="D531" s="250" t="s">
        <v>1599</v>
      </c>
      <c r="E531" s="239" t="s">
        <v>1600</v>
      </c>
      <c r="F531" s="231" t="s">
        <v>267</v>
      </c>
      <c r="G531" s="231" cm="1">
        <f t="array" ref="G531">_xlfn.IFS(J531&lt;301,2,J531&gt;300,48)</f>
        <v>48</v>
      </c>
      <c r="H531" s="231" t="s">
        <v>2783</v>
      </c>
      <c r="I531" s="281">
        <v>0</v>
      </c>
      <c r="J531" s="249">
        <v>630</v>
      </c>
      <c r="K531" s="231">
        <f t="shared" si="8"/>
        <v>20</v>
      </c>
      <c r="L531" s="231"/>
      <c r="M531" s="231" t="s">
        <v>16</v>
      </c>
      <c r="N531" s="231" t="s">
        <v>253</v>
      </c>
      <c r="O531" s="231">
        <v>2022</v>
      </c>
      <c r="P531" s="281"/>
      <c r="Q531" s="231"/>
      <c r="R531" s="231"/>
      <c r="S531" s="236" t="s">
        <v>453</v>
      </c>
      <c r="T531" s="236" t="s">
        <v>264</v>
      </c>
    </row>
    <row r="532" spans="1:92" ht="14">
      <c r="A532" s="231">
        <v>531</v>
      </c>
      <c r="B532" s="235" t="s">
        <v>52</v>
      </c>
      <c r="C532" s="231" t="s">
        <v>10</v>
      </c>
      <c r="D532" s="250" t="s">
        <v>1601</v>
      </c>
      <c r="E532" s="239" t="s">
        <v>1602</v>
      </c>
      <c r="F532" s="231" t="s">
        <v>267</v>
      </c>
      <c r="G532" s="231" cm="1">
        <f t="array" ref="G532">_xlfn.IFS(J532&lt;301,2,J532&gt;300,48)</f>
        <v>48</v>
      </c>
      <c r="H532" s="231" t="s">
        <v>3512</v>
      </c>
      <c r="I532" s="281">
        <v>0</v>
      </c>
      <c r="J532" s="249">
        <v>420</v>
      </c>
      <c r="K532" s="231">
        <f t="shared" si="8"/>
        <v>20</v>
      </c>
      <c r="L532" s="231"/>
      <c r="M532" s="231" t="s">
        <v>16</v>
      </c>
      <c r="N532" s="231" t="s">
        <v>253</v>
      </c>
      <c r="O532" s="231">
        <v>2022</v>
      </c>
      <c r="P532" s="281"/>
      <c r="Q532" s="231"/>
      <c r="R532" s="231"/>
      <c r="S532" s="236" t="s">
        <v>453</v>
      </c>
      <c r="T532" s="236" t="s">
        <v>264</v>
      </c>
    </row>
    <row r="533" spans="1:92" ht="14">
      <c r="A533" s="231">
        <v>532</v>
      </c>
      <c r="B533" s="235" t="s">
        <v>52</v>
      </c>
      <c r="C533" s="231" t="s">
        <v>10</v>
      </c>
      <c r="D533" s="250" t="s">
        <v>1603</v>
      </c>
      <c r="E533" s="239" t="s">
        <v>1604</v>
      </c>
      <c r="F533" s="231" t="s">
        <v>835</v>
      </c>
      <c r="G533" s="231" cm="1">
        <f t="array" ref="G533">_xlfn.IFS(J533&lt;301,2,J533&gt;300,48)</f>
        <v>48</v>
      </c>
      <c r="H533" s="231" t="s">
        <v>1443</v>
      </c>
      <c r="I533" s="281">
        <v>0</v>
      </c>
      <c r="J533" s="249">
        <v>2256.4499999999998</v>
      </c>
      <c r="K533" s="231">
        <f t="shared" si="8"/>
        <v>20</v>
      </c>
      <c r="L533" s="231"/>
      <c r="M533" s="231" t="s">
        <v>16</v>
      </c>
      <c r="N533" s="231" t="s">
        <v>253</v>
      </c>
      <c r="O533" s="231">
        <v>2022</v>
      </c>
      <c r="P533" s="281"/>
      <c r="Q533" s="231"/>
      <c r="R533" s="231"/>
      <c r="S533" s="236" t="s">
        <v>453</v>
      </c>
      <c r="T533" s="236" t="s">
        <v>264</v>
      </c>
    </row>
    <row r="534" spans="1:92" ht="14">
      <c r="A534" s="231">
        <v>533</v>
      </c>
      <c r="B534" s="235" t="s">
        <v>52</v>
      </c>
      <c r="C534" s="231" t="s">
        <v>10</v>
      </c>
      <c r="D534" s="250" t="s">
        <v>1605</v>
      </c>
      <c r="E534" s="239" t="s">
        <v>1606</v>
      </c>
      <c r="F534" s="231" t="s">
        <v>835</v>
      </c>
      <c r="G534" s="231" cm="1">
        <f t="array" ref="G534">_xlfn.IFS(J534&lt;301,2,J534&gt;300,48)</f>
        <v>48</v>
      </c>
      <c r="H534" s="231" t="s">
        <v>4251</v>
      </c>
      <c r="I534" s="281">
        <v>0</v>
      </c>
      <c r="J534" s="249">
        <v>315</v>
      </c>
      <c r="K534" s="231">
        <f t="shared" si="8"/>
        <v>20</v>
      </c>
      <c r="L534" s="231"/>
      <c r="M534" s="231" t="s">
        <v>16</v>
      </c>
      <c r="N534" s="231" t="s">
        <v>253</v>
      </c>
      <c r="O534" s="231">
        <v>2022</v>
      </c>
      <c r="P534" s="281"/>
      <c r="Q534" s="231"/>
      <c r="R534" s="231"/>
      <c r="S534" s="236" t="s">
        <v>453</v>
      </c>
      <c r="T534" s="236" t="s">
        <v>264</v>
      </c>
    </row>
    <row r="535" spans="1:92" ht="14">
      <c r="A535" s="231">
        <v>534</v>
      </c>
      <c r="B535" s="235" t="s">
        <v>52</v>
      </c>
      <c r="C535" s="231" t="s">
        <v>10</v>
      </c>
      <c r="D535" s="250" t="s">
        <v>1607</v>
      </c>
      <c r="E535" s="239" t="s">
        <v>1608</v>
      </c>
      <c r="F535" s="231" t="s">
        <v>835</v>
      </c>
      <c r="G535" s="231" cm="1">
        <f t="array" ref="G535">_xlfn.IFS(J535&lt;301,2,J535&gt;300,48)</f>
        <v>48</v>
      </c>
      <c r="H535" s="231" t="s">
        <v>2773</v>
      </c>
      <c r="I535" s="281">
        <v>0</v>
      </c>
      <c r="J535" s="249">
        <v>315</v>
      </c>
      <c r="K535" s="231">
        <f t="shared" si="8"/>
        <v>10</v>
      </c>
      <c r="L535" s="231"/>
      <c r="M535" s="299" t="s">
        <v>15</v>
      </c>
      <c r="N535" s="231" t="s">
        <v>253</v>
      </c>
      <c r="O535" s="231">
        <v>2022</v>
      </c>
      <c r="P535" s="281"/>
      <c r="Q535" s="231"/>
      <c r="R535" s="231"/>
      <c r="S535" s="236" t="s">
        <v>453</v>
      </c>
      <c r="T535" s="236" t="s">
        <v>264</v>
      </c>
    </row>
    <row r="536" spans="1:92" s="147" customFormat="1" ht="14">
      <c r="A536" s="231">
        <v>535</v>
      </c>
      <c r="B536" s="235" t="s">
        <v>52</v>
      </c>
      <c r="C536" s="231" t="s">
        <v>10</v>
      </c>
      <c r="D536" s="250" t="s">
        <v>4691</v>
      </c>
      <c r="E536" s="239" t="s">
        <v>1609</v>
      </c>
      <c r="F536" s="231" t="s">
        <v>267</v>
      </c>
      <c r="G536" s="231" cm="1">
        <f t="array" ref="G536">_xlfn.IFS(J536&lt;301,2,J536&gt;300,48)</f>
        <v>48</v>
      </c>
      <c r="H536" s="231" t="s">
        <v>4265</v>
      </c>
      <c r="I536" s="281">
        <v>0</v>
      </c>
      <c r="J536" s="249">
        <v>315</v>
      </c>
      <c r="K536" s="231">
        <f t="shared" si="8"/>
        <v>20</v>
      </c>
      <c r="L536" s="231"/>
      <c r="M536" s="231" t="s">
        <v>16</v>
      </c>
      <c r="N536" s="231" t="s">
        <v>253</v>
      </c>
      <c r="O536" s="231">
        <v>2022</v>
      </c>
      <c r="P536" s="281"/>
      <c r="Q536" s="231"/>
      <c r="R536" s="231"/>
      <c r="S536" s="236" t="s">
        <v>453</v>
      </c>
      <c r="T536" s="236" t="s">
        <v>264</v>
      </c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  <c r="AQ536" s="90"/>
      <c r="AR536" s="90"/>
      <c r="AS536" s="90"/>
      <c r="AT536" s="90"/>
      <c r="AU536" s="90"/>
      <c r="AV536" s="90"/>
      <c r="AW536" s="90"/>
      <c r="AX536" s="90"/>
      <c r="AY536" s="90"/>
      <c r="AZ536" s="90"/>
      <c r="BA536" s="90"/>
      <c r="BB536" s="90"/>
      <c r="BC536" s="90"/>
      <c r="BD536" s="90"/>
      <c r="BE536" s="90"/>
      <c r="BF536" s="90"/>
      <c r="BG536" s="90"/>
      <c r="BH536" s="90"/>
      <c r="BI536" s="90"/>
      <c r="BJ536" s="90"/>
      <c r="BK536" s="90"/>
      <c r="BL536" s="90"/>
      <c r="BM536" s="90"/>
      <c r="BN536" s="90"/>
      <c r="BO536" s="90"/>
      <c r="BP536" s="90"/>
      <c r="BQ536" s="90"/>
      <c r="BR536" s="90"/>
      <c r="BS536" s="90"/>
      <c r="BT536" s="90"/>
      <c r="BU536" s="90"/>
      <c r="BV536" s="90"/>
      <c r="BW536" s="90"/>
      <c r="BX536" s="90"/>
      <c r="BY536" s="90"/>
      <c r="BZ536" s="90"/>
      <c r="CA536" s="90"/>
      <c r="CB536" s="90"/>
      <c r="CC536" s="90"/>
      <c r="CD536" s="90"/>
      <c r="CE536" s="90"/>
      <c r="CF536" s="90"/>
      <c r="CG536" s="90"/>
      <c r="CH536" s="90"/>
      <c r="CI536" s="90"/>
      <c r="CJ536" s="90"/>
      <c r="CK536" s="90"/>
      <c r="CL536" s="90"/>
      <c r="CM536" s="90"/>
      <c r="CN536" s="90"/>
    </row>
    <row r="537" spans="1:92" ht="14">
      <c r="A537" s="231">
        <v>536</v>
      </c>
      <c r="B537" s="235" t="s">
        <v>52</v>
      </c>
      <c r="C537" s="231" t="s">
        <v>10</v>
      </c>
      <c r="D537" s="250" t="s">
        <v>1610</v>
      </c>
      <c r="E537" s="239" t="s">
        <v>1611</v>
      </c>
      <c r="F537" s="231" t="s">
        <v>888</v>
      </c>
      <c r="G537" s="231" cm="1">
        <f t="array" ref="G537">_xlfn.IFS(J537&lt;301,2,J537&gt;300,48)</f>
        <v>48</v>
      </c>
      <c r="H537" s="231" t="s">
        <v>2773</v>
      </c>
      <c r="I537" s="281">
        <v>0</v>
      </c>
      <c r="J537" s="249">
        <v>769.65</v>
      </c>
      <c r="K537" s="231">
        <f t="shared" si="8"/>
        <v>10</v>
      </c>
      <c r="L537" s="231"/>
      <c r="M537" s="299" t="s">
        <v>15</v>
      </c>
      <c r="N537" s="231" t="s">
        <v>253</v>
      </c>
      <c r="O537" s="231">
        <v>2022</v>
      </c>
      <c r="P537" s="281"/>
      <c r="Q537" s="231"/>
      <c r="R537" s="231"/>
      <c r="S537" s="236" t="s">
        <v>453</v>
      </c>
      <c r="T537" s="236" t="s">
        <v>264</v>
      </c>
    </row>
    <row r="538" spans="1:92" ht="14">
      <c r="A538" s="231">
        <v>537</v>
      </c>
      <c r="B538" s="235" t="s">
        <v>52</v>
      </c>
      <c r="C538" s="231" t="s">
        <v>10</v>
      </c>
      <c r="D538" s="250" t="s">
        <v>1612</v>
      </c>
      <c r="E538" s="239" t="s">
        <v>1613</v>
      </c>
      <c r="F538" s="231" t="s">
        <v>835</v>
      </c>
      <c r="G538" s="231" cm="1">
        <f t="array" ref="G538">_xlfn.IFS(J538&lt;301,2,J538&gt;300,48)</f>
        <v>48</v>
      </c>
      <c r="H538" s="231" t="s">
        <v>4661</v>
      </c>
      <c r="I538" s="281">
        <v>0</v>
      </c>
      <c r="J538" s="249">
        <v>617.4</v>
      </c>
      <c r="K538" s="231">
        <f t="shared" si="8"/>
        <v>10</v>
      </c>
      <c r="L538" s="231"/>
      <c r="M538" s="299" t="s">
        <v>15</v>
      </c>
      <c r="N538" s="231" t="s">
        <v>253</v>
      </c>
      <c r="O538" s="231">
        <v>2022</v>
      </c>
      <c r="P538" s="281"/>
      <c r="Q538" s="231"/>
      <c r="R538" s="231"/>
      <c r="S538" s="236" t="s">
        <v>453</v>
      </c>
      <c r="T538" s="236" t="s">
        <v>264</v>
      </c>
    </row>
    <row r="539" spans="1:92" ht="14">
      <c r="A539" s="231">
        <v>538</v>
      </c>
      <c r="B539" s="235" t="s">
        <v>52</v>
      </c>
      <c r="C539" s="231" t="s">
        <v>10</v>
      </c>
      <c r="D539" s="250" t="s">
        <v>1614</v>
      </c>
      <c r="E539" s="239" t="s">
        <v>1615</v>
      </c>
      <c r="F539" s="231" t="s">
        <v>835</v>
      </c>
      <c r="G539" s="231" cm="1">
        <f t="array" ref="G539">_xlfn.IFS(J539&lt;301,2,J539&gt;300,48)</f>
        <v>48</v>
      </c>
      <c r="H539" s="231" t="s">
        <v>4581</v>
      </c>
      <c r="I539" s="281">
        <v>0</v>
      </c>
      <c r="J539" s="249">
        <v>501.9</v>
      </c>
      <c r="K539" s="231">
        <f t="shared" si="8"/>
        <v>10</v>
      </c>
      <c r="L539" s="231"/>
      <c r="M539" s="299" t="s">
        <v>15</v>
      </c>
      <c r="N539" s="231" t="s">
        <v>253</v>
      </c>
      <c r="O539" s="231">
        <v>2022</v>
      </c>
      <c r="P539" s="281"/>
      <c r="Q539" s="231"/>
      <c r="R539" s="231"/>
      <c r="S539" s="236" t="s">
        <v>453</v>
      </c>
      <c r="T539" s="236" t="s">
        <v>264</v>
      </c>
    </row>
    <row r="540" spans="1:92" ht="14">
      <c r="A540" s="231">
        <v>539</v>
      </c>
      <c r="B540" s="235" t="s">
        <v>52</v>
      </c>
      <c r="C540" s="231" t="s">
        <v>10</v>
      </c>
      <c r="D540" s="250" t="s">
        <v>1616</v>
      </c>
      <c r="E540" s="239" t="s">
        <v>1617</v>
      </c>
      <c r="F540" s="231" t="s">
        <v>835</v>
      </c>
      <c r="G540" s="231" cm="1">
        <f t="array" ref="G540">_xlfn.IFS(J540&lt;301,2,J540&gt;300,48)</f>
        <v>48</v>
      </c>
      <c r="H540" s="231" t="s">
        <v>4264</v>
      </c>
      <c r="I540" s="281">
        <v>0</v>
      </c>
      <c r="J540" s="249">
        <v>397.95</v>
      </c>
      <c r="K540" s="231">
        <f t="shared" si="8"/>
        <v>10</v>
      </c>
      <c r="L540" s="231"/>
      <c r="M540" s="299" t="s">
        <v>15</v>
      </c>
      <c r="N540" s="231" t="s">
        <v>253</v>
      </c>
      <c r="O540" s="231">
        <v>2021</v>
      </c>
      <c r="P540" s="281"/>
      <c r="Q540" s="231"/>
      <c r="R540" s="231"/>
      <c r="S540" s="236" t="s">
        <v>453</v>
      </c>
      <c r="T540" s="236" t="s">
        <v>264</v>
      </c>
    </row>
    <row r="541" spans="1:92" ht="14">
      <c r="A541" s="231">
        <v>540</v>
      </c>
      <c r="B541" s="235" t="s">
        <v>52</v>
      </c>
      <c r="C541" s="231" t="s">
        <v>10</v>
      </c>
      <c r="D541" s="250" t="s">
        <v>1618</v>
      </c>
      <c r="E541" s="239" t="s">
        <v>1619</v>
      </c>
      <c r="F541" s="231" t="s">
        <v>835</v>
      </c>
      <c r="G541" s="231" cm="1">
        <f t="array" ref="G541">_xlfn.IFS(J541&lt;301,2,J541&gt;300,48)</f>
        <v>48</v>
      </c>
      <c r="H541" s="231" t="s">
        <v>4581</v>
      </c>
      <c r="I541" s="281">
        <v>0</v>
      </c>
      <c r="J541" s="249">
        <v>315</v>
      </c>
      <c r="K541" s="231">
        <f t="shared" si="8"/>
        <v>10</v>
      </c>
      <c r="L541" s="231"/>
      <c r="M541" s="299" t="s">
        <v>15</v>
      </c>
      <c r="N541" s="231" t="s">
        <v>253</v>
      </c>
      <c r="O541" s="231">
        <v>2022</v>
      </c>
      <c r="P541" s="281"/>
      <c r="Q541" s="231"/>
      <c r="R541" s="231"/>
      <c r="S541" s="236" t="s">
        <v>453</v>
      </c>
      <c r="T541" s="236" t="s">
        <v>264</v>
      </c>
    </row>
    <row r="542" spans="1:92" ht="14">
      <c r="A542" s="231">
        <v>541</v>
      </c>
      <c r="B542" s="235" t="s">
        <v>52</v>
      </c>
      <c r="C542" s="231" t="s">
        <v>10</v>
      </c>
      <c r="D542" s="250" t="s">
        <v>1620</v>
      </c>
      <c r="E542" s="239" t="s">
        <v>1621</v>
      </c>
      <c r="F542" s="231" t="s">
        <v>267</v>
      </c>
      <c r="G542" s="231" cm="1">
        <f t="array" ref="G542">_xlfn.IFS(J542&lt;301,2,J542&gt;300,48)</f>
        <v>48</v>
      </c>
      <c r="H542" s="231" t="s">
        <v>2980</v>
      </c>
      <c r="I542" s="281">
        <v>0</v>
      </c>
      <c r="J542" s="249">
        <v>315</v>
      </c>
      <c r="K542" s="231">
        <f t="shared" si="8"/>
        <v>10</v>
      </c>
      <c r="L542" s="231"/>
      <c r="M542" s="299" t="s">
        <v>15</v>
      </c>
      <c r="N542" s="231" t="s">
        <v>253</v>
      </c>
      <c r="O542" s="231">
        <v>2022</v>
      </c>
      <c r="P542" s="281"/>
      <c r="Q542" s="231"/>
      <c r="R542" s="231"/>
      <c r="S542" s="236" t="s">
        <v>453</v>
      </c>
      <c r="T542" s="236" t="s">
        <v>264</v>
      </c>
    </row>
    <row r="543" spans="1:92" ht="14">
      <c r="A543" s="231">
        <v>542</v>
      </c>
      <c r="B543" s="235" t="s">
        <v>51</v>
      </c>
      <c r="C543" s="231" t="s">
        <v>10</v>
      </c>
      <c r="D543" s="250" t="s">
        <v>1622</v>
      </c>
      <c r="E543" s="239" t="s">
        <v>1623</v>
      </c>
      <c r="F543" s="231" t="s">
        <v>763</v>
      </c>
      <c r="G543" s="231" cm="1">
        <f t="array" ref="G543">_xlfn.IFS(J543&lt;301,2,J543&gt;300,48)</f>
        <v>48</v>
      </c>
      <c r="H543" s="231" t="s">
        <v>4647</v>
      </c>
      <c r="I543" s="281">
        <v>0</v>
      </c>
      <c r="J543" s="249">
        <v>688.8</v>
      </c>
      <c r="K543" s="231">
        <f t="shared" si="8"/>
        <v>10</v>
      </c>
      <c r="L543" s="231"/>
      <c r="M543" s="299" t="s">
        <v>15</v>
      </c>
      <c r="N543" s="231" t="s">
        <v>253</v>
      </c>
      <c r="O543" s="231">
        <v>2022</v>
      </c>
      <c r="P543" s="281"/>
      <c r="Q543" s="231"/>
      <c r="R543" s="231"/>
      <c r="S543" s="236" t="s">
        <v>453</v>
      </c>
      <c r="T543" s="236" t="s">
        <v>264</v>
      </c>
    </row>
    <row r="544" spans="1:92" ht="14">
      <c r="A544" s="231">
        <v>543</v>
      </c>
      <c r="B544" s="235" t="s">
        <v>55</v>
      </c>
      <c r="C544" s="231" t="s">
        <v>10</v>
      </c>
      <c r="D544" s="250" t="s">
        <v>1624</v>
      </c>
      <c r="E544" s="239" t="s">
        <v>1625</v>
      </c>
      <c r="F544" s="231" t="s">
        <v>1626</v>
      </c>
      <c r="G544" s="231" cm="1">
        <f t="array" ref="G544">_xlfn.IFS(J544&lt;301,2,J544&gt;300,48)</f>
        <v>48</v>
      </c>
      <c r="H544" s="231" t="s">
        <v>2894</v>
      </c>
      <c r="I544" s="281">
        <v>0</v>
      </c>
      <c r="J544" s="249">
        <v>1526.7</v>
      </c>
      <c r="K544" s="231">
        <f t="shared" si="8"/>
        <v>10</v>
      </c>
      <c r="L544" s="231"/>
      <c r="M544" s="299" t="s">
        <v>15</v>
      </c>
      <c r="N544" s="231" t="s">
        <v>253</v>
      </c>
      <c r="O544" s="231">
        <v>2022</v>
      </c>
      <c r="P544" s="281"/>
      <c r="Q544" s="231"/>
      <c r="R544" s="231"/>
      <c r="S544" s="236" t="s">
        <v>453</v>
      </c>
      <c r="T544" s="236" t="s">
        <v>264</v>
      </c>
    </row>
    <row r="545" spans="1:92" ht="14">
      <c r="A545" s="231">
        <v>544</v>
      </c>
      <c r="B545" s="235" t="s">
        <v>52</v>
      </c>
      <c r="C545" s="231" t="s">
        <v>10</v>
      </c>
      <c r="D545" s="250" t="s">
        <v>1627</v>
      </c>
      <c r="E545" s="239" t="s">
        <v>1628</v>
      </c>
      <c r="F545" s="231" t="s">
        <v>888</v>
      </c>
      <c r="G545" s="231" cm="1">
        <f t="array" ref="G545">_xlfn.IFS(J545&lt;301,2,J545&gt;300,48)</f>
        <v>48</v>
      </c>
      <c r="H545" s="231" t="s">
        <v>2781</v>
      </c>
      <c r="I545" s="281">
        <v>0</v>
      </c>
      <c r="J545" s="249">
        <v>318.14999999999998</v>
      </c>
      <c r="K545" s="231">
        <f t="shared" si="8"/>
        <v>10</v>
      </c>
      <c r="L545" s="231"/>
      <c r="M545" s="299" t="s">
        <v>15</v>
      </c>
      <c r="N545" s="231" t="s">
        <v>253</v>
      </c>
      <c r="O545" s="231">
        <v>2022</v>
      </c>
      <c r="P545" s="281"/>
      <c r="Q545" s="231"/>
      <c r="R545" s="231"/>
      <c r="S545" s="236" t="s">
        <v>453</v>
      </c>
      <c r="T545" s="236" t="s">
        <v>264</v>
      </c>
    </row>
    <row r="546" spans="1:92" s="147" customFormat="1" ht="14">
      <c r="A546" s="231">
        <v>545</v>
      </c>
      <c r="B546" s="235" t="s">
        <v>52</v>
      </c>
      <c r="C546" s="231" t="s">
        <v>10</v>
      </c>
      <c r="D546" s="250" t="s">
        <v>4692</v>
      </c>
      <c r="E546" s="239" t="s">
        <v>1629</v>
      </c>
      <c r="F546" s="231" t="s">
        <v>267</v>
      </c>
      <c r="G546" s="231" cm="1">
        <f t="array" ref="G546">_xlfn.IFS(J546&lt;301,2,J546&gt;300,48)</f>
        <v>48</v>
      </c>
      <c r="H546" s="231" t="s">
        <v>2980</v>
      </c>
      <c r="I546" s="281">
        <v>0</v>
      </c>
      <c r="J546" s="249">
        <v>526.04999999999995</v>
      </c>
      <c r="K546" s="231">
        <f t="shared" si="8"/>
        <v>20</v>
      </c>
      <c r="L546" s="231"/>
      <c r="M546" s="231" t="s">
        <v>16</v>
      </c>
      <c r="N546" s="231" t="s">
        <v>253</v>
      </c>
      <c r="O546" s="231">
        <v>2022</v>
      </c>
      <c r="P546" s="281"/>
      <c r="Q546" s="231"/>
      <c r="R546" s="231"/>
      <c r="S546" s="236" t="s">
        <v>453</v>
      </c>
      <c r="T546" s="236" t="s">
        <v>264</v>
      </c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  <c r="AQ546" s="90"/>
      <c r="AR546" s="90"/>
      <c r="AS546" s="90"/>
      <c r="AT546" s="90"/>
      <c r="AU546" s="90"/>
      <c r="AV546" s="90"/>
      <c r="AW546" s="90"/>
      <c r="AX546" s="90"/>
      <c r="AY546" s="90"/>
      <c r="AZ546" s="90"/>
      <c r="BA546" s="90"/>
      <c r="BB546" s="90"/>
      <c r="BC546" s="90"/>
      <c r="BD546" s="90"/>
      <c r="BE546" s="90"/>
      <c r="BF546" s="90"/>
      <c r="BG546" s="90"/>
      <c r="BH546" s="90"/>
      <c r="BI546" s="90"/>
      <c r="BJ546" s="90"/>
      <c r="BK546" s="90"/>
      <c r="BL546" s="90"/>
      <c r="BM546" s="90"/>
      <c r="BN546" s="90"/>
      <c r="BO546" s="90"/>
      <c r="BP546" s="90"/>
      <c r="BQ546" s="90"/>
      <c r="BR546" s="90"/>
      <c r="BS546" s="90"/>
      <c r="BT546" s="90"/>
      <c r="BU546" s="90"/>
      <c r="BV546" s="90"/>
      <c r="BW546" s="90"/>
      <c r="BX546" s="90"/>
      <c r="BY546" s="90"/>
      <c r="BZ546" s="90"/>
      <c r="CA546" s="90"/>
      <c r="CB546" s="90"/>
      <c r="CC546" s="90"/>
      <c r="CD546" s="90"/>
      <c r="CE546" s="90"/>
      <c r="CF546" s="90"/>
      <c r="CG546" s="90"/>
      <c r="CH546" s="90"/>
      <c r="CI546" s="90"/>
      <c r="CJ546" s="90"/>
      <c r="CK546" s="90"/>
      <c r="CL546" s="90"/>
      <c r="CM546" s="90"/>
      <c r="CN546" s="90"/>
    </row>
    <row r="547" spans="1:92" ht="14">
      <c r="A547" s="231">
        <v>546</v>
      </c>
      <c r="B547" s="235" t="s">
        <v>52</v>
      </c>
      <c r="C547" s="231" t="s">
        <v>10</v>
      </c>
      <c r="D547" s="250" t="s">
        <v>1630</v>
      </c>
      <c r="E547" s="239" t="s">
        <v>1631</v>
      </c>
      <c r="F547" s="231" t="s">
        <v>888</v>
      </c>
      <c r="G547" s="231" cm="1">
        <f t="array" ref="G547">_xlfn.IFS(J547&lt;301,2,J547&gt;300,48)</f>
        <v>48</v>
      </c>
      <c r="H547" s="231" t="s">
        <v>4585</v>
      </c>
      <c r="I547" s="281">
        <v>0</v>
      </c>
      <c r="J547" s="249">
        <v>556.5</v>
      </c>
      <c r="K547" s="231">
        <f t="shared" si="8"/>
        <v>10</v>
      </c>
      <c r="L547" s="231"/>
      <c r="M547" s="299" t="s">
        <v>15</v>
      </c>
      <c r="N547" s="231" t="s">
        <v>253</v>
      </c>
      <c r="O547" s="231">
        <v>2021</v>
      </c>
      <c r="P547" s="281"/>
      <c r="Q547" s="231"/>
      <c r="R547" s="231"/>
      <c r="S547" s="236" t="s">
        <v>453</v>
      </c>
      <c r="T547" s="236" t="s">
        <v>264</v>
      </c>
    </row>
    <row r="548" spans="1:92" ht="14">
      <c r="A548" s="231">
        <v>547</v>
      </c>
      <c r="B548" s="235" t="s">
        <v>52</v>
      </c>
      <c r="C548" s="231" t="s">
        <v>10</v>
      </c>
      <c r="D548" s="250" t="s">
        <v>1632</v>
      </c>
      <c r="E548" s="239" t="s">
        <v>1633</v>
      </c>
      <c r="F548" s="231" t="s">
        <v>854</v>
      </c>
      <c r="G548" s="231" cm="1">
        <f t="array" ref="G548">_xlfn.IFS(J548&lt;301,2,J548&gt;300,48)</f>
        <v>48</v>
      </c>
      <c r="H548" s="231" t="s">
        <v>4545</v>
      </c>
      <c r="I548" s="281">
        <v>0</v>
      </c>
      <c r="J548" s="249">
        <v>315</v>
      </c>
      <c r="K548" s="231">
        <f t="shared" si="8"/>
        <v>10</v>
      </c>
      <c r="L548" s="231"/>
      <c r="M548" s="299" t="s">
        <v>15</v>
      </c>
      <c r="N548" s="231" t="s">
        <v>253</v>
      </c>
      <c r="O548" s="231">
        <v>2022</v>
      </c>
      <c r="P548" s="281"/>
      <c r="Q548" s="231"/>
      <c r="R548" s="231"/>
      <c r="S548" s="236" t="s">
        <v>453</v>
      </c>
      <c r="T548" s="236" t="s">
        <v>264</v>
      </c>
    </row>
    <row r="549" spans="1:92" s="147" customFormat="1" ht="14">
      <c r="A549" s="231">
        <v>548</v>
      </c>
      <c r="B549" s="235" t="s">
        <v>52</v>
      </c>
      <c r="C549" s="231" t="s">
        <v>10</v>
      </c>
      <c r="D549" s="250" t="s">
        <v>1634</v>
      </c>
      <c r="E549" s="239" t="s">
        <v>1635</v>
      </c>
      <c r="F549" s="231" t="s">
        <v>854</v>
      </c>
      <c r="G549" s="231" cm="1">
        <f t="array" ref="G549">_xlfn.IFS(J549&lt;301,2,J549&gt;300,48)</f>
        <v>48</v>
      </c>
      <c r="H549" s="231" t="s">
        <v>2763</v>
      </c>
      <c r="I549" s="281">
        <v>0</v>
      </c>
      <c r="J549" s="249">
        <v>2851.8</v>
      </c>
      <c r="K549" s="231">
        <f t="shared" si="8"/>
        <v>10</v>
      </c>
      <c r="L549" s="231"/>
      <c r="M549" s="299" t="s">
        <v>15</v>
      </c>
      <c r="N549" s="231" t="s">
        <v>253</v>
      </c>
      <c r="O549" s="231">
        <v>2022</v>
      </c>
      <c r="P549" s="281"/>
      <c r="Q549" s="231"/>
      <c r="R549" s="231"/>
      <c r="S549" s="236" t="s">
        <v>453</v>
      </c>
      <c r="T549" s="236" t="s">
        <v>264</v>
      </c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  <c r="AQ549" s="90"/>
      <c r="AR549" s="90"/>
      <c r="AS549" s="90"/>
      <c r="AT549" s="90"/>
      <c r="AU549" s="90"/>
      <c r="AV549" s="90"/>
      <c r="AW549" s="90"/>
      <c r="AX549" s="90"/>
      <c r="AY549" s="90"/>
      <c r="AZ549" s="90"/>
      <c r="BA549" s="90"/>
      <c r="BB549" s="90"/>
      <c r="BC549" s="90"/>
      <c r="BD549" s="90"/>
      <c r="BE549" s="90"/>
      <c r="BF549" s="90"/>
      <c r="BG549" s="90"/>
      <c r="BH549" s="90"/>
      <c r="BI549" s="90"/>
      <c r="BJ549" s="90"/>
      <c r="BK549" s="90"/>
      <c r="BL549" s="90"/>
      <c r="BM549" s="90"/>
      <c r="BN549" s="90"/>
      <c r="BO549" s="90"/>
      <c r="BP549" s="90"/>
      <c r="BQ549" s="90"/>
      <c r="BR549" s="90"/>
      <c r="BS549" s="90"/>
      <c r="BT549" s="90"/>
      <c r="BU549" s="90"/>
      <c r="BV549" s="90"/>
      <c r="BW549" s="90"/>
      <c r="BX549" s="90"/>
      <c r="BY549" s="90"/>
      <c r="BZ549" s="90"/>
      <c r="CA549" s="90"/>
      <c r="CB549" s="90"/>
      <c r="CC549" s="90"/>
      <c r="CD549" s="90"/>
      <c r="CE549" s="90"/>
      <c r="CF549" s="90"/>
      <c r="CG549" s="90"/>
      <c r="CH549" s="90"/>
      <c r="CI549" s="90"/>
      <c r="CJ549" s="90"/>
      <c r="CK549" s="90"/>
      <c r="CL549" s="90"/>
      <c r="CM549" s="90"/>
      <c r="CN549" s="90"/>
    </row>
    <row r="550" spans="1:92" ht="14">
      <c r="A550" s="231">
        <v>549</v>
      </c>
      <c r="B550" s="235" t="s">
        <v>52</v>
      </c>
      <c r="C550" s="231" t="s">
        <v>10</v>
      </c>
      <c r="D550" s="250" t="s">
        <v>1636</v>
      </c>
      <c r="E550" s="239" t="s">
        <v>1637</v>
      </c>
      <c r="F550" s="231" t="s">
        <v>835</v>
      </c>
      <c r="G550" s="231" cm="1">
        <f t="array" ref="G550">_xlfn.IFS(J550&lt;301,2,J550&gt;300,48)</f>
        <v>48</v>
      </c>
      <c r="H550" s="231" t="s">
        <v>4581</v>
      </c>
      <c r="I550" s="281">
        <v>0</v>
      </c>
      <c r="J550" s="249">
        <v>315</v>
      </c>
      <c r="K550" s="231">
        <f t="shared" si="8"/>
        <v>20</v>
      </c>
      <c r="L550" s="231"/>
      <c r="M550" s="231" t="s">
        <v>16</v>
      </c>
      <c r="N550" s="231" t="s">
        <v>253</v>
      </c>
      <c r="O550" s="231">
        <v>2022</v>
      </c>
      <c r="P550" s="281"/>
      <c r="Q550" s="231"/>
      <c r="R550" s="231"/>
      <c r="S550" s="236" t="s">
        <v>453</v>
      </c>
      <c r="T550" s="236" t="s">
        <v>264</v>
      </c>
    </row>
    <row r="551" spans="1:92" ht="14">
      <c r="A551" s="231">
        <v>550</v>
      </c>
      <c r="B551" s="235" t="s">
        <v>52</v>
      </c>
      <c r="C551" s="231" t="s">
        <v>10</v>
      </c>
      <c r="D551" s="250" t="s">
        <v>1638</v>
      </c>
      <c r="E551" s="239" t="s">
        <v>1639</v>
      </c>
      <c r="F551" s="231" t="s">
        <v>873</v>
      </c>
      <c r="G551" s="231" cm="1">
        <f t="array" ref="G551">_xlfn.IFS(J551&lt;301,2,J551&gt;300,48)</f>
        <v>48</v>
      </c>
      <c r="H551" s="231" t="s">
        <v>2767</v>
      </c>
      <c r="I551" s="281">
        <v>0</v>
      </c>
      <c r="J551" s="249">
        <v>315</v>
      </c>
      <c r="K551" s="231">
        <f t="shared" si="8"/>
        <v>10</v>
      </c>
      <c r="L551" s="231"/>
      <c r="M551" s="299" t="s">
        <v>15</v>
      </c>
      <c r="N551" s="231" t="s">
        <v>253</v>
      </c>
      <c r="O551" s="231">
        <v>2022</v>
      </c>
      <c r="P551" s="281"/>
      <c r="Q551" s="231"/>
      <c r="R551" s="231"/>
      <c r="S551" s="236" t="s">
        <v>453</v>
      </c>
      <c r="T551" s="236" t="s">
        <v>264</v>
      </c>
    </row>
    <row r="552" spans="1:92" ht="14">
      <c r="A552" s="231">
        <v>551</v>
      </c>
      <c r="B552" s="235" t="s">
        <v>52</v>
      </c>
      <c r="C552" s="231" t="s">
        <v>10</v>
      </c>
      <c r="D552" s="250" t="s">
        <v>1640</v>
      </c>
      <c r="E552" s="239" t="s">
        <v>1641</v>
      </c>
      <c r="F552" s="231" t="s">
        <v>763</v>
      </c>
      <c r="G552" s="231" cm="1">
        <f t="array" ref="G552">_xlfn.IFS(J552&lt;301,2,J552&gt;300,48)</f>
        <v>48</v>
      </c>
      <c r="H552" s="231" t="s">
        <v>2767</v>
      </c>
      <c r="I552" s="281">
        <v>0</v>
      </c>
      <c r="J552" s="249">
        <v>522.9</v>
      </c>
      <c r="K552" s="231">
        <f t="shared" si="8"/>
        <v>20</v>
      </c>
      <c r="L552" s="231"/>
      <c r="M552" s="231" t="s">
        <v>16</v>
      </c>
      <c r="N552" s="231" t="s">
        <v>253</v>
      </c>
      <c r="O552" s="231">
        <v>2022</v>
      </c>
      <c r="P552" s="281"/>
      <c r="Q552" s="231"/>
      <c r="R552" s="231"/>
      <c r="S552" s="236" t="s">
        <v>453</v>
      </c>
      <c r="T552" s="236" t="s">
        <v>264</v>
      </c>
    </row>
    <row r="553" spans="1:92" ht="14">
      <c r="A553" s="231">
        <v>552</v>
      </c>
      <c r="B553" s="235" t="s">
        <v>52</v>
      </c>
      <c r="C553" s="231" t="s">
        <v>10</v>
      </c>
      <c r="D553" s="250" t="s">
        <v>4694</v>
      </c>
      <c r="E553" s="239" t="s">
        <v>1642</v>
      </c>
      <c r="F553" s="231" t="s">
        <v>763</v>
      </c>
      <c r="G553" s="231" cm="1">
        <f t="array" ref="G553">_xlfn.IFS(J553&lt;301,2,J553&gt;300,48)</f>
        <v>48</v>
      </c>
      <c r="H553" s="231" t="s">
        <v>2767</v>
      </c>
      <c r="I553" s="281">
        <v>0</v>
      </c>
      <c r="J553" s="249">
        <v>3150</v>
      </c>
      <c r="K553" s="231">
        <f t="shared" si="8"/>
        <v>20</v>
      </c>
      <c r="L553" s="231"/>
      <c r="M553" s="299" t="s">
        <v>15</v>
      </c>
      <c r="N553" s="231" t="s">
        <v>253</v>
      </c>
      <c r="O553" s="231">
        <v>2022</v>
      </c>
      <c r="P553" s="281"/>
      <c r="Q553" s="231"/>
      <c r="R553" s="231"/>
      <c r="S553" s="236" t="s">
        <v>453</v>
      </c>
      <c r="T553" s="236" t="s">
        <v>264</v>
      </c>
    </row>
    <row r="554" spans="1:92" ht="14">
      <c r="A554" s="231">
        <v>553</v>
      </c>
      <c r="B554" s="235" t="s">
        <v>52</v>
      </c>
      <c r="C554" s="231" t="s">
        <v>10</v>
      </c>
      <c r="D554" s="250" t="s">
        <v>1643</v>
      </c>
      <c r="E554" s="239" t="s">
        <v>1644</v>
      </c>
      <c r="F554" s="231" t="s">
        <v>763</v>
      </c>
      <c r="G554" s="231" cm="1">
        <f t="array" ref="G554">_xlfn.IFS(J554&lt;301,2,J554&gt;300,48)</f>
        <v>48</v>
      </c>
      <c r="H554" s="231" t="s">
        <v>2767</v>
      </c>
      <c r="I554" s="281">
        <v>0</v>
      </c>
      <c r="J554" s="249">
        <v>315</v>
      </c>
      <c r="K554" s="231">
        <f t="shared" si="8"/>
        <v>10</v>
      </c>
      <c r="L554" s="231"/>
      <c r="M554" s="299" t="s">
        <v>15</v>
      </c>
      <c r="N554" s="231" t="s">
        <v>253</v>
      </c>
      <c r="O554" s="231">
        <v>2022</v>
      </c>
      <c r="P554" s="281"/>
      <c r="Q554" s="231"/>
      <c r="R554" s="231"/>
      <c r="S554" s="236" t="s">
        <v>453</v>
      </c>
      <c r="T554" s="236" t="s">
        <v>264</v>
      </c>
    </row>
    <row r="555" spans="1:92" ht="14">
      <c r="A555" s="231">
        <v>554</v>
      </c>
      <c r="B555" s="235" t="s">
        <v>52</v>
      </c>
      <c r="C555" s="231" t="s">
        <v>10</v>
      </c>
      <c r="D555" s="250" t="s">
        <v>4708</v>
      </c>
      <c r="E555" s="239" t="s">
        <v>1645</v>
      </c>
      <c r="F555" s="231" t="s">
        <v>763</v>
      </c>
      <c r="G555" s="231" cm="1">
        <f t="array" ref="G555">_xlfn.IFS(J555&lt;301,2,J555&gt;300,48)</f>
        <v>48</v>
      </c>
      <c r="H555" s="231" t="s">
        <v>2767</v>
      </c>
      <c r="I555" s="281">
        <v>0</v>
      </c>
      <c r="J555" s="249">
        <v>315</v>
      </c>
      <c r="K555" s="231">
        <f t="shared" si="8"/>
        <v>10</v>
      </c>
      <c r="L555" s="231"/>
      <c r="M555" s="299" t="s">
        <v>15</v>
      </c>
      <c r="N555" s="231" t="s">
        <v>253</v>
      </c>
      <c r="O555" s="231">
        <v>2022</v>
      </c>
      <c r="P555" s="281"/>
      <c r="Q555" s="231"/>
      <c r="R555" s="231"/>
      <c r="S555" s="236" t="s">
        <v>453</v>
      </c>
      <c r="T555" s="236" t="s">
        <v>264</v>
      </c>
    </row>
    <row r="556" spans="1:92" ht="14">
      <c r="A556" s="231">
        <v>555</v>
      </c>
      <c r="B556" s="235" t="s">
        <v>52</v>
      </c>
      <c r="C556" s="231" t="s">
        <v>10</v>
      </c>
      <c r="D556" s="250" t="s">
        <v>1646</v>
      </c>
      <c r="E556" s="239" t="s">
        <v>1647</v>
      </c>
      <c r="F556" s="231" t="s">
        <v>888</v>
      </c>
      <c r="G556" s="231" cm="1">
        <f t="array" ref="G556">_xlfn.IFS(J556&lt;301,2,J556&gt;300,48)</f>
        <v>48</v>
      </c>
      <c r="H556" s="231" t="s">
        <v>2773</v>
      </c>
      <c r="I556" s="281">
        <v>0</v>
      </c>
      <c r="J556" s="249">
        <v>1963.5</v>
      </c>
      <c r="K556" s="231">
        <f t="shared" si="8"/>
        <v>10</v>
      </c>
      <c r="L556" s="231"/>
      <c r="M556" s="299" t="s">
        <v>15</v>
      </c>
      <c r="N556" s="231" t="s">
        <v>253</v>
      </c>
      <c r="O556" s="231">
        <v>2022</v>
      </c>
      <c r="P556" s="281"/>
      <c r="Q556" s="231"/>
      <c r="R556" s="231"/>
      <c r="S556" s="236" t="s">
        <v>453</v>
      </c>
      <c r="T556" s="236" t="s">
        <v>264</v>
      </c>
    </row>
    <row r="557" spans="1:92" ht="14">
      <c r="A557" s="231">
        <v>556</v>
      </c>
      <c r="B557" s="235" t="s">
        <v>52</v>
      </c>
      <c r="C557" s="231" t="s">
        <v>10</v>
      </c>
      <c r="D557" s="250" t="s">
        <v>1648</v>
      </c>
      <c r="E557" s="239" t="s">
        <v>1649</v>
      </c>
      <c r="F557" s="231" t="s">
        <v>267</v>
      </c>
      <c r="G557" s="231" cm="1">
        <f t="array" ref="G557">_xlfn.IFS(J557&lt;301,2,J557&gt;300,48)</f>
        <v>48</v>
      </c>
      <c r="H557" s="231" t="s">
        <v>4265</v>
      </c>
      <c r="I557" s="281">
        <v>0</v>
      </c>
      <c r="J557" s="249">
        <v>1317.75</v>
      </c>
      <c r="K557" s="231">
        <f t="shared" si="8"/>
        <v>20</v>
      </c>
      <c r="L557" s="231"/>
      <c r="M557" s="231" t="s">
        <v>16</v>
      </c>
      <c r="N557" s="231" t="s">
        <v>253</v>
      </c>
      <c r="O557" s="231">
        <v>2022</v>
      </c>
      <c r="P557" s="281"/>
      <c r="Q557" s="231"/>
      <c r="R557" s="231"/>
      <c r="S557" s="236" t="s">
        <v>453</v>
      </c>
      <c r="T557" s="236" t="s">
        <v>264</v>
      </c>
    </row>
    <row r="558" spans="1:92" ht="14">
      <c r="A558" s="231">
        <v>557</v>
      </c>
      <c r="B558" s="235" t="s">
        <v>52</v>
      </c>
      <c r="C558" s="231" t="s">
        <v>10</v>
      </c>
      <c r="D558" s="250" t="s">
        <v>1650</v>
      </c>
      <c r="E558" s="239" t="s">
        <v>1651</v>
      </c>
      <c r="F558" s="231" t="s">
        <v>881</v>
      </c>
      <c r="G558" s="231" cm="1">
        <f t="array" ref="G558">_xlfn.IFS(J558&lt;301,2,J558&gt;300,48)</f>
        <v>48</v>
      </c>
      <c r="H558" s="231" t="s">
        <v>3060</v>
      </c>
      <c r="I558" s="281">
        <v>0</v>
      </c>
      <c r="J558" s="249">
        <v>525</v>
      </c>
      <c r="K558" s="231">
        <f t="shared" si="8"/>
        <v>10</v>
      </c>
      <c r="L558" s="231"/>
      <c r="M558" s="299" t="s">
        <v>15</v>
      </c>
      <c r="N558" s="231" t="s">
        <v>253</v>
      </c>
      <c r="O558" s="231">
        <v>2022</v>
      </c>
      <c r="P558" s="281"/>
      <c r="Q558" s="231"/>
      <c r="R558" s="231"/>
      <c r="S558" s="236" t="s">
        <v>453</v>
      </c>
      <c r="T558" s="236" t="s">
        <v>264</v>
      </c>
    </row>
    <row r="559" spans="1:92" ht="14">
      <c r="A559" s="231">
        <v>558</v>
      </c>
      <c r="B559" s="235" t="s">
        <v>52</v>
      </c>
      <c r="C559" s="231" t="s">
        <v>10</v>
      </c>
      <c r="D559" s="250" t="s">
        <v>1652</v>
      </c>
      <c r="E559" s="239" t="s">
        <v>1653</v>
      </c>
      <c r="F559" s="231" t="s">
        <v>854</v>
      </c>
      <c r="G559" s="231" cm="1">
        <f t="array" ref="G559">_xlfn.IFS(J559&lt;301,2,J559&gt;300,48)</f>
        <v>48</v>
      </c>
      <c r="H559" s="231" t="s">
        <v>4544</v>
      </c>
      <c r="I559" s="281">
        <v>0</v>
      </c>
      <c r="J559" s="249">
        <v>7073.85</v>
      </c>
      <c r="K559" s="231">
        <f t="shared" si="8"/>
        <v>20</v>
      </c>
      <c r="L559" s="231"/>
      <c r="M559" s="231" t="s">
        <v>16</v>
      </c>
      <c r="N559" s="231" t="s">
        <v>253</v>
      </c>
      <c r="O559" s="231">
        <v>2022</v>
      </c>
      <c r="P559" s="281"/>
      <c r="Q559" s="231"/>
      <c r="R559" s="231"/>
      <c r="S559" s="236" t="s">
        <v>453</v>
      </c>
      <c r="T559" s="236" t="s">
        <v>264</v>
      </c>
    </row>
    <row r="560" spans="1:92" ht="14">
      <c r="A560" s="231">
        <v>559</v>
      </c>
      <c r="B560" s="235" t="s">
        <v>52</v>
      </c>
      <c r="C560" s="231" t="s">
        <v>10</v>
      </c>
      <c r="D560" s="250" t="s">
        <v>1654</v>
      </c>
      <c r="E560" s="239" t="s">
        <v>1655</v>
      </c>
      <c r="F560" s="231" t="s">
        <v>267</v>
      </c>
      <c r="G560" s="231" cm="1">
        <f t="array" ref="G560">_xlfn.IFS(J560&lt;301,2,J560&gt;300,48)</f>
        <v>2</v>
      </c>
      <c r="H560" s="231" t="s">
        <v>2765</v>
      </c>
      <c r="I560" s="281">
        <v>0</v>
      </c>
      <c r="J560" s="249">
        <v>288</v>
      </c>
      <c r="K560" s="231">
        <f t="shared" si="8"/>
        <v>20</v>
      </c>
      <c r="L560" s="231"/>
      <c r="M560" s="231" t="s">
        <v>16</v>
      </c>
      <c r="N560" s="231" t="s">
        <v>253</v>
      </c>
      <c r="O560" s="231">
        <v>2022</v>
      </c>
      <c r="P560" s="281"/>
      <c r="Q560" s="231"/>
      <c r="R560" s="231"/>
      <c r="S560" s="236" t="s">
        <v>453</v>
      </c>
      <c r="T560" s="236" t="s">
        <v>264</v>
      </c>
    </row>
    <row r="561" spans="1:20" ht="14">
      <c r="A561" s="231">
        <v>560</v>
      </c>
      <c r="B561" s="235" t="s">
        <v>52</v>
      </c>
      <c r="C561" s="231" t="s">
        <v>10</v>
      </c>
      <c r="D561" s="250" t="s">
        <v>1656</v>
      </c>
      <c r="E561" s="239" t="s">
        <v>1657</v>
      </c>
      <c r="F561" s="231" t="s">
        <v>888</v>
      </c>
      <c r="G561" s="231" cm="1">
        <f t="array" ref="G561">_xlfn.IFS(J561&lt;301,2,J561&gt;300,48)</f>
        <v>48</v>
      </c>
      <c r="H561" s="231" t="s">
        <v>2773</v>
      </c>
      <c r="I561" s="281">
        <v>0</v>
      </c>
      <c r="J561" s="249">
        <v>465.15</v>
      </c>
      <c r="K561" s="231">
        <f t="shared" si="8"/>
        <v>20</v>
      </c>
      <c r="L561" s="231"/>
      <c r="M561" s="231" t="s">
        <v>16</v>
      </c>
      <c r="N561" s="231" t="s">
        <v>253</v>
      </c>
      <c r="O561" s="231">
        <v>2021</v>
      </c>
      <c r="P561" s="281"/>
      <c r="Q561" s="231"/>
      <c r="R561" s="231"/>
      <c r="S561" s="236" t="s">
        <v>453</v>
      </c>
      <c r="T561" s="236" t="s">
        <v>264</v>
      </c>
    </row>
    <row r="562" spans="1:20" ht="14">
      <c r="A562" s="231">
        <v>561</v>
      </c>
      <c r="B562" s="235" t="s">
        <v>52</v>
      </c>
      <c r="C562" s="231" t="s">
        <v>10</v>
      </c>
      <c r="D562" s="250" t="s">
        <v>1658</v>
      </c>
      <c r="E562" s="239" t="s">
        <v>1659</v>
      </c>
      <c r="F562" s="231" t="s">
        <v>888</v>
      </c>
      <c r="G562" s="231" cm="1">
        <f t="array" ref="G562">_xlfn.IFS(J562&lt;301,2,J562&gt;300,48)</f>
        <v>48</v>
      </c>
      <c r="H562" s="231" t="s">
        <v>215</v>
      </c>
      <c r="I562" s="281">
        <v>0</v>
      </c>
      <c r="J562" s="249">
        <v>1907.85</v>
      </c>
      <c r="K562" s="231" t="str">
        <f t="shared" si="8"/>
        <v>N/A</v>
      </c>
      <c r="L562" s="231"/>
      <c r="M562" s="231" t="s">
        <v>456</v>
      </c>
      <c r="N562" s="231" t="s">
        <v>253</v>
      </c>
      <c r="O562" s="231">
        <v>2021</v>
      </c>
      <c r="P562" s="281"/>
      <c r="Q562" s="231"/>
      <c r="R562" s="231"/>
      <c r="S562" s="236" t="s">
        <v>453</v>
      </c>
      <c r="T562" s="236" t="s">
        <v>264</v>
      </c>
    </row>
    <row r="563" spans="1:20" ht="14">
      <c r="A563" s="231">
        <v>562</v>
      </c>
      <c r="B563" s="235" t="s">
        <v>52</v>
      </c>
      <c r="C563" s="231" t="s">
        <v>10</v>
      </c>
      <c r="D563" s="250" t="s">
        <v>1660</v>
      </c>
      <c r="E563" s="239" t="s">
        <v>1661</v>
      </c>
      <c r="F563" s="231" t="s">
        <v>835</v>
      </c>
      <c r="G563" s="231" cm="1">
        <f t="array" ref="G563">_xlfn.IFS(J563&lt;301,2,J563&gt;300,48)</f>
        <v>48</v>
      </c>
      <c r="H563" s="231" t="s">
        <v>4251</v>
      </c>
      <c r="I563" s="281">
        <v>0</v>
      </c>
      <c r="J563" s="249">
        <v>784.35</v>
      </c>
      <c r="K563" s="231">
        <f t="shared" si="8"/>
        <v>10</v>
      </c>
      <c r="L563" s="231"/>
      <c r="M563" s="299" t="s">
        <v>15</v>
      </c>
      <c r="N563" s="231" t="s">
        <v>253</v>
      </c>
      <c r="O563" s="231">
        <v>2021</v>
      </c>
      <c r="P563" s="281"/>
      <c r="Q563" s="231"/>
      <c r="R563" s="231"/>
      <c r="S563" s="236" t="s">
        <v>453</v>
      </c>
      <c r="T563" s="236" t="s">
        <v>264</v>
      </c>
    </row>
    <row r="564" spans="1:20" ht="14">
      <c r="A564" s="231">
        <v>563</v>
      </c>
      <c r="B564" s="235" t="s">
        <v>52</v>
      </c>
      <c r="C564" s="231" t="s">
        <v>10</v>
      </c>
      <c r="D564" s="250" t="s">
        <v>1662</v>
      </c>
      <c r="E564" s="239" t="s">
        <v>1663</v>
      </c>
      <c r="F564" s="231" t="s">
        <v>267</v>
      </c>
      <c r="G564" s="231" cm="1">
        <f t="array" ref="G564">_xlfn.IFS(J564&lt;301,2,J564&gt;300,48)</f>
        <v>48</v>
      </c>
      <c r="H564" s="231" t="s">
        <v>3542</v>
      </c>
      <c r="I564" s="281">
        <v>0</v>
      </c>
      <c r="J564" s="249">
        <v>546</v>
      </c>
      <c r="K564" s="231">
        <f t="shared" si="8"/>
        <v>20</v>
      </c>
      <c r="L564" s="231"/>
      <c r="M564" s="231" t="s">
        <v>16</v>
      </c>
      <c r="N564" s="231" t="s">
        <v>253</v>
      </c>
      <c r="O564" s="231">
        <v>2021</v>
      </c>
      <c r="P564" s="281"/>
      <c r="Q564" s="231"/>
      <c r="R564" s="231"/>
      <c r="S564" s="236" t="s">
        <v>453</v>
      </c>
      <c r="T564" s="236" t="s">
        <v>264</v>
      </c>
    </row>
    <row r="565" spans="1:20" ht="14">
      <c r="A565" s="231">
        <v>564</v>
      </c>
      <c r="B565" s="235" t="s">
        <v>52</v>
      </c>
      <c r="C565" s="231" t="s">
        <v>10</v>
      </c>
      <c r="D565" s="250" t="s">
        <v>4701</v>
      </c>
      <c r="E565" s="239" t="s">
        <v>1665</v>
      </c>
      <c r="F565" s="231" t="s">
        <v>873</v>
      </c>
      <c r="G565" s="231" cm="1">
        <f t="array" ref="G565">_xlfn.IFS(J565&lt;301,2,J565&gt;300,48)</f>
        <v>48</v>
      </c>
      <c r="H565" s="231" t="s">
        <v>3060</v>
      </c>
      <c r="I565" s="281">
        <v>0</v>
      </c>
      <c r="J565" s="249">
        <v>609</v>
      </c>
      <c r="K565" s="231">
        <f t="shared" si="8"/>
        <v>20</v>
      </c>
      <c r="L565" s="231"/>
      <c r="M565" s="231" t="s">
        <v>16</v>
      </c>
      <c r="N565" s="231" t="s">
        <v>253</v>
      </c>
      <c r="O565" s="231">
        <v>2021</v>
      </c>
      <c r="P565" s="281"/>
      <c r="Q565" s="231"/>
      <c r="R565" s="231"/>
      <c r="S565" s="236" t="s">
        <v>453</v>
      </c>
      <c r="T565" s="236" t="s">
        <v>264</v>
      </c>
    </row>
    <row r="566" spans="1:20" ht="14">
      <c r="A566" s="231">
        <v>565</v>
      </c>
      <c r="B566" s="235" t="s">
        <v>52</v>
      </c>
      <c r="C566" s="231" t="s">
        <v>10</v>
      </c>
      <c r="D566" s="250" t="s">
        <v>1666</v>
      </c>
      <c r="E566" s="239" t="s">
        <v>1667</v>
      </c>
      <c r="F566" s="231" t="s">
        <v>763</v>
      </c>
      <c r="G566" s="231" cm="1">
        <f t="array" ref="G566">_xlfn.IFS(J566&lt;301,2,J566&gt;300,48)</f>
        <v>48</v>
      </c>
      <c r="H566" s="231" t="s">
        <v>2767</v>
      </c>
      <c r="I566" s="281">
        <v>0</v>
      </c>
      <c r="J566" s="249">
        <v>1569.75</v>
      </c>
      <c r="K566" s="231">
        <f t="shared" si="8"/>
        <v>10</v>
      </c>
      <c r="L566" s="231"/>
      <c r="M566" s="299" t="s">
        <v>15</v>
      </c>
      <c r="N566" s="231" t="s">
        <v>253</v>
      </c>
      <c r="O566" s="231">
        <v>2021</v>
      </c>
      <c r="P566" s="281"/>
      <c r="Q566" s="231"/>
      <c r="R566" s="231"/>
      <c r="S566" s="236" t="s">
        <v>453</v>
      </c>
      <c r="T566" s="236" t="s">
        <v>264</v>
      </c>
    </row>
    <row r="567" spans="1:20" ht="14">
      <c r="A567" s="231">
        <v>566</v>
      </c>
      <c r="B567" s="235" t="s">
        <v>52</v>
      </c>
      <c r="C567" s="231" t="s">
        <v>10</v>
      </c>
      <c r="D567" s="250" t="s">
        <v>1668</v>
      </c>
      <c r="E567" s="239" t="s">
        <v>1669</v>
      </c>
      <c r="F567" s="231" t="s">
        <v>881</v>
      </c>
      <c r="G567" s="231" cm="1">
        <f t="array" ref="G567">_xlfn.IFS(J567&lt;301,2,J567&gt;300,48)</f>
        <v>48</v>
      </c>
      <c r="H567" s="231" t="s">
        <v>3060</v>
      </c>
      <c r="I567" s="281">
        <v>0</v>
      </c>
      <c r="J567" s="249">
        <v>1200</v>
      </c>
      <c r="K567" s="231">
        <f t="shared" si="8"/>
        <v>20</v>
      </c>
      <c r="L567" s="231"/>
      <c r="M567" s="231" t="s">
        <v>16</v>
      </c>
      <c r="N567" s="231" t="s">
        <v>253</v>
      </c>
      <c r="O567" s="231">
        <v>2021</v>
      </c>
      <c r="P567" s="281"/>
      <c r="Q567" s="231"/>
      <c r="R567" s="231"/>
      <c r="S567" s="236" t="s">
        <v>453</v>
      </c>
      <c r="T567" s="236" t="s">
        <v>264</v>
      </c>
    </row>
    <row r="568" spans="1:20" ht="14">
      <c r="A568" s="231">
        <v>567</v>
      </c>
      <c r="B568" s="235" t="s">
        <v>52</v>
      </c>
      <c r="C568" s="231" t="s">
        <v>10</v>
      </c>
      <c r="D568" s="250" t="s">
        <v>1670</v>
      </c>
      <c r="E568" s="239" t="s">
        <v>1671</v>
      </c>
      <c r="F568" s="231" t="s">
        <v>267</v>
      </c>
      <c r="G568" s="231" cm="1">
        <f t="array" ref="G568">_xlfn.IFS(J568&lt;301,2,J568&gt;300,48)</f>
        <v>48</v>
      </c>
      <c r="H568" s="231" t="s">
        <v>2765</v>
      </c>
      <c r="I568" s="281">
        <v>0</v>
      </c>
      <c r="J568" s="249">
        <v>315</v>
      </c>
      <c r="K568" s="231">
        <f t="shared" si="8"/>
        <v>20</v>
      </c>
      <c r="L568" s="231"/>
      <c r="M568" s="231" t="s">
        <v>16</v>
      </c>
      <c r="N568" s="231" t="s">
        <v>253</v>
      </c>
      <c r="O568" s="231">
        <v>2021</v>
      </c>
      <c r="P568" s="281"/>
      <c r="Q568" s="231"/>
      <c r="R568" s="231"/>
      <c r="S568" s="236" t="s">
        <v>453</v>
      </c>
      <c r="T568" s="236" t="s">
        <v>264</v>
      </c>
    </row>
    <row r="569" spans="1:20" ht="14">
      <c r="A569" s="231">
        <v>568</v>
      </c>
      <c r="B569" s="235" t="s">
        <v>52</v>
      </c>
      <c r="C569" s="231" t="s">
        <v>10</v>
      </c>
      <c r="D569" s="250" t="s">
        <v>1672</v>
      </c>
      <c r="E569" s="239" t="s">
        <v>1673</v>
      </c>
      <c r="F569" s="231" t="s">
        <v>854</v>
      </c>
      <c r="G569" s="231" cm="1">
        <f t="array" ref="G569">_xlfn.IFS(J569&lt;301,2,J569&gt;300,48)</f>
        <v>48</v>
      </c>
      <c r="H569" s="231" t="s">
        <v>185</v>
      </c>
      <c r="I569" s="281">
        <v>0</v>
      </c>
      <c r="J569" s="249">
        <v>512.4</v>
      </c>
      <c r="K569" s="231">
        <f t="shared" si="8"/>
        <v>10</v>
      </c>
      <c r="L569" s="231"/>
      <c r="M569" s="299" t="s">
        <v>15</v>
      </c>
      <c r="N569" s="231" t="s">
        <v>253</v>
      </c>
      <c r="O569" s="231">
        <v>2021</v>
      </c>
      <c r="P569" s="281"/>
      <c r="Q569" s="231"/>
      <c r="R569" s="231"/>
      <c r="S569" s="236" t="s">
        <v>453</v>
      </c>
      <c r="T569" s="236" t="s">
        <v>264</v>
      </c>
    </row>
    <row r="570" spans="1:20" ht="14">
      <c r="A570" s="231">
        <v>569</v>
      </c>
      <c r="B570" s="235" t="s">
        <v>50</v>
      </c>
      <c r="C570" s="231" t="s">
        <v>10</v>
      </c>
      <c r="D570" s="250" t="s">
        <v>1674</v>
      </c>
      <c r="E570" s="239" t="s">
        <v>1675</v>
      </c>
      <c r="F570" s="231" t="s">
        <v>835</v>
      </c>
      <c r="G570" s="231" cm="1">
        <f t="array" ref="G570">_xlfn.IFS(J570&lt;301,2,J570&gt;300,48)</f>
        <v>48</v>
      </c>
      <c r="H570" s="231" t="s">
        <v>2797</v>
      </c>
      <c r="I570" s="281">
        <v>0</v>
      </c>
      <c r="J570" s="249">
        <v>315</v>
      </c>
      <c r="K570" s="231">
        <f t="shared" si="8"/>
        <v>10</v>
      </c>
      <c r="L570" s="231"/>
      <c r="M570" s="299" t="s">
        <v>15</v>
      </c>
      <c r="N570" s="231" t="s">
        <v>253</v>
      </c>
      <c r="O570" s="231">
        <v>2022</v>
      </c>
      <c r="P570" s="281"/>
      <c r="Q570" s="231"/>
      <c r="R570" s="231"/>
      <c r="S570" s="236" t="s">
        <v>453</v>
      </c>
      <c r="T570" s="236" t="s">
        <v>264</v>
      </c>
    </row>
    <row r="571" spans="1:20" ht="14">
      <c r="A571" s="231">
        <v>570</v>
      </c>
      <c r="B571" s="235" t="s">
        <v>52</v>
      </c>
      <c r="C571" s="231" t="s">
        <v>10</v>
      </c>
      <c r="D571" s="250" t="s">
        <v>1676</v>
      </c>
      <c r="E571" s="239" t="s">
        <v>1677</v>
      </c>
      <c r="F571" s="231" t="s">
        <v>835</v>
      </c>
      <c r="G571" s="231" cm="1">
        <f t="array" ref="G571">_xlfn.IFS(J571&lt;301,2,J571&gt;300,48)</f>
        <v>48</v>
      </c>
      <c r="H571" s="231" t="s">
        <v>4554</v>
      </c>
      <c r="I571" s="281">
        <v>0</v>
      </c>
      <c r="J571" s="249">
        <v>833.7</v>
      </c>
      <c r="K571" s="231">
        <f t="shared" si="8"/>
        <v>20</v>
      </c>
      <c r="L571" s="231"/>
      <c r="M571" s="231" t="s">
        <v>16</v>
      </c>
      <c r="N571" s="231" t="s">
        <v>253</v>
      </c>
      <c r="O571" s="231">
        <v>2022</v>
      </c>
      <c r="P571" s="281"/>
      <c r="Q571" s="231"/>
      <c r="R571" s="231"/>
      <c r="S571" s="236" t="s">
        <v>453</v>
      </c>
      <c r="T571" s="236" t="s">
        <v>264</v>
      </c>
    </row>
    <row r="572" spans="1:20" ht="14">
      <c r="A572" s="231">
        <v>571</v>
      </c>
      <c r="B572" s="235" t="s">
        <v>52</v>
      </c>
      <c r="C572" s="231" t="s">
        <v>10</v>
      </c>
      <c r="D572" s="250" t="s">
        <v>1678</v>
      </c>
      <c r="E572" s="239" t="s">
        <v>1679</v>
      </c>
      <c r="F572" s="231" t="s">
        <v>1680</v>
      </c>
      <c r="G572" s="231">
        <v>24</v>
      </c>
      <c r="H572" s="231" t="s">
        <v>189</v>
      </c>
      <c r="I572" s="281">
        <v>0</v>
      </c>
      <c r="J572" s="249">
        <v>10743.6</v>
      </c>
      <c r="K572" s="231" t="str">
        <f t="shared" si="8"/>
        <v>N/A</v>
      </c>
      <c r="L572" s="231"/>
      <c r="M572" s="231" t="s">
        <v>456</v>
      </c>
      <c r="N572" s="231" t="s">
        <v>253</v>
      </c>
      <c r="O572" s="231">
        <v>2021</v>
      </c>
      <c r="P572" s="281"/>
      <c r="Q572" s="231"/>
      <c r="R572" s="231"/>
      <c r="S572" s="236" t="s">
        <v>453</v>
      </c>
      <c r="T572" s="236" t="s">
        <v>264</v>
      </c>
    </row>
    <row r="573" spans="1:20" ht="14">
      <c r="A573" s="231">
        <v>572</v>
      </c>
      <c r="B573" s="235" t="s">
        <v>52</v>
      </c>
      <c r="C573" s="231" t="s">
        <v>10</v>
      </c>
      <c r="D573" s="250" t="s">
        <v>1681</v>
      </c>
      <c r="E573" s="239" t="s">
        <v>1682</v>
      </c>
      <c r="F573" s="231" t="s">
        <v>878</v>
      </c>
      <c r="G573" s="231" cm="1">
        <f t="array" ref="G573">_xlfn.IFS(J573&lt;301,2,J573&gt;300,48)</f>
        <v>48</v>
      </c>
      <c r="H573" s="231" t="s">
        <v>4254</v>
      </c>
      <c r="I573" s="281">
        <v>0</v>
      </c>
      <c r="J573" s="249">
        <v>1945.65</v>
      </c>
      <c r="K573" s="231">
        <f t="shared" si="8"/>
        <v>10</v>
      </c>
      <c r="L573" s="231"/>
      <c r="M573" s="299" t="s">
        <v>15</v>
      </c>
      <c r="N573" s="231" t="s">
        <v>253</v>
      </c>
      <c r="O573" s="231">
        <v>2021</v>
      </c>
      <c r="P573" s="281"/>
      <c r="Q573" s="231"/>
      <c r="R573" s="231"/>
      <c r="S573" s="236" t="s">
        <v>453</v>
      </c>
      <c r="T573" s="236" t="s">
        <v>264</v>
      </c>
    </row>
    <row r="574" spans="1:20" ht="14">
      <c r="A574" s="231">
        <v>573</v>
      </c>
      <c r="B574" s="235" t="s">
        <v>52</v>
      </c>
      <c r="C574" s="231" t="s">
        <v>10</v>
      </c>
      <c r="D574" s="250" t="s">
        <v>1683</v>
      </c>
      <c r="E574" s="239" t="s">
        <v>1684</v>
      </c>
      <c r="F574" s="231" t="s">
        <v>878</v>
      </c>
      <c r="G574" s="231" cm="1">
        <f t="array" ref="G574">_xlfn.IFS(J574&lt;301,2,J574&gt;300,48)</f>
        <v>48</v>
      </c>
      <c r="H574" s="231" t="s">
        <v>4648</v>
      </c>
      <c r="I574" s="281">
        <v>0</v>
      </c>
      <c r="J574" s="249">
        <v>315</v>
      </c>
      <c r="K574" s="231">
        <f t="shared" si="8"/>
        <v>20</v>
      </c>
      <c r="L574" s="231"/>
      <c r="M574" s="231" t="s">
        <v>16</v>
      </c>
      <c r="N574" s="231" t="s">
        <v>253</v>
      </c>
      <c r="O574" s="231">
        <v>2021</v>
      </c>
      <c r="P574" s="281"/>
      <c r="Q574" s="231"/>
      <c r="R574" s="231"/>
      <c r="S574" s="236" t="s">
        <v>453</v>
      </c>
      <c r="T574" s="236" t="s">
        <v>264</v>
      </c>
    </row>
    <row r="575" spans="1:20" ht="14">
      <c r="A575" s="231">
        <v>574</v>
      </c>
      <c r="B575" s="235" t="s">
        <v>52</v>
      </c>
      <c r="C575" s="231" t="s">
        <v>10</v>
      </c>
      <c r="D575" s="250" t="s">
        <v>1685</v>
      </c>
      <c r="E575" s="239" t="s">
        <v>1686</v>
      </c>
      <c r="F575" s="231" t="s">
        <v>1415</v>
      </c>
      <c r="G575" s="231" cm="1">
        <f t="array" ref="G575">_xlfn.IFS(J575&lt;301,2,J575&gt;300,48)</f>
        <v>48</v>
      </c>
      <c r="H575" s="231" t="s">
        <v>4677</v>
      </c>
      <c r="I575" s="281">
        <v>0</v>
      </c>
      <c r="J575" s="249">
        <v>1128.75</v>
      </c>
      <c r="K575" s="231">
        <f t="shared" si="8"/>
        <v>20</v>
      </c>
      <c r="L575" s="231"/>
      <c r="M575" s="231" t="s">
        <v>16</v>
      </c>
      <c r="N575" s="231" t="s">
        <v>253</v>
      </c>
      <c r="O575" s="231">
        <v>2021</v>
      </c>
      <c r="P575" s="281"/>
      <c r="Q575" s="231"/>
      <c r="R575" s="231"/>
      <c r="S575" s="236" t="s">
        <v>453</v>
      </c>
      <c r="T575" s="236" t="s">
        <v>264</v>
      </c>
    </row>
    <row r="576" spans="1:20" ht="14">
      <c r="A576" s="231">
        <v>575</v>
      </c>
      <c r="B576" s="235" t="s">
        <v>52</v>
      </c>
      <c r="C576" s="231" t="s">
        <v>10</v>
      </c>
      <c r="D576" s="250" t="s">
        <v>1687</v>
      </c>
      <c r="E576" s="239" t="s">
        <v>1688</v>
      </c>
      <c r="F576" s="231" t="s">
        <v>1689</v>
      </c>
      <c r="G576" s="231" cm="1">
        <f t="array" ref="G576">_xlfn.IFS(J576&lt;301,2,J576&gt;300,48)</f>
        <v>48</v>
      </c>
      <c r="H576" s="231" t="s">
        <v>4259</v>
      </c>
      <c r="I576" s="281">
        <v>0</v>
      </c>
      <c r="J576" s="249">
        <v>6967.8</v>
      </c>
      <c r="K576" s="231" t="str">
        <f t="shared" si="8"/>
        <v>N/A</v>
      </c>
      <c r="L576" s="231"/>
      <c r="M576" s="231" t="s">
        <v>456</v>
      </c>
      <c r="N576" s="231" t="s">
        <v>253</v>
      </c>
      <c r="O576" s="231">
        <v>2021</v>
      </c>
      <c r="P576" s="281"/>
      <c r="Q576" s="231"/>
      <c r="R576" s="231"/>
      <c r="S576" s="236" t="s">
        <v>457</v>
      </c>
      <c r="T576" s="236" t="s">
        <v>264</v>
      </c>
    </row>
    <row r="577" spans="1:92" ht="14">
      <c r="A577" s="231">
        <v>576</v>
      </c>
      <c r="B577" s="235" t="s">
        <v>52</v>
      </c>
      <c r="C577" s="231" t="s">
        <v>10</v>
      </c>
      <c r="D577" s="250" t="s">
        <v>1690</v>
      </c>
      <c r="E577" s="239" t="s">
        <v>1691</v>
      </c>
      <c r="F577" s="231" t="s">
        <v>878</v>
      </c>
      <c r="G577" s="231" cm="1">
        <f t="array" ref="G577">_xlfn.IFS(J577&lt;301,2,J577&gt;300,48)</f>
        <v>48</v>
      </c>
      <c r="H577" s="231" t="s">
        <v>4698</v>
      </c>
      <c r="I577" s="281">
        <v>0</v>
      </c>
      <c r="J577" s="249">
        <v>1390.2</v>
      </c>
      <c r="K577" s="231">
        <f t="shared" ref="K577:K640" si="9">IF(M577="ONT",20,IF(M577="N/A","N/A",IF(M577="MIKROTIK",IF(J577&lt;3000,10,IF(3000&lt;J577&gt;10000,20,IF(10000&lt;J577&gt;20000,40,IF(20000&lt;J577&gt;40000,60,IF(J577&gt;40000,80,IF(J577&lt;300,3,)))))))))</f>
        <v>10</v>
      </c>
      <c r="L577" s="231"/>
      <c r="M577" s="299" t="s">
        <v>15</v>
      </c>
      <c r="N577" s="231" t="s">
        <v>253</v>
      </c>
      <c r="O577" s="231">
        <v>2021</v>
      </c>
      <c r="P577" s="281"/>
      <c r="Q577" s="231"/>
      <c r="R577" s="231"/>
      <c r="S577" s="236" t="s">
        <v>453</v>
      </c>
      <c r="T577" s="236" t="s">
        <v>264</v>
      </c>
    </row>
    <row r="578" spans="1:92" ht="14">
      <c r="A578" s="231">
        <v>577</v>
      </c>
      <c r="B578" s="235" t="s">
        <v>52</v>
      </c>
      <c r="C578" s="231" t="s">
        <v>10</v>
      </c>
      <c r="D578" s="250" t="s">
        <v>1692</v>
      </c>
      <c r="E578" s="239" t="s">
        <v>1693</v>
      </c>
      <c r="F578" s="231" t="s">
        <v>873</v>
      </c>
      <c r="G578" s="231" cm="1">
        <f t="array" ref="G578">_xlfn.IFS(J578&lt;301,2,J578&gt;300,48)</f>
        <v>48</v>
      </c>
      <c r="H578" s="231" t="s">
        <v>2853</v>
      </c>
      <c r="I578" s="281">
        <v>0</v>
      </c>
      <c r="J578" s="249">
        <v>1014.3</v>
      </c>
      <c r="K578" s="231">
        <f t="shared" si="9"/>
        <v>10</v>
      </c>
      <c r="L578" s="231"/>
      <c r="M578" s="299" t="s">
        <v>15</v>
      </c>
      <c r="N578" s="231" t="s">
        <v>253</v>
      </c>
      <c r="O578" s="231">
        <v>2021</v>
      </c>
      <c r="P578" s="281"/>
      <c r="Q578" s="231"/>
      <c r="R578" s="231"/>
      <c r="S578" s="236" t="s">
        <v>453</v>
      </c>
      <c r="T578" s="236" t="s">
        <v>264</v>
      </c>
    </row>
    <row r="579" spans="1:92" ht="14">
      <c r="A579" s="231">
        <v>578</v>
      </c>
      <c r="B579" s="235" t="s">
        <v>52</v>
      </c>
      <c r="C579" s="231" t="s">
        <v>10</v>
      </c>
      <c r="D579" s="250" t="s">
        <v>1694</v>
      </c>
      <c r="E579" s="239" t="s">
        <v>1695</v>
      </c>
      <c r="F579" s="231" t="s">
        <v>888</v>
      </c>
      <c r="G579" s="231" cm="1">
        <f t="array" ref="G579">_xlfn.IFS(J579&lt;301,2,J579&gt;300,48)</f>
        <v>48</v>
      </c>
      <c r="H579" s="231" t="s">
        <v>582</v>
      </c>
      <c r="I579" s="281">
        <v>0</v>
      </c>
      <c r="J579" s="249">
        <v>315</v>
      </c>
      <c r="K579" s="231">
        <f t="shared" si="9"/>
        <v>20</v>
      </c>
      <c r="L579" s="231"/>
      <c r="M579" s="231" t="s">
        <v>16</v>
      </c>
      <c r="N579" s="231" t="s">
        <v>253</v>
      </c>
      <c r="O579" s="231">
        <v>2021</v>
      </c>
      <c r="P579" s="281"/>
      <c r="Q579" s="231"/>
      <c r="R579" s="231"/>
      <c r="S579" s="236" t="s">
        <v>453</v>
      </c>
      <c r="T579" s="236" t="s">
        <v>264</v>
      </c>
    </row>
    <row r="580" spans="1:92" s="147" customFormat="1" ht="14">
      <c r="A580" s="231">
        <v>579</v>
      </c>
      <c r="B580" s="235" t="s">
        <v>52</v>
      </c>
      <c r="C580" s="231" t="s">
        <v>10</v>
      </c>
      <c r="D580" s="250" t="s">
        <v>1696</v>
      </c>
      <c r="E580" s="239" t="s">
        <v>1697</v>
      </c>
      <c r="F580" s="231" t="s">
        <v>888</v>
      </c>
      <c r="G580" s="231" cm="1">
        <f t="array" ref="G580">_xlfn.IFS(J580&lt;301,2,J580&gt;300,48)</f>
        <v>48</v>
      </c>
      <c r="H580" s="231" t="s">
        <v>2773</v>
      </c>
      <c r="I580" s="281">
        <v>0</v>
      </c>
      <c r="J580" s="249">
        <v>810.6</v>
      </c>
      <c r="K580" s="231">
        <f t="shared" si="9"/>
        <v>20</v>
      </c>
      <c r="L580" s="231"/>
      <c r="M580" s="231" t="s">
        <v>16</v>
      </c>
      <c r="N580" s="231" t="s">
        <v>253</v>
      </c>
      <c r="O580" s="231">
        <v>2021</v>
      </c>
      <c r="P580" s="281"/>
      <c r="Q580" s="231"/>
      <c r="R580" s="231"/>
      <c r="S580" s="236" t="s">
        <v>453</v>
      </c>
      <c r="T580" s="236" t="s">
        <v>264</v>
      </c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  <c r="AQ580" s="90"/>
      <c r="AR580" s="90"/>
      <c r="AS580" s="90"/>
      <c r="AT580" s="90"/>
      <c r="AU580" s="90"/>
      <c r="AV580" s="90"/>
      <c r="AW580" s="90"/>
      <c r="AX580" s="90"/>
      <c r="AY580" s="90"/>
      <c r="AZ580" s="90"/>
      <c r="BA580" s="90"/>
      <c r="BB580" s="90"/>
      <c r="BC580" s="90"/>
      <c r="BD580" s="90"/>
      <c r="BE580" s="90"/>
      <c r="BF580" s="90"/>
      <c r="BG580" s="90"/>
      <c r="BH580" s="90"/>
      <c r="BI580" s="90"/>
      <c r="BJ580" s="90"/>
      <c r="BK580" s="90"/>
      <c r="BL580" s="90"/>
      <c r="BM580" s="90"/>
      <c r="BN580" s="90"/>
      <c r="BO580" s="90"/>
      <c r="BP580" s="90"/>
      <c r="BQ580" s="90"/>
      <c r="BR580" s="90"/>
      <c r="BS580" s="90"/>
      <c r="BT580" s="90"/>
      <c r="BU580" s="90"/>
      <c r="BV580" s="90"/>
      <c r="BW580" s="90"/>
      <c r="BX580" s="90"/>
      <c r="BY580" s="90"/>
      <c r="BZ580" s="90"/>
      <c r="CA580" s="90"/>
      <c r="CB580" s="90"/>
      <c r="CC580" s="90"/>
      <c r="CD580" s="90"/>
      <c r="CE580" s="90"/>
      <c r="CF580" s="90"/>
      <c r="CG580" s="90"/>
      <c r="CH580" s="90"/>
      <c r="CI580" s="90"/>
      <c r="CJ580" s="90"/>
      <c r="CK580" s="90"/>
      <c r="CL580" s="90"/>
      <c r="CM580" s="90"/>
      <c r="CN580" s="90"/>
    </row>
    <row r="581" spans="1:92" s="147" customFormat="1" ht="14">
      <c r="A581" s="231">
        <v>580</v>
      </c>
      <c r="B581" s="235" t="s">
        <v>52</v>
      </c>
      <c r="C581" s="231" t="s">
        <v>10</v>
      </c>
      <c r="D581" s="250" t="s">
        <v>1698</v>
      </c>
      <c r="E581" s="239" t="s">
        <v>1699</v>
      </c>
      <c r="F581" s="231" t="s">
        <v>1700</v>
      </c>
      <c r="G581" s="231" cm="1">
        <f t="array" ref="G581">_xlfn.IFS(J581&lt;301,2,J581&gt;300,48)</f>
        <v>48</v>
      </c>
      <c r="H581" s="231" t="s">
        <v>4674</v>
      </c>
      <c r="I581" s="281">
        <v>0</v>
      </c>
      <c r="J581" s="249">
        <v>2345.6999999999998</v>
      </c>
      <c r="K581" s="231" t="str">
        <f t="shared" si="9"/>
        <v>N/A</v>
      </c>
      <c r="L581" s="231"/>
      <c r="M581" s="231" t="s">
        <v>456</v>
      </c>
      <c r="N581" s="231" t="s">
        <v>253</v>
      </c>
      <c r="O581" s="231">
        <v>2020</v>
      </c>
      <c r="P581" s="281"/>
      <c r="Q581" s="231"/>
      <c r="R581" s="231"/>
      <c r="S581" s="236" t="s">
        <v>453</v>
      </c>
      <c r="T581" s="236" t="s">
        <v>264</v>
      </c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  <c r="AQ581" s="90"/>
      <c r="AR581" s="90"/>
      <c r="AS581" s="90"/>
      <c r="AT581" s="90"/>
      <c r="AU581" s="90"/>
      <c r="AV581" s="90"/>
      <c r="AW581" s="90"/>
      <c r="AX581" s="90"/>
      <c r="AY581" s="90"/>
      <c r="AZ581" s="90"/>
      <c r="BA581" s="90"/>
      <c r="BB581" s="90"/>
      <c r="BC581" s="90"/>
      <c r="BD581" s="90"/>
      <c r="BE581" s="90"/>
      <c r="BF581" s="90"/>
      <c r="BG581" s="90"/>
      <c r="BH581" s="90"/>
      <c r="BI581" s="90"/>
      <c r="BJ581" s="90"/>
      <c r="BK581" s="90"/>
      <c r="BL581" s="90"/>
      <c r="BM581" s="90"/>
      <c r="BN581" s="90"/>
      <c r="BO581" s="90"/>
      <c r="BP581" s="90"/>
      <c r="BQ581" s="90"/>
      <c r="BR581" s="90"/>
      <c r="BS581" s="90"/>
      <c r="BT581" s="90"/>
      <c r="BU581" s="90"/>
      <c r="BV581" s="90"/>
      <c r="BW581" s="90"/>
      <c r="BX581" s="90"/>
      <c r="BY581" s="90"/>
      <c r="BZ581" s="90"/>
      <c r="CA581" s="90"/>
      <c r="CB581" s="90"/>
      <c r="CC581" s="90"/>
      <c r="CD581" s="90"/>
      <c r="CE581" s="90"/>
      <c r="CF581" s="90"/>
      <c r="CG581" s="90"/>
      <c r="CH581" s="90"/>
      <c r="CI581" s="90"/>
      <c r="CJ581" s="90"/>
      <c r="CK581" s="90"/>
      <c r="CL581" s="90"/>
      <c r="CM581" s="90"/>
      <c r="CN581" s="90"/>
    </row>
    <row r="582" spans="1:92" ht="14">
      <c r="A582" s="231">
        <v>581</v>
      </c>
      <c r="B582" s="235" t="s">
        <v>52</v>
      </c>
      <c r="C582" s="231" t="s">
        <v>10</v>
      </c>
      <c r="D582" s="250" t="s">
        <v>1701</v>
      </c>
      <c r="E582" s="239" t="s">
        <v>1702</v>
      </c>
      <c r="F582" s="231" t="s">
        <v>763</v>
      </c>
      <c r="G582" s="231" cm="1">
        <f t="array" ref="G582">_xlfn.IFS(J582&lt;301,2,J582&gt;300,48)</f>
        <v>48</v>
      </c>
      <c r="H582" s="231" t="s">
        <v>4258</v>
      </c>
      <c r="I582" s="281">
        <v>0</v>
      </c>
      <c r="J582" s="249">
        <v>8703.4500000000007</v>
      </c>
      <c r="K582" s="231" t="str">
        <f t="shared" si="9"/>
        <v>N/A</v>
      </c>
      <c r="L582" s="231"/>
      <c r="M582" s="231" t="s">
        <v>456</v>
      </c>
      <c r="N582" s="231" t="s">
        <v>253</v>
      </c>
      <c r="O582" s="231">
        <v>2021</v>
      </c>
      <c r="P582" s="281"/>
      <c r="Q582" s="231"/>
      <c r="R582" s="231"/>
      <c r="S582" s="236" t="s">
        <v>457</v>
      </c>
      <c r="T582" s="236" t="s">
        <v>264</v>
      </c>
    </row>
    <row r="583" spans="1:92" s="147" customFormat="1" ht="14">
      <c r="A583" s="231">
        <v>582</v>
      </c>
      <c r="B583" s="235" t="s">
        <v>52</v>
      </c>
      <c r="C583" s="231" t="s">
        <v>10</v>
      </c>
      <c r="D583" s="250" t="s">
        <v>1703</v>
      </c>
      <c r="E583" s="239" t="s">
        <v>1704</v>
      </c>
      <c r="F583" s="231" t="s">
        <v>888</v>
      </c>
      <c r="G583" s="231" cm="1">
        <f t="array" ref="G583">_xlfn.IFS(J583&lt;301,2,J583&gt;300,48)</f>
        <v>48</v>
      </c>
      <c r="H583" s="231" t="s">
        <v>2781</v>
      </c>
      <c r="I583" s="281">
        <v>0</v>
      </c>
      <c r="J583" s="249">
        <v>3631.95</v>
      </c>
      <c r="K583" s="231">
        <f t="shared" si="9"/>
        <v>20</v>
      </c>
      <c r="L583" s="231"/>
      <c r="M583" s="231" t="s">
        <v>16</v>
      </c>
      <c r="N583" s="231" t="s">
        <v>253</v>
      </c>
      <c r="O583" s="231">
        <v>2021</v>
      </c>
      <c r="P583" s="281"/>
      <c r="Q583" s="231"/>
      <c r="R583" s="231"/>
      <c r="S583" s="236" t="s">
        <v>453</v>
      </c>
      <c r="T583" s="236" t="s">
        <v>264</v>
      </c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  <c r="AQ583" s="90"/>
      <c r="AR583" s="90"/>
      <c r="AS583" s="90"/>
      <c r="AT583" s="90"/>
      <c r="AU583" s="90"/>
      <c r="AV583" s="90"/>
      <c r="AW583" s="90"/>
      <c r="AX583" s="90"/>
      <c r="AY583" s="90"/>
      <c r="AZ583" s="90"/>
      <c r="BA583" s="90"/>
      <c r="BB583" s="90"/>
      <c r="BC583" s="90"/>
      <c r="BD583" s="90"/>
      <c r="BE583" s="90"/>
      <c r="BF583" s="90"/>
      <c r="BG583" s="90"/>
      <c r="BH583" s="90"/>
      <c r="BI583" s="90"/>
      <c r="BJ583" s="90"/>
      <c r="BK583" s="90"/>
      <c r="BL583" s="90"/>
      <c r="BM583" s="90"/>
      <c r="BN583" s="90"/>
      <c r="BO583" s="90"/>
      <c r="BP583" s="90"/>
      <c r="BQ583" s="90"/>
      <c r="BR583" s="90"/>
      <c r="BS583" s="90"/>
      <c r="BT583" s="90"/>
      <c r="BU583" s="90"/>
      <c r="BV583" s="90"/>
      <c r="BW583" s="90"/>
      <c r="BX583" s="90"/>
      <c r="BY583" s="90"/>
      <c r="BZ583" s="90"/>
      <c r="CA583" s="90"/>
      <c r="CB583" s="90"/>
      <c r="CC583" s="90"/>
      <c r="CD583" s="90"/>
      <c r="CE583" s="90"/>
      <c r="CF583" s="90"/>
      <c r="CG583" s="90"/>
      <c r="CH583" s="90"/>
      <c r="CI583" s="90"/>
      <c r="CJ583" s="90"/>
      <c r="CK583" s="90"/>
      <c r="CL583" s="90"/>
      <c r="CM583" s="90"/>
      <c r="CN583" s="90"/>
    </row>
    <row r="584" spans="1:92" ht="14">
      <c r="A584" s="231">
        <v>583</v>
      </c>
      <c r="B584" s="235" t="s">
        <v>52</v>
      </c>
      <c r="C584" s="231" t="s">
        <v>10</v>
      </c>
      <c r="D584" s="250" t="s">
        <v>1705</v>
      </c>
      <c r="E584" s="239" t="s">
        <v>1706</v>
      </c>
      <c r="F584" s="231" t="s">
        <v>888</v>
      </c>
      <c r="G584" s="231" cm="1">
        <f t="array" ref="G584">_xlfn.IFS(J584&lt;301,2,J584&gt;300,48)</f>
        <v>48</v>
      </c>
      <c r="H584" s="231" t="s">
        <v>2781</v>
      </c>
      <c r="I584" s="281">
        <v>0</v>
      </c>
      <c r="J584" s="249">
        <v>2617.65</v>
      </c>
      <c r="K584" s="231">
        <f t="shared" si="9"/>
        <v>20</v>
      </c>
      <c r="L584" s="231"/>
      <c r="M584" s="231" t="s">
        <v>16</v>
      </c>
      <c r="N584" s="231" t="s">
        <v>253</v>
      </c>
      <c r="O584" s="231">
        <v>2021</v>
      </c>
      <c r="P584" s="281"/>
      <c r="Q584" s="231"/>
      <c r="R584" s="231"/>
      <c r="S584" s="236" t="s">
        <v>453</v>
      </c>
      <c r="T584" s="236" t="s">
        <v>264</v>
      </c>
    </row>
    <row r="585" spans="1:92" ht="14">
      <c r="A585" s="231">
        <v>584</v>
      </c>
      <c r="B585" s="235" t="s">
        <v>52</v>
      </c>
      <c r="C585" s="231" t="s">
        <v>10</v>
      </c>
      <c r="D585" s="250" t="s">
        <v>1707</v>
      </c>
      <c r="E585" s="239" t="s">
        <v>1708</v>
      </c>
      <c r="F585" s="231" t="s">
        <v>878</v>
      </c>
      <c r="G585" s="231" cm="1">
        <f t="array" ref="G585">_xlfn.IFS(J585&lt;301,2,J585&gt;300,48)</f>
        <v>48</v>
      </c>
      <c r="H585" s="231" t="s">
        <v>4263</v>
      </c>
      <c r="I585" s="281">
        <v>0</v>
      </c>
      <c r="J585" s="249">
        <v>2396.1</v>
      </c>
      <c r="K585" s="231" t="str">
        <f t="shared" si="9"/>
        <v>N/A</v>
      </c>
      <c r="L585" s="231"/>
      <c r="M585" s="231" t="s">
        <v>456</v>
      </c>
      <c r="N585" s="231" t="s">
        <v>253</v>
      </c>
      <c r="O585" s="231">
        <v>2022</v>
      </c>
      <c r="P585" s="281"/>
      <c r="Q585" s="231"/>
      <c r="R585" s="231"/>
      <c r="S585" s="236" t="s">
        <v>453</v>
      </c>
      <c r="T585" s="236" t="s">
        <v>264</v>
      </c>
    </row>
    <row r="586" spans="1:92" ht="14">
      <c r="A586" s="231">
        <v>585</v>
      </c>
      <c r="B586" s="235" t="s">
        <v>52</v>
      </c>
      <c r="C586" s="231" t="s">
        <v>10</v>
      </c>
      <c r="D586" s="250" t="s">
        <v>1709</v>
      </c>
      <c r="E586" s="239" t="s">
        <v>1710</v>
      </c>
      <c r="F586" s="231" t="s">
        <v>881</v>
      </c>
      <c r="G586" s="231" cm="1">
        <f t="array" ref="G586">_xlfn.IFS(J586&lt;301,2,J586&gt;300,48)</f>
        <v>48</v>
      </c>
      <c r="H586" s="231" t="s">
        <v>3111</v>
      </c>
      <c r="I586" s="281">
        <v>0</v>
      </c>
      <c r="J586" s="249">
        <v>348.6</v>
      </c>
      <c r="K586" s="231">
        <f t="shared" si="9"/>
        <v>20</v>
      </c>
      <c r="L586" s="231"/>
      <c r="M586" s="231" t="s">
        <v>16</v>
      </c>
      <c r="N586" s="231" t="s">
        <v>253</v>
      </c>
      <c r="O586" s="231">
        <v>2022</v>
      </c>
      <c r="P586" s="281"/>
      <c r="Q586" s="231"/>
      <c r="R586" s="231"/>
      <c r="S586" s="236" t="s">
        <v>453</v>
      </c>
      <c r="T586" s="236" t="s">
        <v>264</v>
      </c>
    </row>
    <row r="587" spans="1:92" ht="14">
      <c r="A587" s="231">
        <v>586</v>
      </c>
      <c r="B587" s="235" t="s">
        <v>52</v>
      </c>
      <c r="C587" s="231" t="s">
        <v>10</v>
      </c>
      <c r="D587" s="250" t="s">
        <v>1711</v>
      </c>
      <c r="E587" s="239" t="s">
        <v>1712</v>
      </c>
      <c r="F587" s="231" t="s">
        <v>873</v>
      </c>
      <c r="G587" s="231" cm="1">
        <f t="array" ref="G587">_xlfn.IFS(J587&lt;301,2,J587&gt;300,48)</f>
        <v>48</v>
      </c>
      <c r="H587" s="231" t="s">
        <v>4555</v>
      </c>
      <c r="I587" s="281">
        <v>0</v>
      </c>
      <c r="J587" s="249">
        <v>315</v>
      </c>
      <c r="K587" s="231">
        <f t="shared" si="9"/>
        <v>20</v>
      </c>
      <c r="L587" s="231"/>
      <c r="M587" s="231" t="s">
        <v>16</v>
      </c>
      <c r="N587" s="231" t="s">
        <v>253</v>
      </c>
      <c r="O587" s="231">
        <v>2021</v>
      </c>
      <c r="P587" s="281"/>
      <c r="Q587" s="231"/>
      <c r="R587" s="231"/>
      <c r="S587" s="236" t="s">
        <v>453</v>
      </c>
      <c r="T587" s="236" t="s">
        <v>264</v>
      </c>
    </row>
    <row r="588" spans="1:92" ht="14">
      <c r="A588" s="231">
        <v>587</v>
      </c>
      <c r="B588" s="235" t="s">
        <v>52</v>
      </c>
      <c r="C588" s="231" t="s">
        <v>10</v>
      </c>
      <c r="D588" s="250" t="s">
        <v>1713</v>
      </c>
      <c r="E588" s="239" t="s">
        <v>1714</v>
      </c>
      <c r="F588" s="231" t="s">
        <v>835</v>
      </c>
      <c r="G588" s="231" cm="1">
        <f t="array" ref="G588">_xlfn.IFS(J588&lt;301,2,J588&gt;300,48)</f>
        <v>48</v>
      </c>
      <c r="H588" s="231" t="s">
        <v>3565</v>
      </c>
      <c r="I588" s="281">
        <v>0</v>
      </c>
      <c r="J588" s="249">
        <v>4735.5</v>
      </c>
      <c r="K588" s="231">
        <f t="shared" si="9"/>
        <v>20</v>
      </c>
      <c r="L588" s="231"/>
      <c r="M588" s="299" t="s">
        <v>15</v>
      </c>
      <c r="N588" s="231" t="s">
        <v>253</v>
      </c>
      <c r="O588" s="231">
        <v>2022</v>
      </c>
      <c r="P588" s="281"/>
      <c r="Q588" s="231"/>
      <c r="R588" s="231"/>
      <c r="S588" s="236" t="s">
        <v>453</v>
      </c>
      <c r="T588" s="236" t="s">
        <v>264</v>
      </c>
    </row>
    <row r="589" spans="1:92" ht="14">
      <c r="A589" s="231">
        <v>588</v>
      </c>
      <c r="B589" s="235" t="s">
        <v>52</v>
      </c>
      <c r="C589" s="231" t="s">
        <v>10</v>
      </c>
      <c r="D589" s="250" t="s">
        <v>1715</v>
      </c>
      <c r="E589" s="239" t="s">
        <v>1716</v>
      </c>
      <c r="F589" s="231" t="s">
        <v>888</v>
      </c>
      <c r="G589" s="231" cm="1">
        <f t="array" ref="G589">_xlfn.IFS(J589&lt;301,2,J589&gt;300,48)</f>
        <v>48</v>
      </c>
      <c r="H589" s="231" t="s">
        <v>2773</v>
      </c>
      <c r="I589" s="281">
        <v>0</v>
      </c>
      <c r="J589" s="249">
        <v>3475.5</v>
      </c>
      <c r="K589" s="231">
        <f t="shared" si="9"/>
        <v>20</v>
      </c>
      <c r="L589" s="231"/>
      <c r="M589" s="299" t="s">
        <v>15</v>
      </c>
      <c r="N589" s="231" t="s">
        <v>253</v>
      </c>
      <c r="O589" s="231">
        <v>2019</v>
      </c>
      <c r="P589" s="281"/>
      <c r="Q589" s="231"/>
      <c r="R589" s="231"/>
      <c r="S589" s="236" t="s">
        <v>453</v>
      </c>
      <c r="T589" s="236" t="s">
        <v>264</v>
      </c>
    </row>
    <row r="590" spans="1:92" s="147" customFormat="1" ht="14">
      <c r="A590" s="231">
        <v>589</v>
      </c>
      <c r="B590" s="235" t="s">
        <v>52</v>
      </c>
      <c r="C590" s="231" t="s">
        <v>10</v>
      </c>
      <c r="D590" s="250" t="s">
        <v>1717</v>
      </c>
      <c r="E590" s="239" t="s">
        <v>1718</v>
      </c>
      <c r="F590" s="231" t="s">
        <v>267</v>
      </c>
      <c r="G590" s="231" cm="1">
        <f t="array" ref="G590">_xlfn.IFS(J590&lt;301,2,J590&gt;300,48)</f>
        <v>48</v>
      </c>
      <c r="H590" s="231" t="s">
        <v>3060</v>
      </c>
      <c r="I590" s="281">
        <v>0</v>
      </c>
      <c r="J590" s="249">
        <v>1726.2</v>
      </c>
      <c r="K590" s="231">
        <f t="shared" si="9"/>
        <v>10</v>
      </c>
      <c r="L590" s="231"/>
      <c r="M590" s="299" t="s">
        <v>15</v>
      </c>
      <c r="N590" s="231" t="s">
        <v>253</v>
      </c>
      <c r="O590" s="231">
        <v>2021</v>
      </c>
      <c r="P590" s="281"/>
      <c r="Q590" s="231"/>
      <c r="R590" s="231"/>
      <c r="S590" s="236" t="s">
        <v>453</v>
      </c>
      <c r="T590" s="236" t="s">
        <v>264</v>
      </c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  <c r="AQ590" s="90"/>
      <c r="AR590" s="90"/>
      <c r="AS590" s="90"/>
      <c r="AT590" s="90"/>
      <c r="AU590" s="90"/>
      <c r="AV590" s="90"/>
      <c r="AW590" s="90"/>
      <c r="AX590" s="90"/>
      <c r="AY590" s="90"/>
      <c r="AZ590" s="90"/>
      <c r="BA590" s="90"/>
      <c r="BB590" s="90"/>
      <c r="BC590" s="90"/>
      <c r="BD590" s="90"/>
      <c r="BE590" s="90"/>
      <c r="BF590" s="90"/>
      <c r="BG590" s="90"/>
      <c r="BH590" s="90"/>
      <c r="BI590" s="90"/>
      <c r="BJ590" s="90"/>
      <c r="BK590" s="90"/>
      <c r="BL590" s="90"/>
      <c r="BM590" s="90"/>
      <c r="BN590" s="90"/>
      <c r="BO590" s="90"/>
      <c r="BP590" s="90"/>
      <c r="BQ590" s="90"/>
      <c r="BR590" s="90"/>
      <c r="BS590" s="90"/>
      <c r="BT590" s="90"/>
      <c r="BU590" s="90"/>
      <c r="BV590" s="90"/>
      <c r="BW590" s="90"/>
      <c r="BX590" s="90"/>
      <c r="BY590" s="90"/>
      <c r="BZ590" s="90"/>
      <c r="CA590" s="90"/>
      <c r="CB590" s="90"/>
      <c r="CC590" s="90"/>
      <c r="CD590" s="90"/>
      <c r="CE590" s="90"/>
      <c r="CF590" s="90"/>
      <c r="CG590" s="90"/>
      <c r="CH590" s="90"/>
      <c r="CI590" s="90"/>
      <c r="CJ590" s="90"/>
      <c r="CK590" s="90"/>
      <c r="CL590" s="90"/>
      <c r="CM590" s="90"/>
      <c r="CN590" s="90"/>
    </row>
    <row r="591" spans="1:92" ht="14">
      <c r="A591" s="231">
        <v>590</v>
      </c>
      <c r="B591" s="235" t="s">
        <v>52</v>
      </c>
      <c r="C591" s="231" t="s">
        <v>10</v>
      </c>
      <c r="D591" s="250" t="s">
        <v>1719</v>
      </c>
      <c r="E591" s="239" t="s">
        <v>1720</v>
      </c>
      <c r="F591" s="231" t="s">
        <v>267</v>
      </c>
      <c r="G591" s="231" cm="1">
        <f t="array" ref="G591">_xlfn.IFS(J591&lt;301,2,J591&gt;300,48)</f>
        <v>48</v>
      </c>
      <c r="H591" s="231" t="s">
        <v>3060</v>
      </c>
      <c r="I591" s="281">
        <v>0</v>
      </c>
      <c r="J591" s="249">
        <v>1710.45</v>
      </c>
      <c r="K591" s="231">
        <f t="shared" si="9"/>
        <v>10</v>
      </c>
      <c r="L591" s="231"/>
      <c r="M591" s="299" t="s">
        <v>15</v>
      </c>
      <c r="N591" s="231" t="s">
        <v>253</v>
      </c>
      <c r="O591" s="231">
        <v>2021</v>
      </c>
      <c r="P591" s="281"/>
      <c r="Q591" s="231"/>
      <c r="R591" s="231"/>
      <c r="S591" s="236" t="s">
        <v>453</v>
      </c>
      <c r="T591" s="236" t="s">
        <v>264</v>
      </c>
    </row>
    <row r="592" spans="1:92" ht="14">
      <c r="A592" s="231">
        <v>591</v>
      </c>
      <c r="B592" s="235" t="s">
        <v>52</v>
      </c>
      <c r="C592" s="231" t="s">
        <v>10</v>
      </c>
      <c r="D592" s="250" t="s">
        <v>1721</v>
      </c>
      <c r="E592" s="239" t="s">
        <v>1722</v>
      </c>
      <c r="F592" s="231" t="s">
        <v>878</v>
      </c>
      <c r="G592" s="231" cm="1">
        <f t="array" ref="G592">_xlfn.IFS(J592&lt;301,2,J592&gt;300,48)</f>
        <v>48</v>
      </c>
      <c r="H592" s="231" t="s">
        <v>4610</v>
      </c>
      <c r="I592" s="281">
        <v>0</v>
      </c>
      <c r="J592" s="249">
        <v>1365</v>
      </c>
      <c r="K592" s="231">
        <f t="shared" si="9"/>
        <v>10</v>
      </c>
      <c r="L592" s="231"/>
      <c r="M592" s="299" t="s">
        <v>15</v>
      </c>
      <c r="N592" s="231" t="s">
        <v>253</v>
      </c>
      <c r="O592" s="231">
        <v>2021</v>
      </c>
      <c r="P592" s="281"/>
      <c r="Q592" s="231"/>
      <c r="R592" s="231"/>
      <c r="S592" s="236" t="s">
        <v>453</v>
      </c>
      <c r="T592" s="236" t="s">
        <v>264</v>
      </c>
    </row>
    <row r="593" spans="1:92" ht="14">
      <c r="A593" s="231">
        <v>592</v>
      </c>
      <c r="B593" s="235" t="s">
        <v>52</v>
      </c>
      <c r="C593" s="231" t="s">
        <v>10</v>
      </c>
      <c r="D593" s="250" t="s">
        <v>1723</v>
      </c>
      <c r="E593" s="239" t="s">
        <v>1724</v>
      </c>
      <c r="F593" s="231" t="s">
        <v>878</v>
      </c>
      <c r="G593" s="231" cm="1">
        <f t="array" ref="G593">_xlfn.IFS(J593&lt;301,2,J593&gt;300,48)</f>
        <v>48</v>
      </c>
      <c r="H593" s="231" t="s">
        <v>4699</v>
      </c>
      <c r="I593" s="281">
        <v>0</v>
      </c>
      <c r="J593" s="249">
        <v>315</v>
      </c>
      <c r="K593" s="231" t="str">
        <f t="shared" si="9"/>
        <v>N/A</v>
      </c>
      <c r="L593" s="231"/>
      <c r="M593" s="231" t="s">
        <v>456</v>
      </c>
      <c r="N593" s="231" t="s">
        <v>253</v>
      </c>
      <c r="O593" s="231">
        <v>2021</v>
      </c>
      <c r="P593" s="281"/>
      <c r="Q593" s="231"/>
      <c r="R593" s="231"/>
      <c r="S593" s="236" t="s">
        <v>453</v>
      </c>
      <c r="T593" s="236" t="s">
        <v>264</v>
      </c>
    </row>
    <row r="594" spans="1:92" ht="14">
      <c r="A594" s="231">
        <v>593</v>
      </c>
      <c r="B594" s="235" t="s">
        <v>52</v>
      </c>
      <c r="C594" s="231" t="s">
        <v>10</v>
      </c>
      <c r="D594" s="250" t="s">
        <v>1725</v>
      </c>
      <c r="E594" s="239" t="s">
        <v>1726</v>
      </c>
      <c r="F594" s="231" t="s">
        <v>888</v>
      </c>
      <c r="G594" s="231" cm="1">
        <f t="array" ref="G594">_xlfn.IFS(J594&lt;301,2,J594&gt;300,48)</f>
        <v>48</v>
      </c>
      <c r="H594" s="231" t="s">
        <v>2776</v>
      </c>
      <c r="I594" s="281">
        <v>0</v>
      </c>
      <c r="J594" s="249">
        <v>2550.4499999999998</v>
      </c>
      <c r="K594" s="231">
        <f t="shared" si="9"/>
        <v>10</v>
      </c>
      <c r="L594" s="231"/>
      <c r="M594" s="299" t="s">
        <v>15</v>
      </c>
      <c r="N594" s="231" t="s">
        <v>253</v>
      </c>
      <c r="O594" s="231">
        <v>2021</v>
      </c>
      <c r="P594" s="281"/>
      <c r="Q594" s="231"/>
      <c r="R594" s="231"/>
      <c r="S594" s="236" t="s">
        <v>453</v>
      </c>
      <c r="T594" s="236" t="s">
        <v>264</v>
      </c>
    </row>
    <row r="595" spans="1:92" ht="14">
      <c r="A595" s="231">
        <v>594</v>
      </c>
      <c r="B595" s="235" t="s">
        <v>52</v>
      </c>
      <c r="C595" s="231" t="s">
        <v>10</v>
      </c>
      <c r="D595" s="250" t="s">
        <v>1727</v>
      </c>
      <c r="E595" s="239" t="s">
        <v>1728</v>
      </c>
      <c r="F595" s="231" t="s">
        <v>888</v>
      </c>
      <c r="G595" s="231" cm="1">
        <f t="array" ref="G595">_xlfn.IFS(J595&lt;301,2,J595&gt;300,48)</f>
        <v>48</v>
      </c>
      <c r="H595" s="231" t="s">
        <v>2773</v>
      </c>
      <c r="I595" s="281">
        <v>0</v>
      </c>
      <c r="J595" s="249">
        <v>315</v>
      </c>
      <c r="K595" s="231">
        <f t="shared" si="9"/>
        <v>20</v>
      </c>
      <c r="L595" s="231"/>
      <c r="M595" s="231" t="s">
        <v>16</v>
      </c>
      <c r="N595" s="231" t="s">
        <v>253</v>
      </c>
      <c r="O595" s="231">
        <v>2021</v>
      </c>
      <c r="P595" s="281"/>
      <c r="Q595" s="231"/>
      <c r="R595" s="231"/>
      <c r="S595" s="236" t="s">
        <v>453</v>
      </c>
      <c r="T595" s="236" t="s">
        <v>264</v>
      </c>
    </row>
    <row r="596" spans="1:92" ht="14">
      <c r="A596" s="231">
        <v>595</v>
      </c>
      <c r="B596" s="235" t="s">
        <v>52</v>
      </c>
      <c r="C596" s="231" t="s">
        <v>10</v>
      </c>
      <c r="D596" s="250" t="s">
        <v>1729</v>
      </c>
      <c r="E596" s="239" t="s">
        <v>1730</v>
      </c>
      <c r="F596" s="231" t="s">
        <v>878</v>
      </c>
      <c r="G596" s="231" cm="1">
        <f t="array" ref="G596">_xlfn.IFS(J596&lt;301,2,J596&gt;300,48)</f>
        <v>48</v>
      </c>
      <c r="H596" s="231" t="s">
        <v>2875</v>
      </c>
      <c r="I596" s="281">
        <v>0</v>
      </c>
      <c r="J596" s="249">
        <v>2718.45</v>
      </c>
      <c r="K596" s="231" t="str">
        <f t="shared" si="9"/>
        <v>N/A</v>
      </c>
      <c r="L596" s="231"/>
      <c r="M596" s="231" t="s">
        <v>456</v>
      </c>
      <c r="N596" s="231" t="s">
        <v>253</v>
      </c>
      <c r="O596" s="231">
        <v>2019</v>
      </c>
      <c r="P596" s="281"/>
      <c r="Q596" s="231"/>
      <c r="R596" s="231"/>
      <c r="S596" s="236" t="s">
        <v>453</v>
      </c>
      <c r="T596" s="236" t="s">
        <v>264</v>
      </c>
    </row>
    <row r="597" spans="1:92" ht="14">
      <c r="A597" s="231">
        <v>596</v>
      </c>
      <c r="B597" s="235" t="s">
        <v>52</v>
      </c>
      <c r="C597" s="231" t="s">
        <v>10</v>
      </c>
      <c r="D597" s="250" t="s">
        <v>1731</v>
      </c>
      <c r="E597" s="239" t="s">
        <v>1732</v>
      </c>
      <c r="F597" s="231" t="s">
        <v>881</v>
      </c>
      <c r="G597" s="231" cm="1">
        <f t="array" ref="G597">_xlfn.IFS(J597&lt;301,2,J597&gt;300,48)</f>
        <v>48</v>
      </c>
      <c r="H597" s="231" t="s">
        <v>2875</v>
      </c>
      <c r="I597" s="281">
        <v>0</v>
      </c>
      <c r="J597" s="249">
        <v>315</v>
      </c>
      <c r="K597" s="231" t="str">
        <f t="shared" si="9"/>
        <v>N/A</v>
      </c>
      <c r="L597" s="231"/>
      <c r="M597" s="231" t="s">
        <v>456</v>
      </c>
      <c r="N597" s="231" t="s">
        <v>253</v>
      </c>
      <c r="O597" s="231">
        <v>2021</v>
      </c>
      <c r="P597" s="281"/>
      <c r="Q597" s="231"/>
      <c r="R597" s="231"/>
      <c r="S597" s="236" t="s">
        <v>457</v>
      </c>
      <c r="T597" s="236" t="s">
        <v>264</v>
      </c>
    </row>
    <row r="598" spans="1:92" ht="14">
      <c r="A598" s="231">
        <v>597</v>
      </c>
      <c r="B598" s="235" t="s">
        <v>52</v>
      </c>
      <c r="C598" s="231" t="s">
        <v>10</v>
      </c>
      <c r="D598" s="250" t="s">
        <v>1733</v>
      </c>
      <c r="E598" s="239" t="s">
        <v>1734</v>
      </c>
      <c r="F598" s="231" t="s">
        <v>881</v>
      </c>
      <c r="G598" s="231" cm="1">
        <f t="array" ref="G598">_xlfn.IFS(J598&lt;301,2,J598&gt;300,48)</f>
        <v>48</v>
      </c>
      <c r="H598" s="231" t="s">
        <v>2875</v>
      </c>
      <c r="I598" s="281">
        <v>0</v>
      </c>
      <c r="J598" s="249">
        <v>697.2</v>
      </c>
      <c r="K598" s="231" t="str">
        <f t="shared" si="9"/>
        <v>N/A</v>
      </c>
      <c r="L598" s="231"/>
      <c r="M598" s="231" t="s">
        <v>456</v>
      </c>
      <c r="N598" s="231" t="s">
        <v>253</v>
      </c>
      <c r="O598" s="231">
        <v>2021</v>
      </c>
      <c r="P598" s="281"/>
      <c r="Q598" s="231"/>
      <c r="R598" s="231"/>
      <c r="S598" s="236" t="s">
        <v>457</v>
      </c>
      <c r="T598" s="236" t="s">
        <v>264</v>
      </c>
    </row>
    <row r="599" spans="1:92" ht="14">
      <c r="A599" s="231">
        <v>598</v>
      </c>
      <c r="B599" s="235" t="s">
        <v>52</v>
      </c>
      <c r="C599" s="231" t="s">
        <v>10</v>
      </c>
      <c r="D599" s="250" t="s">
        <v>1735</v>
      </c>
      <c r="E599" s="239" t="s">
        <v>1736</v>
      </c>
      <c r="F599" s="231" t="s">
        <v>888</v>
      </c>
      <c r="G599" s="231" cm="1">
        <f t="array" ref="G599">_xlfn.IFS(J599&lt;301,2,J599&gt;300,48)</f>
        <v>48</v>
      </c>
      <c r="H599" s="231" t="s">
        <v>2773</v>
      </c>
      <c r="I599" s="281">
        <v>0</v>
      </c>
      <c r="J599" s="249">
        <v>1302</v>
      </c>
      <c r="K599" s="231">
        <f t="shared" si="9"/>
        <v>20</v>
      </c>
      <c r="L599" s="231"/>
      <c r="M599" s="231" t="s">
        <v>16</v>
      </c>
      <c r="N599" s="231" t="s">
        <v>253</v>
      </c>
      <c r="O599" s="231">
        <v>2021</v>
      </c>
      <c r="P599" s="281"/>
      <c r="Q599" s="231"/>
      <c r="R599" s="231"/>
      <c r="S599" s="236" t="s">
        <v>453</v>
      </c>
      <c r="T599" s="236" t="s">
        <v>264</v>
      </c>
    </row>
    <row r="600" spans="1:92" ht="14">
      <c r="A600" s="231">
        <v>599</v>
      </c>
      <c r="B600" s="235" t="s">
        <v>52</v>
      </c>
      <c r="C600" s="231" t="s">
        <v>10</v>
      </c>
      <c r="D600" s="250" t="s">
        <v>1737</v>
      </c>
      <c r="E600" s="239" t="s">
        <v>1738</v>
      </c>
      <c r="F600" s="231" t="s">
        <v>267</v>
      </c>
      <c r="G600" s="231" cm="1">
        <f t="array" ref="G600">_xlfn.IFS(J600&lt;301,2,J600&gt;300,48)</f>
        <v>48</v>
      </c>
      <c r="H600" s="231" t="s">
        <v>4668</v>
      </c>
      <c r="I600" s="281">
        <v>0</v>
      </c>
      <c r="J600" s="249">
        <v>2606.1</v>
      </c>
      <c r="K600" s="231">
        <f t="shared" si="9"/>
        <v>20</v>
      </c>
      <c r="L600" s="231"/>
      <c r="M600" s="231" t="s">
        <v>16</v>
      </c>
      <c r="N600" s="231" t="s">
        <v>253</v>
      </c>
      <c r="O600" s="231">
        <v>2021</v>
      </c>
      <c r="P600" s="281"/>
      <c r="Q600" s="231"/>
      <c r="R600" s="231"/>
      <c r="S600" s="236" t="s">
        <v>453</v>
      </c>
      <c r="T600" s="236" t="s">
        <v>264</v>
      </c>
    </row>
    <row r="601" spans="1:92" ht="14">
      <c r="A601" s="231">
        <v>600</v>
      </c>
      <c r="B601" s="235" t="s">
        <v>52</v>
      </c>
      <c r="C601" s="231" t="s">
        <v>10</v>
      </c>
      <c r="D601" s="250" t="s">
        <v>1739</v>
      </c>
      <c r="E601" s="239" t="s">
        <v>1740</v>
      </c>
      <c r="F601" s="231" t="s">
        <v>881</v>
      </c>
      <c r="G601" s="231" cm="1">
        <f t="array" ref="G601">_xlfn.IFS(J601&lt;301,2,J601&gt;300,48)</f>
        <v>48</v>
      </c>
      <c r="H601" s="231" t="s">
        <v>4265</v>
      </c>
      <c r="I601" s="281">
        <v>0</v>
      </c>
      <c r="J601" s="249">
        <v>1156.05</v>
      </c>
      <c r="K601" s="231">
        <f t="shared" si="9"/>
        <v>20</v>
      </c>
      <c r="L601" s="231"/>
      <c r="M601" s="231" t="s">
        <v>16</v>
      </c>
      <c r="N601" s="231" t="s">
        <v>253</v>
      </c>
      <c r="O601" s="231">
        <v>2021</v>
      </c>
      <c r="P601" s="281"/>
      <c r="Q601" s="231"/>
      <c r="R601" s="231"/>
      <c r="S601" s="236" t="s">
        <v>453</v>
      </c>
      <c r="T601" s="236" t="s">
        <v>264</v>
      </c>
    </row>
    <row r="602" spans="1:92" ht="14">
      <c r="A602" s="231">
        <v>601</v>
      </c>
      <c r="B602" s="235" t="s">
        <v>52</v>
      </c>
      <c r="C602" s="231" t="s">
        <v>10</v>
      </c>
      <c r="D602" s="250" t="s">
        <v>1741</v>
      </c>
      <c r="E602" s="239" t="s">
        <v>1742</v>
      </c>
      <c r="F602" s="231" t="s">
        <v>267</v>
      </c>
      <c r="G602" s="231" cm="1">
        <f t="array" ref="G602">_xlfn.IFS(J602&lt;301,2,J602&gt;300,48)</f>
        <v>48</v>
      </c>
      <c r="H602" s="231" t="s">
        <v>3512</v>
      </c>
      <c r="I602" s="281">
        <v>0</v>
      </c>
      <c r="J602" s="249">
        <v>480.9</v>
      </c>
      <c r="K602" s="231">
        <f t="shared" si="9"/>
        <v>20</v>
      </c>
      <c r="L602" s="231"/>
      <c r="M602" s="231" t="s">
        <v>16</v>
      </c>
      <c r="N602" s="231" t="s">
        <v>253</v>
      </c>
      <c r="O602" s="231">
        <v>2021</v>
      </c>
      <c r="P602" s="281"/>
      <c r="Q602" s="231"/>
      <c r="R602" s="231"/>
      <c r="S602" s="236" t="s">
        <v>453</v>
      </c>
      <c r="T602" s="236" t="s">
        <v>264</v>
      </c>
    </row>
    <row r="603" spans="1:92" ht="14">
      <c r="A603" s="231">
        <v>602</v>
      </c>
      <c r="B603" s="235" t="s">
        <v>52</v>
      </c>
      <c r="C603" s="231" t="s">
        <v>10</v>
      </c>
      <c r="D603" s="250" t="s">
        <v>1743</v>
      </c>
      <c r="E603" s="239" t="s">
        <v>1744</v>
      </c>
      <c r="F603" s="231" t="s">
        <v>267</v>
      </c>
      <c r="G603" s="231" cm="1">
        <f t="array" ref="G603">_xlfn.IFS(J603&lt;301,2,J603&gt;300,48)</f>
        <v>48</v>
      </c>
      <c r="H603" s="231" t="s">
        <v>3060</v>
      </c>
      <c r="I603" s="281">
        <v>0</v>
      </c>
      <c r="J603" s="249">
        <v>343.35</v>
      </c>
      <c r="K603" s="231">
        <f t="shared" si="9"/>
        <v>20</v>
      </c>
      <c r="L603" s="231"/>
      <c r="M603" s="231" t="s">
        <v>16</v>
      </c>
      <c r="N603" s="231" t="s">
        <v>253</v>
      </c>
      <c r="O603" s="231">
        <v>2021</v>
      </c>
      <c r="P603" s="281"/>
      <c r="Q603" s="231"/>
      <c r="R603" s="231"/>
      <c r="S603" s="236" t="s">
        <v>453</v>
      </c>
      <c r="T603" s="236" t="s">
        <v>264</v>
      </c>
    </row>
    <row r="604" spans="1:92" ht="14">
      <c r="A604" s="231">
        <v>603</v>
      </c>
      <c r="B604" s="235" t="s">
        <v>52</v>
      </c>
      <c r="C604" s="231" t="s">
        <v>10</v>
      </c>
      <c r="D604" s="250" t="s">
        <v>1745</v>
      </c>
      <c r="E604" s="239" t="s">
        <v>1746</v>
      </c>
      <c r="F604" s="231" t="s">
        <v>267</v>
      </c>
      <c r="G604" s="231" cm="1">
        <f t="array" ref="G604">_xlfn.IFS(J604&lt;301,2,J604&gt;300,48)</f>
        <v>48</v>
      </c>
      <c r="H604" s="231" t="s">
        <v>2763</v>
      </c>
      <c r="I604" s="281">
        <v>0</v>
      </c>
      <c r="J604" s="249">
        <v>1261.05</v>
      </c>
      <c r="K604" s="231">
        <f t="shared" si="9"/>
        <v>20</v>
      </c>
      <c r="L604" s="231"/>
      <c r="M604" s="231" t="s">
        <v>16</v>
      </c>
      <c r="N604" s="231" t="s">
        <v>253</v>
      </c>
      <c r="O604" s="231">
        <v>2021</v>
      </c>
      <c r="P604" s="281"/>
      <c r="Q604" s="231"/>
      <c r="R604" s="231"/>
      <c r="S604" s="236" t="s">
        <v>453</v>
      </c>
      <c r="T604" s="236" t="s">
        <v>264</v>
      </c>
    </row>
    <row r="605" spans="1:92" s="147" customFormat="1" ht="14">
      <c r="A605" s="231">
        <v>604</v>
      </c>
      <c r="B605" s="235" t="s">
        <v>52</v>
      </c>
      <c r="C605" s="231" t="s">
        <v>10</v>
      </c>
      <c r="D605" s="250" t="s">
        <v>1747</v>
      </c>
      <c r="E605" s="239" t="s">
        <v>1748</v>
      </c>
      <c r="F605" s="231" t="s">
        <v>878</v>
      </c>
      <c r="G605" s="231" cm="1">
        <f t="array" ref="G605">_xlfn.IFS(J605&lt;301,2,J605&gt;300,48)</f>
        <v>48</v>
      </c>
      <c r="H605" s="231" t="s">
        <v>2779</v>
      </c>
      <c r="I605" s="281">
        <v>0</v>
      </c>
      <c r="J605" s="249">
        <v>1712.55</v>
      </c>
      <c r="K605" s="231">
        <f t="shared" si="9"/>
        <v>10</v>
      </c>
      <c r="L605" s="231"/>
      <c r="M605" s="299" t="s">
        <v>15</v>
      </c>
      <c r="N605" s="231" t="s">
        <v>253</v>
      </c>
      <c r="O605" s="231">
        <v>2021</v>
      </c>
      <c r="P605" s="281"/>
      <c r="Q605" s="231"/>
      <c r="R605" s="231"/>
      <c r="S605" s="236" t="s">
        <v>453</v>
      </c>
      <c r="T605" s="236" t="s">
        <v>264</v>
      </c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  <c r="AQ605" s="90"/>
      <c r="AR605" s="90"/>
      <c r="AS605" s="90"/>
      <c r="AT605" s="90"/>
      <c r="AU605" s="90"/>
      <c r="AV605" s="90"/>
      <c r="AW605" s="90"/>
      <c r="AX605" s="90"/>
      <c r="AY605" s="90"/>
      <c r="AZ605" s="90"/>
      <c r="BA605" s="90"/>
      <c r="BB605" s="90"/>
      <c r="BC605" s="90"/>
      <c r="BD605" s="90"/>
      <c r="BE605" s="90"/>
      <c r="BF605" s="90"/>
      <c r="BG605" s="90"/>
      <c r="BH605" s="90"/>
      <c r="BI605" s="90"/>
      <c r="BJ605" s="90"/>
      <c r="BK605" s="90"/>
      <c r="BL605" s="90"/>
      <c r="BM605" s="90"/>
      <c r="BN605" s="90"/>
      <c r="BO605" s="90"/>
      <c r="BP605" s="90"/>
      <c r="BQ605" s="90"/>
      <c r="BR605" s="90"/>
      <c r="BS605" s="90"/>
      <c r="BT605" s="90"/>
      <c r="BU605" s="90"/>
      <c r="BV605" s="90"/>
      <c r="BW605" s="90"/>
      <c r="BX605" s="90"/>
      <c r="BY605" s="90"/>
      <c r="BZ605" s="90"/>
      <c r="CA605" s="90"/>
      <c r="CB605" s="90"/>
      <c r="CC605" s="90"/>
      <c r="CD605" s="90"/>
      <c r="CE605" s="90"/>
      <c r="CF605" s="90"/>
      <c r="CG605" s="90"/>
      <c r="CH605" s="90"/>
      <c r="CI605" s="90"/>
      <c r="CJ605" s="90"/>
      <c r="CK605" s="90"/>
      <c r="CL605" s="90"/>
      <c r="CM605" s="90"/>
      <c r="CN605" s="90"/>
    </row>
    <row r="606" spans="1:92" ht="14">
      <c r="A606" s="231">
        <v>605</v>
      </c>
      <c r="B606" s="235" t="s">
        <v>52</v>
      </c>
      <c r="C606" s="231" t="s">
        <v>10</v>
      </c>
      <c r="D606" s="250" t="s">
        <v>1749</v>
      </c>
      <c r="E606" s="239" t="s">
        <v>1750</v>
      </c>
      <c r="F606" s="231" t="s">
        <v>267</v>
      </c>
      <c r="G606" s="231" cm="1">
        <f t="array" ref="G606">_xlfn.IFS(J606&lt;301,2,J606&gt;300,48)</f>
        <v>48</v>
      </c>
      <c r="H606" s="231" t="s">
        <v>3542</v>
      </c>
      <c r="I606" s="281">
        <v>0</v>
      </c>
      <c r="J606" s="249">
        <v>506.1</v>
      </c>
      <c r="K606" s="231">
        <f t="shared" si="9"/>
        <v>20</v>
      </c>
      <c r="L606" s="231"/>
      <c r="M606" s="231" t="s">
        <v>16</v>
      </c>
      <c r="N606" s="231" t="s">
        <v>253</v>
      </c>
      <c r="O606" s="231">
        <v>2021</v>
      </c>
      <c r="P606" s="281"/>
      <c r="Q606" s="231"/>
      <c r="R606" s="231"/>
      <c r="S606" s="236" t="s">
        <v>453</v>
      </c>
      <c r="T606" s="236" t="s">
        <v>264</v>
      </c>
    </row>
    <row r="607" spans="1:92" ht="14">
      <c r="A607" s="231">
        <v>606</v>
      </c>
      <c r="B607" s="235" t="s">
        <v>52</v>
      </c>
      <c r="C607" s="231" t="s">
        <v>10</v>
      </c>
      <c r="D607" s="250" t="s">
        <v>1751</v>
      </c>
      <c r="E607" s="239" t="s">
        <v>1752</v>
      </c>
      <c r="F607" s="231" t="s">
        <v>873</v>
      </c>
      <c r="G607" s="231" cm="1">
        <f t="array" ref="G607">_xlfn.IFS(J607&lt;301,2,J607&gt;300,48)</f>
        <v>48</v>
      </c>
      <c r="H607" s="231" t="s">
        <v>4548</v>
      </c>
      <c r="I607" s="281">
        <v>0</v>
      </c>
      <c r="J607" s="249">
        <v>2082.15</v>
      </c>
      <c r="K607" s="231">
        <f t="shared" si="9"/>
        <v>10</v>
      </c>
      <c r="L607" s="231"/>
      <c r="M607" s="299" t="s">
        <v>15</v>
      </c>
      <c r="N607" s="231" t="s">
        <v>253</v>
      </c>
      <c r="O607" s="231">
        <v>2021</v>
      </c>
      <c r="P607" s="281"/>
      <c r="Q607" s="231"/>
      <c r="R607" s="231"/>
      <c r="S607" s="236" t="s">
        <v>453</v>
      </c>
      <c r="T607" s="236" t="s">
        <v>264</v>
      </c>
    </row>
    <row r="608" spans="1:92" ht="14">
      <c r="A608" s="231">
        <v>607</v>
      </c>
      <c r="B608" s="235" t="s">
        <v>52</v>
      </c>
      <c r="C608" s="231" t="s">
        <v>10</v>
      </c>
      <c r="D608" s="250" t="s">
        <v>1753</v>
      </c>
      <c r="E608" s="239" t="s">
        <v>1754</v>
      </c>
      <c r="F608" s="231" t="s">
        <v>873</v>
      </c>
      <c r="G608" s="231" cm="1">
        <f t="array" ref="G608">_xlfn.IFS(J608&lt;301,2,J608&gt;300,48)</f>
        <v>48</v>
      </c>
      <c r="H608" s="231" t="s">
        <v>4548</v>
      </c>
      <c r="I608" s="281">
        <v>0</v>
      </c>
      <c r="J608" s="249">
        <v>526.04999999999995</v>
      </c>
      <c r="K608" s="231">
        <f t="shared" si="9"/>
        <v>10</v>
      </c>
      <c r="L608" s="231"/>
      <c r="M608" s="299" t="s">
        <v>15</v>
      </c>
      <c r="N608" s="231" t="s">
        <v>253</v>
      </c>
      <c r="O608" s="231">
        <v>2021</v>
      </c>
      <c r="P608" s="281"/>
      <c r="Q608" s="231"/>
      <c r="R608" s="231"/>
      <c r="S608" s="236" t="s">
        <v>453</v>
      </c>
      <c r="T608" s="236" t="s">
        <v>264</v>
      </c>
    </row>
    <row r="609" spans="1:92" ht="14">
      <c r="A609" s="231">
        <v>608</v>
      </c>
      <c r="B609" s="235" t="s">
        <v>52</v>
      </c>
      <c r="C609" s="231" t="s">
        <v>10</v>
      </c>
      <c r="D609" s="250" t="s">
        <v>1755</v>
      </c>
      <c r="E609" s="239" t="s">
        <v>1756</v>
      </c>
      <c r="F609" s="231" t="s">
        <v>835</v>
      </c>
      <c r="G609" s="231" cm="1">
        <f t="array" ref="G609">_xlfn.IFS(J609&lt;301,2,J609&gt;300,48)</f>
        <v>48</v>
      </c>
      <c r="H609" s="231" t="s">
        <v>4697</v>
      </c>
      <c r="I609" s="281">
        <v>0</v>
      </c>
      <c r="J609" s="249">
        <v>4333.3500000000004</v>
      </c>
      <c r="K609" s="231">
        <f t="shared" si="9"/>
        <v>20</v>
      </c>
      <c r="L609" s="231"/>
      <c r="M609" s="299" t="s">
        <v>15</v>
      </c>
      <c r="N609" s="231" t="s">
        <v>253</v>
      </c>
      <c r="O609" s="231">
        <v>2021</v>
      </c>
      <c r="P609" s="281"/>
      <c r="Q609" s="231"/>
      <c r="R609" s="231"/>
      <c r="S609" s="236" t="s">
        <v>453</v>
      </c>
      <c r="T609" s="236" t="s">
        <v>264</v>
      </c>
    </row>
    <row r="610" spans="1:92" ht="14">
      <c r="A610" s="231">
        <v>609</v>
      </c>
      <c r="B610" s="235" t="s">
        <v>52</v>
      </c>
      <c r="C610" s="231" t="s">
        <v>10</v>
      </c>
      <c r="D610" s="250" t="s">
        <v>1757</v>
      </c>
      <c r="E610" s="239" t="s">
        <v>1758</v>
      </c>
      <c r="F610" s="231" t="s">
        <v>854</v>
      </c>
      <c r="G610" s="231" cm="1">
        <f t="array" ref="G610">_xlfn.IFS(J610&lt;301,2,J610&gt;300,48)</f>
        <v>48</v>
      </c>
      <c r="H610" s="231" t="s">
        <v>3542</v>
      </c>
      <c r="I610" s="281">
        <v>0</v>
      </c>
      <c r="J610" s="249">
        <v>410.55</v>
      </c>
      <c r="K610" s="231">
        <f t="shared" si="9"/>
        <v>20</v>
      </c>
      <c r="L610" s="231"/>
      <c r="M610" s="231" t="s">
        <v>16</v>
      </c>
      <c r="N610" s="231" t="s">
        <v>253</v>
      </c>
      <c r="O610" s="231">
        <v>2021</v>
      </c>
      <c r="P610" s="281"/>
      <c r="Q610" s="231"/>
      <c r="R610" s="231"/>
      <c r="S610" s="236" t="s">
        <v>453</v>
      </c>
      <c r="T610" s="236" t="s">
        <v>264</v>
      </c>
    </row>
    <row r="611" spans="1:92" ht="14">
      <c r="A611" s="231">
        <v>610</v>
      </c>
      <c r="B611" s="235" t="s">
        <v>52</v>
      </c>
      <c r="C611" s="231" t="s">
        <v>10</v>
      </c>
      <c r="D611" s="250" t="s">
        <v>1759</v>
      </c>
      <c r="E611" s="239" t="s">
        <v>1760</v>
      </c>
      <c r="F611" s="231" t="s">
        <v>878</v>
      </c>
      <c r="G611" s="231" cm="1">
        <f t="array" ref="G611">_xlfn.IFS(J611&lt;301,2,J611&gt;300,48)</f>
        <v>48</v>
      </c>
      <c r="H611" s="231" t="s">
        <v>2765</v>
      </c>
      <c r="I611" s="281">
        <v>0</v>
      </c>
      <c r="J611" s="249">
        <v>632.1</v>
      </c>
      <c r="K611" s="231">
        <f t="shared" si="9"/>
        <v>10</v>
      </c>
      <c r="L611" s="231"/>
      <c r="M611" s="299" t="s">
        <v>15</v>
      </c>
      <c r="N611" s="231" t="s">
        <v>253</v>
      </c>
      <c r="O611" s="231">
        <v>2021</v>
      </c>
      <c r="P611" s="281"/>
      <c r="Q611" s="231"/>
      <c r="R611" s="231"/>
      <c r="S611" s="236" t="s">
        <v>453</v>
      </c>
      <c r="T611" s="236" t="s">
        <v>264</v>
      </c>
    </row>
    <row r="612" spans="1:92" ht="14">
      <c r="A612" s="231">
        <v>611</v>
      </c>
      <c r="B612" s="235" t="s">
        <v>52</v>
      </c>
      <c r="C612" s="231" t="s">
        <v>10</v>
      </c>
      <c r="D612" s="250" t="s">
        <v>1761</v>
      </c>
      <c r="E612" s="239" t="s">
        <v>1762</v>
      </c>
      <c r="F612" s="231" t="s">
        <v>878</v>
      </c>
      <c r="G612" s="231" cm="1">
        <f t="array" ref="G612">_xlfn.IFS(J612&lt;301,2,J612&gt;300,48)</f>
        <v>48</v>
      </c>
      <c r="H612" s="231" t="s">
        <v>2779</v>
      </c>
      <c r="I612" s="281">
        <v>0</v>
      </c>
      <c r="J612" s="249">
        <v>770.7</v>
      </c>
      <c r="K612" s="231" t="str">
        <f t="shared" si="9"/>
        <v>N/A</v>
      </c>
      <c r="L612" s="231"/>
      <c r="M612" s="231" t="s">
        <v>456</v>
      </c>
      <c r="N612" s="231" t="s">
        <v>253</v>
      </c>
      <c r="O612" s="231">
        <v>2021</v>
      </c>
      <c r="P612" s="281"/>
      <c r="Q612" s="231"/>
      <c r="R612" s="231"/>
      <c r="S612" s="236" t="s">
        <v>453</v>
      </c>
      <c r="T612" s="236" t="s">
        <v>264</v>
      </c>
    </row>
    <row r="613" spans="1:92" ht="14">
      <c r="A613" s="231">
        <v>612</v>
      </c>
      <c r="B613" s="235" t="s">
        <v>52</v>
      </c>
      <c r="C613" s="231" t="s">
        <v>10</v>
      </c>
      <c r="D613" s="250" t="s">
        <v>1763</v>
      </c>
      <c r="E613" s="239" t="s">
        <v>1764</v>
      </c>
      <c r="F613" s="231" t="s">
        <v>1765</v>
      </c>
      <c r="G613" s="231" cm="1">
        <f t="array" ref="G613">_xlfn.IFS(J613&lt;301,2,J613&gt;300,48)</f>
        <v>48</v>
      </c>
      <c r="H613" s="231" t="s">
        <v>2853</v>
      </c>
      <c r="I613" s="281">
        <v>0</v>
      </c>
      <c r="J613" s="249">
        <v>1171.8</v>
      </c>
      <c r="K613" s="231">
        <f t="shared" si="9"/>
        <v>10</v>
      </c>
      <c r="L613" s="231"/>
      <c r="M613" s="299" t="s">
        <v>15</v>
      </c>
      <c r="N613" s="231" t="s">
        <v>253</v>
      </c>
      <c r="O613" s="231">
        <v>2021</v>
      </c>
      <c r="P613" s="281"/>
      <c r="Q613" s="231"/>
      <c r="R613" s="231"/>
      <c r="S613" s="236" t="s">
        <v>453</v>
      </c>
      <c r="T613" s="236" t="s">
        <v>264</v>
      </c>
    </row>
    <row r="614" spans="1:92" s="147" customFormat="1" ht="14">
      <c r="A614" s="231">
        <v>613</v>
      </c>
      <c r="B614" s="235" t="s">
        <v>52</v>
      </c>
      <c r="C614" s="231" t="s">
        <v>10</v>
      </c>
      <c r="D614" s="250" t="s">
        <v>1766</v>
      </c>
      <c r="E614" s="239" t="s">
        <v>1767</v>
      </c>
      <c r="F614" s="231" t="s">
        <v>267</v>
      </c>
      <c r="G614" s="231" cm="1">
        <f t="array" ref="G614">_xlfn.IFS(J614&lt;301,2,J614&gt;300,48)</f>
        <v>48</v>
      </c>
      <c r="H614" s="231" t="s">
        <v>3542</v>
      </c>
      <c r="I614" s="281">
        <v>0</v>
      </c>
      <c r="J614" s="249">
        <v>722.4</v>
      </c>
      <c r="K614" s="231">
        <f t="shared" si="9"/>
        <v>20</v>
      </c>
      <c r="L614" s="231"/>
      <c r="M614" s="231" t="s">
        <v>16</v>
      </c>
      <c r="N614" s="231" t="s">
        <v>253</v>
      </c>
      <c r="O614" s="231">
        <v>2021</v>
      </c>
      <c r="P614" s="281"/>
      <c r="Q614" s="231"/>
      <c r="R614" s="231"/>
      <c r="S614" s="236" t="s">
        <v>453</v>
      </c>
      <c r="T614" s="236" t="s">
        <v>264</v>
      </c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  <c r="AQ614" s="90"/>
      <c r="AR614" s="90"/>
      <c r="AS614" s="90"/>
      <c r="AT614" s="90"/>
      <c r="AU614" s="90"/>
      <c r="AV614" s="90"/>
      <c r="AW614" s="90"/>
      <c r="AX614" s="90"/>
      <c r="AY614" s="90"/>
      <c r="AZ614" s="90"/>
      <c r="BA614" s="90"/>
      <c r="BB614" s="90"/>
      <c r="BC614" s="90"/>
      <c r="BD614" s="90"/>
      <c r="BE614" s="90"/>
      <c r="BF614" s="90"/>
      <c r="BG614" s="90"/>
      <c r="BH614" s="90"/>
      <c r="BI614" s="90"/>
      <c r="BJ614" s="90"/>
      <c r="BK614" s="90"/>
      <c r="BL614" s="90"/>
      <c r="BM614" s="90"/>
      <c r="BN614" s="90"/>
      <c r="BO614" s="90"/>
      <c r="BP614" s="90"/>
      <c r="BQ614" s="90"/>
      <c r="BR614" s="90"/>
      <c r="BS614" s="90"/>
      <c r="BT614" s="90"/>
      <c r="BU614" s="90"/>
      <c r="BV614" s="90"/>
      <c r="BW614" s="90"/>
      <c r="BX614" s="90"/>
      <c r="BY614" s="90"/>
      <c r="BZ614" s="90"/>
      <c r="CA614" s="90"/>
      <c r="CB614" s="90"/>
      <c r="CC614" s="90"/>
      <c r="CD614" s="90"/>
      <c r="CE614" s="90"/>
      <c r="CF614" s="90"/>
      <c r="CG614" s="90"/>
      <c r="CH614" s="90"/>
      <c r="CI614" s="90"/>
      <c r="CJ614" s="90"/>
      <c r="CK614" s="90"/>
      <c r="CL614" s="90"/>
      <c r="CM614" s="90"/>
      <c r="CN614" s="90"/>
    </row>
    <row r="615" spans="1:92" ht="14">
      <c r="A615" s="231">
        <v>614</v>
      </c>
      <c r="B615" s="235" t="s">
        <v>52</v>
      </c>
      <c r="C615" s="231" t="s">
        <v>10</v>
      </c>
      <c r="D615" s="250" t="s">
        <v>1768</v>
      </c>
      <c r="E615" s="239" t="s">
        <v>1769</v>
      </c>
      <c r="F615" s="231" t="s">
        <v>267</v>
      </c>
      <c r="G615" s="231" cm="1">
        <f t="array" ref="G615">_xlfn.IFS(J615&lt;301,2,J615&gt;300,48)</f>
        <v>48</v>
      </c>
      <c r="H615" s="231" t="s">
        <v>3111</v>
      </c>
      <c r="I615" s="281">
        <v>0</v>
      </c>
      <c r="J615" s="249">
        <v>315</v>
      </c>
      <c r="K615" s="231">
        <f t="shared" si="9"/>
        <v>10</v>
      </c>
      <c r="L615" s="231"/>
      <c r="M615" s="299" t="s">
        <v>15</v>
      </c>
      <c r="N615" s="231" t="s">
        <v>253</v>
      </c>
      <c r="O615" s="231">
        <v>2021</v>
      </c>
      <c r="P615" s="281"/>
      <c r="Q615" s="231"/>
      <c r="R615" s="231"/>
      <c r="S615" s="236" t="s">
        <v>453</v>
      </c>
      <c r="T615" s="236" t="s">
        <v>264</v>
      </c>
    </row>
    <row r="616" spans="1:92" ht="14">
      <c r="A616" s="231">
        <v>615</v>
      </c>
      <c r="B616" s="235" t="s">
        <v>52</v>
      </c>
      <c r="C616" s="231" t="s">
        <v>10</v>
      </c>
      <c r="D616" s="250" t="s">
        <v>1770</v>
      </c>
      <c r="E616" s="317" t="s">
        <v>1771</v>
      </c>
      <c r="F616" s="271" t="s">
        <v>878</v>
      </c>
      <c r="G616" s="271" cm="1">
        <f t="array" ref="G616">_xlfn.IFS(J616&lt;301,2,J616&gt;300,48)</f>
        <v>48</v>
      </c>
      <c r="H616" s="231" t="s">
        <v>2980</v>
      </c>
      <c r="I616" s="281">
        <v>0</v>
      </c>
      <c r="J616" s="249">
        <v>777</v>
      </c>
      <c r="K616" s="231">
        <f t="shared" si="9"/>
        <v>10</v>
      </c>
      <c r="L616" s="231"/>
      <c r="M616" s="299" t="s">
        <v>15</v>
      </c>
      <c r="N616" s="231" t="s">
        <v>253</v>
      </c>
      <c r="O616" s="231">
        <v>2022</v>
      </c>
      <c r="P616" s="281"/>
      <c r="Q616" s="231"/>
      <c r="R616" s="231"/>
      <c r="S616" s="236" t="s">
        <v>453</v>
      </c>
      <c r="T616" s="236" t="s">
        <v>264</v>
      </c>
    </row>
    <row r="617" spans="1:92" ht="14">
      <c r="A617" s="231">
        <v>616</v>
      </c>
      <c r="B617" s="235" t="s">
        <v>52</v>
      </c>
      <c r="C617" s="231" t="s">
        <v>10</v>
      </c>
      <c r="D617" s="250" t="s">
        <v>1772</v>
      </c>
      <c r="E617" s="239" t="s">
        <v>1773</v>
      </c>
      <c r="F617" s="231" t="s">
        <v>854</v>
      </c>
      <c r="G617" s="231" cm="1">
        <f t="array" ref="G617">_xlfn.IFS(J617&lt;301,2,J617&gt;300,48)</f>
        <v>48</v>
      </c>
      <c r="H617" s="231" t="s">
        <v>2763</v>
      </c>
      <c r="I617" s="281">
        <v>0</v>
      </c>
      <c r="J617" s="249">
        <v>859.95</v>
      </c>
      <c r="K617" s="231">
        <f t="shared" si="9"/>
        <v>10</v>
      </c>
      <c r="L617" s="231"/>
      <c r="M617" s="299" t="s">
        <v>15</v>
      </c>
      <c r="N617" s="231" t="s">
        <v>253</v>
      </c>
      <c r="O617" s="231">
        <v>2023</v>
      </c>
      <c r="P617" s="281"/>
      <c r="Q617" s="231"/>
      <c r="R617" s="231"/>
      <c r="S617" s="236" t="s">
        <v>453</v>
      </c>
      <c r="T617" s="236" t="s">
        <v>264</v>
      </c>
    </row>
    <row r="618" spans="1:92" ht="14">
      <c r="A618" s="231">
        <v>617</v>
      </c>
      <c r="B618" s="235" t="s">
        <v>52</v>
      </c>
      <c r="C618" s="231" t="s">
        <v>10</v>
      </c>
      <c r="D618" s="250" t="s">
        <v>4687</v>
      </c>
      <c r="E618" s="239" t="s">
        <v>1774</v>
      </c>
      <c r="F618" s="231" t="s">
        <v>881</v>
      </c>
      <c r="G618" s="231" cm="1">
        <f t="array" ref="G618">_xlfn.IFS(J618&lt;301,2,J618&gt;300,48)</f>
        <v>48</v>
      </c>
      <c r="H618" s="231" t="s">
        <v>3111</v>
      </c>
      <c r="I618" s="281">
        <v>0</v>
      </c>
      <c r="J618" s="249">
        <v>397.95</v>
      </c>
      <c r="K618" s="231">
        <f t="shared" si="9"/>
        <v>20</v>
      </c>
      <c r="L618" s="231"/>
      <c r="M618" s="231" t="s">
        <v>16</v>
      </c>
      <c r="N618" s="231" t="s">
        <v>253</v>
      </c>
      <c r="O618" s="231">
        <v>2021</v>
      </c>
      <c r="P618" s="281"/>
      <c r="Q618" s="231"/>
      <c r="R618" s="231"/>
      <c r="S618" s="236" t="s">
        <v>453</v>
      </c>
      <c r="T618" s="236" t="s">
        <v>264</v>
      </c>
    </row>
    <row r="619" spans="1:92" ht="14">
      <c r="A619" s="231">
        <v>618</v>
      </c>
      <c r="B619" s="235" t="s">
        <v>52</v>
      </c>
      <c r="C619" s="231" t="s">
        <v>10</v>
      </c>
      <c r="D619" s="250" t="s">
        <v>1775</v>
      </c>
      <c r="E619" s="239" t="s">
        <v>1776</v>
      </c>
      <c r="F619" s="231" t="s">
        <v>878</v>
      </c>
      <c r="G619" s="231" cm="1">
        <f t="array" ref="G619">_xlfn.IFS(J619&lt;301,2,J619&gt;300,48)</f>
        <v>48</v>
      </c>
      <c r="H619" s="231" t="s">
        <v>4254</v>
      </c>
      <c r="I619" s="281">
        <v>0</v>
      </c>
      <c r="J619" s="249">
        <v>785.4</v>
      </c>
      <c r="K619" s="231">
        <f t="shared" si="9"/>
        <v>10</v>
      </c>
      <c r="L619" s="231"/>
      <c r="M619" s="299" t="s">
        <v>15</v>
      </c>
      <c r="N619" s="231" t="s">
        <v>253</v>
      </c>
      <c r="O619" s="231">
        <v>2021</v>
      </c>
      <c r="P619" s="281"/>
      <c r="Q619" s="231"/>
      <c r="R619" s="231"/>
      <c r="S619" s="236" t="s">
        <v>453</v>
      </c>
      <c r="T619" s="236" t="s">
        <v>264</v>
      </c>
    </row>
    <row r="620" spans="1:92" ht="14">
      <c r="A620" s="231">
        <v>619</v>
      </c>
      <c r="B620" s="235" t="s">
        <v>52</v>
      </c>
      <c r="C620" s="231" t="s">
        <v>10</v>
      </c>
      <c r="D620" s="250" t="s">
        <v>1777</v>
      </c>
      <c r="E620" s="239" t="s">
        <v>1778</v>
      </c>
      <c r="F620" s="231" t="s">
        <v>864</v>
      </c>
      <c r="G620" s="231" cm="1">
        <f t="array" ref="G620">_xlfn.IFS(J620&lt;301,2,J620&gt;300,48)</f>
        <v>48</v>
      </c>
      <c r="H620" s="231" t="s">
        <v>582</v>
      </c>
      <c r="I620" s="281">
        <v>0</v>
      </c>
      <c r="J620" s="249">
        <v>450</v>
      </c>
      <c r="K620" s="231">
        <f t="shared" si="9"/>
        <v>20</v>
      </c>
      <c r="L620" s="231"/>
      <c r="M620" s="231" t="s">
        <v>16</v>
      </c>
      <c r="N620" s="231" t="s">
        <v>253</v>
      </c>
      <c r="O620" s="231">
        <v>2021</v>
      </c>
      <c r="P620" s="281"/>
      <c r="Q620" s="231"/>
      <c r="R620" s="231"/>
      <c r="S620" s="236" t="s">
        <v>453</v>
      </c>
      <c r="T620" s="236" t="s">
        <v>264</v>
      </c>
    </row>
    <row r="621" spans="1:92" ht="14">
      <c r="A621" s="231">
        <v>620</v>
      </c>
      <c r="B621" s="235" t="s">
        <v>52</v>
      </c>
      <c r="C621" s="231" t="s">
        <v>10</v>
      </c>
      <c r="D621" s="250" t="s">
        <v>1779</v>
      </c>
      <c r="E621" s="239" t="s">
        <v>1780</v>
      </c>
      <c r="F621" s="231" t="s">
        <v>835</v>
      </c>
      <c r="G621" s="231" cm="1">
        <f t="array" ref="G621">_xlfn.IFS(J621&lt;301,2,J621&gt;300,48)</f>
        <v>48</v>
      </c>
      <c r="H621" s="231" t="s">
        <v>4646</v>
      </c>
      <c r="I621" s="281">
        <v>0</v>
      </c>
      <c r="J621" s="249">
        <v>782.25</v>
      </c>
      <c r="K621" s="231">
        <f t="shared" si="9"/>
        <v>10</v>
      </c>
      <c r="L621" s="231"/>
      <c r="M621" s="299" t="s">
        <v>15</v>
      </c>
      <c r="N621" s="231" t="s">
        <v>253</v>
      </c>
      <c r="O621" s="231">
        <v>2022</v>
      </c>
      <c r="P621" s="281"/>
      <c r="Q621" s="231"/>
      <c r="R621" s="231"/>
      <c r="S621" s="236" t="s">
        <v>453</v>
      </c>
      <c r="T621" s="236" t="s">
        <v>264</v>
      </c>
    </row>
    <row r="622" spans="1:92" ht="14">
      <c r="A622" s="231">
        <v>621</v>
      </c>
      <c r="B622" s="235" t="s">
        <v>52</v>
      </c>
      <c r="C622" s="231" t="s">
        <v>10</v>
      </c>
      <c r="D622" s="250" t="s">
        <v>1781</v>
      </c>
      <c r="E622" s="239" t="s">
        <v>1782</v>
      </c>
      <c r="F622" s="231" t="s">
        <v>753</v>
      </c>
      <c r="G622" s="231">
        <v>24</v>
      </c>
      <c r="H622" s="231" t="s">
        <v>4270</v>
      </c>
      <c r="I622" s="281">
        <v>0</v>
      </c>
      <c r="J622" s="249">
        <v>1906.8</v>
      </c>
      <c r="K622" s="231" t="str">
        <f t="shared" si="9"/>
        <v>N/A</v>
      </c>
      <c r="L622" s="231"/>
      <c r="M622" s="231" t="s">
        <v>456</v>
      </c>
      <c r="N622" s="231" t="s">
        <v>253</v>
      </c>
      <c r="O622" s="231">
        <v>2021</v>
      </c>
      <c r="P622" s="281"/>
      <c r="Q622" s="231"/>
      <c r="R622" s="231"/>
      <c r="S622" s="236" t="s">
        <v>453</v>
      </c>
      <c r="T622" s="236" t="s">
        <v>264</v>
      </c>
    </row>
    <row r="623" spans="1:92" ht="14">
      <c r="A623" s="231">
        <v>622</v>
      </c>
      <c r="B623" s="235" t="s">
        <v>52</v>
      </c>
      <c r="C623" s="231" t="s">
        <v>10</v>
      </c>
      <c r="D623" s="250" t="s">
        <v>1783</v>
      </c>
      <c r="E623" s="239" t="s">
        <v>1784</v>
      </c>
      <c r="F623" s="231" t="s">
        <v>814</v>
      </c>
      <c r="G623" s="231" cm="1">
        <f t="array" ref="G623">_xlfn.IFS(J623&lt;301,2,J623&gt;300,48)</f>
        <v>48</v>
      </c>
      <c r="H623" s="231" t="s">
        <v>4259</v>
      </c>
      <c r="I623" s="281">
        <v>0</v>
      </c>
      <c r="J623" s="249">
        <v>16159.5</v>
      </c>
      <c r="K623" s="231">
        <f t="shared" si="9"/>
        <v>20</v>
      </c>
      <c r="L623" s="231"/>
      <c r="M623" s="299" t="s">
        <v>15</v>
      </c>
      <c r="N623" s="231" t="s">
        <v>253</v>
      </c>
      <c r="O623" s="231">
        <v>2021</v>
      </c>
      <c r="P623" s="281"/>
      <c r="Q623" s="231"/>
      <c r="R623" s="231"/>
      <c r="S623" s="236" t="s">
        <v>453</v>
      </c>
      <c r="T623" s="236" t="s">
        <v>264</v>
      </c>
    </row>
    <row r="624" spans="1:92" s="147" customFormat="1" ht="14">
      <c r="A624" s="231">
        <v>623</v>
      </c>
      <c r="B624" s="235" t="s">
        <v>52</v>
      </c>
      <c r="C624" s="231" t="s">
        <v>10</v>
      </c>
      <c r="D624" s="250" t="s">
        <v>1785</v>
      </c>
      <c r="E624" s="239" t="s">
        <v>1786</v>
      </c>
      <c r="F624" s="231" t="s">
        <v>873</v>
      </c>
      <c r="G624" s="231">
        <v>24</v>
      </c>
      <c r="H624" s="231" t="s">
        <v>4269</v>
      </c>
      <c r="I624" s="281">
        <v>0</v>
      </c>
      <c r="J624" s="249">
        <v>3799.95</v>
      </c>
      <c r="K624" s="231" t="str">
        <f t="shared" si="9"/>
        <v>N/A</v>
      </c>
      <c r="L624" s="231"/>
      <c r="M624" s="231" t="s">
        <v>456</v>
      </c>
      <c r="N624" s="231" t="s">
        <v>253</v>
      </c>
      <c r="O624" s="231">
        <v>2021</v>
      </c>
      <c r="P624" s="281"/>
      <c r="Q624" s="231"/>
      <c r="R624" s="231"/>
      <c r="S624" s="236" t="s">
        <v>453</v>
      </c>
      <c r="T624" s="236" t="s">
        <v>264</v>
      </c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  <c r="AP624" s="90"/>
      <c r="AQ624" s="90"/>
      <c r="AR624" s="90"/>
      <c r="AS624" s="90"/>
      <c r="AT624" s="90"/>
      <c r="AU624" s="90"/>
      <c r="AV624" s="90"/>
      <c r="AW624" s="90"/>
      <c r="AX624" s="90"/>
      <c r="AY624" s="90"/>
      <c r="AZ624" s="90"/>
      <c r="BA624" s="90"/>
      <c r="BB624" s="90"/>
      <c r="BC624" s="90"/>
      <c r="BD624" s="90"/>
      <c r="BE624" s="90"/>
      <c r="BF624" s="90"/>
      <c r="BG624" s="90"/>
      <c r="BH624" s="90"/>
      <c r="BI624" s="90"/>
      <c r="BJ624" s="90"/>
      <c r="BK624" s="90"/>
      <c r="BL624" s="90"/>
      <c r="BM624" s="90"/>
      <c r="BN624" s="90"/>
      <c r="BO624" s="90"/>
      <c r="BP624" s="90"/>
      <c r="BQ624" s="90"/>
      <c r="BR624" s="90"/>
      <c r="BS624" s="90"/>
      <c r="BT624" s="90"/>
      <c r="BU624" s="90"/>
      <c r="BV624" s="90"/>
      <c r="BW624" s="90"/>
      <c r="BX624" s="90"/>
      <c r="BY624" s="90"/>
      <c r="BZ624" s="90"/>
      <c r="CA624" s="90"/>
      <c r="CB624" s="90"/>
      <c r="CC624" s="90"/>
      <c r="CD624" s="90"/>
      <c r="CE624" s="90"/>
      <c r="CF624" s="90"/>
      <c r="CG624" s="90"/>
      <c r="CH624" s="90"/>
      <c r="CI624" s="90"/>
      <c r="CJ624" s="90"/>
      <c r="CK624" s="90"/>
      <c r="CL624" s="90"/>
      <c r="CM624" s="90"/>
      <c r="CN624" s="90"/>
    </row>
    <row r="625" spans="1:92" s="147" customFormat="1" ht="14">
      <c r="A625" s="231">
        <v>624</v>
      </c>
      <c r="B625" s="235" t="s">
        <v>52</v>
      </c>
      <c r="C625" s="231" t="s">
        <v>10</v>
      </c>
      <c r="D625" s="250" t="s">
        <v>1787</v>
      </c>
      <c r="E625" s="239" t="s">
        <v>1788</v>
      </c>
      <c r="F625" s="231" t="s">
        <v>873</v>
      </c>
      <c r="G625" s="231" cm="1">
        <f t="array" ref="G625">_xlfn.IFS(J625&lt;301,2,J625&gt;300,48)</f>
        <v>48</v>
      </c>
      <c r="H625" s="231" t="s">
        <v>168</v>
      </c>
      <c r="I625" s="281">
        <v>0</v>
      </c>
      <c r="J625" s="249">
        <v>1898.4</v>
      </c>
      <c r="K625" s="231">
        <f t="shared" si="9"/>
        <v>20</v>
      </c>
      <c r="L625" s="231"/>
      <c r="M625" s="231" t="s">
        <v>16</v>
      </c>
      <c r="N625" s="231" t="s">
        <v>253</v>
      </c>
      <c r="O625" s="231">
        <v>2021</v>
      </c>
      <c r="P625" s="281"/>
      <c r="Q625" s="231"/>
      <c r="R625" s="231"/>
      <c r="S625" s="236" t="s">
        <v>453</v>
      </c>
      <c r="T625" s="236" t="s">
        <v>264</v>
      </c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  <c r="AP625" s="90"/>
      <c r="AQ625" s="90"/>
      <c r="AR625" s="90"/>
      <c r="AS625" s="90"/>
      <c r="AT625" s="90"/>
      <c r="AU625" s="90"/>
      <c r="AV625" s="90"/>
      <c r="AW625" s="90"/>
      <c r="AX625" s="90"/>
      <c r="AY625" s="90"/>
      <c r="AZ625" s="90"/>
      <c r="BA625" s="90"/>
      <c r="BB625" s="90"/>
      <c r="BC625" s="90"/>
      <c r="BD625" s="90"/>
      <c r="BE625" s="90"/>
      <c r="BF625" s="90"/>
      <c r="BG625" s="90"/>
      <c r="BH625" s="90"/>
      <c r="BI625" s="90"/>
      <c r="BJ625" s="90"/>
      <c r="BK625" s="90"/>
      <c r="BL625" s="90"/>
      <c r="BM625" s="90"/>
      <c r="BN625" s="90"/>
      <c r="BO625" s="90"/>
      <c r="BP625" s="90"/>
      <c r="BQ625" s="90"/>
      <c r="BR625" s="90"/>
      <c r="BS625" s="90"/>
      <c r="BT625" s="90"/>
      <c r="BU625" s="90"/>
      <c r="BV625" s="90"/>
      <c r="BW625" s="90"/>
      <c r="BX625" s="90"/>
      <c r="BY625" s="90"/>
      <c r="BZ625" s="90"/>
      <c r="CA625" s="90"/>
      <c r="CB625" s="90"/>
      <c r="CC625" s="90"/>
      <c r="CD625" s="90"/>
      <c r="CE625" s="90"/>
      <c r="CF625" s="90"/>
      <c r="CG625" s="90"/>
      <c r="CH625" s="90"/>
      <c r="CI625" s="90"/>
      <c r="CJ625" s="90"/>
      <c r="CK625" s="90"/>
      <c r="CL625" s="90"/>
      <c r="CM625" s="90"/>
      <c r="CN625" s="90"/>
    </row>
    <row r="626" spans="1:92" ht="14">
      <c r="A626" s="231">
        <v>625</v>
      </c>
      <c r="B626" s="235" t="s">
        <v>52</v>
      </c>
      <c r="C626" s="231" t="s">
        <v>10</v>
      </c>
      <c r="D626" s="250" t="s">
        <v>1789</v>
      </c>
      <c r="E626" s="239" t="s">
        <v>1790</v>
      </c>
      <c r="F626" s="231" t="s">
        <v>1415</v>
      </c>
      <c r="G626" s="231" cm="1">
        <f t="array" ref="G626">_xlfn.IFS(J626&lt;301,2,J626&gt;300,48)</f>
        <v>48</v>
      </c>
      <c r="H626" s="231" t="s">
        <v>2773</v>
      </c>
      <c r="I626" s="281">
        <v>0</v>
      </c>
      <c r="J626" s="249">
        <v>570.15</v>
      </c>
      <c r="K626" s="231">
        <f t="shared" si="9"/>
        <v>10</v>
      </c>
      <c r="L626" s="231"/>
      <c r="M626" s="299" t="s">
        <v>15</v>
      </c>
      <c r="N626" s="231" t="s">
        <v>253</v>
      </c>
      <c r="O626" s="231">
        <v>2021</v>
      </c>
      <c r="P626" s="281"/>
      <c r="Q626" s="231"/>
      <c r="R626" s="231"/>
      <c r="S626" s="236" t="s">
        <v>453</v>
      </c>
      <c r="T626" s="236" t="s">
        <v>264</v>
      </c>
    </row>
    <row r="627" spans="1:92" ht="14">
      <c r="A627" s="231">
        <v>626</v>
      </c>
      <c r="B627" s="235" t="s">
        <v>52</v>
      </c>
      <c r="C627" s="231" t="s">
        <v>10</v>
      </c>
      <c r="D627" s="250" t="s">
        <v>1791</v>
      </c>
      <c r="E627" s="239" t="s">
        <v>1792</v>
      </c>
      <c r="F627" s="231" t="s">
        <v>835</v>
      </c>
      <c r="G627" s="231" cm="1">
        <f t="array" ref="G627">_xlfn.IFS(J627&lt;301,2,J627&gt;300,48)</f>
        <v>48</v>
      </c>
      <c r="H627" s="250" t="s">
        <v>1791</v>
      </c>
      <c r="I627" s="281">
        <v>0</v>
      </c>
      <c r="J627" s="249">
        <v>315</v>
      </c>
      <c r="K627" s="231">
        <f t="shared" si="9"/>
        <v>10</v>
      </c>
      <c r="L627" s="231"/>
      <c r="M627" s="299" t="s">
        <v>15</v>
      </c>
      <c r="N627" s="231" t="s">
        <v>253</v>
      </c>
      <c r="O627" s="231">
        <v>2020</v>
      </c>
      <c r="P627" s="281"/>
      <c r="Q627" s="231"/>
      <c r="R627" s="231"/>
      <c r="S627" s="236" t="s">
        <v>453</v>
      </c>
      <c r="T627" s="236" t="s">
        <v>264</v>
      </c>
    </row>
    <row r="628" spans="1:92" ht="14">
      <c r="A628" s="231">
        <v>627</v>
      </c>
      <c r="B628" s="235" t="s">
        <v>52</v>
      </c>
      <c r="C628" s="231" t="s">
        <v>10</v>
      </c>
      <c r="D628" s="250" t="s">
        <v>1793</v>
      </c>
      <c r="E628" s="239" t="s">
        <v>1794</v>
      </c>
      <c r="F628" s="231" t="s">
        <v>878</v>
      </c>
      <c r="G628" s="231" cm="1">
        <f t="array" ref="G628">_xlfn.IFS(J628&lt;301,2,J628&gt;300,48)</f>
        <v>48</v>
      </c>
      <c r="H628" s="231" t="s">
        <v>2980</v>
      </c>
      <c r="I628" s="281">
        <v>0</v>
      </c>
      <c r="J628" s="249">
        <v>355.95</v>
      </c>
      <c r="K628" s="231">
        <f t="shared" si="9"/>
        <v>10</v>
      </c>
      <c r="L628" s="231"/>
      <c r="M628" s="299" t="s">
        <v>15</v>
      </c>
      <c r="N628" s="231" t="s">
        <v>253</v>
      </c>
      <c r="O628" s="231">
        <v>2023</v>
      </c>
      <c r="P628" s="281"/>
      <c r="Q628" s="231"/>
      <c r="R628" s="231"/>
      <c r="S628" s="236" t="s">
        <v>453</v>
      </c>
      <c r="T628" s="236" t="s">
        <v>264</v>
      </c>
    </row>
    <row r="629" spans="1:92" ht="14">
      <c r="A629" s="231">
        <v>628</v>
      </c>
      <c r="B629" s="235" t="s">
        <v>52</v>
      </c>
      <c r="C629" s="231" t="s">
        <v>10</v>
      </c>
      <c r="D629" s="250" t="s">
        <v>1795</v>
      </c>
      <c r="E629" s="239" t="s">
        <v>1796</v>
      </c>
      <c r="F629" s="231" t="s">
        <v>854</v>
      </c>
      <c r="G629" s="231" cm="1">
        <f t="array" ref="G629">_xlfn.IFS(J629&lt;301,2,J629&gt;300,48)</f>
        <v>48</v>
      </c>
      <c r="H629" s="231" t="s">
        <v>2783</v>
      </c>
      <c r="I629" s="281">
        <v>0</v>
      </c>
      <c r="J629" s="249">
        <v>3681.3</v>
      </c>
      <c r="K629" s="231">
        <f t="shared" si="9"/>
        <v>20</v>
      </c>
      <c r="L629" s="231"/>
      <c r="M629" s="231" t="s">
        <v>16</v>
      </c>
      <c r="N629" s="231" t="s">
        <v>253</v>
      </c>
      <c r="O629" s="231">
        <v>2021</v>
      </c>
      <c r="P629" s="281"/>
      <c r="Q629" s="231"/>
      <c r="R629" s="231"/>
      <c r="S629" s="236" t="s">
        <v>453</v>
      </c>
      <c r="T629" s="236" t="s">
        <v>264</v>
      </c>
    </row>
    <row r="630" spans="1:92" ht="14">
      <c r="A630" s="231">
        <v>629</v>
      </c>
      <c r="B630" s="235" t="s">
        <v>52</v>
      </c>
      <c r="C630" s="231" t="s">
        <v>10</v>
      </c>
      <c r="D630" s="250" t="s">
        <v>1797</v>
      </c>
      <c r="E630" s="239" t="s">
        <v>1798</v>
      </c>
      <c r="F630" s="231" t="s">
        <v>854</v>
      </c>
      <c r="G630" s="231" cm="1">
        <f t="array" ref="G630">_xlfn.IFS(J630&lt;301,2,J630&gt;300,48)</f>
        <v>48</v>
      </c>
      <c r="H630" s="231" t="s">
        <v>185</v>
      </c>
      <c r="I630" s="281">
        <v>0</v>
      </c>
      <c r="J630" s="249">
        <v>2867.55</v>
      </c>
      <c r="K630" s="231">
        <f t="shared" si="9"/>
        <v>20</v>
      </c>
      <c r="L630" s="231"/>
      <c r="M630" s="231" t="s">
        <v>16</v>
      </c>
      <c r="N630" s="231" t="s">
        <v>253</v>
      </c>
      <c r="O630" s="231">
        <v>2021</v>
      </c>
      <c r="P630" s="281"/>
      <c r="Q630" s="231"/>
      <c r="R630" s="231"/>
      <c r="S630" s="236" t="s">
        <v>453</v>
      </c>
      <c r="T630" s="236" t="s">
        <v>264</v>
      </c>
    </row>
    <row r="631" spans="1:92" ht="14">
      <c r="A631" s="231">
        <v>630</v>
      </c>
      <c r="B631" s="235" t="s">
        <v>52</v>
      </c>
      <c r="C631" s="231" t="s">
        <v>10</v>
      </c>
      <c r="D631" s="250" t="s">
        <v>1799</v>
      </c>
      <c r="E631" s="239" t="s">
        <v>1800</v>
      </c>
      <c r="F631" s="231" t="s">
        <v>835</v>
      </c>
      <c r="G631" s="231" cm="1">
        <f t="array" ref="G631">_xlfn.IFS(J631&lt;301,2,J631&gt;300,48)</f>
        <v>48</v>
      </c>
      <c r="H631" s="231" t="s">
        <v>4268</v>
      </c>
      <c r="I631" s="281">
        <v>0</v>
      </c>
      <c r="J631" s="249">
        <v>315</v>
      </c>
      <c r="K631" s="231" t="str">
        <f t="shared" si="9"/>
        <v>N/A</v>
      </c>
      <c r="L631" s="231"/>
      <c r="M631" s="231" t="s">
        <v>456</v>
      </c>
      <c r="N631" s="231" t="s">
        <v>253</v>
      </c>
      <c r="O631" s="231">
        <v>2020</v>
      </c>
      <c r="P631" s="281"/>
      <c r="Q631" s="231"/>
      <c r="R631" s="231"/>
      <c r="S631" s="236" t="s">
        <v>453</v>
      </c>
      <c r="T631" s="236" t="s">
        <v>264</v>
      </c>
    </row>
    <row r="632" spans="1:92" ht="14">
      <c r="A632" s="231">
        <v>631</v>
      </c>
      <c r="B632" s="235" t="s">
        <v>52</v>
      </c>
      <c r="C632" s="231" t="s">
        <v>10</v>
      </c>
      <c r="D632" s="250" t="s">
        <v>1801</v>
      </c>
      <c r="E632" s="239" t="s">
        <v>1802</v>
      </c>
      <c r="F632" s="231" t="s">
        <v>835</v>
      </c>
      <c r="G632" s="231" cm="1">
        <f t="array" ref="G632">_xlfn.IFS(J632&lt;301,2,J632&gt;300,48)</f>
        <v>48</v>
      </c>
      <c r="H632" s="231" t="s">
        <v>4268</v>
      </c>
      <c r="I632" s="281">
        <v>0</v>
      </c>
      <c r="J632" s="249">
        <v>1421.7</v>
      </c>
      <c r="K632" s="231" t="str">
        <f t="shared" si="9"/>
        <v>N/A</v>
      </c>
      <c r="L632" s="231"/>
      <c r="M632" s="231" t="s">
        <v>456</v>
      </c>
      <c r="N632" s="231" t="s">
        <v>253</v>
      </c>
      <c r="O632" s="231">
        <v>2020</v>
      </c>
      <c r="P632" s="281"/>
      <c r="Q632" s="231"/>
      <c r="R632" s="231"/>
      <c r="S632" s="236" t="s">
        <v>453</v>
      </c>
      <c r="T632" s="236" t="s">
        <v>264</v>
      </c>
    </row>
    <row r="633" spans="1:92" s="147" customFormat="1" ht="14">
      <c r="A633" s="231">
        <v>632</v>
      </c>
      <c r="B633" s="235" t="s">
        <v>52</v>
      </c>
      <c r="C633" s="231" t="s">
        <v>10</v>
      </c>
      <c r="D633" s="250" t="s">
        <v>1803</v>
      </c>
      <c r="E633" s="239" t="s">
        <v>1804</v>
      </c>
      <c r="F633" s="231" t="s">
        <v>878</v>
      </c>
      <c r="G633" s="231" cm="1">
        <f t="array" ref="G633">_xlfn.IFS(J633&lt;301,2,J633&gt;300,48)</f>
        <v>48</v>
      </c>
      <c r="H633" s="231" t="s">
        <v>4569</v>
      </c>
      <c r="I633" s="281">
        <v>0</v>
      </c>
      <c r="J633" s="249">
        <v>506.1</v>
      </c>
      <c r="K633" s="231">
        <f t="shared" si="9"/>
        <v>10</v>
      </c>
      <c r="L633" s="231"/>
      <c r="M633" s="299" t="s">
        <v>15</v>
      </c>
      <c r="N633" s="231" t="s">
        <v>253</v>
      </c>
      <c r="O633" s="231">
        <v>2021</v>
      </c>
      <c r="P633" s="281"/>
      <c r="Q633" s="231"/>
      <c r="R633" s="231"/>
      <c r="S633" s="236" t="s">
        <v>453</v>
      </c>
      <c r="T633" s="236" t="s">
        <v>264</v>
      </c>
      <c r="U633" s="90"/>
      <c r="V633" s="90"/>
      <c r="W633" s="90"/>
      <c r="X633" s="90"/>
      <c r="Y633" s="90"/>
      <c r="Z633" s="90"/>
      <c r="AA633" s="90"/>
      <c r="AB633" s="90"/>
      <c r="AC633" s="90"/>
      <c r="AD633" s="90"/>
      <c r="AE633" s="90"/>
      <c r="AF633" s="90"/>
      <c r="AG633" s="90"/>
      <c r="AH633" s="90"/>
      <c r="AI633" s="90"/>
      <c r="AJ633" s="90"/>
      <c r="AK633" s="90"/>
      <c r="AL633" s="90"/>
      <c r="AM633" s="90"/>
      <c r="AN633" s="90"/>
      <c r="AO633" s="90"/>
      <c r="AP633" s="90"/>
      <c r="AQ633" s="90"/>
      <c r="AR633" s="90"/>
      <c r="AS633" s="90"/>
      <c r="AT633" s="90"/>
      <c r="AU633" s="90"/>
      <c r="AV633" s="90"/>
      <c r="AW633" s="90"/>
      <c r="AX633" s="90"/>
      <c r="AY633" s="90"/>
      <c r="AZ633" s="90"/>
      <c r="BA633" s="90"/>
      <c r="BB633" s="90"/>
      <c r="BC633" s="90"/>
      <c r="BD633" s="90"/>
      <c r="BE633" s="90"/>
      <c r="BF633" s="90"/>
      <c r="BG633" s="90"/>
      <c r="BH633" s="90"/>
      <c r="BI633" s="90"/>
      <c r="BJ633" s="90"/>
      <c r="BK633" s="90"/>
      <c r="BL633" s="90"/>
      <c r="BM633" s="90"/>
      <c r="BN633" s="90"/>
      <c r="BO633" s="90"/>
      <c r="BP633" s="90"/>
      <c r="BQ633" s="90"/>
      <c r="BR633" s="90"/>
      <c r="BS633" s="90"/>
      <c r="BT633" s="90"/>
      <c r="BU633" s="90"/>
      <c r="BV633" s="90"/>
      <c r="BW633" s="90"/>
      <c r="BX633" s="90"/>
      <c r="BY633" s="90"/>
      <c r="BZ633" s="90"/>
      <c r="CA633" s="90"/>
      <c r="CB633" s="90"/>
      <c r="CC633" s="90"/>
      <c r="CD633" s="90"/>
      <c r="CE633" s="90"/>
      <c r="CF633" s="90"/>
      <c r="CG633" s="90"/>
      <c r="CH633" s="90"/>
      <c r="CI633" s="90"/>
      <c r="CJ633" s="90"/>
      <c r="CK633" s="90"/>
      <c r="CL633" s="90"/>
      <c r="CM633" s="90"/>
      <c r="CN633" s="90"/>
    </row>
    <row r="634" spans="1:92" ht="14">
      <c r="A634" s="231">
        <v>633</v>
      </c>
      <c r="B634" s="235" t="s">
        <v>52</v>
      </c>
      <c r="C634" s="231" t="s">
        <v>10</v>
      </c>
      <c r="D634" s="250" t="s">
        <v>1805</v>
      </c>
      <c r="E634" s="239" t="s">
        <v>1806</v>
      </c>
      <c r="F634" s="231" t="s">
        <v>267</v>
      </c>
      <c r="G634" s="231" cm="1">
        <f t="array" ref="G634">_xlfn.IFS(J634&lt;301,2,J634&gt;300,48)</f>
        <v>48</v>
      </c>
      <c r="H634" s="231" t="s">
        <v>3542</v>
      </c>
      <c r="I634" s="281">
        <v>0</v>
      </c>
      <c r="J634" s="249">
        <v>345.45</v>
      </c>
      <c r="K634" s="231">
        <f t="shared" si="9"/>
        <v>10</v>
      </c>
      <c r="L634" s="231"/>
      <c r="M634" s="299" t="s">
        <v>15</v>
      </c>
      <c r="N634" s="231" t="s">
        <v>253</v>
      </c>
      <c r="O634" s="231">
        <v>2021</v>
      </c>
      <c r="P634" s="281"/>
      <c r="Q634" s="231"/>
      <c r="R634" s="231"/>
      <c r="S634" s="236" t="s">
        <v>453</v>
      </c>
      <c r="T634" s="236" t="s">
        <v>264</v>
      </c>
    </row>
    <row r="635" spans="1:92" ht="14">
      <c r="A635" s="231">
        <v>634</v>
      </c>
      <c r="B635" s="235" t="s">
        <v>52</v>
      </c>
      <c r="C635" s="231" t="s">
        <v>10</v>
      </c>
      <c r="D635" s="250" t="s">
        <v>1807</v>
      </c>
      <c r="E635" s="239" t="s">
        <v>1808</v>
      </c>
      <c r="F635" s="231" t="s">
        <v>267</v>
      </c>
      <c r="G635" s="231" cm="1">
        <f t="array" ref="G635">_xlfn.IFS(J635&lt;301,2,J635&gt;300,48)</f>
        <v>48</v>
      </c>
      <c r="H635" s="231" t="s">
        <v>4695</v>
      </c>
      <c r="I635" s="281">
        <v>0</v>
      </c>
      <c r="J635" s="249">
        <v>653.1</v>
      </c>
      <c r="K635" s="231">
        <f t="shared" si="9"/>
        <v>10</v>
      </c>
      <c r="L635" s="231"/>
      <c r="M635" s="299" t="s">
        <v>15</v>
      </c>
      <c r="N635" s="231" t="s">
        <v>253</v>
      </c>
      <c r="O635" s="231">
        <v>2021</v>
      </c>
      <c r="P635" s="281"/>
      <c r="Q635" s="231"/>
      <c r="R635" s="231"/>
      <c r="S635" s="236" t="s">
        <v>453</v>
      </c>
      <c r="T635" s="236" t="s">
        <v>264</v>
      </c>
    </row>
    <row r="636" spans="1:92" ht="14">
      <c r="A636" s="231">
        <v>635</v>
      </c>
      <c r="B636" s="235" t="s">
        <v>52</v>
      </c>
      <c r="C636" s="231" t="s">
        <v>10</v>
      </c>
      <c r="D636" s="250" t="s">
        <v>1809</v>
      </c>
      <c r="E636" s="239" t="s">
        <v>1810</v>
      </c>
      <c r="F636" s="231" t="s">
        <v>778</v>
      </c>
      <c r="G636" s="231" cm="1">
        <f t="array" ref="G636">_xlfn.IFS(J636&lt;301,2,J636&gt;300,48)</f>
        <v>48</v>
      </c>
      <c r="H636" s="231" t="s">
        <v>4611</v>
      </c>
      <c r="I636" s="281">
        <v>0</v>
      </c>
      <c r="J636" s="249">
        <v>798</v>
      </c>
      <c r="K636" s="231">
        <f t="shared" si="9"/>
        <v>10</v>
      </c>
      <c r="L636" s="231"/>
      <c r="M636" s="299" t="s">
        <v>15</v>
      </c>
      <c r="N636" s="231" t="s">
        <v>253</v>
      </c>
      <c r="O636" s="231">
        <v>2022</v>
      </c>
      <c r="P636" s="281"/>
      <c r="Q636" s="231"/>
      <c r="R636" s="231"/>
      <c r="S636" s="236" t="s">
        <v>453</v>
      </c>
      <c r="T636" s="236" t="s">
        <v>264</v>
      </c>
    </row>
    <row r="637" spans="1:92" ht="14">
      <c r="A637" s="231">
        <v>636</v>
      </c>
      <c r="B637" s="235" t="s">
        <v>52</v>
      </c>
      <c r="C637" s="231" t="s">
        <v>10</v>
      </c>
      <c r="D637" s="250" t="s">
        <v>1059</v>
      </c>
      <c r="E637" s="239" t="s">
        <v>1811</v>
      </c>
      <c r="F637" s="231" t="s">
        <v>881</v>
      </c>
      <c r="G637" s="231" cm="1">
        <f t="array" ref="G637">_xlfn.IFS(J637&lt;301,2,J637&gt;300,48)</f>
        <v>48</v>
      </c>
      <c r="H637" s="231" t="s">
        <v>2046</v>
      </c>
      <c r="I637" s="281">
        <v>0</v>
      </c>
      <c r="J637" s="249">
        <v>1500</v>
      </c>
      <c r="K637" s="231">
        <f t="shared" si="9"/>
        <v>20</v>
      </c>
      <c r="L637" s="231"/>
      <c r="M637" s="231" t="s">
        <v>16</v>
      </c>
      <c r="N637" s="231" t="s">
        <v>253</v>
      </c>
      <c r="O637" s="231">
        <v>2021</v>
      </c>
      <c r="P637" s="281"/>
      <c r="Q637" s="231"/>
      <c r="R637" s="231"/>
      <c r="S637" s="236" t="s">
        <v>453</v>
      </c>
      <c r="T637" s="236" t="s">
        <v>264</v>
      </c>
    </row>
    <row r="638" spans="1:92" ht="14">
      <c r="A638" s="231">
        <v>637</v>
      </c>
      <c r="B638" s="235" t="s">
        <v>52</v>
      </c>
      <c r="C638" s="231" t="s">
        <v>10</v>
      </c>
      <c r="D638" s="250" t="s">
        <v>1812</v>
      </c>
      <c r="E638" s="239" t="s">
        <v>267</v>
      </c>
      <c r="F638" s="231" t="s">
        <v>267</v>
      </c>
      <c r="G638" s="231" cm="1">
        <f t="array" ref="G638">_xlfn.IFS(J638&lt;301,2,J638&gt;300,48)</f>
        <v>48</v>
      </c>
      <c r="H638" s="231" t="s">
        <v>4267</v>
      </c>
      <c r="I638" s="281">
        <v>0</v>
      </c>
      <c r="J638" s="249">
        <v>315</v>
      </c>
      <c r="K638" s="231" t="str">
        <f t="shared" si="9"/>
        <v>N/A</v>
      </c>
      <c r="L638" s="231"/>
      <c r="M638" s="231" t="s">
        <v>456</v>
      </c>
      <c r="N638" s="231" t="s">
        <v>253</v>
      </c>
      <c r="O638" s="231">
        <v>2021</v>
      </c>
      <c r="P638" s="281"/>
      <c r="Q638" s="231"/>
      <c r="R638" s="231"/>
      <c r="S638" s="236" t="s">
        <v>453</v>
      </c>
      <c r="T638" s="236" t="s">
        <v>264</v>
      </c>
    </row>
    <row r="639" spans="1:92" ht="14">
      <c r="A639" s="231">
        <v>638</v>
      </c>
      <c r="B639" s="235" t="s">
        <v>52</v>
      </c>
      <c r="C639" s="231" t="s">
        <v>10</v>
      </c>
      <c r="D639" s="250" t="s">
        <v>1813</v>
      </c>
      <c r="E639" s="239" t="s">
        <v>1814</v>
      </c>
      <c r="F639" s="231" t="s">
        <v>267</v>
      </c>
      <c r="G639" s="231" cm="1">
        <f t="array" ref="G639">_xlfn.IFS(J639&lt;301,2,J639&gt;300,48)</f>
        <v>48</v>
      </c>
      <c r="H639" s="231" t="s">
        <v>582</v>
      </c>
      <c r="I639" s="281">
        <v>0</v>
      </c>
      <c r="J639" s="249">
        <v>889.35</v>
      </c>
      <c r="K639" s="231">
        <f t="shared" si="9"/>
        <v>20</v>
      </c>
      <c r="L639" s="231"/>
      <c r="M639" s="231" t="s">
        <v>16</v>
      </c>
      <c r="N639" s="231" t="s">
        <v>253</v>
      </c>
      <c r="O639" s="231">
        <v>2021</v>
      </c>
      <c r="P639" s="281"/>
      <c r="Q639" s="231"/>
      <c r="R639" s="231"/>
      <c r="S639" s="236" t="s">
        <v>453</v>
      </c>
      <c r="T639" s="236" t="s">
        <v>264</v>
      </c>
    </row>
    <row r="640" spans="1:92" ht="14">
      <c r="A640" s="231">
        <v>639</v>
      </c>
      <c r="B640" s="235" t="s">
        <v>52</v>
      </c>
      <c r="C640" s="231" t="s">
        <v>10</v>
      </c>
      <c r="D640" s="250" t="s">
        <v>1815</v>
      </c>
      <c r="E640" s="239" t="s">
        <v>1816</v>
      </c>
      <c r="F640" s="231" t="s">
        <v>854</v>
      </c>
      <c r="G640" s="231">
        <v>24</v>
      </c>
      <c r="H640" s="231" t="s">
        <v>185</v>
      </c>
      <c r="I640" s="281">
        <v>0</v>
      </c>
      <c r="J640" s="249">
        <v>3582.6</v>
      </c>
      <c r="K640" s="231" t="str">
        <f t="shared" si="9"/>
        <v>N/A</v>
      </c>
      <c r="L640" s="231"/>
      <c r="M640" s="231" t="s">
        <v>456</v>
      </c>
      <c r="N640" s="231" t="s">
        <v>253</v>
      </c>
      <c r="O640" s="231">
        <v>2021</v>
      </c>
      <c r="P640" s="281"/>
      <c r="Q640" s="231"/>
      <c r="R640" s="231"/>
      <c r="S640" s="236" t="s">
        <v>453</v>
      </c>
      <c r="T640" s="236" t="s">
        <v>264</v>
      </c>
    </row>
    <row r="641" spans="1:20" ht="14">
      <c r="A641" s="231">
        <v>640</v>
      </c>
      <c r="B641" s="235" t="s">
        <v>52</v>
      </c>
      <c r="C641" s="231" t="s">
        <v>10</v>
      </c>
      <c r="D641" s="250" t="s">
        <v>1817</v>
      </c>
      <c r="E641" s="239" t="s">
        <v>1818</v>
      </c>
      <c r="F641" s="231" t="s">
        <v>1415</v>
      </c>
      <c r="G641" s="231" cm="1">
        <f t="array" ref="G641">_xlfn.IFS(J641&lt;301,2,J641&gt;300,48)</f>
        <v>48</v>
      </c>
      <c r="H641" s="231" t="s">
        <v>3111</v>
      </c>
      <c r="I641" s="281">
        <v>0</v>
      </c>
      <c r="J641" s="249">
        <v>658.35</v>
      </c>
      <c r="K641" s="231">
        <f t="shared" ref="K641:K703" si="10">IF(M641="ONT",20,IF(M641="N/A","N/A",IF(M641="MIKROTIK",IF(J641&lt;3000,10,IF(3000&lt;J641&gt;10000,20,IF(10000&lt;J641&gt;20000,40,IF(20000&lt;J641&gt;40000,60,IF(J641&gt;40000,80,IF(J641&lt;300,3,)))))))))</f>
        <v>10</v>
      </c>
      <c r="L641" s="231"/>
      <c r="M641" s="299" t="s">
        <v>15</v>
      </c>
      <c r="N641" s="231" t="s">
        <v>253</v>
      </c>
      <c r="O641" s="231">
        <v>2021</v>
      </c>
      <c r="P641" s="281"/>
      <c r="Q641" s="231"/>
      <c r="R641" s="231"/>
      <c r="S641" s="236" t="s">
        <v>453</v>
      </c>
      <c r="T641" s="236" t="s">
        <v>264</v>
      </c>
    </row>
    <row r="642" spans="1:20" ht="14">
      <c r="A642" s="231">
        <v>641</v>
      </c>
      <c r="B642" s="235" t="s">
        <v>52</v>
      </c>
      <c r="C642" s="231" t="s">
        <v>10</v>
      </c>
      <c r="D642" s="250" t="s">
        <v>1819</v>
      </c>
      <c r="E642" s="239" t="s">
        <v>1820</v>
      </c>
      <c r="F642" s="231" t="s">
        <v>835</v>
      </c>
      <c r="G642" s="231" cm="1">
        <f t="array" ref="G642">_xlfn.IFS(J642&lt;301,2,J642&gt;300,48)</f>
        <v>48</v>
      </c>
      <c r="H642" s="231" t="s">
        <v>1440</v>
      </c>
      <c r="I642" s="281">
        <v>0</v>
      </c>
      <c r="J642" s="249">
        <v>387.45</v>
      </c>
      <c r="K642" s="231" t="str">
        <f t="shared" si="10"/>
        <v>N/A</v>
      </c>
      <c r="L642" s="231"/>
      <c r="M642" s="231" t="s">
        <v>456</v>
      </c>
      <c r="N642" s="231" t="s">
        <v>253</v>
      </c>
      <c r="O642" s="231">
        <v>2021</v>
      </c>
      <c r="P642" s="281"/>
      <c r="Q642" s="231"/>
      <c r="R642" s="231"/>
      <c r="S642" s="236" t="s">
        <v>453</v>
      </c>
      <c r="T642" s="236" t="s">
        <v>264</v>
      </c>
    </row>
    <row r="643" spans="1:20" ht="14">
      <c r="A643" s="231">
        <v>642</v>
      </c>
      <c r="B643" s="235" t="s">
        <v>52</v>
      </c>
      <c r="C643" s="231" t="s">
        <v>10</v>
      </c>
      <c r="D643" s="250" t="s">
        <v>1821</v>
      </c>
      <c r="E643" s="239" t="s">
        <v>1822</v>
      </c>
      <c r="F643" s="231" t="s">
        <v>267</v>
      </c>
      <c r="G643" s="231" cm="1">
        <f t="array" ref="G643">_xlfn.IFS(J643&lt;301,2,J643&gt;300,48)</f>
        <v>48</v>
      </c>
      <c r="H643" s="231" t="s">
        <v>2765</v>
      </c>
      <c r="I643" s="281">
        <v>0</v>
      </c>
      <c r="J643" s="249">
        <v>787.5</v>
      </c>
      <c r="K643" s="231">
        <f t="shared" si="10"/>
        <v>20</v>
      </c>
      <c r="L643" s="231"/>
      <c r="M643" s="231" t="s">
        <v>16</v>
      </c>
      <c r="N643" s="231" t="s">
        <v>253</v>
      </c>
      <c r="O643" s="231">
        <v>2021</v>
      </c>
      <c r="P643" s="281"/>
      <c r="Q643" s="231"/>
      <c r="R643" s="231"/>
      <c r="S643" s="236" t="s">
        <v>453</v>
      </c>
      <c r="T643" s="236" t="s">
        <v>264</v>
      </c>
    </row>
    <row r="644" spans="1:20" ht="14">
      <c r="A644" s="231">
        <v>643</v>
      </c>
      <c r="B644" s="235" t="s">
        <v>52</v>
      </c>
      <c r="C644" s="231" t="s">
        <v>10</v>
      </c>
      <c r="D644" s="250" t="s">
        <v>4696</v>
      </c>
      <c r="E644" s="239" t="s">
        <v>1823</v>
      </c>
      <c r="F644" s="231" t="s">
        <v>873</v>
      </c>
      <c r="G644" s="231" cm="1">
        <f t="array" ref="G644">_xlfn.IFS(J644&lt;301,2,J644&gt;300,48)</f>
        <v>48</v>
      </c>
      <c r="H644" s="231" t="s">
        <v>4257</v>
      </c>
      <c r="I644" s="281">
        <v>0</v>
      </c>
      <c r="J644" s="249">
        <v>3078</v>
      </c>
      <c r="K644" s="231">
        <f t="shared" si="10"/>
        <v>20</v>
      </c>
      <c r="L644" s="231"/>
      <c r="M644" s="299" t="s">
        <v>15</v>
      </c>
      <c r="N644" s="231" t="s">
        <v>253</v>
      </c>
      <c r="O644" s="231">
        <v>2021</v>
      </c>
      <c r="P644" s="281"/>
      <c r="Q644" s="231"/>
      <c r="R644" s="231"/>
      <c r="S644" s="236" t="s">
        <v>453</v>
      </c>
      <c r="T644" s="236" t="s">
        <v>264</v>
      </c>
    </row>
    <row r="645" spans="1:20" ht="14">
      <c r="A645" s="231">
        <v>644</v>
      </c>
      <c r="B645" s="235" t="s">
        <v>52</v>
      </c>
      <c r="C645" s="231" t="s">
        <v>10</v>
      </c>
      <c r="D645" s="250" t="s">
        <v>1824</v>
      </c>
      <c r="E645" s="239" t="s">
        <v>1825</v>
      </c>
      <c r="F645" s="231" t="s">
        <v>267</v>
      </c>
      <c r="G645" s="231" cm="1">
        <f t="array" ref="G645">_xlfn.IFS(J645&lt;301,2,J645&gt;300,48)</f>
        <v>48</v>
      </c>
      <c r="H645" s="231" t="s">
        <v>582</v>
      </c>
      <c r="I645" s="281">
        <v>0</v>
      </c>
      <c r="J645" s="249">
        <v>2021.25</v>
      </c>
      <c r="K645" s="231">
        <f t="shared" si="10"/>
        <v>20</v>
      </c>
      <c r="L645" s="231"/>
      <c r="M645" s="231" t="s">
        <v>16</v>
      </c>
      <c r="N645" s="231" t="s">
        <v>253</v>
      </c>
      <c r="O645" s="231">
        <v>2021</v>
      </c>
      <c r="P645" s="281"/>
      <c r="Q645" s="231"/>
      <c r="R645" s="231"/>
      <c r="S645" s="236" t="s">
        <v>453</v>
      </c>
      <c r="T645" s="236" t="s">
        <v>264</v>
      </c>
    </row>
    <row r="646" spans="1:20" ht="14">
      <c r="A646" s="231">
        <v>645</v>
      </c>
      <c r="B646" s="235" t="s">
        <v>52</v>
      </c>
      <c r="C646" s="231" t="s">
        <v>10</v>
      </c>
      <c r="D646" s="250" t="s">
        <v>1826</v>
      </c>
      <c r="E646" s="239" t="s">
        <v>1827</v>
      </c>
      <c r="F646" s="231" t="s">
        <v>267</v>
      </c>
      <c r="G646" s="231" cm="1">
        <f t="array" ref="G646">_xlfn.IFS(J646&lt;301,2,J646&gt;300,48)</f>
        <v>48</v>
      </c>
      <c r="H646" s="231" t="s">
        <v>2773</v>
      </c>
      <c r="I646" s="281">
        <v>0</v>
      </c>
      <c r="J646" s="249">
        <v>337.05</v>
      </c>
      <c r="K646" s="231">
        <f t="shared" si="10"/>
        <v>20</v>
      </c>
      <c r="L646" s="231"/>
      <c r="M646" s="231" t="s">
        <v>16</v>
      </c>
      <c r="N646" s="231" t="s">
        <v>253</v>
      </c>
      <c r="O646" s="231">
        <v>2021</v>
      </c>
      <c r="P646" s="281"/>
      <c r="Q646" s="231"/>
      <c r="R646" s="231"/>
      <c r="S646" s="236" t="s">
        <v>453</v>
      </c>
      <c r="T646" s="236" t="s">
        <v>264</v>
      </c>
    </row>
    <row r="647" spans="1:20" ht="14">
      <c r="A647" s="231">
        <v>646</v>
      </c>
      <c r="B647" s="235" t="s">
        <v>52</v>
      </c>
      <c r="C647" s="231" t="s">
        <v>10</v>
      </c>
      <c r="D647" s="250" t="s">
        <v>1828</v>
      </c>
      <c r="E647" s="239" t="s">
        <v>1829</v>
      </c>
      <c r="F647" s="231" t="s">
        <v>873</v>
      </c>
      <c r="G647" s="231" cm="1">
        <f t="array" ref="G647">_xlfn.IFS(J647&lt;301,2,J647&gt;300,48)</f>
        <v>48</v>
      </c>
      <c r="H647" s="231" t="s">
        <v>4257</v>
      </c>
      <c r="I647" s="281">
        <v>0</v>
      </c>
      <c r="J647" s="249">
        <v>4548.6000000000004</v>
      </c>
      <c r="K647" s="231">
        <f t="shared" si="10"/>
        <v>20</v>
      </c>
      <c r="L647" s="231"/>
      <c r="M647" s="231" t="s">
        <v>16</v>
      </c>
      <c r="N647" s="231" t="s">
        <v>253</v>
      </c>
      <c r="O647" s="231">
        <v>2022</v>
      </c>
      <c r="P647" s="281"/>
      <c r="Q647" s="231"/>
      <c r="R647" s="231"/>
      <c r="S647" s="236" t="s">
        <v>453</v>
      </c>
      <c r="T647" s="236" t="s">
        <v>264</v>
      </c>
    </row>
    <row r="648" spans="1:20" ht="14">
      <c r="A648" s="231">
        <v>647</v>
      </c>
      <c r="B648" s="235" t="s">
        <v>55</v>
      </c>
      <c r="C648" s="231" t="s">
        <v>10</v>
      </c>
      <c r="D648" s="250" t="s">
        <v>1830</v>
      </c>
      <c r="E648" s="239" t="s">
        <v>1831</v>
      </c>
      <c r="F648" s="231" t="s">
        <v>1626</v>
      </c>
      <c r="G648" s="231" cm="1">
        <f t="array" ref="G648">_xlfn.IFS(J648&lt;301,2,J648&gt;300,48)</f>
        <v>48</v>
      </c>
      <c r="H648" s="231" t="s">
        <v>2894</v>
      </c>
      <c r="I648" s="281">
        <v>0</v>
      </c>
      <c r="J648" s="249">
        <v>973.35</v>
      </c>
      <c r="K648" s="231" t="str">
        <f t="shared" si="10"/>
        <v>N/A</v>
      </c>
      <c r="L648" s="231"/>
      <c r="M648" s="231" t="s">
        <v>456</v>
      </c>
      <c r="N648" s="231" t="s">
        <v>253</v>
      </c>
      <c r="O648" s="231">
        <v>2021</v>
      </c>
      <c r="P648" s="281"/>
      <c r="Q648" s="231"/>
      <c r="R648" s="231"/>
      <c r="S648" s="236" t="s">
        <v>453</v>
      </c>
      <c r="T648" s="236" t="s">
        <v>264</v>
      </c>
    </row>
    <row r="649" spans="1:20" ht="14">
      <c r="A649" s="231">
        <v>648</v>
      </c>
      <c r="B649" s="235" t="s">
        <v>52</v>
      </c>
      <c r="C649" s="231" t="s">
        <v>10</v>
      </c>
      <c r="D649" s="250" t="s">
        <v>1832</v>
      </c>
      <c r="E649" s="239" t="s">
        <v>1833</v>
      </c>
      <c r="F649" s="231" t="s">
        <v>854</v>
      </c>
      <c r="G649" s="231" cm="1">
        <f t="array" ref="G649">_xlfn.IFS(J649&lt;301,2,J649&gt;300,48)</f>
        <v>48</v>
      </c>
      <c r="H649" s="231" t="s">
        <v>2783</v>
      </c>
      <c r="I649" s="281">
        <v>0</v>
      </c>
      <c r="J649" s="249">
        <v>4446.75</v>
      </c>
      <c r="K649" s="231">
        <f t="shared" si="10"/>
        <v>20</v>
      </c>
      <c r="L649" s="231"/>
      <c r="M649" s="231" t="s">
        <v>16</v>
      </c>
      <c r="N649" s="231" t="s">
        <v>253</v>
      </c>
      <c r="O649" s="231">
        <v>2021</v>
      </c>
      <c r="P649" s="281"/>
      <c r="Q649" s="231"/>
      <c r="R649" s="231"/>
      <c r="S649" s="236" t="s">
        <v>453</v>
      </c>
      <c r="T649" s="236" t="s">
        <v>264</v>
      </c>
    </row>
    <row r="650" spans="1:20" ht="14">
      <c r="A650" s="231">
        <v>649</v>
      </c>
      <c r="B650" s="235" t="s">
        <v>52</v>
      </c>
      <c r="C650" s="231" t="s">
        <v>10</v>
      </c>
      <c r="D650" s="250" t="s">
        <v>1834</v>
      </c>
      <c r="E650" s="239" t="s">
        <v>1835</v>
      </c>
      <c r="F650" s="231" t="s">
        <v>267</v>
      </c>
      <c r="G650" s="231" cm="1">
        <f t="array" ref="G650">_xlfn.IFS(J650&lt;301,2,J650&gt;300,48)</f>
        <v>48</v>
      </c>
      <c r="H650" s="231" t="s">
        <v>2765</v>
      </c>
      <c r="I650" s="281">
        <v>0</v>
      </c>
      <c r="J650" s="249">
        <v>443.1</v>
      </c>
      <c r="K650" s="231">
        <f t="shared" si="10"/>
        <v>20</v>
      </c>
      <c r="L650" s="231"/>
      <c r="M650" s="231" t="s">
        <v>16</v>
      </c>
      <c r="N650" s="231" t="s">
        <v>253</v>
      </c>
      <c r="O650" s="231">
        <v>2021</v>
      </c>
      <c r="P650" s="281"/>
      <c r="Q650" s="231"/>
      <c r="R650" s="231"/>
      <c r="S650" s="236" t="s">
        <v>453</v>
      </c>
      <c r="T650" s="236" t="s">
        <v>264</v>
      </c>
    </row>
    <row r="651" spans="1:20" ht="14">
      <c r="A651" s="231">
        <v>650</v>
      </c>
      <c r="B651" s="235" t="s">
        <v>52</v>
      </c>
      <c r="C651" s="231" t="s">
        <v>10</v>
      </c>
      <c r="D651" s="250" t="s">
        <v>1836</v>
      </c>
      <c r="E651" s="239" t="s">
        <v>1837</v>
      </c>
      <c r="F651" s="231" t="s">
        <v>267</v>
      </c>
      <c r="G651" s="231" cm="1">
        <f t="array" ref="G651">_xlfn.IFS(J651&lt;301,2,J651&gt;300,48)</f>
        <v>48</v>
      </c>
      <c r="H651" s="231" t="s">
        <v>2773</v>
      </c>
      <c r="I651" s="281">
        <v>0</v>
      </c>
      <c r="J651" s="249">
        <v>2556.75</v>
      </c>
      <c r="K651" s="231">
        <f t="shared" si="10"/>
        <v>20</v>
      </c>
      <c r="L651" s="231"/>
      <c r="M651" s="231" t="s">
        <v>16</v>
      </c>
      <c r="N651" s="231" t="s">
        <v>253</v>
      </c>
      <c r="O651" s="231">
        <v>2021</v>
      </c>
      <c r="P651" s="281"/>
      <c r="Q651" s="231"/>
      <c r="R651" s="231"/>
      <c r="S651" s="236" t="s">
        <v>453</v>
      </c>
      <c r="T651" s="236" t="s">
        <v>264</v>
      </c>
    </row>
    <row r="652" spans="1:20" ht="14">
      <c r="A652" s="231">
        <v>651</v>
      </c>
      <c r="B652" s="235" t="s">
        <v>52</v>
      </c>
      <c r="C652" s="231" t="s">
        <v>10</v>
      </c>
      <c r="D652" s="250" t="s">
        <v>1838</v>
      </c>
      <c r="E652" s="239" t="s">
        <v>1839</v>
      </c>
      <c r="F652" s="231" t="s">
        <v>267</v>
      </c>
      <c r="G652" s="231" cm="1">
        <f t="array" ref="G652">_xlfn.IFS(J652&lt;301,2,J652&gt;300,48)</f>
        <v>48</v>
      </c>
      <c r="H652" s="231" t="s">
        <v>3623</v>
      </c>
      <c r="I652" s="281">
        <v>0</v>
      </c>
      <c r="J652" s="249">
        <v>1347.15</v>
      </c>
      <c r="K652" s="231" t="str">
        <f t="shared" si="10"/>
        <v>N/A</v>
      </c>
      <c r="L652" s="231"/>
      <c r="M652" s="231" t="s">
        <v>456</v>
      </c>
      <c r="N652" s="231" t="s">
        <v>253</v>
      </c>
      <c r="O652" s="231">
        <v>2021</v>
      </c>
      <c r="P652" s="281"/>
      <c r="Q652" s="231"/>
      <c r="R652" s="231"/>
      <c r="S652" s="236" t="s">
        <v>453</v>
      </c>
      <c r="T652" s="236" t="s">
        <v>264</v>
      </c>
    </row>
    <row r="653" spans="1:20" ht="14">
      <c r="A653" s="231">
        <v>652</v>
      </c>
      <c r="B653" s="235" t="s">
        <v>52</v>
      </c>
      <c r="C653" s="231" t="s">
        <v>10</v>
      </c>
      <c r="D653" s="250" t="s">
        <v>4675</v>
      </c>
      <c r="E653" s="239" t="s">
        <v>1840</v>
      </c>
      <c r="F653" s="231" t="s">
        <v>267</v>
      </c>
      <c r="G653" s="231" cm="1">
        <f t="array" ref="G653">_xlfn.IFS(J653&lt;301,2,J653&gt;300,48)</f>
        <v>48</v>
      </c>
      <c r="H653" s="231" t="s">
        <v>4265</v>
      </c>
      <c r="I653" s="281">
        <v>0</v>
      </c>
      <c r="J653" s="249">
        <v>614.25</v>
      </c>
      <c r="K653" s="231">
        <f t="shared" si="10"/>
        <v>20</v>
      </c>
      <c r="L653" s="231"/>
      <c r="M653" s="231" t="s">
        <v>16</v>
      </c>
      <c r="N653" s="231" t="s">
        <v>253</v>
      </c>
      <c r="O653" s="231">
        <v>2021</v>
      </c>
      <c r="P653" s="281"/>
      <c r="Q653" s="231"/>
      <c r="R653" s="231"/>
      <c r="S653" s="236" t="s">
        <v>453</v>
      </c>
      <c r="T653" s="236" t="s">
        <v>264</v>
      </c>
    </row>
    <row r="654" spans="1:20" ht="14">
      <c r="A654" s="231">
        <v>653</v>
      </c>
      <c r="B654" s="235" t="s">
        <v>52</v>
      </c>
      <c r="C654" s="231" t="s">
        <v>10</v>
      </c>
      <c r="D654" s="250" t="s">
        <v>1841</v>
      </c>
      <c r="E654" s="239" t="s">
        <v>1842</v>
      </c>
      <c r="F654" s="231" t="s">
        <v>1843</v>
      </c>
      <c r="G654" s="231" cm="1">
        <f t="array" ref="G654">_xlfn.IFS(J654&lt;301,2,J654&gt;300,48)</f>
        <v>48</v>
      </c>
      <c r="H654" s="231" t="s">
        <v>4263</v>
      </c>
      <c r="I654" s="281">
        <v>0</v>
      </c>
      <c r="J654" s="249">
        <v>1708.35</v>
      </c>
      <c r="K654" s="231" t="str">
        <f t="shared" si="10"/>
        <v>N/A</v>
      </c>
      <c r="L654" s="231"/>
      <c r="M654" s="231" t="s">
        <v>456</v>
      </c>
      <c r="N654" s="231" t="s">
        <v>253</v>
      </c>
      <c r="O654" s="231">
        <v>2022</v>
      </c>
      <c r="P654" s="281"/>
      <c r="Q654" s="231"/>
      <c r="R654" s="231"/>
      <c r="S654" s="236" t="s">
        <v>453</v>
      </c>
      <c r="T654" s="236" t="s">
        <v>264</v>
      </c>
    </row>
    <row r="655" spans="1:20" ht="14">
      <c r="A655" s="231">
        <v>654</v>
      </c>
      <c r="B655" s="235" t="s">
        <v>52</v>
      </c>
      <c r="C655" s="231" t="s">
        <v>10</v>
      </c>
      <c r="D655" s="250" t="s">
        <v>1844</v>
      </c>
      <c r="E655" s="239" t="s">
        <v>1845</v>
      </c>
      <c r="F655" s="231" t="s">
        <v>835</v>
      </c>
      <c r="G655" s="231" cm="1">
        <f t="array" ref="G655">_xlfn.IFS(J655&lt;301,2,J655&gt;300,48)</f>
        <v>48</v>
      </c>
      <c r="H655" s="231" t="s">
        <v>4565</v>
      </c>
      <c r="I655" s="281">
        <v>0</v>
      </c>
      <c r="J655" s="249">
        <v>315</v>
      </c>
      <c r="K655" s="231">
        <f t="shared" si="10"/>
        <v>10</v>
      </c>
      <c r="L655" s="231"/>
      <c r="M655" s="299" t="s">
        <v>15</v>
      </c>
      <c r="N655" s="231" t="s">
        <v>253</v>
      </c>
      <c r="O655" s="231">
        <v>2021</v>
      </c>
      <c r="P655" s="281"/>
      <c r="Q655" s="231"/>
      <c r="R655" s="231"/>
      <c r="S655" s="236" t="s">
        <v>453</v>
      </c>
      <c r="T655" s="236" t="s">
        <v>264</v>
      </c>
    </row>
    <row r="656" spans="1:20" ht="14">
      <c r="A656" s="231">
        <v>655</v>
      </c>
      <c r="B656" s="235" t="s">
        <v>52</v>
      </c>
      <c r="C656" s="231" t="s">
        <v>10</v>
      </c>
      <c r="D656" s="250" t="s">
        <v>1846</v>
      </c>
      <c r="E656" s="253" t="s">
        <v>1847</v>
      </c>
      <c r="F656" s="231" t="s">
        <v>763</v>
      </c>
      <c r="G656" s="231" cm="1">
        <f t="array" ref="G656">_xlfn.IFS(J656&lt;301,2,J656&gt;300,48)</f>
        <v>48</v>
      </c>
      <c r="H656" s="231" t="s">
        <v>4676</v>
      </c>
      <c r="I656" s="281">
        <v>0</v>
      </c>
      <c r="J656" s="249">
        <v>3200</v>
      </c>
      <c r="K656" s="231">
        <f t="shared" si="10"/>
        <v>20</v>
      </c>
      <c r="L656" s="231"/>
      <c r="M656" s="299" t="s">
        <v>15</v>
      </c>
      <c r="N656" s="231" t="s">
        <v>253</v>
      </c>
      <c r="O656" s="231">
        <v>2021</v>
      </c>
      <c r="P656" s="281"/>
      <c r="Q656" s="231"/>
      <c r="R656" s="231"/>
      <c r="S656" s="236" t="s">
        <v>453</v>
      </c>
      <c r="T656" s="236" t="s">
        <v>264</v>
      </c>
    </row>
    <row r="657" spans="1:20" ht="14">
      <c r="A657" s="231">
        <v>656</v>
      </c>
      <c r="B657" s="235" t="s">
        <v>52</v>
      </c>
      <c r="C657" s="231" t="s">
        <v>10</v>
      </c>
      <c r="D657" s="250" t="s">
        <v>1848</v>
      </c>
      <c r="E657" s="239" t="s">
        <v>1849</v>
      </c>
      <c r="F657" s="231" t="s">
        <v>267</v>
      </c>
      <c r="G657" s="231" cm="1">
        <f t="array" ref="G657">_xlfn.IFS(J657&lt;301,2,J657&gt;300,48)</f>
        <v>48</v>
      </c>
      <c r="H657" s="231" t="s">
        <v>4257</v>
      </c>
      <c r="I657" s="281">
        <v>0</v>
      </c>
      <c r="J657" s="249">
        <v>1260</v>
      </c>
      <c r="K657" s="231">
        <f t="shared" si="10"/>
        <v>20</v>
      </c>
      <c r="L657" s="231"/>
      <c r="M657" s="231" t="s">
        <v>16</v>
      </c>
      <c r="N657" s="231" t="s">
        <v>253</v>
      </c>
      <c r="O657" s="231">
        <v>2021</v>
      </c>
      <c r="P657" s="281"/>
      <c r="Q657" s="231"/>
      <c r="R657" s="231"/>
      <c r="S657" s="236" t="s">
        <v>453</v>
      </c>
      <c r="T657" s="236" t="s">
        <v>264</v>
      </c>
    </row>
    <row r="658" spans="1:20" ht="14">
      <c r="A658" s="231">
        <v>657</v>
      </c>
      <c r="B658" s="235" t="s">
        <v>52</v>
      </c>
      <c r="C658" s="231" t="s">
        <v>10</v>
      </c>
      <c r="D658" s="250" t="s">
        <v>1850</v>
      </c>
      <c r="E658" s="239" t="s">
        <v>1851</v>
      </c>
      <c r="F658" s="231" t="s">
        <v>835</v>
      </c>
      <c r="G658" s="231">
        <v>24</v>
      </c>
      <c r="H658" s="231" t="s">
        <v>4266</v>
      </c>
      <c r="I658" s="281">
        <v>0</v>
      </c>
      <c r="J658" s="249">
        <v>4131.75</v>
      </c>
      <c r="K658" s="231" t="str">
        <f t="shared" si="10"/>
        <v>N/A</v>
      </c>
      <c r="L658" s="231"/>
      <c r="M658" s="231" t="s">
        <v>456</v>
      </c>
      <c r="N658" s="231" t="s">
        <v>253</v>
      </c>
      <c r="O658" s="231">
        <v>2021</v>
      </c>
      <c r="P658" s="281"/>
      <c r="Q658" s="231"/>
      <c r="R658" s="231"/>
      <c r="S658" s="236" t="s">
        <v>453</v>
      </c>
      <c r="T658" s="236" t="s">
        <v>264</v>
      </c>
    </row>
    <row r="659" spans="1:20" ht="14">
      <c r="A659" s="231">
        <v>658</v>
      </c>
      <c r="B659" s="235" t="s">
        <v>52</v>
      </c>
      <c r="C659" s="231" t="s">
        <v>10</v>
      </c>
      <c r="D659" s="250" t="s">
        <v>1852</v>
      </c>
      <c r="E659" s="239" t="s">
        <v>1853</v>
      </c>
      <c r="F659" s="231" t="s">
        <v>1854</v>
      </c>
      <c r="G659" s="231" cm="1">
        <f t="array" ref="G659">_xlfn.IFS(J659&lt;301,2,J659&gt;300,48)</f>
        <v>48</v>
      </c>
      <c r="H659" s="231" t="s">
        <v>2853</v>
      </c>
      <c r="I659" s="281">
        <v>0</v>
      </c>
      <c r="J659" s="249">
        <v>358.05</v>
      </c>
      <c r="K659" s="231" t="str">
        <f t="shared" si="10"/>
        <v>N/A</v>
      </c>
      <c r="L659" s="231"/>
      <c r="M659" s="231" t="s">
        <v>456</v>
      </c>
      <c r="N659" s="231" t="s">
        <v>253</v>
      </c>
      <c r="O659" s="231">
        <v>2021</v>
      </c>
      <c r="P659" s="281"/>
      <c r="Q659" s="231"/>
      <c r="R659" s="231"/>
      <c r="S659" s="236" t="s">
        <v>453</v>
      </c>
      <c r="T659" s="236" t="s">
        <v>264</v>
      </c>
    </row>
    <row r="660" spans="1:20" ht="14">
      <c r="A660" s="231">
        <v>659</v>
      </c>
      <c r="B660" s="235" t="s">
        <v>52</v>
      </c>
      <c r="C660" s="231" t="s">
        <v>10</v>
      </c>
      <c r="D660" s="250" t="s">
        <v>4671</v>
      </c>
      <c r="E660" s="239" t="s">
        <v>1855</v>
      </c>
      <c r="F660" s="231" t="s">
        <v>267</v>
      </c>
      <c r="G660" s="231" cm="1">
        <f t="array" ref="G660">_xlfn.IFS(J660&lt;301,2,J660&gt;300,48)</f>
        <v>48</v>
      </c>
      <c r="H660" s="231" t="s">
        <v>4265</v>
      </c>
      <c r="I660" s="281">
        <v>0</v>
      </c>
      <c r="J660" s="249">
        <v>723.45</v>
      </c>
      <c r="K660" s="231">
        <f t="shared" si="10"/>
        <v>20</v>
      </c>
      <c r="L660" s="231"/>
      <c r="M660" s="231" t="s">
        <v>16</v>
      </c>
      <c r="N660" s="231" t="s">
        <v>253</v>
      </c>
      <c r="O660" s="231">
        <v>2021</v>
      </c>
      <c r="P660" s="281"/>
      <c r="Q660" s="231"/>
      <c r="R660" s="231"/>
      <c r="S660" s="236" t="s">
        <v>453</v>
      </c>
      <c r="T660" s="236" t="s">
        <v>264</v>
      </c>
    </row>
    <row r="661" spans="1:20" ht="14">
      <c r="A661" s="231">
        <v>660</v>
      </c>
      <c r="B661" s="235" t="s">
        <v>52</v>
      </c>
      <c r="C661" s="231" t="s">
        <v>10</v>
      </c>
      <c r="D661" s="250" t="s">
        <v>1856</v>
      </c>
      <c r="E661" s="239" t="s">
        <v>1857</v>
      </c>
      <c r="F661" s="231" t="s">
        <v>835</v>
      </c>
      <c r="G661" s="231" cm="1">
        <f t="array" ref="G661">_xlfn.IFS(J661&lt;301,2,J661&gt;300,48)</f>
        <v>48</v>
      </c>
      <c r="H661" s="231" t="s">
        <v>3507</v>
      </c>
      <c r="I661" s="281">
        <v>0</v>
      </c>
      <c r="J661" s="249">
        <v>2711.1</v>
      </c>
      <c r="K661" s="231">
        <f t="shared" si="10"/>
        <v>10</v>
      </c>
      <c r="L661" s="231"/>
      <c r="M661" s="299" t="s">
        <v>15</v>
      </c>
      <c r="N661" s="231" t="s">
        <v>253</v>
      </c>
      <c r="O661" s="231">
        <v>2021</v>
      </c>
      <c r="P661" s="281"/>
      <c r="Q661" s="231"/>
      <c r="R661" s="231"/>
      <c r="S661" s="236" t="s">
        <v>453</v>
      </c>
      <c r="T661" s="236" t="s">
        <v>264</v>
      </c>
    </row>
    <row r="662" spans="1:20" ht="14">
      <c r="A662" s="231">
        <v>661</v>
      </c>
      <c r="B662" s="235" t="s">
        <v>52</v>
      </c>
      <c r="C662" s="231" t="s">
        <v>10</v>
      </c>
      <c r="D662" s="250" t="s">
        <v>4672</v>
      </c>
      <c r="E662" s="239" t="s">
        <v>1858</v>
      </c>
      <c r="F662" s="231" t="s">
        <v>861</v>
      </c>
      <c r="G662" s="231" cm="1">
        <f t="array" ref="G662">_xlfn.IFS(J662&lt;301,2,J662&gt;300,48)</f>
        <v>48</v>
      </c>
      <c r="H662" s="231" t="s">
        <v>2773</v>
      </c>
      <c r="I662" s="281">
        <v>0</v>
      </c>
      <c r="J662" s="249">
        <v>762.3</v>
      </c>
      <c r="K662" s="231">
        <f t="shared" si="10"/>
        <v>10</v>
      </c>
      <c r="L662" s="231"/>
      <c r="M662" s="299" t="s">
        <v>15</v>
      </c>
      <c r="N662" s="231" t="s">
        <v>253</v>
      </c>
      <c r="O662" s="231">
        <v>2021</v>
      </c>
      <c r="P662" s="281"/>
      <c r="Q662" s="231"/>
      <c r="R662" s="231"/>
      <c r="S662" s="236" t="s">
        <v>453</v>
      </c>
      <c r="T662" s="236" t="s">
        <v>264</v>
      </c>
    </row>
    <row r="663" spans="1:20" ht="14">
      <c r="A663" s="231">
        <v>662</v>
      </c>
      <c r="B663" s="235" t="s">
        <v>52</v>
      </c>
      <c r="C663" s="231" t="s">
        <v>10</v>
      </c>
      <c r="D663" s="250" t="s">
        <v>1859</v>
      </c>
      <c r="E663" s="239" t="s">
        <v>1860</v>
      </c>
      <c r="F663" s="231" t="s">
        <v>267</v>
      </c>
      <c r="G663" s="231">
        <v>24</v>
      </c>
      <c r="H663" s="231" t="s">
        <v>4265</v>
      </c>
      <c r="I663" s="281">
        <v>0</v>
      </c>
      <c r="J663" s="249">
        <v>672</v>
      </c>
      <c r="K663" s="231" t="str">
        <f t="shared" si="10"/>
        <v>N/A</v>
      </c>
      <c r="L663" s="231"/>
      <c r="M663" s="231" t="s">
        <v>456</v>
      </c>
      <c r="N663" s="231" t="s">
        <v>253</v>
      </c>
      <c r="O663" s="231">
        <v>2021</v>
      </c>
      <c r="P663" s="281"/>
      <c r="Q663" s="231"/>
      <c r="R663" s="231"/>
      <c r="S663" s="236" t="s">
        <v>453</v>
      </c>
      <c r="T663" s="236" t="s">
        <v>264</v>
      </c>
    </row>
    <row r="664" spans="1:20" ht="14">
      <c r="A664" s="231">
        <v>663</v>
      </c>
      <c r="B664" s="235" t="s">
        <v>52</v>
      </c>
      <c r="C664" s="231" t="s">
        <v>10</v>
      </c>
      <c r="D664" s="250" t="s">
        <v>1861</v>
      </c>
      <c r="E664" s="239" t="s">
        <v>1862</v>
      </c>
      <c r="F664" s="231" t="s">
        <v>814</v>
      </c>
      <c r="G664" s="231" cm="1">
        <f t="array" ref="G664">_xlfn.IFS(J664&lt;301,2,J664&gt;300,48)</f>
        <v>48</v>
      </c>
      <c r="H664" s="231" t="s">
        <v>2773</v>
      </c>
      <c r="I664" s="281">
        <v>0</v>
      </c>
      <c r="J664" s="249">
        <v>6997.2</v>
      </c>
      <c r="K664" s="231">
        <f t="shared" si="10"/>
        <v>20</v>
      </c>
      <c r="L664" s="231"/>
      <c r="M664" s="299" t="s">
        <v>15</v>
      </c>
      <c r="N664" s="231" t="s">
        <v>253</v>
      </c>
      <c r="O664" s="231">
        <v>2021</v>
      </c>
      <c r="P664" s="281"/>
      <c r="Q664" s="231"/>
      <c r="R664" s="231"/>
      <c r="S664" s="236" t="s">
        <v>453</v>
      </c>
      <c r="T664" s="236" t="s">
        <v>264</v>
      </c>
    </row>
    <row r="665" spans="1:20" ht="14">
      <c r="A665" s="231">
        <v>664</v>
      </c>
      <c r="B665" s="235" t="s">
        <v>52</v>
      </c>
      <c r="C665" s="231" t="s">
        <v>10</v>
      </c>
      <c r="D665" s="250" t="s">
        <v>1863</v>
      </c>
      <c r="E665" s="239" t="s">
        <v>1864</v>
      </c>
      <c r="F665" s="231" t="s">
        <v>267</v>
      </c>
      <c r="G665" s="231" cm="1">
        <f t="array" ref="G665">_xlfn.IFS(J665&lt;301,2,J665&gt;300,48)</f>
        <v>48</v>
      </c>
      <c r="H665" s="231" t="s">
        <v>4658</v>
      </c>
      <c r="I665" s="281">
        <v>0</v>
      </c>
      <c r="J665" s="249">
        <v>1455.3</v>
      </c>
      <c r="K665" s="231">
        <f t="shared" si="10"/>
        <v>20</v>
      </c>
      <c r="L665" s="231"/>
      <c r="M665" s="231" t="s">
        <v>16</v>
      </c>
      <c r="N665" s="231" t="s">
        <v>253</v>
      </c>
      <c r="O665" s="231">
        <v>2022</v>
      </c>
      <c r="P665" s="281"/>
      <c r="Q665" s="231"/>
      <c r="R665" s="231"/>
      <c r="S665" s="236" t="s">
        <v>453</v>
      </c>
      <c r="T665" s="236" t="s">
        <v>264</v>
      </c>
    </row>
    <row r="666" spans="1:20" ht="14">
      <c r="A666" s="231">
        <v>665</v>
      </c>
      <c r="B666" s="235" t="s">
        <v>52</v>
      </c>
      <c r="C666" s="231" t="s">
        <v>10</v>
      </c>
      <c r="D666" s="250" t="s">
        <v>1865</v>
      </c>
      <c r="E666" s="239" t="s">
        <v>1866</v>
      </c>
      <c r="F666" s="231" t="s">
        <v>888</v>
      </c>
      <c r="G666" s="231" cm="1">
        <f t="array" ref="G666">_xlfn.IFS(J666&lt;301,2,J666&gt;300,48)</f>
        <v>48</v>
      </c>
      <c r="H666" s="231" t="s">
        <v>2773</v>
      </c>
      <c r="I666" s="281">
        <v>0</v>
      </c>
      <c r="J666" s="249">
        <v>5952.45</v>
      </c>
      <c r="K666" s="231">
        <f t="shared" si="10"/>
        <v>20</v>
      </c>
      <c r="L666" s="231"/>
      <c r="M666" s="231" t="s">
        <v>16</v>
      </c>
      <c r="N666" s="231" t="s">
        <v>253</v>
      </c>
      <c r="O666" s="231">
        <v>2021</v>
      </c>
      <c r="P666" s="281"/>
      <c r="Q666" s="231"/>
      <c r="R666" s="231"/>
      <c r="S666" s="236" t="s">
        <v>453</v>
      </c>
      <c r="T666" s="236" t="s">
        <v>264</v>
      </c>
    </row>
    <row r="667" spans="1:20" ht="14">
      <c r="A667" s="231">
        <v>666</v>
      </c>
      <c r="B667" s="235" t="s">
        <v>52</v>
      </c>
      <c r="C667" s="231" t="s">
        <v>10</v>
      </c>
      <c r="D667" s="250" t="s">
        <v>1867</v>
      </c>
      <c r="E667" s="239" t="s">
        <v>1868</v>
      </c>
      <c r="F667" s="231" t="s">
        <v>888</v>
      </c>
      <c r="G667" s="231" cm="1">
        <f t="array" ref="G667">_xlfn.IFS(J667&lt;301,2,J667&gt;300,48)</f>
        <v>48</v>
      </c>
      <c r="H667" s="231" t="s">
        <v>2773</v>
      </c>
      <c r="I667" s="281">
        <v>0</v>
      </c>
      <c r="J667" s="249">
        <v>382.2</v>
      </c>
      <c r="K667" s="231">
        <f t="shared" si="10"/>
        <v>20</v>
      </c>
      <c r="L667" s="231"/>
      <c r="M667" s="231" t="s">
        <v>16</v>
      </c>
      <c r="N667" s="231" t="s">
        <v>253</v>
      </c>
      <c r="O667" s="231">
        <v>2021</v>
      </c>
      <c r="P667" s="281"/>
      <c r="Q667" s="231"/>
      <c r="R667" s="231"/>
      <c r="S667" s="236" t="s">
        <v>453</v>
      </c>
      <c r="T667" s="236" t="s">
        <v>264</v>
      </c>
    </row>
    <row r="668" spans="1:20" ht="14">
      <c r="A668" s="231">
        <v>667</v>
      </c>
      <c r="B668" s="235" t="s">
        <v>52</v>
      </c>
      <c r="C668" s="231" t="s">
        <v>10</v>
      </c>
      <c r="D668" s="250" t="s">
        <v>1869</v>
      </c>
      <c r="E668" s="239" t="s">
        <v>1870</v>
      </c>
      <c r="F668" s="231" t="s">
        <v>854</v>
      </c>
      <c r="G668" s="231" cm="1">
        <f t="array" ref="G668">_xlfn.IFS(J668&lt;301,2,J668&gt;300,48)</f>
        <v>48</v>
      </c>
      <c r="H668" s="231" t="s">
        <v>2783</v>
      </c>
      <c r="I668" s="281">
        <v>0</v>
      </c>
      <c r="J668" s="249">
        <v>528.15</v>
      </c>
      <c r="K668" s="231">
        <f t="shared" si="10"/>
        <v>20</v>
      </c>
      <c r="L668" s="231"/>
      <c r="M668" s="231" t="s">
        <v>16</v>
      </c>
      <c r="N668" s="231" t="s">
        <v>253</v>
      </c>
      <c r="O668" s="231">
        <v>2021</v>
      </c>
      <c r="P668" s="281"/>
      <c r="Q668" s="231"/>
      <c r="R668" s="231"/>
      <c r="S668" s="236" t="s">
        <v>453</v>
      </c>
      <c r="T668" s="236" t="s">
        <v>264</v>
      </c>
    </row>
    <row r="669" spans="1:20" ht="14">
      <c r="A669" s="231">
        <v>668</v>
      </c>
      <c r="B669" s="235" t="s">
        <v>52</v>
      </c>
      <c r="C669" s="231" t="s">
        <v>10</v>
      </c>
      <c r="D669" s="250" t="s">
        <v>1871</v>
      </c>
      <c r="E669" s="239" t="s">
        <v>1872</v>
      </c>
      <c r="F669" s="231" t="s">
        <v>844</v>
      </c>
      <c r="G669" s="231" cm="1">
        <f t="array" ref="G669">_xlfn.IFS(J669&lt;301,2,J669&gt;300,48)</f>
        <v>48</v>
      </c>
      <c r="H669" s="231" t="s">
        <v>3111</v>
      </c>
      <c r="I669" s="281">
        <v>0</v>
      </c>
      <c r="J669" s="249">
        <v>1516.2</v>
      </c>
      <c r="K669" s="231" t="str">
        <f t="shared" si="10"/>
        <v>N/A</v>
      </c>
      <c r="L669" s="231"/>
      <c r="M669" s="231" t="s">
        <v>456</v>
      </c>
      <c r="N669" s="231" t="s">
        <v>253</v>
      </c>
      <c r="O669" s="231">
        <v>2021</v>
      </c>
      <c r="P669" s="281"/>
      <c r="Q669" s="231"/>
      <c r="R669" s="231"/>
      <c r="S669" s="236" t="s">
        <v>453</v>
      </c>
      <c r="T669" s="236" t="s">
        <v>264</v>
      </c>
    </row>
    <row r="670" spans="1:20" ht="14">
      <c r="A670" s="231">
        <v>669</v>
      </c>
      <c r="B670" s="235" t="s">
        <v>52</v>
      </c>
      <c r="C670" s="231" t="s">
        <v>10</v>
      </c>
      <c r="D670" s="250" t="s">
        <v>1873</v>
      </c>
      <c r="E670" s="239" t="s">
        <v>1874</v>
      </c>
      <c r="F670" s="231" t="s">
        <v>854</v>
      </c>
      <c r="G670" s="231" cm="1">
        <f t="array" ref="G670">_xlfn.IFS(J670&lt;301,2,J670&gt;300,48)</f>
        <v>48</v>
      </c>
      <c r="H670" s="231" t="s">
        <v>2763</v>
      </c>
      <c r="I670" s="281">
        <v>0</v>
      </c>
      <c r="J670" s="249">
        <v>320.25</v>
      </c>
      <c r="K670" s="231">
        <f t="shared" si="10"/>
        <v>10</v>
      </c>
      <c r="L670" s="231"/>
      <c r="M670" s="299" t="s">
        <v>15</v>
      </c>
      <c r="N670" s="231" t="s">
        <v>253</v>
      </c>
      <c r="O670" s="231">
        <v>2021</v>
      </c>
      <c r="P670" s="281"/>
      <c r="Q670" s="231"/>
      <c r="R670" s="231"/>
      <c r="S670" s="236" t="s">
        <v>453</v>
      </c>
      <c r="T670" s="236" t="s">
        <v>264</v>
      </c>
    </row>
    <row r="671" spans="1:20" ht="14">
      <c r="A671" s="231">
        <v>670</v>
      </c>
      <c r="B671" s="235" t="s">
        <v>52</v>
      </c>
      <c r="C671" s="231" t="s">
        <v>10</v>
      </c>
      <c r="D671" s="250" t="s">
        <v>1875</v>
      </c>
      <c r="E671" s="239" t="s">
        <v>1876</v>
      </c>
      <c r="F671" s="231" t="s">
        <v>873</v>
      </c>
      <c r="G671" s="231">
        <v>24</v>
      </c>
      <c r="H671" s="231" t="s">
        <v>3623</v>
      </c>
      <c r="I671" s="281">
        <v>0</v>
      </c>
      <c r="J671" s="249">
        <v>1163.4000000000001</v>
      </c>
      <c r="K671" s="231" t="str">
        <f t="shared" si="10"/>
        <v>N/A</v>
      </c>
      <c r="L671" s="231"/>
      <c r="M671" s="231" t="s">
        <v>456</v>
      </c>
      <c r="N671" s="231" t="s">
        <v>253</v>
      </c>
      <c r="O671" s="231">
        <v>2021</v>
      </c>
      <c r="P671" s="281"/>
      <c r="Q671" s="231"/>
      <c r="R671" s="231"/>
      <c r="S671" s="236" t="s">
        <v>453</v>
      </c>
      <c r="T671" s="236" t="s">
        <v>264</v>
      </c>
    </row>
    <row r="672" spans="1:20" ht="14">
      <c r="A672" s="231">
        <v>671</v>
      </c>
      <c r="B672" s="235" t="s">
        <v>52</v>
      </c>
      <c r="C672" s="231" t="s">
        <v>10</v>
      </c>
      <c r="D672" s="250" t="s">
        <v>1877</v>
      </c>
      <c r="E672" s="239" t="s">
        <v>1878</v>
      </c>
      <c r="F672" s="231" t="s">
        <v>873</v>
      </c>
      <c r="G672" s="231">
        <v>24</v>
      </c>
      <c r="H672" s="231" t="s">
        <v>3623</v>
      </c>
      <c r="I672" s="281">
        <v>0</v>
      </c>
      <c r="J672" s="249">
        <v>2298.4499999999998</v>
      </c>
      <c r="K672" s="231" t="str">
        <f t="shared" si="10"/>
        <v>N/A</v>
      </c>
      <c r="L672" s="231"/>
      <c r="M672" s="231" t="s">
        <v>456</v>
      </c>
      <c r="N672" s="231" t="s">
        <v>253</v>
      </c>
      <c r="O672" s="231">
        <v>2021</v>
      </c>
      <c r="P672" s="281"/>
      <c r="Q672" s="231"/>
      <c r="R672" s="231"/>
      <c r="S672" s="236" t="s">
        <v>453</v>
      </c>
      <c r="T672" s="236" t="s">
        <v>264</v>
      </c>
    </row>
    <row r="673" spans="1:92" ht="14">
      <c r="A673" s="231">
        <v>672</v>
      </c>
      <c r="B673" s="235" t="s">
        <v>52</v>
      </c>
      <c r="C673" s="231" t="s">
        <v>10</v>
      </c>
      <c r="D673" s="250" t="s">
        <v>1879</v>
      </c>
      <c r="E673" s="239" t="s">
        <v>1880</v>
      </c>
      <c r="F673" s="231" t="s">
        <v>878</v>
      </c>
      <c r="G673" s="231" cm="1">
        <f t="array" ref="G673">_xlfn.IFS(J673&lt;301,2,J673&gt;300,48)</f>
        <v>48</v>
      </c>
      <c r="H673" s="231" t="s">
        <v>4673</v>
      </c>
      <c r="I673" s="281">
        <v>0</v>
      </c>
      <c r="J673" s="249">
        <v>942.9</v>
      </c>
      <c r="K673" s="231" t="str">
        <f t="shared" si="10"/>
        <v>N/A</v>
      </c>
      <c r="L673" s="231"/>
      <c r="M673" s="231" t="s">
        <v>456</v>
      </c>
      <c r="N673" s="231" t="s">
        <v>253</v>
      </c>
      <c r="O673" s="231">
        <v>2021</v>
      </c>
      <c r="P673" s="281"/>
      <c r="Q673" s="231"/>
      <c r="R673" s="231"/>
      <c r="S673" s="236" t="s">
        <v>453</v>
      </c>
      <c r="T673" s="236" t="s">
        <v>264</v>
      </c>
    </row>
    <row r="674" spans="1:92" ht="14">
      <c r="A674" s="231">
        <v>673</v>
      </c>
      <c r="B674" s="235" t="s">
        <v>52</v>
      </c>
      <c r="C674" s="231" t="s">
        <v>10</v>
      </c>
      <c r="D674" s="250" t="s">
        <v>1881</v>
      </c>
      <c r="E674" s="239" t="s">
        <v>1882</v>
      </c>
      <c r="F674" s="231" t="s">
        <v>267</v>
      </c>
      <c r="G674" s="231" cm="1">
        <f t="array" ref="G674">_xlfn.IFS(J674&lt;301,2,J674&gt;300,48)</f>
        <v>48</v>
      </c>
      <c r="H674" s="231" t="s">
        <v>4673</v>
      </c>
      <c r="I674" s="281">
        <v>0</v>
      </c>
      <c r="J674" s="249">
        <v>1573.95</v>
      </c>
      <c r="K674" s="231" t="str">
        <f t="shared" si="10"/>
        <v>N/A</v>
      </c>
      <c r="L674" s="231"/>
      <c r="M674" s="231" t="s">
        <v>456</v>
      </c>
      <c r="N674" s="231" t="s">
        <v>253</v>
      </c>
      <c r="O674" s="231">
        <v>2021</v>
      </c>
      <c r="P674" s="281"/>
      <c r="Q674" s="231"/>
      <c r="R674" s="231"/>
      <c r="S674" s="236" t="s">
        <v>453</v>
      </c>
      <c r="T674" s="236" t="s">
        <v>264</v>
      </c>
    </row>
    <row r="675" spans="1:92" s="147" customFormat="1" ht="14">
      <c r="A675" s="231">
        <v>674</v>
      </c>
      <c r="B675" s="235" t="s">
        <v>52</v>
      </c>
      <c r="C675" s="231" t="s">
        <v>10</v>
      </c>
      <c r="D675" s="250" t="s">
        <v>1883</v>
      </c>
      <c r="E675" s="239" t="s">
        <v>1884</v>
      </c>
      <c r="F675" s="239" t="s">
        <v>1885</v>
      </c>
      <c r="G675" s="231">
        <v>24</v>
      </c>
      <c r="H675" s="231" t="s">
        <v>3111</v>
      </c>
      <c r="I675" s="281">
        <v>0</v>
      </c>
      <c r="J675" s="249">
        <v>1817.55</v>
      </c>
      <c r="K675" s="231" t="str">
        <f t="shared" si="10"/>
        <v>N/A</v>
      </c>
      <c r="L675" s="231"/>
      <c r="M675" s="231" t="s">
        <v>456</v>
      </c>
      <c r="N675" s="231" t="s">
        <v>253</v>
      </c>
      <c r="O675" s="231">
        <v>2020</v>
      </c>
      <c r="P675" s="281"/>
      <c r="Q675" s="231"/>
      <c r="R675" s="231"/>
      <c r="S675" s="236" t="s">
        <v>453</v>
      </c>
      <c r="T675" s="236" t="s">
        <v>264</v>
      </c>
      <c r="U675" s="90"/>
      <c r="V675" s="90"/>
      <c r="W675" s="90"/>
      <c r="X675" s="90"/>
      <c r="Y675" s="90"/>
      <c r="Z675" s="90"/>
      <c r="AA675" s="90"/>
      <c r="AB675" s="90"/>
      <c r="AC675" s="90"/>
      <c r="AD675" s="90"/>
      <c r="AE675" s="90"/>
      <c r="AF675" s="90"/>
      <c r="AG675" s="90"/>
      <c r="AH675" s="90"/>
      <c r="AI675" s="90"/>
      <c r="AJ675" s="90"/>
      <c r="AK675" s="90"/>
      <c r="AL675" s="90"/>
      <c r="AM675" s="90"/>
      <c r="AN675" s="90"/>
      <c r="AO675" s="90"/>
      <c r="AP675" s="90"/>
      <c r="AQ675" s="90"/>
      <c r="AR675" s="90"/>
      <c r="AS675" s="90"/>
      <c r="AT675" s="90"/>
      <c r="AU675" s="90"/>
      <c r="AV675" s="90"/>
      <c r="AW675" s="90"/>
      <c r="AX675" s="90"/>
      <c r="AY675" s="90"/>
      <c r="AZ675" s="90"/>
      <c r="BA675" s="90"/>
      <c r="BB675" s="90"/>
      <c r="BC675" s="90"/>
      <c r="BD675" s="90"/>
      <c r="BE675" s="90"/>
      <c r="BF675" s="90"/>
      <c r="BG675" s="90"/>
      <c r="BH675" s="90"/>
      <c r="BI675" s="90"/>
      <c r="BJ675" s="90"/>
      <c r="BK675" s="90"/>
      <c r="BL675" s="90"/>
      <c r="BM675" s="90"/>
      <c r="BN675" s="90"/>
      <c r="BO675" s="90"/>
      <c r="BP675" s="90"/>
      <c r="BQ675" s="90"/>
      <c r="BR675" s="90"/>
      <c r="BS675" s="90"/>
      <c r="BT675" s="90"/>
      <c r="BU675" s="90"/>
      <c r="BV675" s="90"/>
      <c r="BW675" s="90"/>
      <c r="BX675" s="90"/>
      <c r="BY675" s="90"/>
      <c r="BZ675" s="90"/>
      <c r="CA675" s="90"/>
      <c r="CB675" s="90"/>
      <c r="CC675" s="90"/>
      <c r="CD675" s="90"/>
      <c r="CE675" s="90"/>
      <c r="CF675" s="90"/>
      <c r="CG675" s="90"/>
      <c r="CH675" s="90"/>
      <c r="CI675" s="90"/>
      <c r="CJ675" s="90"/>
      <c r="CK675" s="90"/>
      <c r="CL675" s="90"/>
      <c r="CM675" s="90"/>
      <c r="CN675" s="90"/>
    </row>
    <row r="676" spans="1:92" s="147" customFormat="1" ht="14">
      <c r="A676" s="231">
        <v>675</v>
      </c>
      <c r="B676" s="235" t="s">
        <v>52</v>
      </c>
      <c r="C676" s="231" t="s">
        <v>10</v>
      </c>
      <c r="D676" s="250" t="s">
        <v>1886</v>
      </c>
      <c r="E676" s="239" t="s">
        <v>1887</v>
      </c>
      <c r="F676" s="239" t="s">
        <v>1888</v>
      </c>
      <c r="G676" s="231">
        <v>48</v>
      </c>
      <c r="H676" s="231" t="s">
        <v>3111</v>
      </c>
      <c r="I676" s="281">
        <v>0</v>
      </c>
      <c r="J676" s="249">
        <v>1257.9000000000001</v>
      </c>
      <c r="K676" s="231" t="str">
        <f t="shared" si="10"/>
        <v>N/A</v>
      </c>
      <c r="L676" s="231"/>
      <c r="M676" s="231" t="s">
        <v>456</v>
      </c>
      <c r="N676" s="231" t="s">
        <v>253</v>
      </c>
      <c r="O676" s="231">
        <v>2020</v>
      </c>
      <c r="P676" s="281"/>
      <c r="Q676" s="231"/>
      <c r="R676" s="231"/>
      <c r="S676" s="236" t="s">
        <v>453</v>
      </c>
      <c r="T676" s="236" t="s">
        <v>264</v>
      </c>
      <c r="U676" s="90"/>
      <c r="V676" s="90"/>
      <c r="W676" s="90"/>
      <c r="X676" s="90"/>
      <c r="Y676" s="90"/>
      <c r="Z676" s="90"/>
      <c r="AA676" s="90"/>
      <c r="AB676" s="90"/>
      <c r="AC676" s="90"/>
      <c r="AD676" s="90"/>
      <c r="AE676" s="90"/>
      <c r="AF676" s="90"/>
      <c r="AG676" s="90"/>
      <c r="AH676" s="90"/>
      <c r="AI676" s="90"/>
      <c r="AJ676" s="90"/>
      <c r="AK676" s="90"/>
      <c r="AL676" s="90"/>
      <c r="AM676" s="90"/>
      <c r="AN676" s="90"/>
      <c r="AO676" s="90"/>
      <c r="AP676" s="90"/>
      <c r="AQ676" s="90"/>
      <c r="AR676" s="90"/>
      <c r="AS676" s="90"/>
      <c r="AT676" s="90"/>
      <c r="AU676" s="90"/>
      <c r="AV676" s="90"/>
      <c r="AW676" s="90"/>
      <c r="AX676" s="90"/>
      <c r="AY676" s="90"/>
      <c r="AZ676" s="90"/>
      <c r="BA676" s="90"/>
      <c r="BB676" s="90"/>
      <c r="BC676" s="90"/>
      <c r="BD676" s="90"/>
      <c r="BE676" s="90"/>
      <c r="BF676" s="90"/>
      <c r="BG676" s="90"/>
      <c r="BH676" s="90"/>
      <c r="BI676" s="90"/>
      <c r="BJ676" s="90"/>
      <c r="BK676" s="90"/>
      <c r="BL676" s="90"/>
      <c r="BM676" s="90"/>
      <c r="BN676" s="90"/>
      <c r="BO676" s="90"/>
      <c r="BP676" s="90"/>
      <c r="BQ676" s="90"/>
      <c r="BR676" s="90"/>
      <c r="BS676" s="90"/>
      <c r="BT676" s="90"/>
      <c r="BU676" s="90"/>
      <c r="BV676" s="90"/>
      <c r="BW676" s="90"/>
      <c r="BX676" s="90"/>
      <c r="BY676" s="90"/>
      <c r="BZ676" s="90"/>
      <c r="CA676" s="90"/>
      <c r="CB676" s="90"/>
      <c r="CC676" s="90"/>
      <c r="CD676" s="90"/>
      <c r="CE676" s="90"/>
      <c r="CF676" s="90"/>
      <c r="CG676" s="90"/>
      <c r="CH676" s="90"/>
      <c r="CI676" s="90"/>
      <c r="CJ676" s="90"/>
      <c r="CK676" s="90"/>
      <c r="CL676" s="90"/>
      <c r="CM676" s="90"/>
      <c r="CN676" s="90"/>
    </row>
    <row r="677" spans="1:92" s="147" customFormat="1" ht="14">
      <c r="A677" s="231">
        <v>676</v>
      </c>
      <c r="B677" s="235" t="s">
        <v>52</v>
      </c>
      <c r="C677" s="231" t="s">
        <v>10</v>
      </c>
      <c r="D677" s="250" t="s">
        <v>1889</v>
      </c>
      <c r="E677" s="239" t="s">
        <v>1890</v>
      </c>
      <c r="F677" s="231" t="s">
        <v>873</v>
      </c>
      <c r="G677" s="231" cm="1">
        <f t="array" ref="G677">_xlfn.IFS(J677&lt;301,2,J677&gt;300,48)</f>
        <v>48</v>
      </c>
      <c r="H677" s="231" t="s">
        <v>2776</v>
      </c>
      <c r="I677" s="281">
        <v>0</v>
      </c>
      <c r="J677" s="249">
        <v>1066.8</v>
      </c>
      <c r="K677" s="231" t="str">
        <f t="shared" si="10"/>
        <v>N/A</v>
      </c>
      <c r="L677" s="231"/>
      <c r="M677" s="231" t="s">
        <v>456</v>
      </c>
      <c r="N677" s="231" t="s">
        <v>253</v>
      </c>
      <c r="O677" s="231">
        <v>2019</v>
      </c>
      <c r="P677" s="281"/>
      <c r="Q677" s="231"/>
      <c r="R677" s="231"/>
      <c r="S677" s="236" t="s">
        <v>457</v>
      </c>
      <c r="T677" s="236" t="s">
        <v>264</v>
      </c>
      <c r="U677" s="90"/>
      <c r="V677" s="90"/>
      <c r="W677" s="90"/>
      <c r="X677" s="90"/>
      <c r="Y677" s="90"/>
      <c r="Z677" s="90"/>
      <c r="AA677" s="90"/>
      <c r="AB677" s="90"/>
      <c r="AC677" s="90"/>
      <c r="AD677" s="90"/>
      <c r="AE677" s="90"/>
      <c r="AF677" s="90"/>
      <c r="AG677" s="90"/>
      <c r="AH677" s="90"/>
      <c r="AI677" s="90"/>
      <c r="AJ677" s="90"/>
      <c r="AK677" s="90"/>
      <c r="AL677" s="90"/>
      <c r="AM677" s="90"/>
      <c r="AN677" s="90"/>
      <c r="AO677" s="90"/>
      <c r="AP677" s="90"/>
      <c r="AQ677" s="90"/>
      <c r="AR677" s="90"/>
      <c r="AS677" s="90"/>
      <c r="AT677" s="90"/>
      <c r="AU677" s="90"/>
      <c r="AV677" s="90"/>
      <c r="AW677" s="90"/>
      <c r="AX677" s="90"/>
      <c r="AY677" s="90"/>
      <c r="AZ677" s="90"/>
      <c r="BA677" s="90"/>
      <c r="BB677" s="90"/>
      <c r="BC677" s="90"/>
      <c r="BD677" s="90"/>
      <c r="BE677" s="90"/>
      <c r="BF677" s="90"/>
      <c r="BG677" s="90"/>
      <c r="BH677" s="90"/>
      <c r="BI677" s="90"/>
      <c r="BJ677" s="90"/>
      <c r="BK677" s="90"/>
      <c r="BL677" s="90"/>
      <c r="BM677" s="90"/>
      <c r="BN677" s="90"/>
      <c r="BO677" s="90"/>
      <c r="BP677" s="90"/>
      <c r="BQ677" s="90"/>
      <c r="BR677" s="90"/>
      <c r="BS677" s="90"/>
      <c r="BT677" s="90"/>
      <c r="BU677" s="90"/>
      <c r="BV677" s="90"/>
      <c r="BW677" s="90"/>
      <c r="BX677" s="90"/>
      <c r="BY677" s="90"/>
      <c r="BZ677" s="90"/>
      <c r="CA677" s="90"/>
      <c r="CB677" s="90"/>
      <c r="CC677" s="90"/>
      <c r="CD677" s="90"/>
      <c r="CE677" s="90"/>
      <c r="CF677" s="90"/>
      <c r="CG677" s="90"/>
      <c r="CH677" s="90"/>
      <c r="CI677" s="90"/>
      <c r="CJ677" s="90"/>
      <c r="CK677" s="90"/>
      <c r="CL677" s="90"/>
      <c r="CM677" s="90"/>
      <c r="CN677" s="90"/>
    </row>
    <row r="678" spans="1:92" ht="14">
      <c r="A678" s="231">
        <v>677</v>
      </c>
      <c r="B678" s="235" t="s">
        <v>52</v>
      </c>
      <c r="C678" s="231" t="s">
        <v>10</v>
      </c>
      <c r="D678" s="250" t="s">
        <v>1891</v>
      </c>
      <c r="E678" s="239" t="s">
        <v>1892</v>
      </c>
      <c r="F678" s="231" t="s">
        <v>835</v>
      </c>
      <c r="G678" s="231" cm="1">
        <f t="array" ref="G678">_xlfn.IFS(J678&lt;301,2,J678&gt;300,48)</f>
        <v>48</v>
      </c>
      <c r="H678" s="231" t="s">
        <v>1440</v>
      </c>
      <c r="I678" s="281">
        <v>0</v>
      </c>
      <c r="J678" s="249">
        <v>6307.35</v>
      </c>
      <c r="K678" s="231" t="str">
        <f t="shared" si="10"/>
        <v>N/A</v>
      </c>
      <c r="L678" s="231"/>
      <c r="M678" s="231" t="s">
        <v>456</v>
      </c>
      <c r="N678" s="231" t="s">
        <v>253</v>
      </c>
      <c r="O678" s="231">
        <v>2020</v>
      </c>
      <c r="P678" s="281"/>
      <c r="Q678" s="231"/>
      <c r="R678" s="231"/>
      <c r="S678" s="236" t="s">
        <v>453</v>
      </c>
      <c r="T678" s="236" t="s">
        <v>264</v>
      </c>
    </row>
    <row r="679" spans="1:92" ht="14">
      <c r="A679" s="231">
        <v>678</v>
      </c>
      <c r="B679" s="235" t="s">
        <v>52</v>
      </c>
      <c r="C679" s="231" t="s">
        <v>10</v>
      </c>
      <c r="D679" s="250" t="s">
        <v>1893</v>
      </c>
      <c r="E679" s="239" t="s">
        <v>1894</v>
      </c>
      <c r="F679" s="231" t="s">
        <v>888</v>
      </c>
      <c r="G679" s="231" cm="1">
        <f t="array" ref="G679">_xlfn.IFS(J679&lt;301,2,J679&gt;300,48)</f>
        <v>48</v>
      </c>
      <c r="H679" s="231" t="s">
        <v>2773</v>
      </c>
      <c r="I679" s="281">
        <v>0</v>
      </c>
      <c r="J679" s="249">
        <v>2341.5</v>
      </c>
      <c r="K679" s="231">
        <f t="shared" si="10"/>
        <v>20</v>
      </c>
      <c r="L679" s="231"/>
      <c r="M679" s="231" t="s">
        <v>16</v>
      </c>
      <c r="N679" s="231" t="s">
        <v>253</v>
      </c>
      <c r="O679" s="231">
        <v>2021</v>
      </c>
      <c r="P679" s="281"/>
      <c r="Q679" s="231"/>
      <c r="R679" s="231"/>
      <c r="S679" s="236" t="s">
        <v>453</v>
      </c>
      <c r="T679" s="236" t="s">
        <v>264</v>
      </c>
    </row>
    <row r="680" spans="1:92" ht="14">
      <c r="A680" s="231">
        <v>679</v>
      </c>
      <c r="B680" s="235" t="s">
        <v>52</v>
      </c>
      <c r="C680" s="231" t="s">
        <v>10</v>
      </c>
      <c r="D680" s="250" t="s">
        <v>1895</v>
      </c>
      <c r="E680" s="239" t="s">
        <v>1896</v>
      </c>
      <c r="F680" s="231" t="s">
        <v>888</v>
      </c>
      <c r="G680" s="231" cm="1">
        <f t="array" ref="G680">_xlfn.IFS(J680&lt;301,2,J680&gt;300,48)</f>
        <v>48</v>
      </c>
      <c r="H680" s="231" t="s">
        <v>2773</v>
      </c>
      <c r="I680" s="281">
        <v>0</v>
      </c>
      <c r="J680" s="249">
        <v>722.4</v>
      </c>
      <c r="K680" s="231">
        <f t="shared" si="10"/>
        <v>20</v>
      </c>
      <c r="L680" s="231"/>
      <c r="M680" s="231" t="s">
        <v>16</v>
      </c>
      <c r="N680" s="231" t="s">
        <v>253</v>
      </c>
      <c r="O680" s="231">
        <v>2021</v>
      </c>
      <c r="P680" s="281"/>
      <c r="Q680" s="231"/>
      <c r="R680" s="231"/>
      <c r="S680" s="236" t="s">
        <v>453</v>
      </c>
      <c r="T680" s="236" t="s">
        <v>264</v>
      </c>
    </row>
    <row r="681" spans="1:92" ht="14">
      <c r="A681" s="231">
        <v>680</v>
      </c>
      <c r="B681" s="235" t="s">
        <v>52</v>
      </c>
      <c r="C681" s="231" t="s">
        <v>10</v>
      </c>
      <c r="D681" s="250" t="s">
        <v>1897</v>
      </c>
      <c r="E681" s="239" t="s">
        <v>1898</v>
      </c>
      <c r="F681" s="231" t="s">
        <v>873</v>
      </c>
      <c r="G681" s="231" cm="1">
        <f t="array" ref="G681">_xlfn.IFS(J681&lt;301,2,J681&gt;300,48)</f>
        <v>48</v>
      </c>
      <c r="H681" s="231" t="s">
        <v>4555</v>
      </c>
      <c r="I681" s="281">
        <v>0</v>
      </c>
      <c r="J681" s="249">
        <v>3278.1</v>
      </c>
      <c r="K681" s="231">
        <f t="shared" si="10"/>
        <v>20</v>
      </c>
      <c r="L681" s="231"/>
      <c r="M681" s="299" t="s">
        <v>15</v>
      </c>
      <c r="N681" s="231" t="s">
        <v>253</v>
      </c>
      <c r="O681" s="231">
        <v>2021</v>
      </c>
      <c r="P681" s="281"/>
      <c r="Q681" s="231"/>
      <c r="R681" s="231"/>
      <c r="S681" s="236" t="s">
        <v>453</v>
      </c>
      <c r="T681" s="236" t="s">
        <v>264</v>
      </c>
    </row>
    <row r="682" spans="1:92" ht="14">
      <c r="A682" s="231">
        <v>681</v>
      </c>
      <c r="B682" s="235" t="s">
        <v>52</v>
      </c>
      <c r="C682" s="231" t="s">
        <v>10</v>
      </c>
      <c r="D682" s="250" t="s">
        <v>1899</v>
      </c>
      <c r="E682" s="239" t="s">
        <v>1900</v>
      </c>
      <c r="F682" s="231" t="s">
        <v>888</v>
      </c>
      <c r="G682" s="231" cm="1">
        <f t="array" ref="G682">_xlfn.IFS(J682&lt;301,2,J682&gt;300,48)</f>
        <v>48</v>
      </c>
      <c r="H682" s="231" t="s">
        <v>2773</v>
      </c>
      <c r="I682" s="281">
        <v>0</v>
      </c>
      <c r="J682" s="249">
        <v>389.55</v>
      </c>
      <c r="K682" s="231">
        <f t="shared" si="10"/>
        <v>20</v>
      </c>
      <c r="L682" s="231"/>
      <c r="M682" s="231" t="s">
        <v>16</v>
      </c>
      <c r="N682" s="231" t="s">
        <v>253</v>
      </c>
      <c r="O682" s="231">
        <v>2021</v>
      </c>
      <c r="P682" s="281"/>
      <c r="Q682" s="231"/>
      <c r="R682" s="231"/>
      <c r="S682" s="236" t="s">
        <v>453</v>
      </c>
      <c r="T682" s="236" t="s">
        <v>264</v>
      </c>
    </row>
    <row r="683" spans="1:92" ht="14">
      <c r="A683" s="231">
        <v>682</v>
      </c>
      <c r="B683" s="235" t="s">
        <v>52</v>
      </c>
      <c r="C683" s="231" t="s">
        <v>10</v>
      </c>
      <c r="D683" s="250" t="s">
        <v>1901</v>
      </c>
      <c r="E683" s="239" t="s">
        <v>1902</v>
      </c>
      <c r="F683" s="231" t="s">
        <v>888</v>
      </c>
      <c r="G683" s="231" cm="1">
        <f t="array" ref="G683">_xlfn.IFS(J683&lt;301,2,J683&gt;300,48)</f>
        <v>48</v>
      </c>
      <c r="H683" s="231" t="s">
        <v>2773</v>
      </c>
      <c r="I683" s="281">
        <v>0</v>
      </c>
      <c r="J683" s="249">
        <v>1318.8</v>
      </c>
      <c r="K683" s="231">
        <f t="shared" si="10"/>
        <v>20</v>
      </c>
      <c r="L683" s="231"/>
      <c r="M683" s="231" t="s">
        <v>16</v>
      </c>
      <c r="N683" s="231" t="s">
        <v>253</v>
      </c>
      <c r="O683" s="231">
        <v>2021</v>
      </c>
      <c r="P683" s="281"/>
      <c r="Q683" s="231"/>
      <c r="R683" s="231"/>
      <c r="S683" s="236" t="s">
        <v>453</v>
      </c>
      <c r="T683" s="236" t="s">
        <v>264</v>
      </c>
    </row>
    <row r="684" spans="1:92" ht="14">
      <c r="A684" s="231">
        <v>683</v>
      </c>
      <c r="B684" s="235" t="s">
        <v>52</v>
      </c>
      <c r="C684" s="231" t="s">
        <v>10</v>
      </c>
      <c r="D684" s="250" t="s">
        <v>1903</v>
      </c>
      <c r="E684" s="239" t="s">
        <v>1904</v>
      </c>
      <c r="F684" s="231" t="s">
        <v>888</v>
      </c>
      <c r="G684" s="231" cm="1">
        <f t="array" ref="G684">_xlfn.IFS(J684&lt;301,2,J684&gt;300,48)</f>
        <v>48</v>
      </c>
      <c r="H684" s="231" t="s">
        <v>2773</v>
      </c>
      <c r="I684" s="281">
        <v>0</v>
      </c>
      <c r="J684" s="249">
        <v>359.1</v>
      </c>
      <c r="K684" s="231">
        <f t="shared" si="10"/>
        <v>10</v>
      </c>
      <c r="L684" s="231"/>
      <c r="M684" s="299" t="s">
        <v>15</v>
      </c>
      <c r="N684" s="231" t="s">
        <v>253</v>
      </c>
      <c r="O684" s="231">
        <v>2021</v>
      </c>
      <c r="P684" s="281"/>
      <c r="Q684" s="231"/>
      <c r="R684" s="231"/>
      <c r="S684" s="236" t="s">
        <v>453</v>
      </c>
      <c r="T684" s="236" t="s">
        <v>264</v>
      </c>
    </row>
    <row r="685" spans="1:92" ht="14">
      <c r="A685" s="231">
        <v>684</v>
      </c>
      <c r="B685" s="235" t="s">
        <v>52</v>
      </c>
      <c r="C685" s="231" t="s">
        <v>10</v>
      </c>
      <c r="D685" s="250" t="s">
        <v>1905</v>
      </c>
      <c r="E685" s="239" t="s">
        <v>1906</v>
      </c>
      <c r="F685" s="231" t="s">
        <v>835</v>
      </c>
      <c r="G685" s="231" cm="1">
        <f t="array" ref="G685">_xlfn.IFS(J685&lt;301,2,J685&gt;300,48)</f>
        <v>48</v>
      </c>
      <c r="H685" s="231" t="s">
        <v>2765</v>
      </c>
      <c r="I685" s="281">
        <v>0</v>
      </c>
      <c r="J685" s="249">
        <v>315</v>
      </c>
      <c r="K685" s="231" t="str">
        <f t="shared" si="10"/>
        <v>N/A</v>
      </c>
      <c r="L685" s="231"/>
      <c r="M685" s="231" t="s">
        <v>456</v>
      </c>
      <c r="N685" s="231" t="s">
        <v>253</v>
      </c>
      <c r="O685" s="231">
        <v>2021</v>
      </c>
      <c r="P685" s="281"/>
      <c r="Q685" s="231"/>
      <c r="R685" s="231"/>
      <c r="S685" s="236" t="s">
        <v>453</v>
      </c>
      <c r="T685" s="236" t="s">
        <v>264</v>
      </c>
    </row>
    <row r="686" spans="1:92" ht="14">
      <c r="A686" s="231">
        <v>685</v>
      </c>
      <c r="B686" s="235" t="s">
        <v>52</v>
      </c>
      <c r="C686" s="231" t="s">
        <v>10</v>
      </c>
      <c r="D686" s="250" t="s">
        <v>1907</v>
      </c>
      <c r="E686" s="239" t="s">
        <v>1908</v>
      </c>
      <c r="F686" s="231" t="s">
        <v>881</v>
      </c>
      <c r="G686" s="231" cm="1">
        <f t="array" ref="G686">_xlfn.IFS(J686&lt;301,2,J686&gt;300,48)</f>
        <v>2</v>
      </c>
      <c r="H686" s="231" t="s">
        <v>4674</v>
      </c>
      <c r="I686" s="281">
        <v>0</v>
      </c>
      <c r="J686" s="249">
        <v>10</v>
      </c>
      <c r="K686" s="231">
        <f t="shared" si="10"/>
        <v>10</v>
      </c>
      <c r="L686" s="231"/>
      <c r="M686" s="299" t="s">
        <v>15</v>
      </c>
      <c r="N686" s="231" t="s">
        <v>253</v>
      </c>
      <c r="O686" s="231">
        <v>2021</v>
      </c>
      <c r="P686" s="281"/>
      <c r="Q686" s="231"/>
      <c r="R686" s="231"/>
      <c r="S686" s="236" t="s">
        <v>453</v>
      </c>
      <c r="T686" s="236" t="s">
        <v>264</v>
      </c>
    </row>
    <row r="687" spans="1:92" ht="14">
      <c r="A687" s="231">
        <v>686</v>
      </c>
      <c r="B687" s="235" t="s">
        <v>52</v>
      </c>
      <c r="C687" s="231" t="s">
        <v>10</v>
      </c>
      <c r="D687" s="250" t="s">
        <v>1909</v>
      </c>
      <c r="E687" s="239" t="s">
        <v>1910</v>
      </c>
      <c r="F687" s="231" t="s">
        <v>881</v>
      </c>
      <c r="G687" s="231" cm="1">
        <f t="array" ref="G687">_xlfn.IFS(J687&lt;301,2,J687&gt;300,48)</f>
        <v>48</v>
      </c>
      <c r="H687" s="231" t="s">
        <v>2773</v>
      </c>
      <c r="I687" s="281">
        <v>0</v>
      </c>
      <c r="J687" s="249">
        <v>350</v>
      </c>
      <c r="K687" s="231">
        <f t="shared" si="10"/>
        <v>20</v>
      </c>
      <c r="L687" s="231"/>
      <c r="M687" s="231" t="s">
        <v>16</v>
      </c>
      <c r="N687" s="231" t="s">
        <v>253</v>
      </c>
      <c r="O687" s="231">
        <v>2021</v>
      </c>
      <c r="P687" s="281"/>
      <c r="Q687" s="231"/>
      <c r="R687" s="231"/>
      <c r="S687" s="236" t="s">
        <v>453</v>
      </c>
      <c r="T687" s="236" t="s">
        <v>264</v>
      </c>
    </row>
    <row r="688" spans="1:92" ht="14">
      <c r="A688" s="231">
        <v>687</v>
      </c>
      <c r="B688" s="235" t="s">
        <v>52</v>
      </c>
      <c r="C688" s="231" t="s">
        <v>10</v>
      </c>
      <c r="D688" s="250" t="s">
        <v>1911</v>
      </c>
      <c r="E688" s="239" t="s">
        <v>1912</v>
      </c>
      <c r="F688" s="231" t="s">
        <v>267</v>
      </c>
      <c r="G688" s="231" cm="1">
        <f t="array" ref="G688">_xlfn.IFS(J688&lt;301,2,J688&gt;300,48)</f>
        <v>48</v>
      </c>
      <c r="H688" s="231" t="s">
        <v>3512</v>
      </c>
      <c r="I688" s="281">
        <v>0</v>
      </c>
      <c r="J688" s="249">
        <v>315</v>
      </c>
      <c r="K688" s="231">
        <f t="shared" si="10"/>
        <v>20</v>
      </c>
      <c r="L688" s="231"/>
      <c r="M688" s="231" t="s">
        <v>16</v>
      </c>
      <c r="N688" s="231" t="s">
        <v>253</v>
      </c>
      <c r="O688" s="231">
        <v>2020</v>
      </c>
      <c r="P688" s="281"/>
      <c r="Q688" s="231"/>
      <c r="R688" s="231"/>
      <c r="S688" s="236" t="s">
        <v>453</v>
      </c>
      <c r="T688" s="236" t="s">
        <v>264</v>
      </c>
    </row>
    <row r="689" spans="1:92" ht="14">
      <c r="A689" s="231">
        <v>688</v>
      </c>
      <c r="B689" s="235" t="s">
        <v>52</v>
      </c>
      <c r="C689" s="231" t="s">
        <v>10</v>
      </c>
      <c r="D689" s="250" t="s">
        <v>1913</v>
      </c>
      <c r="E689" s="239" t="s">
        <v>1914</v>
      </c>
      <c r="F689" s="231" t="s">
        <v>763</v>
      </c>
      <c r="G689" s="231" cm="1">
        <f t="array" ref="G689">_xlfn.IFS(J689&lt;301,2,J689&gt;300,48)</f>
        <v>48</v>
      </c>
      <c r="H689" s="231" t="s">
        <v>2789</v>
      </c>
      <c r="I689" s="281">
        <v>0</v>
      </c>
      <c r="J689" s="249">
        <v>425.25</v>
      </c>
      <c r="K689" s="231">
        <f t="shared" si="10"/>
        <v>10</v>
      </c>
      <c r="L689" s="231"/>
      <c r="M689" s="299" t="s">
        <v>15</v>
      </c>
      <c r="N689" s="231" t="s">
        <v>253</v>
      </c>
      <c r="O689" s="231">
        <v>2021</v>
      </c>
      <c r="P689" s="281"/>
      <c r="Q689" s="231"/>
      <c r="R689" s="231"/>
      <c r="S689" s="236" t="s">
        <v>453</v>
      </c>
      <c r="T689" s="236" t="s">
        <v>264</v>
      </c>
    </row>
    <row r="690" spans="1:92" ht="14">
      <c r="A690" s="231">
        <v>689</v>
      </c>
      <c r="B690" s="235" t="s">
        <v>52</v>
      </c>
      <c r="C690" s="231" t="s">
        <v>10</v>
      </c>
      <c r="D690" s="250" t="s">
        <v>1916</v>
      </c>
      <c r="E690" s="239" t="s">
        <v>1917</v>
      </c>
      <c r="F690" s="231" t="s">
        <v>267</v>
      </c>
      <c r="G690" s="231" cm="1">
        <f t="array" ref="G690">_xlfn.IFS(J690&lt;301,2,J690&gt;300,48)</f>
        <v>48</v>
      </c>
      <c r="H690" s="231" t="s">
        <v>2875</v>
      </c>
      <c r="I690" s="281">
        <v>0</v>
      </c>
      <c r="J690" s="249">
        <v>570.15</v>
      </c>
      <c r="K690" s="231">
        <f t="shared" si="10"/>
        <v>20</v>
      </c>
      <c r="L690" s="231"/>
      <c r="M690" s="231" t="s">
        <v>16</v>
      </c>
      <c r="N690" s="231" t="s">
        <v>253</v>
      </c>
      <c r="O690" s="231">
        <v>2021</v>
      </c>
      <c r="P690" s="281"/>
      <c r="Q690" s="231"/>
      <c r="R690" s="231"/>
      <c r="S690" s="236" t="s">
        <v>453</v>
      </c>
      <c r="T690" s="236" t="s">
        <v>264</v>
      </c>
    </row>
    <row r="691" spans="1:92" ht="14">
      <c r="A691" s="231">
        <v>690</v>
      </c>
      <c r="B691" s="235" t="s">
        <v>52</v>
      </c>
      <c r="C691" s="231" t="s">
        <v>10</v>
      </c>
      <c r="D691" s="250" t="s">
        <v>1918</v>
      </c>
      <c r="E691" s="239" t="s">
        <v>1919</v>
      </c>
      <c r="F691" s="231" t="s">
        <v>888</v>
      </c>
      <c r="G691" s="231" cm="1">
        <f t="array" ref="G691">_xlfn.IFS(J691&lt;301,2,J691&gt;300,48)</f>
        <v>48</v>
      </c>
      <c r="H691" s="231" t="s">
        <v>2773</v>
      </c>
      <c r="I691" s="281">
        <v>0</v>
      </c>
      <c r="J691" s="249">
        <v>1267.3499999999999</v>
      </c>
      <c r="K691" s="231">
        <f t="shared" si="10"/>
        <v>20</v>
      </c>
      <c r="L691" s="231"/>
      <c r="M691" s="231" t="s">
        <v>16</v>
      </c>
      <c r="N691" s="231" t="s">
        <v>253</v>
      </c>
      <c r="O691" s="231">
        <v>2021</v>
      </c>
      <c r="P691" s="281"/>
      <c r="Q691" s="231"/>
      <c r="R691" s="231"/>
      <c r="S691" s="236" t="s">
        <v>453</v>
      </c>
      <c r="T691" s="236" t="s">
        <v>264</v>
      </c>
    </row>
    <row r="692" spans="1:92" ht="14">
      <c r="A692" s="231">
        <v>691</v>
      </c>
      <c r="B692" s="235" t="s">
        <v>52</v>
      </c>
      <c r="C692" s="231" t="s">
        <v>10</v>
      </c>
      <c r="D692" s="250" t="s">
        <v>1920</v>
      </c>
      <c r="E692" s="239" t="s">
        <v>1921</v>
      </c>
      <c r="F692" s="231" t="s">
        <v>888</v>
      </c>
      <c r="G692" s="231" cm="1">
        <f t="array" ref="G692">_xlfn.IFS(J692&lt;301,2,J692&gt;300,48)</f>
        <v>48</v>
      </c>
      <c r="H692" s="231" t="s">
        <v>2773</v>
      </c>
      <c r="I692" s="281">
        <v>0</v>
      </c>
      <c r="J692" s="249">
        <v>1098.3</v>
      </c>
      <c r="K692" s="231">
        <f t="shared" si="10"/>
        <v>10</v>
      </c>
      <c r="L692" s="231"/>
      <c r="M692" s="299" t="s">
        <v>15</v>
      </c>
      <c r="N692" s="231" t="s">
        <v>253</v>
      </c>
      <c r="O692" s="231">
        <v>2021</v>
      </c>
      <c r="P692" s="281"/>
      <c r="Q692" s="231"/>
      <c r="R692" s="231"/>
      <c r="S692" s="236" t="s">
        <v>453</v>
      </c>
      <c r="T692" s="236" t="s">
        <v>264</v>
      </c>
    </row>
    <row r="693" spans="1:92" ht="14">
      <c r="A693" s="231">
        <v>692</v>
      </c>
      <c r="B693" s="235" t="s">
        <v>52</v>
      </c>
      <c r="C693" s="231" t="s">
        <v>10</v>
      </c>
      <c r="D693" s="250" t="s">
        <v>1922</v>
      </c>
      <c r="E693" s="239" t="s">
        <v>1923</v>
      </c>
      <c r="F693" s="231" t="s">
        <v>888</v>
      </c>
      <c r="G693" s="231" cm="1">
        <f t="array" ref="G693">_xlfn.IFS(J693&lt;301,2,J693&gt;300,48)</f>
        <v>48</v>
      </c>
      <c r="H693" s="231" t="s">
        <v>2773</v>
      </c>
      <c r="I693" s="281">
        <v>0</v>
      </c>
      <c r="J693" s="249">
        <v>628.95000000000005</v>
      </c>
      <c r="K693" s="231">
        <f t="shared" si="10"/>
        <v>20</v>
      </c>
      <c r="L693" s="231"/>
      <c r="M693" s="231" t="s">
        <v>16</v>
      </c>
      <c r="N693" s="231" t="s">
        <v>253</v>
      </c>
      <c r="O693" s="231">
        <v>2021</v>
      </c>
      <c r="P693" s="281"/>
      <c r="Q693" s="231"/>
      <c r="R693" s="231"/>
      <c r="S693" s="236" t="s">
        <v>453</v>
      </c>
      <c r="T693" s="236" t="s">
        <v>264</v>
      </c>
    </row>
    <row r="694" spans="1:92" ht="14">
      <c r="A694" s="231">
        <v>693</v>
      </c>
      <c r="B694" s="235" t="s">
        <v>52</v>
      </c>
      <c r="C694" s="231" t="s">
        <v>10</v>
      </c>
      <c r="D694" s="250" t="s">
        <v>1924</v>
      </c>
      <c r="E694" s="239" t="s">
        <v>1925</v>
      </c>
      <c r="F694" s="231" t="s">
        <v>835</v>
      </c>
      <c r="G694" s="231" cm="1">
        <f t="array" ref="G694">_xlfn.IFS(J694&lt;301,2,J694&gt;300,48)</f>
        <v>48</v>
      </c>
      <c r="H694" s="231" t="s">
        <v>4251</v>
      </c>
      <c r="I694" s="281">
        <v>0</v>
      </c>
      <c r="J694" s="249">
        <v>1111.95</v>
      </c>
      <c r="K694" s="231">
        <f t="shared" si="10"/>
        <v>10</v>
      </c>
      <c r="L694" s="231"/>
      <c r="M694" s="299" t="s">
        <v>15</v>
      </c>
      <c r="N694" s="231" t="s">
        <v>253</v>
      </c>
      <c r="O694" s="231">
        <v>2021</v>
      </c>
      <c r="P694" s="281"/>
      <c r="Q694" s="231"/>
      <c r="R694" s="231"/>
      <c r="S694" s="236" t="s">
        <v>453</v>
      </c>
      <c r="T694" s="236" t="s">
        <v>264</v>
      </c>
    </row>
    <row r="695" spans="1:92" ht="14">
      <c r="A695" s="231">
        <v>694</v>
      </c>
      <c r="B695" s="235" t="s">
        <v>52</v>
      </c>
      <c r="C695" s="231" t="s">
        <v>10</v>
      </c>
      <c r="D695" s="250" t="s">
        <v>1926</v>
      </c>
      <c r="E695" s="239" t="s">
        <v>1927</v>
      </c>
      <c r="F695" s="231" t="s">
        <v>854</v>
      </c>
      <c r="G695" s="231" cm="1">
        <f t="array" ref="G695">_xlfn.IFS(J695&lt;301,2,J695&gt;300,48)</f>
        <v>48</v>
      </c>
      <c r="H695" s="231" t="s">
        <v>2773</v>
      </c>
      <c r="I695" s="281">
        <v>0</v>
      </c>
      <c r="J695" s="249">
        <v>865.2</v>
      </c>
      <c r="K695" s="231">
        <f t="shared" si="10"/>
        <v>20</v>
      </c>
      <c r="L695" s="231"/>
      <c r="M695" s="231" t="s">
        <v>16</v>
      </c>
      <c r="N695" s="231" t="s">
        <v>253</v>
      </c>
      <c r="O695" s="231">
        <v>2022</v>
      </c>
      <c r="P695" s="281"/>
      <c r="Q695" s="231"/>
      <c r="R695" s="231"/>
      <c r="S695" s="236" t="s">
        <v>453</v>
      </c>
      <c r="T695" s="236" t="s">
        <v>264</v>
      </c>
    </row>
    <row r="696" spans="1:92" s="147" customFormat="1" ht="14">
      <c r="A696" s="231">
        <v>695</v>
      </c>
      <c r="B696" s="235" t="s">
        <v>52</v>
      </c>
      <c r="C696" s="231" t="s">
        <v>10</v>
      </c>
      <c r="D696" s="250" t="s">
        <v>1928</v>
      </c>
      <c r="E696" s="239" t="s">
        <v>1929</v>
      </c>
      <c r="F696" s="231" t="s">
        <v>267</v>
      </c>
      <c r="G696" s="231" cm="1">
        <f t="array" ref="G696">_xlfn.IFS(J696&lt;301,2,J696&gt;300,48)</f>
        <v>48</v>
      </c>
      <c r="H696" s="231" t="s">
        <v>2763</v>
      </c>
      <c r="I696" s="281">
        <v>0</v>
      </c>
      <c r="J696" s="249">
        <v>879.9</v>
      </c>
      <c r="K696" s="231">
        <f t="shared" si="10"/>
        <v>20</v>
      </c>
      <c r="L696" s="231"/>
      <c r="M696" s="231" t="s">
        <v>16</v>
      </c>
      <c r="N696" s="231" t="s">
        <v>253</v>
      </c>
      <c r="O696" s="231">
        <v>2022</v>
      </c>
      <c r="P696" s="281"/>
      <c r="Q696" s="231"/>
      <c r="R696" s="231"/>
      <c r="S696" s="236" t="s">
        <v>453</v>
      </c>
      <c r="T696" s="236" t="s">
        <v>264</v>
      </c>
      <c r="U696" s="90"/>
      <c r="V696" s="90"/>
      <c r="W696" s="90"/>
      <c r="X696" s="90"/>
      <c r="Y696" s="90"/>
      <c r="Z696" s="90"/>
      <c r="AA696" s="90"/>
      <c r="AB696" s="90"/>
      <c r="AC696" s="90"/>
      <c r="AD696" s="90"/>
      <c r="AE696" s="90"/>
      <c r="AF696" s="90"/>
      <c r="AG696" s="90"/>
      <c r="AH696" s="90"/>
      <c r="AI696" s="90"/>
      <c r="AJ696" s="90"/>
      <c r="AK696" s="90"/>
      <c r="AL696" s="90"/>
      <c r="AM696" s="90"/>
      <c r="AN696" s="90"/>
      <c r="AO696" s="90"/>
      <c r="AP696" s="90"/>
      <c r="AQ696" s="90"/>
      <c r="AR696" s="90"/>
      <c r="AS696" s="90"/>
      <c r="AT696" s="90"/>
      <c r="AU696" s="90"/>
      <c r="AV696" s="90"/>
      <c r="AW696" s="90"/>
      <c r="AX696" s="90"/>
      <c r="AY696" s="90"/>
      <c r="AZ696" s="90"/>
      <c r="BA696" s="90"/>
      <c r="BB696" s="90"/>
      <c r="BC696" s="90"/>
      <c r="BD696" s="90"/>
      <c r="BE696" s="90"/>
      <c r="BF696" s="90"/>
      <c r="BG696" s="90"/>
      <c r="BH696" s="90"/>
      <c r="BI696" s="90"/>
      <c r="BJ696" s="90"/>
      <c r="BK696" s="90"/>
      <c r="BL696" s="90"/>
      <c r="BM696" s="90"/>
      <c r="BN696" s="90"/>
      <c r="BO696" s="90"/>
      <c r="BP696" s="90"/>
      <c r="BQ696" s="90"/>
      <c r="BR696" s="90"/>
      <c r="BS696" s="90"/>
      <c r="BT696" s="90"/>
      <c r="BU696" s="90"/>
      <c r="BV696" s="90"/>
      <c r="BW696" s="90"/>
      <c r="BX696" s="90"/>
      <c r="BY696" s="90"/>
      <c r="BZ696" s="90"/>
      <c r="CA696" s="90"/>
      <c r="CB696" s="90"/>
      <c r="CC696" s="90"/>
      <c r="CD696" s="90"/>
      <c r="CE696" s="90"/>
      <c r="CF696" s="90"/>
      <c r="CG696" s="90"/>
      <c r="CH696" s="90"/>
      <c r="CI696" s="90"/>
      <c r="CJ696" s="90"/>
      <c r="CK696" s="90"/>
      <c r="CL696" s="90"/>
      <c r="CM696" s="90"/>
      <c r="CN696" s="90"/>
    </row>
    <row r="697" spans="1:92" ht="14">
      <c r="A697" s="231">
        <v>696</v>
      </c>
      <c r="B697" s="235" t="s">
        <v>52</v>
      </c>
      <c r="C697" s="231" t="s">
        <v>10</v>
      </c>
      <c r="D697" s="250" t="s">
        <v>4656</v>
      </c>
      <c r="E697" s="239" t="s">
        <v>1930</v>
      </c>
      <c r="F697" s="231" t="s">
        <v>267</v>
      </c>
      <c r="G697" s="231" cm="1">
        <f t="array" ref="G697">_xlfn.IFS(J697&lt;301,2,J697&gt;300,48)</f>
        <v>48</v>
      </c>
      <c r="H697" s="231" t="s">
        <v>4265</v>
      </c>
      <c r="I697" s="281">
        <v>0</v>
      </c>
      <c r="J697" s="249">
        <v>741.3</v>
      </c>
      <c r="K697" s="231">
        <f t="shared" si="10"/>
        <v>20</v>
      </c>
      <c r="L697" s="231"/>
      <c r="M697" s="231" t="s">
        <v>16</v>
      </c>
      <c r="N697" s="231" t="s">
        <v>253</v>
      </c>
      <c r="O697" s="231">
        <v>2022</v>
      </c>
      <c r="P697" s="281"/>
      <c r="Q697" s="231"/>
      <c r="R697" s="231"/>
      <c r="S697" s="236" t="s">
        <v>453</v>
      </c>
      <c r="T697" s="236" t="s">
        <v>264</v>
      </c>
    </row>
    <row r="698" spans="1:92" ht="14">
      <c r="A698" s="231">
        <v>697</v>
      </c>
      <c r="B698" s="235" t="s">
        <v>52</v>
      </c>
      <c r="C698" s="231" t="s">
        <v>10</v>
      </c>
      <c r="D698" s="250" t="s">
        <v>1931</v>
      </c>
      <c r="E698" s="239" t="s">
        <v>1932</v>
      </c>
      <c r="F698" s="231" t="s">
        <v>267</v>
      </c>
      <c r="G698" s="231" cm="1">
        <f t="array" ref="G698">_xlfn.IFS(J698&lt;301,2,J698&gt;300,48)</f>
        <v>2</v>
      </c>
      <c r="H698" s="231" t="s">
        <v>2765</v>
      </c>
      <c r="I698" s="281">
        <v>0</v>
      </c>
      <c r="J698" s="249">
        <v>300</v>
      </c>
      <c r="K698" s="231">
        <f t="shared" si="10"/>
        <v>20</v>
      </c>
      <c r="L698" s="231"/>
      <c r="M698" s="231" t="s">
        <v>16</v>
      </c>
      <c r="N698" s="231" t="s">
        <v>253</v>
      </c>
      <c r="O698" s="231">
        <v>2022</v>
      </c>
      <c r="P698" s="281"/>
      <c r="Q698" s="231"/>
      <c r="R698" s="231"/>
      <c r="S698" s="236" t="s">
        <v>453</v>
      </c>
      <c r="T698" s="236" t="s">
        <v>264</v>
      </c>
    </row>
    <row r="699" spans="1:92" ht="14">
      <c r="A699" s="231">
        <v>698</v>
      </c>
      <c r="B699" s="235" t="s">
        <v>52</v>
      </c>
      <c r="C699" s="231" t="s">
        <v>10</v>
      </c>
      <c r="D699" s="250" t="s">
        <v>1933</v>
      </c>
      <c r="E699" s="239" t="s">
        <v>1934</v>
      </c>
      <c r="F699" s="231" t="s">
        <v>1076</v>
      </c>
      <c r="G699" s="231" cm="1">
        <f t="array" ref="G699">_xlfn.IFS(J699&lt;301,2,J699&gt;300,48)</f>
        <v>48</v>
      </c>
      <c r="H699" s="231" t="s">
        <v>2765</v>
      </c>
      <c r="I699" s="281">
        <v>0</v>
      </c>
      <c r="J699" s="249">
        <v>446.25</v>
      </c>
      <c r="K699" s="231">
        <f t="shared" si="10"/>
        <v>20</v>
      </c>
      <c r="L699" s="231"/>
      <c r="M699" s="231" t="s">
        <v>16</v>
      </c>
      <c r="N699" s="231" t="s">
        <v>253</v>
      </c>
      <c r="O699" s="231">
        <v>2022</v>
      </c>
      <c r="P699" s="281"/>
      <c r="Q699" s="231"/>
      <c r="R699" s="231"/>
      <c r="S699" s="236" t="s">
        <v>453</v>
      </c>
      <c r="T699" s="236" t="s">
        <v>264</v>
      </c>
    </row>
    <row r="700" spans="1:92" ht="14">
      <c r="A700" s="231">
        <v>699</v>
      </c>
      <c r="B700" s="235" t="s">
        <v>52</v>
      </c>
      <c r="C700" s="231" t="s">
        <v>10</v>
      </c>
      <c r="D700" s="250" t="s">
        <v>1935</v>
      </c>
      <c r="E700" s="239" t="s">
        <v>1936</v>
      </c>
      <c r="F700" s="231" t="s">
        <v>835</v>
      </c>
      <c r="G700" s="231" cm="1">
        <f t="array" ref="G700">_xlfn.IFS(J700&lt;301,2,J700&gt;300,48)</f>
        <v>48</v>
      </c>
      <c r="H700" s="231" t="s">
        <v>4262</v>
      </c>
      <c r="I700" s="281">
        <v>0</v>
      </c>
      <c r="J700" s="249">
        <v>579.6</v>
      </c>
      <c r="K700" s="231">
        <f t="shared" si="10"/>
        <v>20</v>
      </c>
      <c r="L700" s="231"/>
      <c r="M700" s="231" t="s">
        <v>16</v>
      </c>
      <c r="N700" s="231" t="s">
        <v>253</v>
      </c>
      <c r="O700" s="231">
        <v>2022</v>
      </c>
      <c r="P700" s="281"/>
      <c r="Q700" s="231"/>
      <c r="R700" s="231"/>
      <c r="S700" s="236" t="s">
        <v>453</v>
      </c>
      <c r="T700" s="236" t="s">
        <v>264</v>
      </c>
    </row>
    <row r="701" spans="1:92" s="147" customFormat="1" ht="14">
      <c r="A701" s="231">
        <v>700</v>
      </c>
      <c r="B701" s="235" t="s">
        <v>52</v>
      </c>
      <c r="C701" s="231" t="s">
        <v>10</v>
      </c>
      <c r="D701" s="250" t="s">
        <v>1937</v>
      </c>
      <c r="E701" s="239" t="s">
        <v>1938</v>
      </c>
      <c r="F701" s="231" t="s">
        <v>873</v>
      </c>
      <c r="G701" s="231" cm="1">
        <f t="array" ref="G701">_xlfn.IFS(J701&lt;301,2,J701&gt;300,48)</f>
        <v>48</v>
      </c>
      <c r="H701" s="231" t="s">
        <v>2776</v>
      </c>
      <c r="I701" s="281">
        <v>0</v>
      </c>
      <c r="J701" s="249">
        <v>787.5</v>
      </c>
      <c r="K701" s="231">
        <f t="shared" si="10"/>
        <v>10</v>
      </c>
      <c r="L701" s="231"/>
      <c r="M701" s="299" t="s">
        <v>15</v>
      </c>
      <c r="N701" s="231" t="s">
        <v>253</v>
      </c>
      <c r="O701" s="231">
        <v>2022</v>
      </c>
      <c r="P701" s="281"/>
      <c r="Q701" s="231"/>
      <c r="R701" s="231"/>
      <c r="S701" s="236" t="s">
        <v>453</v>
      </c>
      <c r="T701" s="236" t="s">
        <v>264</v>
      </c>
      <c r="U701" s="90"/>
      <c r="V701" s="90"/>
      <c r="W701" s="90"/>
      <c r="X701" s="90"/>
      <c r="Y701" s="90"/>
      <c r="Z701" s="90"/>
      <c r="AA701" s="90"/>
      <c r="AB701" s="90"/>
      <c r="AC701" s="90"/>
      <c r="AD701" s="90"/>
      <c r="AE701" s="90"/>
      <c r="AF701" s="90"/>
      <c r="AG701" s="90"/>
      <c r="AH701" s="90"/>
      <c r="AI701" s="90"/>
      <c r="AJ701" s="90"/>
      <c r="AK701" s="90"/>
      <c r="AL701" s="90"/>
      <c r="AM701" s="90"/>
      <c r="AN701" s="90"/>
      <c r="AO701" s="90"/>
      <c r="AP701" s="90"/>
      <c r="AQ701" s="90"/>
      <c r="AR701" s="90"/>
      <c r="AS701" s="90"/>
      <c r="AT701" s="90"/>
      <c r="AU701" s="90"/>
      <c r="AV701" s="90"/>
      <c r="AW701" s="90"/>
      <c r="AX701" s="90"/>
      <c r="AY701" s="90"/>
      <c r="AZ701" s="90"/>
      <c r="BA701" s="90"/>
      <c r="BB701" s="90"/>
      <c r="BC701" s="90"/>
      <c r="BD701" s="90"/>
      <c r="BE701" s="90"/>
      <c r="BF701" s="90"/>
      <c r="BG701" s="90"/>
      <c r="BH701" s="90"/>
      <c r="BI701" s="90"/>
      <c r="BJ701" s="90"/>
      <c r="BK701" s="90"/>
      <c r="BL701" s="90"/>
      <c r="BM701" s="90"/>
      <c r="BN701" s="90"/>
      <c r="BO701" s="90"/>
      <c r="BP701" s="90"/>
      <c r="BQ701" s="90"/>
      <c r="BR701" s="90"/>
      <c r="BS701" s="90"/>
      <c r="BT701" s="90"/>
      <c r="BU701" s="90"/>
      <c r="BV701" s="90"/>
      <c r="BW701" s="90"/>
      <c r="BX701" s="90"/>
      <c r="BY701" s="90"/>
      <c r="BZ701" s="90"/>
      <c r="CA701" s="90"/>
      <c r="CB701" s="90"/>
      <c r="CC701" s="90"/>
      <c r="CD701" s="90"/>
      <c r="CE701" s="90"/>
      <c r="CF701" s="90"/>
      <c r="CG701" s="90"/>
      <c r="CH701" s="90"/>
      <c r="CI701" s="90"/>
      <c r="CJ701" s="90"/>
      <c r="CK701" s="90"/>
      <c r="CL701" s="90"/>
      <c r="CM701" s="90"/>
      <c r="CN701" s="90"/>
    </row>
    <row r="702" spans="1:92" ht="14">
      <c r="A702" s="231">
        <v>701</v>
      </c>
      <c r="B702" s="235" t="s">
        <v>52</v>
      </c>
      <c r="C702" s="231" t="s">
        <v>10</v>
      </c>
      <c r="D702" s="250" t="s">
        <v>1939</v>
      </c>
      <c r="E702" s="239" t="s">
        <v>1940</v>
      </c>
      <c r="F702" s="231" t="s">
        <v>888</v>
      </c>
      <c r="G702" s="231" cm="1">
        <f t="array" ref="G702">_xlfn.IFS(J702&lt;301,2,J702&gt;300,48)</f>
        <v>48</v>
      </c>
      <c r="H702" s="231" t="s">
        <v>2773</v>
      </c>
      <c r="I702" s="281">
        <v>0</v>
      </c>
      <c r="J702" s="249">
        <v>771.75</v>
      </c>
      <c r="K702" s="231">
        <f t="shared" si="10"/>
        <v>20</v>
      </c>
      <c r="L702" s="231"/>
      <c r="M702" s="231" t="s">
        <v>16</v>
      </c>
      <c r="N702" s="231" t="s">
        <v>253</v>
      </c>
      <c r="O702" s="231">
        <v>2022</v>
      </c>
      <c r="P702" s="281"/>
      <c r="Q702" s="231"/>
      <c r="R702" s="231"/>
      <c r="S702" s="236" t="s">
        <v>453</v>
      </c>
      <c r="T702" s="236" t="s">
        <v>264</v>
      </c>
    </row>
    <row r="703" spans="1:92" ht="14">
      <c r="A703" s="231">
        <v>702</v>
      </c>
      <c r="B703" s="235" t="s">
        <v>52</v>
      </c>
      <c r="C703" s="231" t="s">
        <v>10</v>
      </c>
      <c r="D703" s="250" t="s">
        <v>1941</v>
      </c>
      <c r="E703" s="239" t="s">
        <v>1942</v>
      </c>
      <c r="F703" s="231" t="s">
        <v>888</v>
      </c>
      <c r="G703" s="231" cm="1">
        <f t="array" ref="G703">_xlfn.IFS(J703&lt;301,2,J703&gt;300,48)</f>
        <v>48</v>
      </c>
      <c r="H703" s="231" t="s">
        <v>2773</v>
      </c>
      <c r="I703" s="281">
        <v>0</v>
      </c>
      <c r="J703" s="249">
        <v>1619.1</v>
      </c>
      <c r="K703" s="231">
        <f t="shared" si="10"/>
        <v>20</v>
      </c>
      <c r="L703" s="231"/>
      <c r="M703" s="231" t="s">
        <v>16</v>
      </c>
      <c r="N703" s="231" t="s">
        <v>253</v>
      </c>
      <c r="O703" s="231">
        <v>2022</v>
      </c>
      <c r="P703" s="281"/>
      <c r="Q703" s="231"/>
      <c r="R703" s="231"/>
      <c r="S703" s="236" t="s">
        <v>453</v>
      </c>
      <c r="T703" s="236" t="s">
        <v>264</v>
      </c>
    </row>
    <row r="704" spans="1:92" ht="14">
      <c r="A704" s="231">
        <v>703</v>
      </c>
      <c r="B704" s="235" t="s">
        <v>52</v>
      </c>
      <c r="C704" s="231" t="s">
        <v>10</v>
      </c>
      <c r="D704" s="250" t="s">
        <v>4657</v>
      </c>
      <c r="E704" s="239" t="s">
        <v>1943</v>
      </c>
      <c r="F704" s="231" t="s">
        <v>881</v>
      </c>
      <c r="G704" s="231" cm="1">
        <f t="array" ref="G704">_xlfn.IFS(J704&lt;301,2,J704&gt;300,48)</f>
        <v>48</v>
      </c>
      <c r="H704" s="231" t="s">
        <v>3060</v>
      </c>
      <c r="I704" s="281">
        <v>0</v>
      </c>
      <c r="J704" s="249">
        <v>315</v>
      </c>
      <c r="K704" s="231">
        <f t="shared" ref="K704:K767" si="11">IF(M704="ONT",20,IF(M704="N/A","N/A",IF(M704="MIKROTIK",IF(J704&lt;3000,10,IF(3000&lt;J704&gt;10000,20,IF(10000&lt;J704&gt;20000,40,IF(20000&lt;J704&gt;40000,60,IF(J704&gt;40000,80,IF(J704&lt;300,3,)))))))))</f>
        <v>20</v>
      </c>
      <c r="L704" s="231"/>
      <c r="M704" s="231" t="s">
        <v>16</v>
      </c>
      <c r="N704" s="231" t="s">
        <v>253</v>
      </c>
      <c r="O704" s="231">
        <v>2022</v>
      </c>
      <c r="P704" s="281"/>
      <c r="Q704" s="231"/>
      <c r="R704" s="231"/>
      <c r="S704" s="236" t="s">
        <v>453</v>
      </c>
      <c r="T704" s="236" t="s">
        <v>264</v>
      </c>
    </row>
    <row r="705" spans="1:20" ht="14">
      <c r="A705" s="231">
        <v>704</v>
      </c>
      <c r="B705" s="235" t="s">
        <v>52</v>
      </c>
      <c r="C705" s="231" t="s">
        <v>10</v>
      </c>
      <c r="D705" s="250" t="s">
        <v>1944</v>
      </c>
      <c r="E705" s="239" t="s">
        <v>1945</v>
      </c>
      <c r="F705" s="231" t="s">
        <v>763</v>
      </c>
      <c r="G705" s="231" cm="1">
        <f t="array" ref="G705">_xlfn.IFS(J705&lt;301,2,J705&gt;300,48)</f>
        <v>48</v>
      </c>
      <c r="H705" s="231" t="s">
        <v>2767</v>
      </c>
      <c r="I705" s="281">
        <v>0</v>
      </c>
      <c r="J705" s="249">
        <v>1227.45</v>
      </c>
      <c r="K705" s="231">
        <f t="shared" si="11"/>
        <v>20</v>
      </c>
      <c r="L705" s="231"/>
      <c r="M705" s="231" t="s">
        <v>16</v>
      </c>
      <c r="N705" s="231" t="s">
        <v>253</v>
      </c>
      <c r="O705" s="231">
        <v>2022</v>
      </c>
      <c r="P705" s="281"/>
      <c r="Q705" s="231"/>
      <c r="R705" s="231"/>
      <c r="S705" s="236" t="s">
        <v>453</v>
      </c>
      <c r="T705" s="236" t="s">
        <v>264</v>
      </c>
    </row>
    <row r="706" spans="1:20" ht="14">
      <c r="A706" s="231">
        <v>705</v>
      </c>
      <c r="B706" s="235" t="s">
        <v>52</v>
      </c>
      <c r="C706" s="231" t="s">
        <v>10</v>
      </c>
      <c r="D706" s="250" t="s">
        <v>1946</v>
      </c>
      <c r="E706" s="239" t="s">
        <v>1947</v>
      </c>
      <c r="F706" s="231" t="s">
        <v>854</v>
      </c>
      <c r="G706" s="231" cm="1">
        <f t="array" ref="G706">_xlfn.IFS(J706&lt;301,2,J706&gt;300,48)</f>
        <v>48</v>
      </c>
      <c r="H706" s="231" t="s">
        <v>2763</v>
      </c>
      <c r="I706" s="281">
        <v>0</v>
      </c>
      <c r="J706" s="249">
        <v>2422.35</v>
      </c>
      <c r="K706" s="231">
        <f t="shared" si="11"/>
        <v>20</v>
      </c>
      <c r="L706" s="231"/>
      <c r="M706" s="231" t="s">
        <v>16</v>
      </c>
      <c r="N706" s="231" t="s">
        <v>253</v>
      </c>
      <c r="O706" s="231">
        <v>2022</v>
      </c>
      <c r="P706" s="281"/>
      <c r="Q706" s="231"/>
      <c r="R706" s="231"/>
      <c r="S706" s="236" t="s">
        <v>453</v>
      </c>
      <c r="T706" s="236" t="s">
        <v>264</v>
      </c>
    </row>
    <row r="707" spans="1:20" ht="14">
      <c r="A707" s="231">
        <v>706</v>
      </c>
      <c r="B707" s="235" t="s">
        <v>52</v>
      </c>
      <c r="C707" s="231" t="s">
        <v>10</v>
      </c>
      <c r="D707" s="250" t="s">
        <v>1948</v>
      </c>
      <c r="E707" s="239" t="s">
        <v>1949</v>
      </c>
      <c r="F707" s="231" t="s">
        <v>267</v>
      </c>
      <c r="G707" s="231" cm="1">
        <f t="array" ref="G707">_xlfn.IFS(J707&lt;301,2,J707&gt;300,48)</f>
        <v>48</v>
      </c>
      <c r="H707" s="231" t="s">
        <v>2773</v>
      </c>
      <c r="I707" s="281">
        <v>0</v>
      </c>
      <c r="J707" s="249">
        <v>4482.45</v>
      </c>
      <c r="K707" s="231">
        <f t="shared" si="11"/>
        <v>20</v>
      </c>
      <c r="L707" s="231"/>
      <c r="M707" s="231" t="s">
        <v>16</v>
      </c>
      <c r="N707" s="231" t="s">
        <v>253</v>
      </c>
      <c r="O707" s="231">
        <v>2022</v>
      </c>
      <c r="P707" s="281"/>
      <c r="Q707" s="231"/>
      <c r="R707" s="231"/>
      <c r="S707" s="236" t="s">
        <v>453</v>
      </c>
      <c r="T707" s="236" t="s">
        <v>264</v>
      </c>
    </row>
    <row r="708" spans="1:20" ht="14">
      <c r="A708" s="231">
        <v>707</v>
      </c>
      <c r="B708" s="235" t="s">
        <v>52</v>
      </c>
      <c r="C708" s="231" t="s">
        <v>10</v>
      </c>
      <c r="D708" s="250" t="s">
        <v>1950</v>
      </c>
      <c r="E708" s="239" t="s">
        <v>1951</v>
      </c>
      <c r="F708" s="231" t="s">
        <v>267</v>
      </c>
      <c r="G708" s="231" cm="1">
        <f t="array" ref="G708">_xlfn.IFS(J708&lt;301,2,J708&gt;300,48)</f>
        <v>48</v>
      </c>
      <c r="H708" s="231" t="s">
        <v>3542</v>
      </c>
      <c r="I708" s="281">
        <v>0</v>
      </c>
      <c r="J708" s="249">
        <v>358.05</v>
      </c>
      <c r="K708" s="231">
        <f t="shared" si="11"/>
        <v>20</v>
      </c>
      <c r="L708" s="231"/>
      <c r="M708" s="231" t="s">
        <v>16</v>
      </c>
      <c r="N708" s="231" t="s">
        <v>253</v>
      </c>
      <c r="O708" s="231">
        <v>2022</v>
      </c>
      <c r="P708" s="281"/>
      <c r="Q708" s="231"/>
      <c r="R708" s="231"/>
      <c r="S708" s="236" t="s">
        <v>453</v>
      </c>
      <c r="T708" s="236" t="s">
        <v>264</v>
      </c>
    </row>
    <row r="709" spans="1:20" ht="14">
      <c r="A709" s="231">
        <v>708</v>
      </c>
      <c r="B709" s="235" t="s">
        <v>52</v>
      </c>
      <c r="C709" s="231" t="s">
        <v>10</v>
      </c>
      <c r="D709" s="250" t="s">
        <v>1952</v>
      </c>
      <c r="E709" s="239" t="s">
        <v>1953</v>
      </c>
      <c r="F709" s="231" t="s">
        <v>888</v>
      </c>
      <c r="G709" s="231" cm="1">
        <f t="array" ref="G709">_xlfn.IFS(J709&lt;301,2,J709&gt;300,48)</f>
        <v>48</v>
      </c>
      <c r="H709" s="231" t="s">
        <v>2773</v>
      </c>
      <c r="I709" s="281">
        <v>0</v>
      </c>
      <c r="J709" s="249">
        <v>1096.2</v>
      </c>
      <c r="K709" s="231">
        <f t="shared" si="11"/>
        <v>20</v>
      </c>
      <c r="L709" s="231"/>
      <c r="M709" s="231" t="s">
        <v>16</v>
      </c>
      <c r="N709" s="231" t="s">
        <v>253</v>
      </c>
      <c r="O709" s="231">
        <v>2022</v>
      </c>
      <c r="P709" s="281"/>
      <c r="Q709" s="231"/>
      <c r="R709" s="231"/>
      <c r="S709" s="236" t="s">
        <v>453</v>
      </c>
      <c r="T709" s="236" t="s">
        <v>264</v>
      </c>
    </row>
    <row r="710" spans="1:20" ht="14">
      <c r="A710" s="231">
        <v>709</v>
      </c>
      <c r="B710" s="235" t="s">
        <v>52</v>
      </c>
      <c r="C710" s="231" t="s">
        <v>10</v>
      </c>
      <c r="D710" s="250" t="s">
        <v>1954</v>
      </c>
      <c r="E710" s="239" t="s">
        <v>1955</v>
      </c>
      <c r="F710" s="231" t="s">
        <v>267</v>
      </c>
      <c r="G710" s="231" cm="1">
        <f t="array" ref="G710">_xlfn.IFS(J710&lt;301,2,J710&gt;300,48)</f>
        <v>48</v>
      </c>
      <c r="H710" s="231" t="s">
        <v>4265</v>
      </c>
      <c r="I710" s="281">
        <v>0</v>
      </c>
      <c r="J710" s="249">
        <v>769.65</v>
      </c>
      <c r="K710" s="231">
        <f t="shared" si="11"/>
        <v>20</v>
      </c>
      <c r="L710" s="231"/>
      <c r="M710" s="231" t="s">
        <v>16</v>
      </c>
      <c r="N710" s="231" t="s">
        <v>253</v>
      </c>
      <c r="O710" s="231">
        <v>2022</v>
      </c>
      <c r="P710" s="281"/>
      <c r="Q710" s="231"/>
      <c r="R710" s="231"/>
      <c r="S710" s="236" t="s">
        <v>453</v>
      </c>
      <c r="T710" s="236" t="s">
        <v>264</v>
      </c>
    </row>
    <row r="711" spans="1:20" ht="14">
      <c r="A711" s="231">
        <v>710</v>
      </c>
      <c r="B711" s="235" t="s">
        <v>52</v>
      </c>
      <c r="C711" s="231" t="s">
        <v>10</v>
      </c>
      <c r="D711" s="250" t="s">
        <v>1956</v>
      </c>
      <c r="E711" s="239" t="s">
        <v>1957</v>
      </c>
      <c r="F711" s="231" t="s">
        <v>814</v>
      </c>
      <c r="G711" s="231" cm="1">
        <f t="array" ref="G711">_xlfn.IFS(J711&lt;301,2,J711&gt;300,48)</f>
        <v>48</v>
      </c>
      <c r="H711" s="231" t="s">
        <v>187</v>
      </c>
      <c r="I711" s="281">
        <v>0</v>
      </c>
      <c r="J711" s="249">
        <v>315</v>
      </c>
      <c r="K711" s="231">
        <f t="shared" si="11"/>
        <v>10</v>
      </c>
      <c r="L711" s="231"/>
      <c r="M711" s="299" t="s">
        <v>15</v>
      </c>
      <c r="N711" s="231" t="s">
        <v>253</v>
      </c>
      <c r="O711" s="231">
        <v>2023</v>
      </c>
      <c r="P711" s="281"/>
      <c r="Q711" s="231"/>
      <c r="R711" s="231"/>
      <c r="S711" s="236" t="s">
        <v>453</v>
      </c>
      <c r="T711" s="236" t="s">
        <v>264</v>
      </c>
    </row>
    <row r="712" spans="1:20" ht="14">
      <c r="A712" s="231">
        <v>711</v>
      </c>
      <c r="B712" s="235" t="s">
        <v>52</v>
      </c>
      <c r="C712" s="231" t="s">
        <v>10</v>
      </c>
      <c r="D712" s="250" t="s">
        <v>4705</v>
      </c>
      <c r="E712" s="239" t="s">
        <v>1958</v>
      </c>
      <c r="F712" s="231" t="s">
        <v>881</v>
      </c>
      <c r="G712" s="231" cm="1">
        <f t="array" ref="G712">_xlfn.IFS(J712&lt;301,2,J712&gt;300,48)</f>
        <v>48</v>
      </c>
      <c r="H712" s="231" t="s">
        <v>4558</v>
      </c>
      <c r="I712" s="281">
        <v>0</v>
      </c>
      <c r="J712" s="249">
        <v>5697.3</v>
      </c>
      <c r="K712" s="231">
        <f t="shared" si="11"/>
        <v>20</v>
      </c>
      <c r="L712" s="231"/>
      <c r="M712" s="231" t="s">
        <v>15</v>
      </c>
      <c r="N712" s="231" t="s">
        <v>253</v>
      </c>
      <c r="O712" s="231">
        <v>2022</v>
      </c>
      <c r="P712" s="281"/>
      <c r="Q712" s="231"/>
      <c r="R712" s="231"/>
      <c r="S712" s="236" t="s">
        <v>453</v>
      </c>
      <c r="T712" s="236" t="s">
        <v>264</v>
      </c>
    </row>
    <row r="713" spans="1:20" ht="14">
      <c r="A713" s="231">
        <v>712</v>
      </c>
      <c r="B713" s="235" t="s">
        <v>52</v>
      </c>
      <c r="C713" s="231" t="s">
        <v>10</v>
      </c>
      <c r="D713" s="250" t="s">
        <v>1959</v>
      </c>
      <c r="E713" s="239" t="s">
        <v>1960</v>
      </c>
      <c r="F713" s="231" t="s">
        <v>835</v>
      </c>
      <c r="G713" s="231" cm="1">
        <f t="array" ref="G713">_xlfn.IFS(J713&lt;301,2,J713&gt;300,48)</f>
        <v>48</v>
      </c>
      <c r="H713" s="231" t="s">
        <v>4251</v>
      </c>
      <c r="I713" s="281">
        <v>0</v>
      </c>
      <c r="J713" s="249">
        <v>315</v>
      </c>
      <c r="K713" s="231">
        <f t="shared" si="11"/>
        <v>10</v>
      </c>
      <c r="L713" s="231"/>
      <c r="M713" s="299" t="s">
        <v>15</v>
      </c>
      <c r="N713" s="231" t="s">
        <v>253</v>
      </c>
      <c r="O713" s="231">
        <v>2022</v>
      </c>
      <c r="P713" s="281"/>
      <c r="Q713" s="231"/>
      <c r="R713" s="231"/>
      <c r="S713" s="236" t="s">
        <v>453</v>
      </c>
      <c r="T713" s="236" t="s">
        <v>264</v>
      </c>
    </row>
    <row r="714" spans="1:20" ht="14">
      <c r="A714" s="231">
        <v>713</v>
      </c>
      <c r="B714" s="235" t="s">
        <v>52</v>
      </c>
      <c r="C714" s="231" t="s">
        <v>10</v>
      </c>
      <c r="D714" s="250" t="s">
        <v>1961</v>
      </c>
      <c r="E714" s="239" t="s">
        <v>1962</v>
      </c>
      <c r="F714" s="231" t="s">
        <v>881</v>
      </c>
      <c r="G714" s="231" cm="1">
        <f t="array" ref="G714">_xlfn.IFS(J714&lt;301,2,J714&gt;300,48)</f>
        <v>48</v>
      </c>
      <c r="H714" s="231" t="s">
        <v>2773</v>
      </c>
      <c r="I714" s="281">
        <v>0</v>
      </c>
      <c r="J714" s="249">
        <v>315</v>
      </c>
      <c r="K714" s="231" t="str">
        <f t="shared" si="11"/>
        <v>N/A</v>
      </c>
      <c r="L714" s="231"/>
      <c r="M714" s="231" t="s">
        <v>456</v>
      </c>
      <c r="N714" s="231" t="s">
        <v>253</v>
      </c>
      <c r="O714" s="231">
        <v>2021</v>
      </c>
      <c r="P714" s="281"/>
      <c r="Q714" s="231"/>
      <c r="R714" s="231"/>
      <c r="S714" s="236" t="s">
        <v>457</v>
      </c>
      <c r="T714" s="236" t="s">
        <v>264</v>
      </c>
    </row>
    <row r="715" spans="1:20" ht="14">
      <c r="A715" s="231">
        <v>714</v>
      </c>
      <c r="B715" s="235" t="s">
        <v>52</v>
      </c>
      <c r="C715" s="231" t="s">
        <v>10</v>
      </c>
      <c r="D715" s="250" t="s">
        <v>1963</v>
      </c>
      <c r="E715" s="239" t="s">
        <v>1964</v>
      </c>
      <c r="F715" s="231" t="s">
        <v>881</v>
      </c>
      <c r="G715" s="231" cm="1">
        <f t="array" ref="G715">_xlfn.IFS(J715&lt;301,2,J715&gt;300,48)</f>
        <v>48</v>
      </c>
      <c r="H715" s="231" t="s">
        <v>4629</v>
      </c>
      <c r="I715" s="281">
        <v>0</v>
      </c>
      <c r="J715" s="249">
        <v>416.85</v>
      </c>
      <c r="K715" s="231">
        <f t="shared" si="11"/>
        <v>10</v>
      </c>
      <c r="L715" s="231"/>
      <c r="M715" s="299" t="s">
        <v>15</v>
      </c>
      <c r="N715" s="231" t="s">
        <v>253</v>
      </c>
      <c r="O715" s="231">
        <v>2022</v>
      </c>
      <c r="P715" s="281"/>
      <c r="Q715" s="231"/>
      <c r="R715" s="231"/>
      <c r="S715" s="236" t="s">
        <v>453</v>
      </c>
      <c r="T715" s="236" t="s">
        <v>264</v>
      </c>
    </row>
    <row r="716" spans="1:20" ht="14">
      <c r="A716" s="231">
        <v>715</v>
      </c>
      <c r="B716" s="235" t="s">
        <v>51</v>
      </c>
      <c r="C716" s="231" t="s">
        <v>10</v>
      </c>
      <c r="D716" s="250" t="s">
        <v>1965</v>
      </c>
      <c r="E716" s="239" t="s">
        <v>1966</v>
      </c>
      <c r="F716" s="231" t="s">
        <v>778</v>
      </c>
      <c r="G716" s="231" cm="1">
        <f t="array" ref="G716">_xlfn.IFS(J716&lt;301,2,J716&gt;300,48)</f>
        <v>48</v>
      </c>
      <c r="H716" s="231" t="s">
        <v>148</v>
      </c>
      <c r="I716" s="281">
        <v>0</v>
      </c>
      <c r="J716" s="249">
        <v>1304.0999999999999</v>
      </c>
      <c r="K716" s="231">
        <f t="shared" si="11"/>
        <v>10</v>
      </c>
      <c r="L716" s="231"/>
      <c r="M716" s="299" t="s">
        <v>15</v>
      </c>
      <c r="N716" s="231" t="s">
        <v>253</v>
      </c>
      <c r="O716" s="231">
        <v>2022</v>
      </c>
      <c r="P716" s="281"/>
      <c r="Q716" s="231"/>
      <c r="R716" s="231"/>
      <c r="S716" s="236" t="s">
        <v>453</v>
      </c>
      <c r="T716" s="236" t="s">
        <v>264</v>
      </c>
    </row>
    <row r="717" spans="1:20" ht="14">
      <c r="A717" s="231">
        <v>716</v>
      </c>
      <c r="B717" s="235" t="s">
        <v>51</v>
      </c>
      <c r="C717" s="231" t="s">
        <v>10</v>
      </c>
      <c r="D717" s="250" t="s">
        <v>1967</v>
      </c>
      <c r="E717" s="239" t="s">
        <v>1968</v>
      </c>
      <c r="F717" s="231" t="s">
        <v>778</v>
      </c>
      <c r="G717" s="231" cm="1">
        <f t="array" ref="G717">_xlfn.IFS(J717&lt;301,2,J717&gt;300,48)</f>
        <v>48</v>
      </c>
      <c r="H717" s="231" t="s">
        <v>148</v>
      </c>
      <c r="I717" s="281">
        <v>0</v>
      </c>
      <c r="J717" s="249">
        <v>577.5</v>
      </c>
      <c r="K717" s="231">
        <f t="shared" si="11"/>
        <v>10</v>
      </c>
      <c r="L717" s="231"/>
      <c r="M717" s="299" t="s">
        <v>15</v>
      </c>
      <c r="N717" s="231" t="s">
        <v>253</v>
      </c>
      <c r="O717" s="231">
        <v>2022</v>
      </c>
      <c r="P717" s="281"/>
      <c r="Q717" s="231"/>
      <c r="R717" s="231"/>
      <c r="S717" s="236" t="s">
        <v>453</v>
      </c>
      <c r="T717" s="236" t="s">
        <v>264</v>
      </c>
    </row>
    <row r="718" spans="1:20" ht="14">
      <c r="A718" s="231">
        <v>717</v>
      </c>
      <c r="B718" s="235" t="s">
        <v>52</v>
      </c>
      <c r="C718" s="231" t="s">
        <v>10</v>
      </c>
      <c r="D718" s="250" t="s">
        <v>1969</v>
      </c>
      <c r="E718" s="239" t="s">
        <v>1970</v>
      </c>
      <c r="F718" s="231" t="s">
        <v>778</v>
      </c>
      <c r="G718" s="231" cm="1">
        <f t="array" ref="G718">_xlfn.IFS(J718&lt;301,2,J718&gt;300,48)</f>
        <v>48</v>
      </c>
      <c r="H718" s="231" t="s">
        <v>4651</v>
      </c>
      <c r="I718" s="281">
        <v>0</v>
      </c>
      <c r="J718" s="249">
        <v>573.29999999999995</v>
      </c>
      <c r="K718" s="231">
        <f t="shared" si="11"/>
        <v>10</v>
      </c>
      <c r="L718" s="231"/>
      <c r="M718" s="299" t="s">
        <v>15</v>
      </c>
      <c r="N718" s="231" t="s">
        <v>253</v>
      </c>
      <c r="O718" s="231">
        <v>2022</v>
      </c>
      <c r="P718" s="281"/>
      <c r="Q718" s="231"/>
      <c r="R718" s="231"/>
      <c r="S718" s="236" t="s">
        <v>453</v>
      </c>
      <c r="T718" s="236" t="s">
        <v>264</v>
      </c>
    </row>
    <row r="719" spans="1:20" ht="14">
      <c r="A719" s="231">
        <v>718</v>
      </c>
      <c r="B719" s="235" t="s">
        <v>51</v>
      </c>
      <c r="C719" s="231" t="s">
        <v>10</v>
      </c>
      <c r="D719" s="250" t="s">
        <v>1971</v>
      </c>
      <c r="E719" s="239" t="s">
        <v>1972</v>
      </c>
      <c r="F719" s="231" t="s">
        <v>778</v>
      </c>
      <c r="G719" s="231" cm="1">
        <f t="array" ref="G719">_xlfn.IFS(J719&lt;301,2,J719&gt;300,48)</f>
        <v>48</v>
      </c>
      <c r="H719" s="231" t="s">
        <v>148</v>
      </c>
      <c r="I719" s="281">
        <v>0</v>
      </c>
      <c r="J719" s="249">
        <v>315</v>
      </c>
      <c r="K719" s="231">
        <f t="shared" si="11"/>
        <v>10</v>
      </c>
      <c r="L719" s="231"/>
      <c r="M719" s="299" t="s">
        <v>15</v>
      </c>
      <c r="N719" s="231" t="s">
        <v>253</v>
      </c>
      <c r="O719" s="231">
        <v>2022</v>
      </c>
      <c r="P719" s="281"/>
      <c r="Q719" s="231"/>
      <c r="R719" s="231"/>
      <c r="S719" s="236" t="s">
        <v>453</v>
      </c>
      <c r="T719" s="236" t="s">
        <v>264</v>
      </c>
    </row>
    <row r="720" spans="1:20" ht="14">
      <c r="A720" s="231">
        <v>719</v>
      </c>
      <c r="B720" s="235" t="s">
        <v>52</v>
      </c>
      <c r="C720" s="231" t="s">
        <v>10</v>
      </c>
      <c r="D720" s="250" t="s">
        <v>1973</v>
      </c>
      <c r="E720" s="239" t="s">
        <v>1974</v>
      </c>
      <c r="F720" s="231" t="s">
        <v>854</v>
      </c>
      <c r="G720" s="231" cm="1">
        <f t="array" ref="G720">_xlfn.IFS(J720&lt;301,2,J720&gt;300,48)</f>
        <v>48</v>
      </c>
      <c r="H720" s="231" t="s">
        <v>2783</v>
      </c>
      <c r="I720" s="281">
        <v>0</v>
      </c>
      <c r="J720" s="249">
        <v>1955.1</v>
      </c>
      <c r="K720" s="231">
        <f t="shared" si="11"/>
        <v>20</v>
      </c>
      <c r="L720" s="231"/>
      <c r="M720" s="231" t="s">
        <v>16</v>
      </c>
      <c r="N720" s="231" t="s">
        <v>253</v>
      </c>
      <c r="O720" s="231">
        <v>2022</v>
      </c>
      <c r="P720" s="281"/>
      <c r="Q720" s="231"/>
      <c r="R720" s="231"/>
      <c r="S720" s="236" t="s">
        <v>453</v>
      </c>
      <c r="T720" s="236" t="s">
        <v>264</v>
      </c>
    </row>
    <row r="721" spans="1:92" ht="14">
      <c r="A721" s="231">
        <v>720</v>
      </c>
      <c r="B721" s="235" t="s">
        <v>52</v>
      </c>
      <c r="C721" s="231" t="s">
        <v>10</v>
      </c>
      <c r="D721" s="250" t="s">
        <v>1975</v>
      </c>
      <c r="E721" s="239" t="s">
        <v>1192</v>
      </c>
      <c r="F721" s="231" t="s">
        <v>267</v>
      </c>
      <c r="G721" s="231">
        <v>48</v>
      </c>
      <c r="H721" s="231" t="s">
        <v>2763</v>
      </c>
      <c r="I721" s="281">
        <v>0</v>
      </c>
      <c r="J721" s="249">
        <v>315</v>
      </c>
      <c r="K721" s="231" t="str">
        <f t="shared" si="11"/>
        <v>N/A</v>
      </c>
      <c r="L721" s="231"/>
      <c r="M721" s="231" t="s">
        <v>456</v>
      </c>
      <c r="N721" s="231" t="s">
        <v>253</v>
      </c>
      <c r="O721" s="231">
        <v>2022</v>
      </c>
      <c r="P721" s="281"/>
      <c r="Q721" s="231"/>
      <c r="R721" s="231"/>
      <c r="S721" s="236" t="s">
        <v>453</v>
      </c>
      <c r="T721" s="236" t="s">
        <v>264</v>
      </c>
    </row>
    <row r="722" spans="1:92" ht="14">
      <c r="A722" s="231">
        <v>721</v>
      </c>
      <c r="B722" s="235" t="s">
        <v>52</v>
      </c>
      <c r="C722" s="231" t="s">
        <v>10</v>
      </c>
      <c r="D722" s="250" t="s">
        <v>1976</v>
      </c>
      <c r="E722" s="239" t="s">
        <v>1977</v>
      </c>
      <c r="F722" s="231" t="s">
        <v>844</v>
      </c>
      <c r="G722" s="231" cm="1">
        <f t="array" ref="G722">_xlfn.IFS(J722&lt;301,2,J722&gt;300,48)</f>
        <v>48</v>
      </c>
      <c r="H722" s="231" t="s">
        <v>4610</v>
      </c>
      <c r="I722" s="281">
        <v>0</v>
      </c>
      <c r="J722" s="249">
        <v>739.2</v>
      </c>
      <c r="K722" s="231" t="str">
        <f t="shared" si="11"/>
        <v>N/A</v>
      </c>
      <c r="L722" s="231"/>
      <c r="M722" s="231" t="s">
        <v>456</v>
      </c>
      <c r="N722" s="231" t="s">
        <v>253</v>
      </c>
      <c r="O722" s="231">
        <v>2023</v>
      </c>
      <c r="P722" s="281"/>
      <c r="Q722" s="231"/>
      <c r="R722" s="231"/>
      <c r="S722" s="236" t="s">
        <v>457</v>
      </c>
      <c r="T722" s="236" t="s">
        <v>264</v>
      </c>
    </row>
    <row r="723" spans="1:92" ht="14">
      <c r="A723" s="231">
        <v>722</v>
      </c>
      <c r="B723" s="235" t="s">
        <v>52</v>
      </c>
      <c r="C723" s="231" t="s">
        <v>10</v>
      </c>
      <c r="D723" s="250" t="s">
        <v>1978</v>
      </c>
      <c r="E723" s="239" t="s">
        <v>1979</v>
      </c>
      <c r="F723" s="231" t="s">
        <v>873</v>
      </c>
      <c r="G723" s="231" cm="1">
        <f t="array" ref="G723">_xlfn.IFS(J723&lt;301,2,J723&gt;300,48)</f>
        <v>48</v>
      </c>
      <c r="H723" s="231" t="s">
        <v>2773</v>
      </c>
      <c r="I723" s="281">
        <v>0</v>
      </c>
      <c r="J723" s="249">
        <v>3247.65</v>
      </c>
      <c r="K723" s="231">
        <f t="shared" si="11"/>
        <v>20</v>
      </c>
      <c r="L723" s="231"/>
      <c r="M723" s="231" t="s">
        <v>16</v>
      </c>
      <c r="N723" s="231" t="s">
        <v>253</v>
      </c>
      <c r="O723" s="231">
        <v>2022</v>
      </c>
      <c r="P723" s="281"/>
      <c r="Q723" s="231"/>
      <c r="R723" s="231"/>
      <c r="S723" s="236" t="s">
        <v>453</v>
      </c>
      <c r="T723" s="236" t="s">
        <v>264</v>
      </c>
    </row>
    <row r="724" spans="1:92" ht="14">
      <c r="A724" s="231">
        <v>723</v>
      </c>
      <c r="B724" s="235" t="s">
        <v>52</v>
      </c>
      <c r="C724" s="231" t="s">
        <v>10</v>
      </c>
      <c r="D724" s="250" t="s">
        <v>1980</v>
      </c>
      <c r="E724" s="239" t="s">
        <v>1981</v>
      </c>
      <c r="F724" s="231" t="s">
        <v>267</v>
      </c>
      <c r="G724" s="231" cm="1">
        <f t="array" ref="G724">_xlfn.IFS(J724&lt;301,2,J724&gt;300,48)</f>
        <v>48</v>
      </c>
      <c r="H724" s="231" t="s">
        <v>4265</v>
      </c>
      <c r="I724" s="281">
        <v>0</v>
      </c>
      <c r="J724" s="249">
        <v>315</v>
      </c>
      <c r="K724" s="231">
        <f t="shared" si="11"/>
        <v>20</v>
      </c>
      <c r="L724" s="231"/>
      <c r="M724" s="231" t="s">
        <v>16</v>
      </c>
      <c r="N724" s="231" t="s">
        <v>253</v>
      </c>
      <c r="O724" s="231">
        <v>2022</v>
      </c>
      <c r="P724" s="281"/>
      <c r="Q724" s="231"/>
      <c r="R724" s="231"/>
      <c r="S724" s="236" t="s">
        <v>453</v>
      </c>
      <c r="T724" s="236" t="s">
        <v>264</v>
      </c>
    </row>
    <row r="725" spans="1:92" ht="14">
      <c r="A725" s="231">
        <v>724</v>
      </c>
      <c r="B725" s="235" t="s">
        <v>52</v>
      </c>
      <c r="C725" s="231" t="s">
        <v>10</v>
      </c>
      <c r="D725" s="250" t="s">
        <v>1982</v>
      </c>
      <c r="E725" s="239" t="s">
        <v>1983</v>
      </c>
      <c r="F725" s="231" t="s">
        <v>873</v>
      </c>
      <c r="G725" s="231" cm="1">
        <f t="array" ref="G725">_xlfn.IFS(J725&lt;301,2,J725&gt;300,48)</f>
        <v>48</v>
      </c>
      <c r="H725" s="231" t="s">
        <v>2776</v>
      </c>
      <c r="I725" s="281">
        <v>0</v>
      </c>
      <c r="J725" s="249">
        <v>2242.8000000000002</v>
      </c>
      <c r="K725" s="231" t="str">
        <f t="shared" si="11"/>
        <v>N/A</v>
      </c>
      <c r="L725" s="231"/>
      <c r="M725" s="231" t="s">
        <v>456</v>
      </c>
      <c r="N725" s="231" t="s">
        <v>253</v>
      </c>
      <c r="O725" s="231">
        <v>2022</v>
      </c>
      <c r="P725" s="281"/>
      <c r="Q725" s="231"/>
      <c r="R725" s="231"/>
      <c r="S725" s="236" t="s">
        <v>453</v>
      </c>
      <c r="T725" s="236" t="s">
        <v>264</v>
      </c>
    </row>
    <row r="726" spans="1:92" ht="14">
      <c r="A726" s="231">
        <v>725</v>
      </c>
      <c r="B726" s="235" t="s">
        <v>52</v>
      </c>
      <c r="C726" s="231" t="s">
        <v>10</v>
      </c>
      <c r="D726" s="250" t="s">
        <v>1984</v>
      </c>
      <c r="E726" s="239" t="s">
        <v>1985</v>
      </c>
      <c r="F726" s="231" t="s">
        <v>873</v>
      </c>
      <c r="G726" s="231" cm="1">
        <f t="array" ref="G726">_xlfn.IFS(J726&lt;301,2,J726&gt;300,48)</f>
        <v>48</v>
      </c>
      <c r="H726" s="231" t="s">
        <v>2763</v>
      </c>
      <c r="I726" s="281">
        <v>0</v>
      </c>
      <c r="J726" s="249">
        <v>3545.85</v>
      </c>
      <c r="K726" s="231">
        <f t="shared" si="11"/>
        <v>20</v>
      </c>
      <c r="L726" s="231"/>
      <c r="M726" s="231" t="s">
        <v>16</v>
      </c>
      <c r="N726" s="231" t="s">
        <v>253</v>
      </c>
      <c r="O726" s="231">
        <v>2022</v>
      </c>
      <c r="P726" s="281"/>
      <c r="Q726" s="231"/>
      <c r="R726" s="231"/>
      <c r="S726" s="236" t="s">
        <v>453</v>
      </c>
      <c r="T726" s="236" t="s">
        <v>264</v>
      </c>
    </row>
    <row r="727" spans="1:92" ht="14">
      <c r="A727" s="231">
        <v>726</v>
      </c>
      <c r="B727" s="235" t="s">
        <v>52</v>
      </c>
      <c r="C727" s="231" t="s">
        <v>10</v>
      </c>
      <c r="D727" s="250" t="s">
        <v>1986</v>
      </c>
      <c r="E727" s="239" t="s">
        <v>1987</v>
      </c>
      <c r="F727" s="231" t="s">
        <v>881</v>
      </c>
      <c r="G727" s="231" cm="1">
        <f t="array" ref="G727">_xlfn.IFS(J727&lt;301,2,J727&gt;300,48)</f>
        <v>48</v>
      </c>
      <c r="H727" s="231" t="s">
        <v>2875</v>
      </c>
      <c r="I727" s="281">
        <v>0</v>
      </c>
      <c r="J727" s="249">
        <v>315</v>
      </c>
      <c r="K727" s="231">
        <f t="shared" si="11"/>
        <v>20</v>
      </c>
      <c r="L727" s="231"/>
      <c r="M727" s="231" t="s">
        <v>16</v>
      </c>
      <c r="N727" s="231" t="s">
        <v>253</v>
      </c>
      <c r="O727" s="231">
        <v>2022</v>
      </c>
      <c r="P727" s="281"/>
      <c r="Q727" s="231"/>
      <c r="R727" s="231"/>
      <c r="S727" s="236" t="s">
        <v>453</v>
      </c>
      <c r="T727" s="236" t="s">
        <v>264</v>
      </c>
    </row>
    <row r="728" spans="1:92" ht="14">
      <c r="A728" s="231">
        <v>727</v>
      </c>
      <c r="B728" s="235" t="s">
        <v>52</v>
      </c>
      <c r="C728" s="231" t="s">
        <v>10</v>
      </c>
      <c r="D728" s="250" t="s">
        <v>1988</v>
      </c>
      <c r="E728" s="239" t="s">
        <v>1989</v>
      </c>
      <c r="F728" s="231" t="s">
        <v>844</v>
      </c>
      <c r="G728" s="231" cm="1">
        <f t="array" ref="G728">_xlfn.IFS(J728&lt;301,2,J728&gt;300,48)</f>
        <v>48</v>
      </c>
      <c r="H728" s="231" t="s">
        <v>3111</v>
      </c>
      <c r="I728" s="281">
        <v>0</v>
      </c>
      <c r="J728" s="249">
        <v>735</v>
      </c>
      <c r="K728" s="231">
        <f t="shared" si="11"/>
        <v>20</v>
      </c>
      <c r="L728" s="231"/>
      <c r="M728" s="231" t="s">
        <v>16</v>
      </c>
      <c r="N728" s="231" t="s">
        <v>253</v>
      </c>
      <c r="O728" s="231">
        <v>2022</v>
      </c>
      <c r="P728" s="281"/>
      <c r="Q728" s="231"/>
      <c r="R728" s="231"/>
      <c r="S728" s="236" t="s">
        <v>453</v>
      </c>
      <c r="T728" s="236" t="s">
        <v>264</v>
      </c>
    </row>
    <row r="729" spans="1:92" ht="14">
      <c r="A729" s="231">
        <v>728</v>
      </c>
      <c r="B729" s="235" t="s">
        <v>52</v>
      </c>
      <c r="C729" s="231" t="s">
        <v>10</v>
      </c>
      <c r="D729" s="250" t="s">
        <v>1990</v>
      </c>
      <c r="E729" s="239" t="s">
        <v>1991</v>
      </c>
      <c r="F729" s="231" t="s">
        <v>814</v>
      </c>
      <c r="G729" s="231" cm="1">
        <f t="array" ref="G729">_xlfn.IFS(J729&lt;301,2,J729&gt;300,48)</f>
        <v>48</v>
      </c>
      <c r="H729" s="231" t="s">
        <v>187</v>
      </c>
      <c r="I729" s="281">
        <v>0</v>
      </c>
      <c r="J729" s="249">
        <v>342.3</v>
      </c>
      <c r="K729" s="231">
        <f t="shared" si="11"/>
        <v>10</v>
      </c>
      <c r="L729" s="231"/>
      <c r="M729" s="299" t="s">
        <v>15</v>
      </c>
      <c r="N729" s="231" t="s">
        <v>253</v>
      </c>
      <c r="O729" s="231">
        <v>2022</v>
      </c>
      <c r="P729" s="281"/>
      <c r="Q729" s="231"/>
      <c r="R729" s="231"/>
      <c r="S729" s="236" t="s">
        <v>453</v>
      </c>
      <c r="T729" s="236" t="s">
        <v>264</v>
      </c>
    </row>
    <row r="730" spans="1:92" s="147" customFormat="1" ht="14">
      <c r="A730" s="231">
        <v>729</v>
      </c>
      <c r="B730" s="235" t="s">
        <v>52</v>
      </c>
      <c r="C730" s="231" t="s">
        <v>10</v>
      </c>
      <c r="D730" s="250" t="s">
        <v>1992</v>
      </c>
      <c r="E730" s="239" t="s">
        <v>1993</v>
      </c>
      <c r="F730" s="231" t="s">
        <v>873</v>
      </c>
      <c r="G730" s="231" cm="1">
        <f t="array" ref="G730">_xlfn.IFS(J730&lt;301,2,J730&gt;300,48)</f>
        <v>48</v>
      </c>
      <c r="H730" s="231" t="s">
        <v>4548</v>
      </c>
      <c r="I730" s="281">
        <v>0</v>
      </c>
      <c r="J730" s="249">
        <v>1473.15</v>
      </c>
      <c r="K730" s="231">
        <f t="shared" si="11"/>
        <v>20</v>
      </c>
      <c r="L730" s="231"/>
      <c r="M730" s="231" t="s">
        <v>16</v>
      </c>
      <c r="N730" s="231" t="s">
        <v>253</v>
      </c>
      <c r="O730" s="231">
        <v>2022</v>
      </c>
      <c r="P730" s="281"/>
      <c r="Q730" s="231"/>
      <c r="R730" s="231"/>
      <c r="S730" s="236" t="s">
        <v>453</v>
      </c>
      <c r="T730" s="236" t="s">
        <v>264</v>
      </c>
      <c r="U730" s="90"/>
      <c r="V730" s="90"/>
      <c r="W730" s="90"/>
      <c r="X730" s="90"/>
      <c r="Y730" s="90"/>
      <c r="Z730" s="90"/>
      <c r="AA730" s="90"/>
      <c r="AB730" s="90"/>
      <c r="AC730" s="90"/>
      <c r="AD730" s="90"/>
      <c r="AE730" s="90"/>
      <c r="AF730" s="90"/>
      <c r="AG730" s="90"/>
      <c r="AH730" s="90"/>
      <c r="AI730" s="90"/>
      <c r="AJ730" s="90"/>
      <c r="AK730" s="90"/>
      <c r="AL730" s="90"/>
      <c r="AM730" s="90"/>
      <c r="AN730" s="90"/>
      <c r="AO730" s="90"/>
      <c r="AP730" s="90"/>
      <c r="AQ730" s="90"/>
      <c r="AR730" s="90"/>
      <c r="AS730" s="90"/>
      <c r="AT730" s="90"/>
      <c r="AU730" s="90"/>
      <c r="AV730" s="90"/>
      <c r="AW730" s="90"/>
      <c r="AX730" s="90"/>
      <c r="AY730" s="90"/>
      <c r="AZ730" s="90"/>
      <c r="BA730" s="90"/>
      <c r="BB730" s="90"/>
      <c r="BC730" s="90"/>
      <c r="BD730" s="90"/>
      <c r="BE730" s="90"/>
      <c r="BF730" s="90"/>
      <c r="BG730" s="90"/>
      <c r="BH730" s="90"/>
      <c r="BI730" s="90"/>
      <c r="BJ730" s="90"/>
      <c r="BK730" s="90"/>
      <c r="BL730" s="90"/>
      <c r="BM730" s="90"/>
      <c r="BN730" s="90"/>
      <c r="BO730" s="90"/>
      <c r="BP730" s="90"/>
      <c r="BQ730" s="90"/>
      <c r="BR730" s="90"/>
      <c r="BS730" s="90"/>
      <c r="BT730" s="90"/>
      <c r="BU730" s="90"/>
      <c r="BV730" s="90"/>
      <c r="BW730" s="90"/>
      <c r="BX730" s="90"/>
      <c r="BY730" s="90"/>
      <c r="BZ730" s="90"/>
      <c r="CA730" s="90"/>
      <c r="CB730" s="90"/>
      <c r="CC730" s="90"/>
      <c r="CD730" s="90"/>
      <c r="CE730" s="90"/>
      <c r="CF730" s="90"/>
      <c r="CG730" s="90"/>
      <c r="CH730" s="90"/>
      <c r="CI730" s="90"/>
      <c r="CJ730" s="90"/>
      <c r="CK730" s="90"/>
      <c r="CL730" s="90"/>
      <c r="CM730" s="90"/>
      <c r="CN730" s="90"/>
    </row>
    <row r="731" spans="1:92" ht="14">
      <c r="A731" s="231">
        <v>730</v>
      </c>
      <c r="B731" s="235" t="s">
        <v>52</v>
      </c>
      <c r="C731" s="231" t="s">
        <v>10</v>
      </c>
      <c r="D731" s="250" t="s">
        <v>1994</v>
      </c>
      <c r="E731" s="239" t="s">
        <v>1995</v>
      </c>
      <c r="F731" s="231" t="s">
        <v>835</v>
      </c>
      <c r="G731" s="231" cm="1">
        <f t="array" ref="G731">_xlfn.IFS(J731&lt;301,2,J731&gt;300,48)</f>
        <v>48</v>
      </c>
      <c r="H731" s="231" t="s">
        <v>1440</v>
      </c>
      <c r="I731" s="281">
        <v>0</v>
      </c>
      <c r="J731" s="249">
        <v>931.35</v>
      </c>
      <c r="K731" s="231">
        <f t="shared" si="11"/>
        <v>10</v>
      </c>
      <c r="L731" s="231"/>
      <c r="M731" s="299" t="s">
        <v>15</v>
      </c>
      <c r="N731" s="231" t="s">
        <v>253</v>
      </c>
      <c r="O731" s="231">
        <v>2022</v>
      </c>
      <c r="P731" s="281"/>
      <c r="Q731" s="231"/>
      <c r="R731" s="231"/>
      <c r="S731" s="236" t="s">
        <v>453</v>
      </c>
      <c r="T731" s="236" t="s">
        <v>264</v>
      </c>
    </row>
    <row r="732" spans="1:92" ht="14">
      <c r="A732" s="231">
        <v>731</v>
      </c>
      <c r="B732" s="235" t="s">
        <v>52</v>
      </c>
      <c r="C732" s="231" t="s">
        <v>10</v>
      </c>
      <c r="D732" s="250" t="s">
        <v>1996</v>
      </c>
      <c r="E732" s="239" t="s">
        <v>1997</v>
      </c>
      <c r="F732" s="231" t="s">
        <v>835</v>
      </c>
      <c r="G732" s="231" cm="1">
        <f t="array" ref="G732">_xlfn.IFS(J732&lt;301,2,J732&gt;300,48)</f>
        <v>48</v>
      </c>
      <c r="H732" s="231" t="s">
        <v>3565</v>
      </c>
      <c r="I732" s="281">
        <v>0</v>
      </c>
      <c r="J732" s="249">
        <v>917.7</v>
      </c>
      <c r="K732" s="231">
        <f t="shared" si="11"/>
        <v>20</v>
      </c>
      <c r="L732" s="231"/>
      <c r="M732" s="231" t="s">
        <v>16</v>
      </c>
      <c r="N732" s="231" t="s">
        <v>253</v>
      </c>
      <c r="O732" s="231">
        <v>2022</v>
      </c>
      <c r="P732" s="281"/>
      <c r="Q732" s="231"/>
      <c r="R732" s="231"/>
      <c r="S732" s="236" t="s">
        <v>453</v>
      </c>
      <c r="T732" s="236" t="s">
        <v>264</v>
      </c>
    </row>
    <row r="733" spans="1:92" ht="14">
      <c r="A733" s="231">
        <v>732</v>
      </c>
      <c r="B733" s="235" t="s">
        <v>52</v>
      </c>
      <c r="C733" s="231" t="s">
        <v>10</v>
      </c>
      <c r="D733" s="250" t="s">
        <v>1998</v>
      </c>
      <c r="E733" s="239" t="s">
        <v>1999</v>
      </c>
      <c r="F733" s="231" t="s">
        <v>267</v>
      </c>
      <c r="G733" s="231" cm="1">
        <f t="array" ref="G733">_xlfn.IFS(J733&lt;301,2,J733&gt;300,48)</f>
        <v>48</v>
      </c>
      <c r="H733" s="231" t="s">
        <v>3542</v>
      </c>
      <c r="I733" s="281">
        <v>0</v>
      </c>
      <c r="J733" s="249">
        <v>568.04999999999995</v>
      </c>
      <c r="K733" s="231">
        <f t="shared" si="11"/>
        <v>20</v>
      </c>
      <c r="L733" s="231"/>
      <c r="M733" s="231" t="s">
        <v>16</v>
      </c>
      <c r="N733" s="231" t="s">
        <v>253</v>
      </c>
      <c r="O733" s="231">
        <v>2022</v>
      </c>
      <c r="P733" s="281"/>
      <c r="Q733" s="231"/>
      <c r="R733" s="231"/>
      <c r="S733" s="236" t="s">
        <v>453</v>
      </c>
      <c r="T733" s="236" t="s">
        <v>264</v>
      </c>
    </row>
    <row r="734" spans="1:92" ht="14">
      <c r="A734" s="231">
        <v>733</v>
      </c>
      <c r="B734" s="235" t="s">
        <v>52</v>
      </c>
      <c r="C734" s="231" t="s">
        <v>10</v>
      </c>
      <c r="D734" s="250" t="s">
        <v>2000</v>
      </c>
      <c r="E734" s="239" t="s">
        <v>2001</v>
      </c>
      <c r="F734" s="231" t="s">
        <v>267</v>
      </c>
      <c r="G734" s="231" cm="1">
        <f t="array" ref="G734">_xlfn.IFS(J734&lt;301,2,J734&gt;300,48)</f>
        <v>48</v>
      </c>
      <c r="H734" s="231" t="s">
        <v>3542</v>
      </c>
      <c r="I734" s="281">
        <v>0</v>
      </c>
      <c r="J734" s="249">
        <v>929.25</v>
      </c>
      <c r="K734" s="231">
        <f t="shared" si="11"/>
        <v>10</v>
      </c>
      <c r="L734" s="231"/>
      <c r="M734" s="299" t="s">
        <v>15</v>
      </c>
      <c r="N734" s="231" t="s">
        <v>253</v>
      </c>
      <c r="O734" s="231">
        <v>2022</v>
      </c>
      <c r="P734" s="281"/>
      <c r="Q734" s="231"/>
      <c r="R734" s="231"/>
      <c r="S734" s="236" t="s">
        <v>457</v>
      </c>
      <c r="T734" s="236"/>
    </row>
    <row r="735" spans="1:92" ht="14">
      <c r="A735" s="231">
        <v>734</v>
      </c>
      <c r="B735" s="235" t="s">
        <v>52</v>
      </c>
      <c r="C735" s="231" t="s">
        <v>10</v>
      </c>
      <c r="D735" s="250" t="s">
        <v>2002</v>
      </c>
      <c r="E735" s="239" t="s">
        <v>2003</v>
      </c>
      <c r="F735" s="231" t="s">
        <v>888</v>
      </c>
      <c r="G735" s="231" cm="1">
        <f t="array" ref="G735">_xlfn.IFS(J735&lt;301,2,J735&gt;300,48)</f>
        <v>48</v>
      </c>
      <c r="H735" s="231" t="s">
        <v>4542</v>
      </c>
      <c r="I735" s="281">
        <v>0</v>
      </c>
      <c r="J735" s="249">
        <v>483</v>
      </c>
      <c r="K735" s="231">
        <f t="shared" si="11"/>
        <v>20</v>
      </c>
      <c r="L735" s="231"/>
      <c r="M735" s="231" t="s">
        <v>16</v>
      </c>
      <c r="N735" s="231" t="s">
        <v>253</v>
      </c>
      <c r="O735" s="231">
        <v>2022</v>
      </c>
      <c r="P735" s="281"/>
      <c r="Q735" s="231"/>
      <c r="R735" s="231"/>
      <c r="S735" s="236" t="s">
        <v>453</v>
      </c>
      <c r="T735" s="236" t="s">
        <v>264</v>
      </c>
    </row>
    <row r="736" spans="1:92" ht="14">
      <c r="A736" s="231">
        <v>735</v>
      </c>
      <c r="B736" s="235" t="s">
        <v>52</v>
      </c>
      <c r="C736" s="231" t="s">
        <v>10</v>
      </c>
      <c r="D736" s="250" t="s">
        <v>2004</v>
      </c>
      <c r="E736" s="239" t="s">
        <v>2005</v>
      </c>
      <c r="F736" s="231" t="s">
        <v>844</v>
      </c>
      <c r="G736" s="231" cm="1">
        <f t="array" ref="G736">_xlfn.IFS(J736&lt;301,2,J736&gt;300,48)</f>
        <v>48</v>
      </c>
      <c r="H736" s="231" t="s">
        <v>2779</v>
      </c>
      <c r="I736" s="281">
        <v>0</v>
      </c>
      <c r="J736" s="249">
        <v>386.4</v>
      </c>
      <c r="K736" s="231">
        <f t="shared" si="11"/>
        <v>10</v>
      </c>
      <c r="L736" s="231"/>
      <c r="M736" s="299" t="s">
        <v>15</v>
      </c>
      <c r="N736" s="231" t="s">
        <v>253</v>
      </c>
      <c r="O736" s="231">
        <v>2022</v>
      </c>
      <c r="P736" s="281"/>
      <c r="Q736" s="231"/>
      <c r="R736" s="231"/>
      <c r="S736" s="236" t="s">
        <v>453</v>
      </c>
      <c r="T736" s="236" t="s">
        <v>264</v>
      </c>
    </row>
    <row r="737" spans="1:20" ht="14">
      <c r="A737" s="231">
        <v>736</v>
      </c>
      <c r="B737" s="235" t="s">
        <v>52</v>
      </c>
      <c r="C737" s="231" t="s">
        <v>10</v>
      </c>
      <c r="D737" s="250" t="s">
        <v>2006</v>
      </c>
      <c r="E737" s="239" t="s">
        <v>2007</v>
      </c>
      <c r="F737" s="231" t="s">
        <v>844</v>
      </c>
      <c r="G737" s="231" cm="1">
        <f t="array" ref="G737">_xlfn.IFS(J737&lt;301,2,J737&gt;300,48)</f>
        <v>48</v>
      </c>
      <c r="H737" s="231" t="s">
        <v>3512</v>
      </c>
      <c r="I737" s="281">
        <v>0</v>
      </c>
      <c r="J737" s="249">
        <v>706.65</v>
      </c>
      <c r="K737" s="231">
        <f t="shared" si="11"/>
        <v>10</v>
      </c>
      <c r="L737" s="231"/>
      <c r="M737" s="299" t="s">
        <v>15</v>
      </c>
      <c r="N737" s="231" t="s">
        <v>253</v>
      </c>
      <c r="O737" s="231">
        <v>2022</v>
      </c>
      <c r="P737" s="281"/>
      <c r="Q737" s="231"/>
      <c r="R737" s="231"/>
      <c r="S737" s="236" t="s">
        <v>453</v>
      </c>
      <c r="T737" s="236" t="s">
        <v>264</v>
      </c>
    </row>
    <row r="738" spans="1:20" ht="14">
      <c r="A738" s="231">
        <v>737</v>
      </c>
      <c r="B738" s="235" t="s">
        <v>52</v>
      </c>
      <c r="C738" s="231" t="s">
        <v>10</v>
      </c>
      <c r="D738" s="250" t="s">
        <v>2008</v>
      </c>
      <c r="E738" s="239" t="s">
        <v>2009</v>
      </c>
      <c r="F738" s="231" t="s">
        <v>267</v>
      </c>
      <c r="G738" s="231" cm="1">
        <f t="array" ref="G738">_xlfn.IFS(J738&lt;301,2,J738&gt;300,48)</f>
        <v>48</v>
      </c>
      <c r="H738" s="231" t="s">
        <v>1440</v>
      </c>
      <c r="I738" s="281">
        <v>0</v>
      </c>
      <c r="J738" s="249">
        <v>1581.3</v>
      </c>
      <c r="K738" s="231">
        <f t="shared" si="11"/>
        <v>20</v>
      </c>
      <c r="L738" s="231"/>
      <c r="M738" s="231" t="s">
        <v>16</v>
      </c>
      <c r="N738" s="231" t="s">
        <v>253</v>
      </c>
      <c r="O738" s="231">
        <v>2022</v>
      </c>
      <c r="P738" s="281"/>
      <c r="Q738" s="231"/>
      <c r="R738" s="231"/>
      <c r="S738" s="236" t="s">
        <v>453</v>
      </c>
      <c r="T738" s="236" t="s">
        <v>264</v>
      </c>
    </row>
    <row r="739" spans="1:20" ht="14">
      <c r="A739" s="231">
        <v>738</v>
      </c>
      <c r="B739" s="235" t="s">
        <v>52</v>
      </c>
      <c r="C739" s="231" t="s">
        <v>10</v>
      </c>
      <c r="D739" s="250" t="s">
        <v>2010</v>
      </c>
      <c r="E739" s="239" t="s">
        <v>2011</v>
      </c>
      <c r="F739" s="231" t="s">
        <v>267</v>
      </c>
      <c r="G739" s="231" cm="1">
        <f t="array" ref="G739">_xlfn.IFS(J739&lt;301,2,J739&gt;300,48)</f>
        <v>48</v>
      </c>
      <c r="H739" s="231" t="s">
        <v>3111</v>
      </c>
      <c r="I739" s="281">
        <v>0</v>
      </c>
      <c r="J739" s="249">
        <v>315</v>
      </c>
      <c r="K739" s="231">
        <f t="shared" si="11"/>
        <v>20</v>
      </c>
      <c r="L739" s="231"/>
      <c r="M739" s="231" t="s">
        <v>16</v>
      </c>
      <c r="N739" s="231" t="s">
        <v>253</v>
      </c>
      <c r="O739" s="231">
        <v>2022</v>
      </c>
      <c r="P739" s="281"/>
      <c r="Q739" s="231"/>
      <c r="R739" s="231"/>
      <c r="S739" s="236" t="s">
        <v>453</v>
      </c>
      <c r="T739" s="236" t="s">
        <v>264</v>
      </c>
    </row>
    <row r="740" spans="1:20" ht="14">
      <c r="A740" s="231">
        <v>739</v>
      </c>
      <c r="B740" s="235" t="s">
        <v>52</v>
      </c>
      <c r="C740" s="231" t="s">
        <v>10</v>
      </c>
      <c r="D740" s="250" t="s">
        <v>2012</v>
      </c>
      <c r="E740" s="239" t="s">
        <v>2013</v>
      </c>
      <c r="F740" s="231" t="s">
        <v>873</v>
      </c>
      <c r="G740" s="231" cm="1">
        <f t="array" ref="G740">_xlfn.IFS(J740&lt;301,2,J740&gt;300,48)</f>
        <v>48</v>
      </c>
      <c r="H740" s="231" t="s">
        <v>3507</v>
      </c>
      <c r="I740" s="281">
        <v>0</v>
      </c>
      <c r="J740" s="249">
        <v>1423.8</v>
      </c>
      <c r="K740" s="231">
        <f t="shared" si="11"/>
        <v>20</v>
      </c>
      <c r="L740" s="231"/>
      <c r="M740" s="231" t="s">
        <v>16</v>
      </c>
      <c r="N740" s="231" t="s">
        <v>253</v>
      </c>
      <c r="O740" s="231">
        <v>2022</v>
      </c>
      <c r="P740" s="281"/>
      <c r="Q740" s="231"/>
      <c r="R740" s="231"/>
      <c r="S740" s="236" t="s">
        <v>453</v>
      </c>
      <c r="T740" s="236" t="s">
        <v>264</v>
      </c>
    </row>
    <row r="741" spans="1:20" ht="14">
      <c r="A741" s="231">
        <v>740</v>
      </c>
      <c r="B741" s="235" t="s">
        <v>49</v>
      </c>
      <c r="C741" s="231" t="s">
        <v>10</v>
      </c>
      <c r="D741" s="250" t="s">
        <v>2014</v>
      </c>
      <c r="E741" s="239" t="s">
        <v>2015</v>
      </c>
      <c r="F741" s="231" t="s">
        <v>1076</v>
      </c>
      <c r="G741" s="231" cm="1">
        <f t="array" ref="G741">_xlfn.IFS(J741&lt;301,2,J741&gt;300,48)</f>
        <v>48</v>
      </c>
      <c r="H741" s="231" t="s">
        <v>452</v>
      </c>
      <c r="I741" s="281">
        <v>0</v>
      </c>
      <c r="J741" s="249">
        <v>354.9</v>
      </c>
      <c r="K741" s="231">
        <f t="shared" si="11"/>
        <v>20</v>
      </c>
      <c r="L741" s="231"/>
      <c r="M741" s="231" t="s">
        <v>16</v>
      </c>
      <c r="N741" s="231" t="s">
        <v>253</v>
      </c>
      <c r="O741" s="231">
        <v>2022</v>
      </c>
      <c r="P741" s="281"/>
      <c r="Q741" s="231"/>
      <c r="R741" s="231"/>
      <c r="S741" s="236" t="s">
        <v>453</v>
      </c>
      <c r="T741" s="236" t="s">
        <v>264</v>
      </c>
    </row>
    <row r="742" spans="1:20" ht="14">
      <c r="A742" s="231">
        <v>741</v>
      </c>
      <c r="B742" s="235" t="s">
        <v>52</v>
      </c>
      <c r="C742" s="231" t="s">
        <v>10</v>
      </c>
      <c r="D742" s="250" t="s">
        <v>2016</v>
      </c>
      <c r="E742" s="239" t="s">
        <v>2017</v>
      </c>
      <c r="F742" s="231" t="s">
        <v>1076</v>
      </c>
      <c r="G742" s="231" cm="1">
        <f t="array" ref="G742">_xlfn.IFS(J742&lt;301,2,J742&gt;300,48)</f>
        <v>48</v>
      </c>
      <c r="H742" s="231" t="s">
        <v>4263</v>
      </c>
      <c r="I742" s="281">
        <v>0</v>
      </c>
      <c r="J742" s="249">
        <v>723.45</v>
      </c>
      <c r="K742" s="231">
        <f t="shared" si="11"/>
        <v>10</v>
      </c>
      <c r="L742" s="231"/>
      <c r="M742" s="299" t="s">
        <v>15</v>
      </c>
      <c r="N742" s="231" t="s">
        <v>253</v>
      </c>
      <c r="O742" s="231">
        <v>2022</v>
      </c>
      <c r="P742" s="281"/>
      <c r="Q742" s="231"/>
      <c r="R742" s="231"/>
      <c r="S742" s="236" t="s">
        <v>453</v>
      </c>
      <c r="T742" s="236" t="s">
        <v>264</v>
      </c>
    </row>
    <row r="743" spans="1:20" ht="14">
      <c r="A743" s="231">
        <v>742</v>
      </c>
      <c r="B743" s="235" t="s">
        <v>52</v>
      </c>
      <c r="C743" s="231" t="s">
        <v>10</v>
      </c>
      <c r="D743" s="250" t="s">
        <v>2018</v>
      </c>
      <c r="E743" s="239" t="s">
        <v>2019</v>
      </c>
      <c r="F743" s="231" t="s">
        <v>267</v>
      </c>
      <c r="G743" s="231" cm="1">
        <f t="array" ref="G743">_xlfn.IFS(J743&lt;301,2,J743&gt;300,48)</f>
        <v>48</v>
      </c>
      <c r="H743" s="231" t="s">
        <v>2763</v>
      </c>
      <c r="I743" s="281">
        <v>0</v>
      </c>
      <c r="J743" s="249">
        <v>569.1</v>
      </c>
      <c r="K743" s="231">
        <f t="shared" si="11"/>
        <v>20</v>
      </c>
      <c r="L743" s="231"/>
      <c r="M743" s="231" t="s">
        <v>16</v>
      </c>
      <c r="N743" s="231" t="s">
        <v>253</v>
      </c>
      <c r="O743" s="231">
        <v>2023</v>
      </c>
      <c r="P743" s="281"/>
      <c r="Q743" s="231"/>
      <c r="R743" s="231"/>
      <c r="S743" s="236" t="s">
        <v>453</v>
      </c>
      <c r="T743" s="236" t="s">
        <v>264</v>
      </c>
    </row>
    <row r="744" spans="1:20" ht="14">
      <c r="A744" s="231">
        <v>743</v>
      </c>
      <c r="B744" s="235" t="s">
        <v>52</v>
      </c>
      <c r="C744" s="231" t="s">
        <v>10</v>
      </c>
      <c r="D744" s="250" t="s">
        <v>2020</v>
      </c>
      <c r="E744" s="239" t="s">
        <v>2021</v>
      </c>
      <c r="F744" s="231" t="s">
        <v>854</v>
      </c>
      <c r="G744" s="231" cm="1">
        <f t="array" ref="G744">_xlfn.IFS(J744&lt;301,2,J744&gt;300,48)</f>
        <v>48</v>
      </c>
      <c r="H744" s="231" t="s">
        <v>2763</v>
      </c>
      <c r="I744" s="281">
        <v>0</v>
      </c>
      <c r="J744" s="249">
        <v>315</v>
      </c>
      <c r="K744" s="231">
        <f t="shared" si="11"/>
        <v>20</v>
      </c>
      <c r="L744" s="231"/>
      <c r="M744" s="231" t="s">
        <v>16</v>
      </c>
      <c r="N744" s="231" t="s">
        <v>253</v>
      </c>
      <c r="O744" s="231">
        <v>2023</v>
      </c>
      <c r="P744" s="281"/>
      <c r="Q744" s="231"/>
      <c r="R744" s="231"/>
      <c r="S744" s="236" t="s">
        <v>453</v>
      </c>
      <c r="T744" s="236" t="s">
        <v>264</v>
      </c>
    </row>
    <row r="745" spans="1:20" ht="14">
      <c r="A745" s="231">
        <v>744</v>
      </c>
      <c r="B745" s="235" t="s">
        <v>52</v>
      </c>
      <c r="C745" s="231" t="s">
        <v>10</v>
      </c>
      <c r="D745" s="250" t="s">
        <v>2022</v>
      </c>
      <c r="E745" s="239" t="s">
        <v>2023</v>
      </c>
      <c r="F745" s="231" t="s">
        <v>844</v>
      </c>
      <c r="G745" s="231" cm="1">
        <f t="array" ref="G745">_xlfn.IFS(J745&lt;301,2,J745&gt;300,48)</f>
        <v>48</v>
      </c>
      <c r="H745" s="231" t="s">
        <v>3111</v>
      </c>
      <c r="I745" s="281">
        <v>0</v>
      </c>
      <c r="J745" s="249">
        <v>1409.1</v>
      </c>
      <c r="K745" s="231">
        <f t="shared" si="11"/>
        <v>10</v>
      </c>
      <c r="L745" s="231"/>
      <c r="M745" s="299" t="s">
        <v>15</v>
      </c>
      <c r="N745" s="231" t="s">
        <v>253</v>
      </c>
      <c r="O745" s="231">
        <v>2022</v>
      </c>
      <c r="P745" s="281"/>
      <c r="Q745" s="231"/>
      <c r="R745" s="231"/>
      <c r="S745" s="236" t="s">
        <v>453</v>
      </c>
      <c r="T745" s="236" t="s">
        <v>264</v>
      </c>
    </row>
    <row r="746" spans="1:20" ht="14">
      <c r="A746" s="231">
        <v>745</v>
      </c>
      <c r="B746" s="235" t="s">
        <v>52</v>
      </c>
      <c r="C746" s="231" t="s">
        <v>10</v>
      </c>
      <c r="D746" s="250" t="s">
        <v>2024</v>
      </c>
      <c r="E746" s="239" t="s">
        <v>2025</v>
      </c>
      <c r="F746" s="231" t="s">
        <v>814</v>
      </c>
      <c r="G746" s="231" cm="1">
        <f t="array" ref="G746">_xlfn.IFS(J746&lt;301,2,J746&gt;300,48)</f>
        <v>48</v>
      </c>
      <c r="H746" s="231" t="s">
        <v>4264</v>
      </c>
      <c r="I746" s="281">
        <v>0</v>
      </c>
      <c r="J746" s="249">
        <v>2200</v>
      </c>
      <c r="K746" s="231" t="str">
        <f t="shared" si="11"/>
        <v>N/A</v>
      </c>
      <c r="L746" s="231"/>
      <c r="M746" s="231" t="s">
        <v>456</v>
      </c>
      <c r="N746" s="231" t="s">
        <v>253</v>
      </c>
      <c r="O746" s="231">
        <v>2023</v>
      </c>
      <c r="P746" s="281"/>
      <c r="Q746" s="231"/>
      <c r="R746" s="231"/>
      <c r="S746" s="236" t="s">
        <v>453</v>
      </c>
      <c r="T746" s="236" t="s">
        <v>264</v>
      </c>
    </row>
    <row r="747" spans="1:20" ht="14">
      <c r="A747" s="231">
        <v>746</v>
      </c>
      <c r="B747" s="235" t="s">
        <v>52</v>
      </c>
      <c r="C747" s="231" t="s">
        <v>10</v>
      </c>
      <c r="D747" s="250" t="s">
        <v>2026</v>
      </c>
      <c r="E747" s="239" t="s">
        <v>2027</v>
      </c>
      <c r="F747" s="231" t="s">
        <v>267</v>
      </c>
      <c r="G747" s="231" cm="1">
        <f t="array" ref="G747">_xlfn.IFS(J747&lt;301,2,J747&gt;300,48)</f>
        <v>48</v>
      </c>
      <c r="H747" s="231" t="s">
        <v>2763</v>
      </c>
      <c r="I747" s="281">
        <v>0</v>
      </c>
      <c r="J747" s="249">
        <v>1562.4</v>
      </c>
      <c r="K747" s="231">
        <f t="shared" si="11"/>
        <v>20</v>
      </c>
      <c r="L747" s="231"/>
      <c r="M747" s="231" t="s">
        <v>16</v>
      </c>
      <c r="N747" s="231" t="s">
        <v>253</v>
      </c>
      <c r="O747" s="231">
        <v>2023</v>
      </c>
      <c r="P747" s="281"/>
      <c r="Q747" s="231"/>
      <c r="R747" s="231"/>
      <c r="S747" s="236" t="s">
        <v>453</v>
      </c>
      <c r="T747" s="236" t="s">
        <v>264</v>
      </c>
    </row>
    <row r="748" spans="1:20" ht="14">
      <c r="A748" s="231">
        <v>747</v>
      </c>
      <c r="B748" s="235" t="s">
        <v>52</v>
      </c>
      <c r="C748" s="231" t="s">
        <v>10</v>
      </c>
      <c r="D748" s="250" t="s">
        <v>2028</v>
      </c>
      <c r="E748" s="239" t="s">
        <v>2029</v>
      </c>
      <c r="F748" s="231" t="s">
        <v>888</v>
      </c>
      <c r="G748" s="231" cm="1">
        <f t="array" ref="G748">_xlfn.IFS(J748&lt;301,2,J748&gt;300,48)</f>
        <v>48</v>
      </c>
      <c r="H748" s="231" t="s">
        <v>2773</v>
      </c>
      <c r="I748" s="281">
        <v>0</v>
      </c>
      <c r="J748" s="249">
        <v>1250.55</v>
      </c>
      <c r="K748" s="231">
        <f t="shared" si="11"/>
        <v>20</v>
      </c>
      <c r="L748" s="231"/>
      <c r="M748" s="231" t="s">
        <v>16</v>
      </c>
      <c r="N748" s="231" t="s">
        <v>253</v>
      </c>
      <c r="O748" s="231">
        <v>2023</v>
      </c>
      <c r="P748" s="281"/>
      <c r="Q748" s="231"/>
      <c r="R748" s="231"/>
      <c r="S748" s="236" t="s">
        <v>453</v>
      </c>
      <c r="T748" s="236" t="s">
        <v>264</v>
      </c>
    </row>
    <row r="749" spans="1:20" ht="14">
      <c r="A749" s="231">
        <v>748</v>
      </c>
      <c r="B749" s="235" t="s">
        <v>52</v>
      </c>
      <c r="C749" s="231" t="s">
        <v>10</v>
      </c>
      <c r="D749" s="250" t="s">
        <v>2030</v>
      </c>
      <c r="E749" s="239" t="s">
        <v>2031</v>
      </c>
      <c r="F749" s="231" t="s">
        <v>881</v>
      </c>
      <c r="G749" s="231" cm="1">
        <f t="array" ref="G749">_xlfn.IFS(J749&lt;301,2,J749&gt;300,48)</f>
        <v>48</v>
      </c>
      <c r="H749" s="231" t="s">
        <v>3542</v>
      </c>
      <c r="I749" s="281">
        <v>0</v>
      </c>
      <c r="J749" s="249">
        <v>1843.8</v>
      </c>
      <c r="K749" s="231">
        <f t="shared" si="11"/>
        <v>20</v>
      </c>
      <c r="L749" s="231"/>
      <c r="M749" s="231" t="s">
        <v>16</v>
      </c>
      <c r="N749" s="231" t="s">
        <v>253</v>
      </c>
      <c r="O749" s="231">
        <v>2023</v>
      </c>
      <c r="P749" s="281"/>
      <c r="Q749" s="231"/>
      <c r="R749" s="231"/>
      <c r="S749" s="236" t="s">
        <v>453</v>
      </c>
      <c r="T749" s="236" t="s">
        <v>264</v>
      </c>
    </row>
    <row r="750" spans="1:20" ht="14">
      <c r="A750" s="231">
        <v>749</v>
      </c>
      <c r="B750" s="235" t="s">
        <v>52</v>
      </c>
      <c r="C750" s="231" t="s">
        <v>10</v>
      </c>
      <c r="D750" s="250" t="s">
        <v>2032</v>
      </c>
      <c r="E750" s="239" t="s">
        <v>2033</v>
      </c>
      <c r="F750" s="231" t="s">
        <v>881</v>
      </c>
      <c r="G750" s="231" cm="1">
        <f t="array" ref="G750">_xlfn.IFS(J750&lt;301,2,J750&gt;300,48)</f>
        <v>48</v>
      </c>
      <c r="H750" s="231" t="s">
        <v>3060</v>
      </c>
      <c r="I750" s="281">
        <v>0</v>
      </c>
      <c r="J750" s="249">
        <v>979.65</v>
      </c>
      <c r="K750" s="231">
        <f t="shared" si="11"/>
        <v>10</v>
      </c>
      <c r="L750" s="231"/>
      <c r="M750" s="299" t="s">
        <v>15</v>
      </c>
      <c r="N750" s="231" t="s">
        <v>253</v>
      </c>
      <c r="O750" s="231">
        <v>2023</v>
      </c>
      <c r="P750" s="281"/>
      <c r="Q750" s="231"/>
      <c r="R750" s="231"/>
      <c r="S750" s="236" t="s">
        <v>453</v>
      </c>
      <c r="T750" s="236" t="s">
        <v>264</v>
      </c>
    </row>
    <row r="751" spans="1:20" ht="14">
      <c r="A751" s="231">
        <v>750</v>
      </c>
      <c r="B751" s="235" t="s">
        <v>52</v>
      </c>
      <c r="C751" s="231" t="s">
        <v>10</v>
      </c>
      <c r="D751" s="250" t="s">
        <v>2034</v>
      </c>
      <c r="E751" s="239" t="s">
        <v>2035</v>
      </c>
      <c r="F751" s="231" t="s">
        <v>873</v>
      </c>
      <c r="G751" s="231" cm="1">
        <f t="array" ref="G751">_xlfn.IFS(J751&lt;301,2,J751&gt;300,48)</f>
        <v>48</v>
      </c>
      <c r="H751" s="231" t="s">
        <v>3507</v>
      </c>
      <c r="I751" s="281">
        <v>0</v>
      </c>
      <c r="J751" s="249">
        <v>753.9</v>
      </c>
      <c r="K751" s="231">
        <f t="shared" si="11"/>
        <v>10</v>
      </c>
      <c r="L751" s="231"/>
      <c r="M751" s="299" t="s">
        <v>15</v>
      </c>
      <c r="N751" s="231" t="s">
        <v>253</v>
      </c>
      <c r="O751" s="231">
        <v>2023</v>
      </c>
      <c r="P751" s="281"/>
      <c r="Q751" s="231"/>
      <c r="R751" s="231"/>
      <c r="S751" s="236" t="s">
        <v>453</v>
      </c>
      <c r="T751" s="236" t="s">
        <v>264</v>
      </c>
    </row>
    <row r="752" spans="1:20" ht="14">
      <c r="A752" s="231">
        <v>751</v>
      </c>
      <c r="B752" s="235" t="s">
        <v>52</v>
      </c>
      <c r="C752" s="231" t="s">
        <v>10</v>
      </c>
      <c r="D752" s="250" t="s">
        <v>2036</v>
      </c>
      <c r="E752" s="239" t="s">
        <v>2037</v>
      </c>
      <c r="F752" s="231" t="s">
        <v>835</v>
      </c>
      <c r="G752" s="231" cm="1">
        <f t="array" ref="G752">_xlfn.IFS(J752&lt;301,2,J752&gt;300,48)</f>
        <v>48</v>
      </c>
      <c r="H752" s="231" t="s">
        <v>4611</v>
      </c>
      <c r="I752" s="281">
        <v>0</v>
      </c>
      <c r="J752" s="249">
        <v>830</v>
      </c>
      <c r="K752" s="231">
        <f t="shared" si="11"/>
        <v>20</v>
      </c>
      <c r="L752" s="231"/>
      <c r="M752" s="231" t="s">
        <v>16</v>
      </c>
      <c r="N752" s="231" t="s">
        <v>253</v>
      </c>
      <c r="O752" s="231">
        <v>2023</v>
      </c>
      <c r="P752" s="281"/>
      <c r="Q752" s="231"/>
      <c r="R752" s="231"/>
      <c r="S752" s="236" t="s">
        <v>453</v>
      </c>
      <c r="T752" s="236" t="s">
        <v>264</v>
      </c>
    </row>
    <row r="753" spans="1:20" ht="14">
      <c r="A753" s="231">
        <v>752</v>
      </c>
      <c r="B753" s="235" t="s">
        <v>52</v>
      </c>
      <c r="C753" s="231" t="s">
        <v>10</v>
      </c>
      <c r="D753" s="250" t="s">
        <v>2038</v>
      </c>
      <c r="E753" s="239" t="s">
        <v>2039</v>
      </c>
      <c r="F753" s="231" t="s">
        <v>881</v>
      </c>
      <c r="G753" s="231" cm="1">
        <f t="array" ref="G753">_xlfn.IFS(J753&lt;301,2,J753&gt;300,48)</f>
        <v>48</v>
      </c>
      <c r="H753" s="231" t="s">
        <v>2875</v>
      </c>
      <c r="I753" s="281">
        <v>0</v>
      </c>
      <c r="J753" s="249">
        <v>315</v>
      </c>
      <c r="K753" s="231">
        <f t="shared" si="11"/>
        <v>10</v>
      </c>
      <c r="L753" s="231"/>
      <c r="M753" s="299" t="s">
        <v>15</v>
      </c>
      <c r="N753" s="231" t="s">
        <v>253</v>
      </c>
      <c r="O753" s="231">
        <v>2023</v>
      </c>
      <c r="P753" s="281"/>
      <c r="Q753" s="231"/>
      <c r="R753" s="231"/>
      <c r="S753" s="236" t="s">
        <v>453</v>
      </c>
      <c r="T753" s="236" t="s">
        <v>264</v>
      </c>
    </row>
    <row r="754" spans="1:20" ht="14">
      <c r="A754" s="231">
        <v>753</v>
      </c>
      <c r="B754" s="235" t="s">
        <v>52</v>
      </c>
      <c r="C754" s="231" t="s">
        <v>10</v>
      </c>
      <c r="D754" s="250" t="s">
        <v>2040</v>
      </c>
      <c r="E754" s="239" t="s">
        <v>2041</v>
      </c>
      <c r="F754" s="231" t="s">
        <v>888</v>
      </c>
      <c r="G754" s="231" cm="1">
        <f t="array" ref="G754">_xlfn.IFS(J754&lt;301,2,J754&gt;300,48)</f>
        <v>2</v>
      </c>
      <c r="H754" s="231" t="s">
        <v>2773</v>
      </c>
      <c r="I754" s="281">
        <v>0</v>
      </c>
      <c r="J754" s="249">
        <v>250</v>
      </c>
      <c r="K754" s="231">
        <f t="shared" si="11"/>
        <v>10</v>
      </c>
      <c r="L754" s="231"/>
      <c r="M754" s="299" t="s">
        <v>15</v>
      </c>
      <c r="N754" s="231" t="s">
        <v>253</v>
      </c>
      <c r="O754" s="231">
        <v>2023</v>
      </c>
      <c r="P754" s="281"/>
      <c r="Q754" s="231"/>
      <c r="R754" s="231"/>
      <c r="S754" s="236" t="s">
        <v>453</v>
      </c>
      <c r="T754" s="236" t="s">
        <v>264</v>
      </c>
    </row>
    <row r="755" spans="1:20" ht="14">
      <c r="A755" s="231">
        <v>754</v>
      </c>
      <c r="B755" s="235" t="s">
        <v>52</v>
      </c>
      <c r="C755" s="231" t="s">
        <v>10</v>
      </c>
      <c r="D755" s="250" t="s">
        <v>2042</v>
      </c>
      <c r="E755" s="239" t="s">
        <v>2043</v>
      </c>
      <c r="F755" s="231" t="s">
        <v>888</v>
      </c>
      <c r="G755" s="231" cm="1">
        <f t="array" ref="G755">_xlfn.IFS(J755&lt;301,2,J755&gt;300,48)</f>
        <v>48</v>
      </c>
      <c r="H755" s="231" t="s">
        <v>2773</v>
      </c>
      <c r="I755" s="281">
        <v>0</v>
      </c>
      <c r="J755" s="249">
        <v>315</v>
      </c>
      <c r="K755" s="231">
        <f t="shared" si="11"/>
        <v>10</v>
      </c>
      <c r="L755" s="231"/>
      <c r="M755" s="299" t="s">
        <v>15</v>
      </c>
      <c r="N755" s="231" t="s">
        <v>253</v>
      </c>
      <c r="O755" s="231">
        <v>2023</v>
      </c>
      <c r="P755" s="281"/>
      <c r="Q755" s="231"/>
      <c r="R755" s="231"/>
      <c r="S755" s="236" t="s">
        <v>453</v>
      </c>
      <c r="T755" s="236" t="s">
        <v>264</v>
      </c>
    </row>
    <row r="756" spans="1:20" ht="14">
      <c r="A756" s="231">
        <v>755</v>
      </c>
      <c r="B756" s="235" t="s">
        <v>52</v>
      </c>
      <c r="C756" s="231" t="s">
        <v>10</v>
      </c>
      <c r="D756" s="250" t="s">
        <v>4702</v>
      </c>
      <c r="E756" s="239" t="s">
        <v>2045</v>
      </c>
      <c r="F756" s="231" t="s">
        <v>881</v>
      </c>
      <c r="G756" s="231" cm="1">
        <f t="array" ref="G756">_xlfn.IFS(J756&lt;301,2,J756&gt;300,48)</f>
        <v>48</v>
      </c>
      <c r="H756" s="231" t="s">
        <v>2046</v>
      </c>
      <c r="I756" s="281">
        <v>0</v>
      </c>
      <c r="J756" s="249">
        <v>315</v>
      </c>
      <c r="K756" s="231">
        <f t="shared" si="11"/>
        <v>20</v>
      </c>
      <c r="L756" s="231"/>
      <c r="M756" s="231" t="s">
        <v>16</v>
      </c>
      <c r="N756" s="231" t="s">
        <v>253</v>
      </c>
      <c r="O756" s="231">
        <v>2023</v>
      </c>
      <c r="P756" s="281"/>
      <c r="Q756" s="231"/>
      <c r="R756" s="231"/>
      <c r="S756" s="236" t="s">
        <v>453</v>
      </c>
      <c r="T756" s="236" t="s">
        <v>264</v>
      </c>
    </row>
    <row r="757" spans="1:20" ht="14">
      <c r="A757" s="231">
        <v>756</v>
      </c>
      <c r="B757" s="235" t="s">
        <v>52</v>
      </c>
      <c r="C757" s="231" t="s">
        <v>10</v>
      </c>
      <c r="D757" s="250" t="s">
        <v>2047</v>
      </c>
      <c r="E757" s="239" t="s">
        <v>2048</v>
      </c>
      <c r="F757" s="231" t="s">
        <v>814</v>
      </c>
      <c r="G757" s="231" cm="1">
        <f t="array" ref="G757">_xlfn.IFS(J757&lt;301,2,J757&gt;300,48)</f>
        <v>48</v>
      </c>
      <c r="H757" s="231" t="s">
        <v>2853</v>
      </c>
      <c r="I757" s="281">
        <v>0</v>
      </c>
      <c r="J757" s="249">
        <v>315</v>
      </c>
      <c r="K757" s="231">
        <f t="shared" si="11"/>
        <v>10</v>
      </c>
      <c r="L757" s="231"/>
      <c r="M757" s="299" t="s">
        <v>15</v>
      </c>
      <c r="N757" s="231" t="s">
        <v>253</v>
      </c>
      <c r="O757" s="231">
        <v>2023</v>
      </c>
      <c r="P757" s="281"/>
      <c r="Q757" s="231"/>
      <c r="R757" s="231"/>
      <c r="S757" s="236" t="s">
        <v>453</v>
      </c>
      <c r="T757" s="236" t="s">
        <v>264</v>
      </c>
    </row>
    <row r="758" spans="1:20" ht="14">
      <c r="A758" s="231">
        <v>757</v>
      </c>
      <c r="B758" s="235" t="s">
        <v>52</v>
      </c>
      <c r="C758" s="231" t="s">
        <v>10</v>
      </c>
      <c r="D758" s="250" t="s">
        <v>2049</v>
      </c>
      <c r="E758" s="239" t="s">
        <v>2050</v>
      </c>
      <c r="F758" s="231" t="s">
        <v>267</v>
      </c>
      <c r="G758" s="231" cm="1">
        <f t="array" ref="G758">_xlfn.IFS(J758&lt;301,2,J758&gt;300,48)</f>
        <v>48</v>
      </c>
      <c r="H758" s="231" t="s">
        <v>3542</v>
      </c>
      <c r="I758" s="281">
        <v>0</v>
      </c>
      <c r="J758" s="249">
        <v>500</v>
      </c>
      <c r="K758" s="231">
        <f t="shared" si="11"/>
        <v>10</v>
      </c>
      <c r="L758" s="231"/>
      <c r="M758" s="299" t="s">
        <v>15</v>
      </c>
      <c r="N758" s="231" t="s">
        <v>253</v>
      </c>
      <c r="O758" s="231">
        <v>2023</v>
      </c>
      <c r="P758" s="281"/>
      <c r="Q758" s="231"/>
      <c r="R758" s="231"/>
      <c r="S758" s="236" t="s">
        <v>453</v>
      </c>
      <c r="T758" s="236" t="s">
        <v>264</v>
      </c>
    </row>
    <row r="759" spans="1:20" ht="14">
      <c r="A759" s="231">
        <v>758</v>
      </c>
      <c r="B759" s="235" t="s">
        <v>52</v>
      </c>
      <c r="C759" s="231" t="s">
        <v>10</v>
      </c>
      <c r="D759" s="250" t="s">
        <v>4612</v>
      </c>
      <c r="E759" s="239" t="s">
        <v>2051</v>
      </c>
      <c r="F759" s="231" t="s">
        <v>878</v>
      </c>
      <c r="G759" s="231" cm="1">
        <f t="array" ref="G759">_xlfn.IFS(J759&lt;301,2,J759&gt;300,48)</f>
        <v>48</v>
      </c>
      <c r="H759" s="231" t="s">
        <v>3542</v>
      </c>
      <c r="I759" s="281">
        <v>0</v>
      </c>
      <c r="J759" s="249">
        <v>315</v>
      </c>
      <c r="K759" s="231">
        <f t="shared" si="11"/>
        <v>10</v>
      </c>
      <c r="L759" s="231"/>
      <c r="M759" s="299" t="s">
        <v>15</v>
      </c>
      <c r="N759" s="231" t="s">
        <v>253</v>
      </c>
      <c r="O759" s="231">
        <v>2023</v>
      </c>
      <c r="P759" s="281"/>
      <c r="Q759" s="231"/>
      <c r="R759" s="231"/>
      <c r="S759" s="236" t="s">
        <v>453</v>
      </c>
      <c r="T759" s="236" t="s">
        <v>264</v>
      </c>
    </row>
    <row r="760" spans="1:20" ht="14">
      <c r="A760" s="231">
        <v>759</v>
      </c>
      <c r="B760" s="235" t="s">
        <v>52</v>
      </c>
      <c r="C760" s="231" t="s">
        <v>10</v>
      </c>
      <c r="D760" s="250" t="s">
        <v>2052</v>
      </c>
      <c r="E760" s="239" t="s">
        <v>2053</v>
      </c>
      <c r="F760" s="231" t="s">
        <v>873</v>
      </c>
      <c r="G760" s="231" cm="1">
        <f t="array" ref="G760">_xlfn.IFS(J760&lt;301,2,J760&gt;300,48)</f>
        <v>48</v>
      </c>
      <c r="H760" s="231" t="s">
        <v>4613</v>
      </c>
      <c r="I760" s="281">
        <v>0</v>
      </c>
      <c r="J760" s="249">
        <v>2260</v>
      </c>
      <c r="K760" s="231">
        <f t="shared" si="11"/>
        <v>10</v>
      </c>
      <c r="L760" s="231"/>
      <c r="M760" s="299" t="s">
        <v>15</v>
      </c>
      <c r="N760" s="231" t="s">
        <v>253</v>
      </c>
      <c r="O760" s="231">
        <v>2023</v>
      </c>
      <c r="P760" s="281"/>
      <c r="Q760" s="231"/>
      <c r="R760" s="231"/>
      <c r="S760" s="236" t="s">
        <v>453</v>
      </c>
      <c r="T760" s="236" t="s">
        <v>264</v>
      </c>
    </row>
    <row r="761" spans="1:20" ht="14">
      <c r="A761" s="231">
        <v>760</v>
      </c>
      <c r="B761" s="235" t="s">
        <v>52</v>
      </c>
      <c r="C761" s="231" t="s">
        <v>10</v>
      </c>
      <c r="D761" s="250" t="s">
        <v>2054</v>
      </c>
      <c r="E761" s="239" t="s">
        <v>2055</v>
      </c>
      <c r="F761" s="231" t="s">
        <v>881</v>
      </c>
      <c r="G761" s="231" cm="1">
        <f t="array" ref="G761">_xlfn.IFS(J761&lt;301,2,J761&gt;300,48)</f>
        <v>48</v>
      </c>
      <c r="H761" s="231" t="s">
        <v>2875</v>
      </c>
      <c r="I761" s="281">
        <v>0</v>
      </c>
      <c r="J761" s="249">
        <v>315</v>
      </c>
      <c r="K761" s="231">
        <f t="shared" si="11"/>
        <v>10</v>
      </c>
      <c r="L761" s="231"/>
      <c r="M761" s="299" t="s">
        <v>15</v>
      </c>
      <c r="N761" s="231" t="s">
        <v>253</v>
      </c>
      <c r="O761" s="231">
        <v>2023</v>
      </c>
      <c r="P761" s="281"/>
      <c r="Q761" s="231"/>
      <c r="R761" s="231"/>
      <c r="S761" s="236" t="s">
        <v>453</v>
      </c>
      <c r="T761" s="236" t="s">
        <v>264</v>
      </c>
    </row>
    <row r="762" spans="1:20" ht="14">
      <c r="A762" s="231">
        <v>761</v>
      </c>
      <c r="B762" s="235" t="s">
        <v>52</v>
      </c>
      <c r="C762" s="231" t="s">
        <v>10</v>
      </c>
      <c r="D762" s="250" t="s">
        <v>2056</v>
      </c>
      <c r="E762" s="239" t="s">
        <v>2057</v>
      </c>
      <c r="F762" s="231" t="s">
        <v>881</v>
      </c>
      <c r="G762" s="231" cm="1">
        <f t="array" ref="G762">_xlfn.IFS(J762&lt;301,2,J762&gt;300,48)</f>
        <v>48</v>
      </c>
      <c r="H762" s="231" t="s">
        <v>2875</v>
      </c>
      <c r="I762" s="281">
        <v>0</v>
      </c>
      <c r="J762" s="249">
        <v>315</v>
      </c>
      <c r="K762" s="231">
        <f t="shared" si="11"/>
        <v>20</v>
      </c>
      <c r="L762" s="231"/>
      <c r="M762" s="231" t="s">
        <v>16</v>
      </c>
      <c r="N762" s="231" t="s">
        <v>253</v>
      </c>
      <c r="O762" s="231">
        <v>2023</v>
      </c>
      <c r="P762" s="281"/>
      <c r="Q762" s="231"/>
      <c r="R762" s="231"/>
      <c r="S762" s="236" t="s">
        <v>453</v>
      </c>
      <c r="T762" s="236" t="s">
        <v>264</v>
      </c>
    </row>
    <row r="763" spans="1:20" ht="14">
      <c r="A763" s="231">
        <v>762</v>
      </c>
      <c r="B763" s="235" t="s">
        <v>52</v>
      </c>
      <c r="C763" s="231" t="s">
        <v>10</v>
      </c>
      <c r="D763" s="250" t="s">
        <v>2058</v>
      </c>
      <c r="E763" s="239" t="s">
        <v>2059</v>
      </c>
      <c r="F763" s="231" t="s">
        <v>835</v>
      </c>
      <c r="G763" s="231" cm="1">
        <f t="array" ref="G763">_xlfn.IFS(J763&lt;301,2,J763&gt;300,48)</f>
        <v>48</v>
      </c>
      <c r="H763" s="231" t="s">
        <v>4606</v>
      </c>
      <c r="I763" s="281">
        <v>0</v>
      </c>
      <c r="J763" s="249">
        <v>588</v>
      </c>
      <c r="K763" s="231">
        <f t="shared" si="11"/>
        <v>10</v>
      </c>
      <c r="L763" s="231"/>
      <c r="M763" s="299" t="s">
        <v>15</v>
      </c>
      <c r="N763" s="231" t="s">
        <v>253</v>
      </c>
      <c r="O763" s="231">
        <v>2023</v>
      </c>
      <c r="P763" s="281"/>
      <c r="Q763" s="231"/>
      <c r="R763" s="231"/>
      <c r="S763" s="236" t="s">
        <v>453</v>
      </c>
      <c r="T763" s="236" t="s">
        <v>264</v>
      </c>
    </row>
    <row r="764" spans="1:20" ht="14">
      <c r="A764" s="231">
        <v>763</v>
      </c>
      <c r="B764" s="235" t="s">
        <v>52</v>
      </c>
      <c r="C764" s="231" t="s">
        <v>10</v>
      </c>
      <c r="D764" s="250" t="s">
        <v>2060</v>
      </c>
      <c r="E764" s="239" t="s">
        <v>2061</v>
      </c>
      <c r="F764" s="231" t="s">
        <v>267</v>
      </c>
      <c r="G764" s="231" cm="1">
        <f t="array" ref="G764">_xlfn.IFS(J764&lt;301,2,J764&gt;300,48)</f>
        <v>48</v>
      </c>
      <c r="H764" s="231" t="s">
        <v>2763</v>
      </c>
      <c r="I764" s="281">
        <v>0</v>
      </c>
      <c r="J764" s="249">
        <v>1575</v>
      </c>
      <c r="K764" s="231">
        <f t="shared" si="11"/>
        <v>20</v>
      </c>
      <c r="L764" s="231"/>
      <c r="M764" s="231" t="s">
        <v>16</v>
      </c>
      <c r="N764" s="231" t="s">
        <v>253</v>
      </c>
      <c r="O764" s="231">
        <v>2023</v>
      </c>
      <c r="P764" s="281"/>
      <c r="Q764" s="231"/>
      <c r="R764" s="231"/>
      <c r="S764" s="236" t="s">
        <v>453</v>
      </c>
      <c r="T764" s="236" t="s">
        <v>264</v>
      </c>
    </row>
    <row r="765" spans="1:20" ht="14">
      <c r="A765" s="231">
        <v>764</v>
      </c>
      <c r="B765" s="235" t="s">
        <v>52</v>
      </c>
      <c r="C765" s="231" t="s">
        <v>10</v>
      </c>
      <c r="D765" s="250" t="s">
        <v>2062</v>
      </c>
      <c r="E765" s="239" t="s">
        <v>1675</v>
      </c>
      <c r="F765" s="231" t="s">
        <v>835</v>
      </c>
      <c r="G765" s="231" cm="1">
        <f t="array" ref="G765">_xlfn.IFS(J765&lt;301,2,J765&gt;300,48)</f>
        <v>48</v>
      </c>
      <c r="H765" s="231" t="s">
        <v>3111</v>
      </c>
      <c r="I765" s="281">
        <v>0</v>
      </c>
      <c r="J765" s="249">
        <v>650</v>
      </c>
      <c r="K765" s="231">
        <f t="shared" si="11"/>
        <v>10</v>
      </c>
      <c r="L765" s="231"/>
      <c r="M765" s="299" t="s">
        <v>15</v>
      </c>
      <c r="N765" s="231" t="s">
        <v>253</v>
      </c>
      <c r="O765" s="231">
        <v>2021</v>
      </c>
      <c r="P765" s="281"/>
      <c r="Q765" s="231"/>
      <c r="R765" s="231"/>
      <c r="S765" s="236" t="s">
        <v>453</v>
      </c>
      <c r="T765" s="236" t="s">
        <v>264</v>
      </c>
    </row>
    <row r="766" spans="1:20" ht="14">
      <c r="A766" s="231">
        <v>765</v>
      </c>
      <c r="B766" s="235" t="s">
        <v>52</v>
      </c>
      <c r="C766" s="231" t="s">
        <v>10</v>
      </c>
      <c r="D766" s="250" t="s">
        <v>2063</v>
      </c>
      <c r="E766" s="239" t="s">
        <v>2064</v>
      </c>
      <c r="F766" s="231" t="s">
        <v>878</v>
      </c>
      <c r="G766" s="231" cm="1">
        <f t="array" ref="G766">_xlfn.IFS(J766&lt;301,2,J766&gt;300,48)</f>
        <v>48</v>
      </c>
      <c r="H766" s="231" t="s">
        <v>4263</v>
      </c>
      <c r="I766" s="281">
        <v>0</v>
      </c>
      <c r="J766" s="249">
        <v>580</v>
      </c>
      <c r="K766" s="231" t="str">
        <f t="shared" si="11"/>
        <v>N/A</v>
      </c>
      <c r="L766" s="231"/>
      <c r="M766" s="231" t="s">
        <v>456</v>
      </c>
      <c r="N766" s="231" t="s">
        <v>253</v>
      </c>
      <c r="O766" s="231">
        <v>2022</v>
      </c>
      <c r="P766" s="281"/>
      <c r="Q766" s="231"/>
      <c r="R766" s="231"/>
      <c r="S766" s="236" t="s">
        <v>453</v>
      </c>
      <c r="T766" s="236" t="s">
        <v>264</v>
      </c>
    </row>
    <row r="767" spans="1:20" ht="14">
      <c r="A767" s="231">
        <v>766</v>
      </c>
      <c r="B767" s="235" t="s">
        <v>52</v>
      </c>
      <c r="C767" s="231" t="s">
        <v>10</v>
      </c>
      <c r="D767" s="250" t="s">
        <v>2065</v>
      </c>
      <c r="E767" s="239" t="s">
        <v>2066</v>
      </c>
      <c r="F767" s="231" t="s">
        <v>873</v>
      </c>
      <c r="G767" s="231" cm="1">
        <f t="array" ref="G767">_xlfn.IFS(J767&lt;301,2,J767&gt;300,48)</f>
        <v>48</v>
      </c>
      <c r="H767" s="231" t="s">
        <v>4555</v>
      </c>
      <c r="I767" s="281">
        <v>0</v>
      </c>
      <c r="J767" s="249">
        <v>7081</v>
      </c>
      <c r="K767" s="231">
        <f t="shared" si="11"/>
        <v>20</v>
      </c>
      <c r="L767" s="231"/>
      <c r="M767" s="231" t="s">
        <v>16</v>
      </c>
      <c r="N767" s="231" t="s">
        <v>253</v>
      </c>
      <c r="O767" s="231">
        <v>2022</v>
      </c>
      <c r="P767" s="281"/>
      <c r="Q767" s="231"/>
      <c r="R767" s="231"/>
      <c r="S767" s="236" t="s">
        <v>453</v>
      </c>
      <c r="T767" s="236" t="s">
        <v>264</v>
      </c>
    </row>
    <row r="768" spans="1:20" ht="14">
      <c r="A768" s="231">
        <v>767</v>
      </c>
      <c r="B768" s="235" t="s">
        <v>52</v>
      </c>
      <c r="C768" s="231" t="s">
        <v>10</v>
      </c>
      <c r="D768" s="250" t="s">
        <v>2067</v>
      </c>
      <c r="E768" s="239" t="s">
        <v>2068</v>
      </c>
      <c r="F768" s="231" t="s">
        <v>267</v>
      </c>
      <c r="G768" s="231" cm="1">
        <f t="array" ref="G768">_xlfn.IFS(J768&lt;301,2,J768&gt;300,48)</f>
        <v>48</v>
      </c>
      <c r="H768" s="231" t="s">
        <v>3512</v>
      </c>
      <c r="I768" s="281">
        <v>0</v>
      </c>
      <c r="J768" s="249">
        <v>500</v>
      </c>
      <c r="K768" s="231">
        <f t="shared" ref="K768:K831" si="12">IF(M768="ONT",20,IF(M768="N/A","N/A",IF(M768="MIKROTIK",IF(J768&lt;3000,10,IF(3000&lt;J768&gt;10000,20,IF(10000&lt;J768&gt;20000,40,IF(20000&lt;J768&gt;40000,60,IF(J768&gt;40000,80,IF(J768&lt;300,3,)))))))))</f>
        <v>20</v>
      </c>
      <c r="L768" s="231"/>
      <c r="M768" s="231" t="s">
        <v>16</v>
      </c>
      <c r="N768" s="231" t="s">
        <v>253</v>
      </c>
      <c r="O768" s="231">
        <v>2022</v>
      </c>
      <c r="P768" s="281"/>
      <c r="Q768" s="231"/>
      <c r="R768" s="231"/>
      <c r="S768" s="236" t="s">
        <v>453</v>
      </c>
      <c r="T768" s="236" t="s">
        <v>264</v>
      </c>
    </row>
    <row r="769" spans="1:20" ht="14">
      <c r="A769" s="231">
        <v>768</v>
      </c>
      <c r="B769" s="235" t="s">
        <v>52</v>
      </c>
      <c r="C769" s="231" t="s">
        <v>10</v>
      </c>
      <c r="D769" s="250" t="s">
        <v>2069</v>
      </c>
      <c r="E769" s="239" t="s">
        <v>2070</v>
      </c>
      <c r="F769" s="231" t="s">
        <v>844</v>
      </c>
      <c r="G769" s="231" cm="1">
        <f t="array" ref="G769">_xlfn.IFS(J769&lt;301,2,J769&gt;300,48)</f>
        <v>48</v>
      </c>
      <c r="H769" s="231" t="s">
        <v>3111</v>
      </c>
      <c r="I769" s="281">
        <v>0</v>
      </c>
      <c r="J769" s="249">
        <v>600</v>
      </c>
      <c r="K769" s="231">
        <f t="shared" si="12"/>
        <v>10</v>
      </c>
      <c r="L769" s="231"/>
      <c r="M769" s="299" t="s">
        <v>15</v>
      </c>
      <c r="N769" s="231" t="s">
        <v>253</v>
      </c>
      <c r="O769" s="231">
        <v>2022</v>
      </c>
      <c r="P769" s="281"/>
      <c r="Q769" s="231"/>
      <c r="R769" s="231"/>
      <c r="S769" s="236" t="s">
        <v>453</v>
      </c>
      <c r="T769" s="236" t="s">
        <v>264</v>
      </c>
    </row>
    <row r="770" spans="1:20" ht="14">
      <c r="A770" s="231">
        <v>769</v>
      </c>
      <c r="B770" s="235" t="s">
        <v>52</v>
      </c>
      <c r="C770" s="231" t="s">
        <v>10</v>
      </c>
      <c r="D770" s="250" t="s">
        <v>2071</v>
      </c>
      <c r="E770" s="239" t="s">
        <v>2072</v>
      </c>
      <c r="F770" s="231" t="s">
        <v>878</v>
      </c>
      <c r="G770" s="231" cm="1">
        <f t="array" ref="G770">_xlfn.IFS(J770&lt;301,2,J770&gt;300,48)</f>
        <v>48</v>
      </c>
      <c r="H770" s="231" t="s">
        <v>4254</v>
      </c>
      <c r="I770" s="281">
        <v>0</v>
      </c>
      <c r="J770" s="249">
        <v>315</v>
      </c>
      <c r="K770" s="231" t="str">
        <f t="shared" si="12"/>
        <v>N/A</v>
      </c>
      <c r="L770" s="231"/>
      <c r="M770" s="231" t="s">
        <v>456</v>
      </c>
      <c r="N770" s="231" t="s">
        <v>253</v>
      </c>
      <c r="O770" s="231">
        <v>2021</v>
      </c>
      <c r="P770" s="281"/>
      <c r="Q770" s="231"/>
      <c r="R770" s="231"/>
      <c r="S770" s="236" t="s">
        <v>453</v>
      </c>
      <c r="T770" s="236" t="s">
        <v>264</v>
      </c>
    </row>
    <row r="771" spans="1:20" ht="14">
      <c r="A771" s="231">
        <v>770</v>
      </c>
      <c r="B771" s="235" t="s">
        <v>52</v>
      </c>
      <c r="C771" s="231" t="s">
        <v>10</v>
      </c>
      <c r="D771" s="250" t="s">
        <v>2073</v>
      </c>
      <c r="E771" s="239" t="s">
        <v>2074</v>
      </c>
      <c r="F771" s="231" t="s">
        <v>878</v>
      </c>
      <c r="G771" s="231" cm="1">
        <f t="array" ref="G771">_xlfn.IFS(J771&lt;301,2,J771&gt;300,48)</f>
        <v>48</v>
      </c>
      <c r="H771" s="231" t="s">
        <v>4254</v>
      </c>
      <c r="I771" s="281">
        <v>0</v>
      </c>
      <c r="J771" s="249">
        <v>800</v>
      </c>
      <c r="K771" s="231">
        <f t="shared" si="12"/>
        <v>20</v>
      </c>
      <c r="L771" s="231"/>
      <c r="M771" s="231" t="s">
        <v>16</v>
      </c>
      <c r="N771" s="231" t="s">
        <v>253</v>
      </c>
      <c r="O771" s="231">
        <v>2019</v>
      </c>
      <c r="P771" s="281"/>
      <c r="Q771" s="231"/>
      <c r="R771" s="231"/>
      <c r="S771" s="236" t="s">
        <v>453</v>
      </c>
      <c r="T771" s="236" t="s">
        <v>264</v>
      </c>
    </row>
    <row r="772" spans="1:20" ht="14">
      <c r="A772" s="231">
        <v>771</v>
      </c>
      <c r="B772" s="235" t="s">
        <v>52</v>
      </c>
      <c r="C772" s="231" t="s">
        <v>10</v>
      </c>
      <c r="D772" s="250" t="s">
        <v>2075</v>
      </c>
      <c r="E772" s="239" t="s">
        <v>2076</v>
      </c>
      <c r="F772" s="231" t="s">
        <v>835</v>
      </c>
      <c r="G772" s="231" cm="1">
        <f t="array" ref="G772">_xlfn.IFS(J772&lt;301,2,J772&gt;300,48)</f>
        <v>48</v>
      </c>
      <c r="H772" s="231" t="s">
        <v>4262</v>
      </c>
      <c r="I772" s="281">
        <v>0</v>
      </c>
      <c r="J772" s="249">
        <v>2271</v>
      </c>
      <c r="K772" s="231" t="str">
        <f t="shared" si="12"/>
        <v>N/A</v>
      </c>
      <c r="L772" s="231"/>
      <c r="M772" s="231" t="s">
        <v>456</v>
      </c>
      <c r="N772" s="231" t="s">
        <v>253</v>
      </c>
      <c r="O772" s="231">
        <v>2021</v>
      </c>
      <c r="P772" s="281"/>
      <c r="Q772" s="231"/>
      <c r="R772" s="231"/>
      <c r="S772" s="236" t="s">
        <v>457</v>
      </c>
      <c r="T772" s="236"/>
    </row>
    <row r="773" spans="1:20" ht="14">
      <c r="A773" s="231">
        <v>772</v>
      </c>
      <c r="B773" s="235" t="s">
        <v>52</v>
      </c>
      <c r="C773" s="231" t="s">
        <v>10</v>
      </c>
      <c r="D773" s="250" t="s">
        <v>2077</v>
      </c>
      <c r="E773" s="239" t="s">
        <v>2078</v>
      </c>
      <c r="F773" s="239" t="s">
        <v>2078</v>
      </c>
      <c r="G773" s="231" cm="1">
        <f t="array" ref="G773">_xlfn.IFS(J773&lt;301,2,J773&gt;300,48)</f>
        <v>48</v>
      </c>
      <c r="H773" s="231" t="s">
        <v>4614</v>
      </c>
      <c r="I773" s="281">
        <v>0</v>
      </c>
      <c r="J773" s="249">
        <v>4000</v>
      </c>
      <c r="K773" s="231">
        <f t="shared" si="12"/>
        <v>20</v>
      </c>
      <c r="L773" s="231"/>
      <c r="M773" s="299" t="s">
        <v>15</v>
      </c>
      <c r="N773" s="231" t="s">
        <v>253</v>
      </c>
      <c r="O773" s="231">
        <v>2023</v>
      </c>
      <c r="P773" s="281"/>
      <c r="Q773" s="231"/>
      <c r="R773" s="231"/>
      <c r="S773" s="236" t="s">
        <v>453</v>
      </c>
      <c r="T773" s="236" t="s">
        <v>264</v>
      </c>
    </row>
    <row r="774" spans="1:20" ht="14">
      <c r="A774" s="231">
        <v>773</v>
      </c>
      <c r="B774" s="235" t="s">
        <v>52</v>
      </c>
      <c r="C774" s="231" t="s">
        <v>10</v>
      </c>
      <c r="D774" s="250" t="s">
        <v>2079</v>
      </c>
      <c r="E774" s="239" t="s">
        <v>2080</v>
      </c>
      <c r="F774" s="239" t="s">
        <v>2080</v>
      </c>
      <c r="G774" s="231" cm="1">
        <f t="array" ref="G774">_xlfn.IFS(J774&lt;301,2,J774&gt;300,48)</f>
        <v>48</v>
      </c>
      <c r="H774" s="231" t="s">
        <v>4614</v>
      </c>
      <c r="I774" s="281">
        <v>0</v>
      </c>
      <c r="J774" s="249">
        <v>400</v>
      </c>
      <c r="K774" s="231">
        <f t="shared" si="12"/>
        <v>10</v>
      </c>
      <c r="L774" s="231"/>
      <c r="M774" s="299" t="s">
        <v>15</v>
      </c>
      <c r="N774" s="231" t="s">
        <v>253</v>
      </c>
      <c r="O774" s="231">
        <v>2023</v>
      </c>
      <c r="P774" s="281"/>
      <c r="Q774" s="231"/>
      <c r="R774" s="231"/>
      <c r="S774" s="236" t="s">
        <v>453</v>
      </c>
      <c r="T774" s="236" t="s">
        <v>264</v>
      </c>
    </row>
    <row r="775" spans="1:20" ht="14">
      <c r="A775" s="231">
        <v>774</v>
      </c>
      <c r="B775" s="235" t="s">
        <v>52</v>
      </c>
      <c r="C775" s="231" t="s">
        <v>10</v>
      </c>
      <c r="D775" s="250" t="s">
        <v>2081</v>
      </c>
      <c r="E775" s="239" t="s">
        <v>2082</v>
      </c>
      <c r="F775" s="239" t="s">
        <v>2082</v>
      </c>
      <c r="G775" s="231" cm="1">
        <f t="array" ref="G775">_xlfn.IFS(J775&lt;301,2,J775&gt;300,48)</f>
        <v>2</v>
      </c>
      <c r="H775" s="231" t="s">
        <v>4614</v>
      </c>
      <c r="I775" s="281">
        <v>0</v>
      </c>
      <c r="J775" s="249">
        <v>50</v>
      </c>
      <c r="K775" s="231">
        <f t="shared" si="12"/>
        <v>10</v>
      </c>
      <c r="L775" s="231"/>
      <c r="M775" s="299" t="s">
        <v>15</v>
      </c>
      <c r="N775" s="231" t="s">
        <v>253</v>
      </c>
      <c r="O775" s="231">
        <v>2023</v>
      </c>
      <c r="P775" s="281"/>
      <c r="Q775" s="231"/>
      <c r="R775" s="231"/>
      <c r="S775" s="236" t="s">
        <v>453</v>
      </c>
      <c r="T775" s="236" t="s">
        <v>264</v>
      </c>
    </row>
    <row r="776" spans="1:20" ht="14">
      <c r="A776" s="231">
        <v>775</v>
      </c>
      <c r="B776" s="235" t="s">
        <v>52</v>
      </c>
      <c r="C776" s="231" t="s">
        <v>10</v>
      </c>
      <c r="D776" s="250" t="s">
        <v>2083</v>
      </c>
      <c r="E776" s="239" t="s">
        <v>2084</v>
      </c>
      <c r="F776" s="239" t="s">
        <v>2084</v>
      </c>
      <c r="G776" s="231" cm="1">
        <f t="array" ref="G776">_xlfn.IFS(J776&lt;301,2,J776&gt;300,48)</f>
        <v>48</v>
      </c>
      <c r="H776" s="231" t="s">
        <v>4614</v>
      </c>
      <c r="I776" s="281">
        <v>0</v>
      </c>
      <c r="J776" s="249">
        <v>850</v>
      </c>
      <c r="K776" s="231">
        <f t="shared" si="12"/>
        <v>10</v>
      </c>
      <c r="L776" s="231"/>
      <c r="M776" s="299" t="s">
        <v>15</v>
      </c>
      <c r="N776" s="231" t="s">
        <v>253</v>
      </c>
      <c r="O776" s="231">
        <v>2023</v>
      </c>
      <c r="P776" s="281"/>
      <c r="Q776" s="231"/>
      <c r="R776" s="231"/>
      <c r="S776" s="236" t="s">
        <v>453</v>
      </c>
      <c r="T776" s="236" t="s">
        <v>264</v>
      </c>
    </row>
    <row r="777" spans="1:20" ht="14">
      <c r="A777" s="231">
        <v>776</v>
      </c>
      <c r="B777" s="235" t="s">
        <v>52</v>
      </c>
      <c r="C777" s="231" t="s">
        <v>10</v>
      </c>
      <c r="D777" s="250" t="s">
        <v>2085</v>
      </c>
      <c r="E777" s="239" t="s">
        <v>2086</v>
      </c>
      <c r="F777" s="239" t="s">
        <v>2086</v>
      </c>
      <c r="G777" s="231" cm="1">
        <f t="array" ref="G777">_xlfn.IFS(J777&lt;301,2,J777&gt;300,48)</f>
        <v>2</v>
      </c>
      <c r="H777" s="231" t="s">
        <v>4614</v>
      </c>
      <c r="I777" s="281">
        <v>0</v>
      </c>
      <c r="J777" s="249">
        <v>65</v>
      </c>
      <c r="K777" s="231">
        <f t="shared" si="12"/>
        <v>10</v>
      </c>
      <c r="L777" s="231"/>
      <c r="M777" s="299" t="s">
        <v>15</v>
      </c>
      <c r="N777" s="231" t="s">
        <v>253</v>
      </c>
      <c r="O777" s="231">
        <v>2023</v>
      </c>
      <c r="P777" s="281"/>
      <c r="Q777" s="231"/>
      <c r="R777" s="231"/>
      <c r="S777" s="236" t="s">
        <v>453</v>
      </c>
      <c r="T777" s="236" t="s">
        <v>264</v>
      </c>
    </row>
    <row r="778" spans="1:20" ht="14">
      <c r="A778" s="231">
        <v>777</v>
      </c>
      <c r="B778" s="235" t="s">
        <v>52</v>
      </c>
      <c r="C778" s="231" t="s">
        <v>10</v>
      </c>
      <c r="D778" s="250" t="s">
        <v>2087</v>
      </c>
      <c r="E778" s="239" t="s">
        <v>2088</v>
      </c>
      <c r="F778" s="239" t="s">
        <v>2089</v>
      </c>
      <c r="G778" s="231" cm="1">
        <f t="array" ref="G778">_xlfn.IFS(J778&lt;301,2,J778&gt;300,48)</f>
        <v>2</v>
      </c>
      <c r="H778" s="231" t="s">
        <v>4614</v>
      </c>
      <c r="I778" s="281">
        <v>0</v>
      </c>
      <c r="J778" s="249">
        <v>60</v>
      </c>
      <c r="K778" s="231">
        <f t="shared" si="12"/>
        <v>10</v>
      </c>
      <c r="L778" s="231"/>
      <c r="M778" s="299" t="s">
        <v>15</v>
      </c>
      <c r="N778" s="231" t="s">
        <v>253</v>
      </c>
      <c r="O778" s="231">
        <v>2023</v>
      </c>
      <c r="P778" s="281"/>
      <c r="Q778" s="231"/>
      <c r="R778" s="231"/>
      <c r="S778" s="236" t="s">
        <v>453</v>
      </c>
      <c r="T778" s="236" t="s">
        <v>264</v>
      </c>
    </row>
    <row r="779" spans="1:20" ht="14">
      <c r="A779" s="231">
        <v>778</v>
      </c>
      <c r="B779" s="235" t="s">
        <v>52</v>
      </c>
      <c r="C779" s="231" t="s">
        <v>10</v>
      </c>
      <c r="D779" s="250" t="s">
        <v>2090</v>
      </c>
      <c r="E779" s="239" t="s">
        <v>2091</v>
      </c>
      <c r="F779" s="231" t="s">
        <v>2092</v>
      </c>
      <c r="G779" s="231" cm="1">
        <f t="array" ref="G779">_xlfn.IFS(J779&lt;301,2,J779&gt;300,48)</f>
        <v>2</v>
      </c>
      <c r="H779" s="231" t="s">
        <v>2980</v>
      </c>
      <c r="I779" s="281">
        <v>0</v>
      </c>
      <c r="J779" s="249">
        <v>155</v>
      </c>
      <c r="K779" s="231" t="str">
        <f t="shared" si="12"/>
        <v>N/A</v>
      </c>
      <c r="L779" s="231"/>
      <c r="M779" s="231" t="s">
        <v>456</v>
      </c>
      <c r="N779" s="231" t="s">
        <v>253</v>
      </c>
      <c r="O779" s="231">
        <v>2022</v>
      </c>
      <c r="P779" s="281"/>
      <c r="Q779" s="231"/>
      <c r="R779" s="231"/>
      <c r="S779" s="236" t="s">
        <v>453</v>
      </c>
      <c r="T779" s="236" t="s">
        <v>264</v>
      </c>
    </row>
    <row r="780" spans="1:20" ht="14">
      <c r="A780" s="231">
        <v>779</v>
      </c>
      <c r="B780" s="235" t="s">
        <v>52</v>
      </c>
      <c r="C780" s="231" t="s">
        <v>10</v>
      </c>
      <c r="D780" s="250" t="s">
        <v>2093</v>
      </c>
      <c r="E780" s="239" t="s">
        <v>2094</v>
      </c>
      <c r="F780" s="239" t="s">
        <v>878</v>
      </c>
      <c r="G780" s="231" cm="1">
        <f t="array" ref="G780">_xlfn.IFS(J780&lt;301,2,J780&gt;300,48)</f>
        <v>2</v>
      </c>
      <c r="H780" s="231" t="s">
        <v>3111</v>
      </c>
      <c r="I780" s="281">
        <v>0</v>
      </c>
      <c r="J780" s="249">
        <v>100</v>
      </c>
      <c r="K780" s="231">
        <f t="shared" si="12"/>
        <v>20</v>
      </c>
      <c r="L780" s="231"/>
      <c r="M780" s="231" t="s">
        <v>16</v>
      </c>
      <c r="N780" s="231" t="s">
        <v>253</v>
      </c>
      <c r="O780" s="231">
        <v>2022</v>
      </c>
      <c r="P780" s="281"/>
      <c r="Q780" s="231"/>
      <c r="R780" s="231"/>
      <c r="S780" s="236" t="s">
        <v>453</v>
      </c>
      <c r="T780" s="236" t="s">
        <v>264</v>
      </c>
    </row>
    <row r="781" spans="1:20" ht="14">
      <c r="A781" s="231">
        <v>780</v>
      </c>
      <c r="B781" s="235" t="s">
        <v>52</v>
      </c>
      <c r="C781" s="231" t="s">
        <v>10</v>
      </c>
      <c r="D781" s="250" t="s">
        <v>2095</v>
      </c>
      <c r="E781" s="239" t="s">
        <v>2096</v>
      </c>
      <c r="F781" s="239" t="s">
        <v>267</v>
      </c>
      <c r="G781" s="231" cm="1">
        <f t="array" ref="G781">_xlfn.IFS(J781&lt;301,2,J781&gt;300,48)</f>
        <v>48</v>
      </c>
      <c r="H781" s="231" t="s">
        <v>3542</v>
      </c>
      <c r="I781" s="281">
        <v>0</v>
      </c>
      <c r="J781" s="249">
        <v>2100</v>
      </c>
      <c r="K781" s="231" t="str">
        <f t="shared" si="12"/>
        <v>N/A</v>
      </c>
      <c r="L781" s="231"/>
      <c r="M781" s="231" t="s">
        <v>456</v>
      </c>
      <c r="N781" s="231" t="s">
        <v>253</v>
      </c>
      <c r="O781" s="231">
        <v>2022</v>
      </c>
      <c r="P781" s="281"/>
      <c r="Q781" s="231"/>
      <c r="R781" s="231"/>
      <c r="S781" s="236" t="s">
        <v>453</v>
      </c>
      <c r="T781" s="236" t="s">
        <v>264</v>
      </c>
    </row>
    <row r="782" spans="1:20" ht="14">
      <c r="A782" s="231">
        <v>781</v>
      </c>
      <c r="B782" s="235" t="s">
        <v>52</v>
      </c>
      <c r="C782" s="231" t="s">
        <v>10</v>
      </c>
      <c r="D782" s="248" t="s">
        <v>4615</v>
      </c>
      <c r="E782" s="239" t="s">
        <v>2097</v>
      </c>
      <c r="F782" s="231" t="s">
        <v>881</v>
      </c>
      <c r="G782" s="231" cm="1">
        <f t="array" ref="G782">_xlfn.IFS(J782&lt;301,2,J782&gt;300,48)</f>
        <v>48</v>
      </c>
      <c r="H782" s="231" t="s">
        <v>2875</v>
      </c>
      <c r="I782" s="281">
        <v>0</v>
      </c>
      <c r="J782" s="249">
        <v>340</v>
      </c>
      <c r="K782" s="231">
        <f t="shared" si="12"/>
        <v>20</v>
      </c>
      <c r="L782" s="231"/>
      <c r="M782" s="231" t="s">
        <v>16</v>
      </c>
      <c r="N782" s="231" t="s">
        <v>253</v>
      </c>
      <c r="O782" s="231">
        <v>2023</v>
      </c>
      <c r="P782" s="281"/>
      <c r="Q782" s="231"/>
      <c r="R782" s="231"/>
      <c r="S782" s="236" t="s">
        <v>453</v>
      </c>
      <c r="T782" s="236" t="s">
        <v>264</v>
      </c>
    </row>
    <row r="783" spans="1:20" ht="14">
      <c r="A783" s="231">
        <v>782</v>
      </c>
      <c r="B783" s="235" t="s">
        <v>52</v>
      </c>
      <c r="C783" s="231" t="s">
        <v>10</v>
      </c>
      <c r="D783" s="250" t="s">
        <v>2098</v>
      </c>
      <c r="E783" s="239" t="s">
        <v>2099</v>
      </c>
      <c r="F783" s="231" t="s">
        <v>835</v>
      </c>
      <c r="G783" s="231" cm="1">
        <f t="array" ref="G783">_xlfn.IFS(J783&lt;301,2,J783&gt;300,48)</f>
        <v>48</v>
      </c>
      <c r="H783" s="231" t="s">
        <v>2875</v>
      </c>
      <c r="I783" s="281">
        <v>0</v>
      </c>
      <c r="J783" s="249">
        <v>1478</v>
      </c>
      <c r="K783" s="231">
        <f t="shared" si="12"/>
        <v>10</v>
      </c>
      <c r="L783" s="231"/>
      <c r="M783" s="299" t="s">
        <v>15</v>
      </c>
      <c r="N783" s="231" t="s">
        <v>253</v>
      </c>
      <c r="O783" s="231">
        <v>2023</v>
      </c>
      <c r="P783" s="281"/>
      <c r="Q783" s="231"/>
      <c r="R783" s="231"/>
      <c r="S783" s="236" t="s">
        <v>453</v>
      </c>
      <c r="T783" s="236" t="s">
        <v>264</v>
      </c>
    </row>
    <row r="784" spans="1:20" ht="14">
      <c r="A784" s="231">
        <v>783</v>
      </c>
      <c r="B784" s="235" t="s">
        <v>52</v>
      </c>
      <c r="C784" s="231" t="s">
        <v>10</v>
      </c>
      <c r="D784" s="239" t="s">
        <v>2100</v>
      </c>
      <c r="E784" s="239" t="s">
        <v>2101</v>
      </c>
      <c r="F784" s="231" t="s">
        <v>873</v>
      </c>
      <c r="G784" s="231" cm="1">
        <f t="array" ref="G784">_xlfn.IFS(J784&lt;301,2,J784&gt;300,48)</f>
        <v>48</v>
      </c>
      <c r="H784" s="231" t="s">
        <v>168</v>
      </c>
      <c r="I784" s="281">
        <v>0</v>
      </c>
      <c r="J784" s="249">
        <v>800</v>
      </c>
      <c r="K784" s="231">
        <f t="shared" si="12"/>
        <v>20</v>
      </c>
      <c r="L784" s="231"/>
      <c r="M784" s="231" t="s">
        <v>16</v>
      </c>
      <c r="N784" s="231" t="s">
        <v>253</v>
      </c>
      <c r="O784" s="231">
        <v>2023</v>
      </c>
      <c r="P784" s="281"/>
      <c r="Q784" s="231"/>
      <c r="R784" s="231"/>
      <c r="S784" s="236" t="s">
        <v>453</v>
      </c>
      <c r="T784" s="236" t="s">
        <v>264</v>
      </c>
    </row>
    <row r="785" spans="1:20" ht="14">
      <c r="A785" s="231">
        <v>784</v>
      </c>
      <c r="B785" s="235" t="s">
        <v>52</v>
      </c>
      <c r="C785" s="231" t="s">
        <v>10</v>
      </c>
      <c r="D785" s="239" t="s">
        <v>2102</v>
      </c>
      <c r="E785" s="239" t="s">
        <v>2103</v>
      </c>
      <c r="F785" s="231" t="s">
        <v>763</v>
      </c>
      <c r="G785" s="231" cm="1">
        <f t="array" ref="G785">_xlfn.IFS(J785&lt;301,2,J785&gt;300,48)</f>
        <v>48</v>
      </c>
      <c r="H785" s="231" t="s">
        <v>148</v>
      </c>
      <c r="I785" s="281">
        <v>0</v>
      </c>
      <c r="J785" s="249">
        <v>1400</v>
      </c>
      <c r="K785" s="231">
        <f t="shared" si="12"/>
        <v>10</v>
      </c>
      <c r="L785" s="231"/>
      <c r="M785" s="299" t="s">
        <v>15</v>
      </c>
      <c r="N785" s="231" t="s">
        <v>253</v>
      </c>
      <c r="O785" s="231">
        <v>2023</v>
      </c>
      <c r="P785" s="281"/>
      <c r="Q785" s="231"/>
      <c r="R785" s="231"/>
      <c r="S785" s="236" t="s">
        <v>453</v>
      </c>
      <c r="T785" s="236" t="s">
        <v>264</v>
      </c>
    </row>
    <row r="786" spans="1:20" ht="14">
      <c r="A786" s="231">
        <v>785</v>
      </c>
      <c r="B786" s="235" t="s">
        <v>52</v>
      </c>
      <c r="C786" s="231" t="s">
        <v>10</v>
      </c>
      <c r="D786" s="239" t="s">
        <v>2104</v>
      </c>
      <c r="E786" s="239" t="s">
        <v>2105</v>
      </c>
      <c r="F786" s="231" t="s">
        <v>778</v>
      </c>
      <c r="G786" s="231" cm="1">
        <f t="array" ref="G786">_xlfn.IFS(J786&lt;301,2,J786&gt;300,48)</f>
        <v>48</v>
      </c>
      <c r="H786" s="231" t="s">
        <v>4268</v>
      </c>
      <c r="I786" s="281">
        <v>0</v>
      </c>
      <c r="J786" s="249">
        <v>350</v>
      </c>
      <c r="K786" s="231">
        <f t="shared" si="12"/>
        <v>10</v>
      </c>
      <c r="L786" s="231"/>
      <c r="M786" s="299" t="s">
        <v>15</v>
      </c>
      <c r="N786" s="231" t="s">
        <v>253</v>
      </c>
      <c r="O786" s="231">
        <v>2023</v>
      </c>
      <c r="P786" s="281"/>
      <c r="Q786" s="231"/>
      <c r="R786" s="231"/>
      <c r="S786" s="236" t="s">
        <v>453</v>
      </c>
      <c r="T786" s="236" t="s">
        <v>264</v>
      </c>
    </row>
    <row r="787" spans="1:20" ht="14">
      <c r="A787" s="231">
        <v>786</v>
      </c>
      <c r="B787" s="235" t="s">
        <v>52</v>
      </c>
      <c r="C787" s="231" t="s">
        <v>10</v>
      </c>
      <c r="D787" s="239" t="s">
        <v>2106</v>
      </c>
      <c r="E787" s="239" t="s">
        <v>2107</v>
      </c>
      <c r="F787" s="231" t="s">
        <v>835</v>
      </c>
      <c r="G787" s="231" cm="1">
        <f t="array" ref="G787">_xlfn.IFS(J787&lt;301,2,J787&gt;300,48)</f>
        <v>2</v>
      </c>
      <c r="H787" s="231" t="s">
        <v>4268</v>
      </c>
      <c r="I787" s="281">
        <v>0</v>
      </c>
      <c r="J787" s="249">
        <v>300</v>
      </c>
      <c r="K787" s="231">
        <f t="shared" si="12"/>
        <v>20</v>
      </c>
      <c r="L787" s="231"/>
      <c r="M787" s="231" t="s">
        <v>16</v>
      </c>
      <c r="N787" s="231" t="s">
        <v>253</v>
      </c>
      <c r="O787" s="231">
        <v>2020</v>
      </c>
      <c r="P787" s="281"/>
      <c r="Q787" s="231"/>
      <c r="R787" s="231"/>
      <c r="S787" s="236" t="s">
        <v>453</v>
      </c>
      <c r="T787" s="236" t="s">
        <v>264</v>
      </c>
    </row>
    <row r="788" spans="1:20" ht="14">
      <c r="A788" s="231">
        <v>787</v>
      </c>
      <c r="B788" s="235" t="s">
        <v>52</v>
      </c>
      <c r="C788" s="231" t="s">
        <v>10</v>
      </c>
      <c r="D788" s="239" t="s">
        <v>2108</v>
      </c>
      <c r="E788" s="239" t="s">
        <v>2109</v>
      </c>
      <c r="F788" s="231" t="s">
        <v>873</v>
      </c>
      <c r="G788" s="231" cm="1">
        <f t="array" ref="G788">_xlfn.IFS(J788&lt;301,2,J788&gt;300,48)</f>
        <v>48</v>
      </c>
      <c r="H788" s="231" t="s">
        <v>3060</v>
      </c>
      <c r="I788" s="281">
        <v>0</v>
      </c>
      <c r="J788" s="249">
        <v>500</v>
      </c>
      <c r="K788" s="231">
        <f t="shared" si="12"/>
        <v>10</v>
      </c>
      <c r="L788" s="231"/>
      <c r="M788" s="299" t="s">
        <v>15</v>
      </c>
      <c r="N788" s="231" t="s">
        <v>253</v>
      </c>
      <c r="O788" s="231">
        <v>2023</v>
      </c>
      <c r="P788" s="281"/>
      <c r="Q788" s="231"/>
      <c r="R788" s="231"/>
      <c r="S788" s="236" t="s">
        <v>453</v>
      </c>
      <c r="T788" s="236" t="s">
        <v>264</v>
      </c>
    </row>
    <row r="789" spans="1:20" ht="14">
      <c r="A789" s="231">
        <v>788</v>
      </c>
      <c r="B789" s="235" t="s">
        <v>52</v>
      </c>
      <c r="C789" s="231" t="s">
        <v>10</v>
      </c>
      <c r="D789" s="239" t="s">
        <v>2110</v>
      </c>
      <c r="E789" s="239" t="s">
        <v>2111</v>
      </c>
      <c r="F789" s="231" t="s">
        <v>1415</v>
      </c>
      <c r="G789" s="231" cm="1">
        <f t="array" ref="G789">_xlfn.IFS(J789&lt;301,2,J789&gt;300,48)</f>
        <v>48</v>
      </c>
      <c r="H789" s="231" t="s">
        <v>2980</v>
      </c>
      <c r="I789" s="281">
        <v>0</v>
      </c>
      <c r="J789" s="249">
        <v>500</v>
      </c>
      <c r="K789" s="231">
        <f t="shared" si="12"/>
        <v>10</v>
      </c>
      <c r="L789" s="231"/>
      <c r="M789" s="299" t="s">
        <v>15</v>
      </c>
      <c r="N789" s="231" t="s">
        <v>253</v>
      </c>
      <c r="O789" s="231">
        <v>2023</v>
      </c>
      <c r="P789" s="281"/>
      <c r="Q789" s="231"/>
      <c r="R789" s="231"/>
      <c r="S789" s="236" t="s">
        <v>453</v>
      </c>
      <c r="T789" s="236" t="s">
        <v>264</v>
      </c>
    </row>
    <row r="790" spans="1:20" ht="14">
      <c r="A790" s="231">
        <v>789</v>
      </c>
      <c r="B790" s="235" t="s">
        <v>52</v>
      </c>
      <c r="C790" s="231" t="s">
        <v>10</v>
      </c>
      <c r="D790" s="250" t="s">
        <v>2112</v>
      </c>
      <c r="E790" s="239" t="s">
        <v>2113</v>
      </c>
      <c r="F790" s="231" t="s">
        <v>878</v>
      </c>
      <c r="G790" s="231" cm="1">
        <f t="array" ref="G790">_xlfn.IFS(J790&lt;301,2,J790&gt;300,48)</f>
        <v>2</v>
      </c>
      <c r="H790" s="231" t="s">
        <v>3542</v>
      </c>
      <c r="I790" s="281">
        <v>0</v>
      </c>
      <c r="J790" s="249">
        <v>300</v>
      </c>
      <c r="K790" s="231">
        <f t="shared" si="12"/>
        <v>10</v>
      </c>
      <c r="L790" s="231"/>
      <c r="M790" s="299" t="s">
        <v>15</v>
      </c>
      <c r="N790" s="231" t="s">
        <v>253</v>
      </c>
      <c r="O790" s="231">
        <v>2023</v>
      </c>
      <c r="P790" s="281"/>
      <c r="Q790" s="231"/>
      <c r="R790" s="231"/>
      <c r="S790" s="236" t="s">
        <v>453</v>
      </c>
      <c r="T790" s="236" t="s">
        <v>264</v>
      </c>
    </row>
    <row r="791" spans="1:20" ht="14">
      <c r="A791" s="231">
        <v>790</v>
      </c>
      <c r="B791" s="235" t="s">
        <v>52</v>
      </c>
      <c r="C791" s="231" t="s">
        <v>10</v>
      </c>
      <c r="D791" s="250" t="s">
        <v>2114</v>
      </c>
      <c r="E791" s="239" t="s">
        <v>2115</v>
      </c>
      <c r="F791" s="231" t="s">
        <v>267</v>
      </c>
      <c r="G791" s="231" cm="1">
        <f t="array" ref="G791">_xlfn.IFS(J791&lt;301,2,J791&gt;300,48)</f>
        <v>2</v>
      </c>
      <c r="H791" s="231" t="s">
        <v>2763</v>
      </c>
      <c r="I791" s="281">
        <v>0</v>
      </c>
      <c r="J791" s="249">
        <v>300</v>
      </c>
      <c r="K791" s="231">
        <f t="shared" si="12"/>
        <v>10</v>
      </c>
      <c r="L791" s="231"/>
      <c r="M791" s="299" t="s">
        <v>15</v>
      </c>
      <c r="N791" s="231" t="s">
        <v>253</v>
      </c>
      <c r="O791" s="231">
        <v>2023</v>
      </c>
      <c r="P791" s="281"/>
      <c r="Q791" s="231"/>
      <c r="R791" s="231"/>
      <c r="S791" s="236" t="s">
        <v>453</v>
      </c>
      <c r="T791" s="236" t="s">
        <v>264</v>
      </c>
    </row>
    <row r="792" spans="1:20" ht="14">
      <c r="A792" s="231">
        <v>791</v>
      </c>
      <c r="B792" s="235" t="s">
        <v>52</v>
      </c>
      <c r="C792" s="231" t="s">
        <v>10</v>
      </c>
      <c r="D792" s="250" t="s">
        <v>2116</v>
      </c>
      <c r="E792" s="239" t="s">
        <v>2117</v>
      </c>
      <c r="F792" s="231" t="s">
        <v>888</v>
      </c>
      <c r="G792" s="231" cm="1">
        <f t="array" ref="G792">_xlfn.IFS(J792&lt;301,2,J792&gt;300,48)</f>
        <v>48</v>
      </c>
      <c r="H792" s="231" t="s">
        <v>2773</v>
      </c>
      <c r="I792" s="281">
        <v>0</v>
      </c>
      <c r="J792" s="249">
        <v>1000</v>
      </c>
      <c r="K792" s="231">
        <f t="shared" si="12"/>
        <v>10</v>
      </c>
      <c r="L792" s="231"/>
      <c r="M792" s="299" t="s">
        <v>15</v>
      </c>
      <c r="N792" s="231" t="s">
        <v>253</v>
      </c>
      <c r="O792" s="231">
        <v>2023</v>
      </c>
      <c r="P792" s="281"/>
      <c r="Q792" s="231"/>
      <c r="R792" s="231"/>
      <c r="S792" s="236" t="s">
        <v>453</v>
      </c>
      <c r="T792" s="236" t="s">
        <v>264</v>
      </c>
    </row>
    <row r="793" spans="1:20" ht="14">
      <c r="A793" s="231">
        <v>792</v>
      </c>
      <c r="B793" s="235" t="s">
        <v>52</v>
      </c>
      <c r="C793" s="231" t="s">
        <v>10</v>
      </c>
      <c r="D793" s="250" t="s">
        <v>2118</v>
      </c>
      <c r="E793" s="239" t="s">
        <v>2119</v>
      </c>
      <c r="F793" s="231" t="s">
        <v>835</v>
      </c>
      <c r="G793" s="231" cm="1">
        <f t="array" ref="G793">_xlfn.IFS(J793&lt;301,2,J793&gt;300,48)</f>
        <v>48</v>
      </c>
      <c r="H793" s="231" t="s">
        <v>4268</v>
      </c>
      <c r="I793" s="281">
        <v>0</v>
      </c>
      <c r="J793" s="249">
        <v>450</v>
      </c>
      <c r="K793" s="231">
        <f t="shared" si="12"/>
        <v>10</v>
      </c>
      <c r="L793" s="231"/>
      <c r="M793" s="299" t="s">
        <v>15</v>
      </c>
      <c r="N793" s="231" t="s">
        <v>253</v>
      </c>
      <c r="O793" s="231">
        <v>2022</v>
      </c>
      <c r="P793" s="281"/>
      <c r="Q793" s="231"/>
      <c r="R793" s="231"/>
      <c r="S793" s="236" t="s">
        <v>453</v>
      </c>
      <c r="T793" s="236" t="s">
        <v>264</v>
      </c>
    </row>
    <row r="794" spans="1:20" ht="14">
      <c r="A794" s="231">
        <v>793</v>
      </c>
      <c r="B794" s="235" t="s">
        <v>52</v>
      </c>
      <c r="C794" s="231" t="s">
        <v>10</v>
      </c>
      <c r="D794" s="250" t="s">
        <v>2120</v>
      </c>
      <c r="E794" s="239" t="s">
        <v>2121</v>
      </c>
      <c r="F794" s="231" t="s">
        <v>864</v>
      </c>
      <c r="G794" s="231" cm="1">
        <f t="array" ref="G794">_xlfn.IFS(J794&lt;301,2,J794&gt;300,48)</f>
        <v>48</v>
      </c>
      <c r="H794" s="231" t="s">
        <v>2773</v>
      </c>
      <c r="I794" s="281">
        <v>0</v>
      </c>
      <c r="J794" s="249">
        <v>1200</v>
      </c>
      <c r="K794" s="231">
        <f t="shared" si="12"/>
        <v>10</v>
      </c>
      <c r="L794" s="231"/>
      <c r="M794" s="299" t="s">
        <v>15</v>
      </c>
      <c r="N794" s="231" t="s">
        <v>253</v>
      </c>
      <c r="O794" s="231">
        <v>2023</v>
      </c>
      <c r="P794" s="281"/>
      <c r="Q794" s="231"/>
      <c r="R794" s="231"/>
      <c r="S794" s="236" t="s">
        <v>453</v>
      </c>
      <c r="T794" s="236" t="s">
        <v>264</v>
      </c>
    </row>
    <row r="795" spans="1:20" ht="14">
      <c r="A795" s="231">
        <v>794</v>
      </c>
      <c r="B795" s="235" t="s">
        <v>52</v>
      </c>
      <c r="C795" s="231" t="s">
        <v>10</v>
      </c>
      <c r="D795" s="250" t="s">
        <v>2122</v>
      </c>
      <c r="E795" s="239" t="s">
        <v>2123</v>
      </c>
      <c r="F795" s="231" t="s">
        <v>763</v>
      </c>
      <c r="G795" s="231" cm="1">
        <f t="array" ref="G795">_xlfn.IFS(J795&lt;301,2,J795&gt;300,48)</f>
        <v>48</v>
      </c>
      <c r="H795" s="231" t="s">
        <v>2767</v>
      </c>
      <c r="I795" s="281">
        <v>0</v>
      </c>
      <c r="J795" s="249">
        <v>600</v>
      </c>
      <c r="K795" s="231">
        <f t="shared" si="12"/>
        <v>20</v>
      </c>
      <c r="L795" s="231"/>
      <c r="M795" s="231" t="s">
        <v>16</v>
      </c>
      <c r="N795" s="231" t="s">
        <v>253</v>
      </c>
      <c r="O795" s="231">
        <v>2022</v>
      </c>
      <c r="P795" s="281"/>
      <c r="Q795" s="231"/>
      <c r="R795" s="231"/>
      <c r="S795" s="236" t="s">
        <v>453</v>
      </c>
      <c r="T795" s="236" t="s">
        <v>264</v>
      </c>
    </row>
    <row r="796" spans="1:20" ht="14">
      <c r="A796" s="231">
        <v>795</v>
      </c>
      <c r="B796" s="235" t="s">
        <v>52</v>
      </c>
      <c r="C796" s="231" t="s">
        <v>10</v>
      </c>
      <c r="D796" s="250" t="s">
        <v>2124</v>
      </c>
      <c r="E796" s="239" t="s">
        <v>2125</v>
      </c>
      <c r="F796" s="231" t="s">
        <v>861</v>
      </c>
      <c r="G796" s="231" cm="1">
        <f t="array" ref="G796">_xlfn.IFS(J796&lt;301,2,J796&gt;300,48)</f>
        <v>48</v>
      </c>
      <c r="H796" s="231" t="s">
        <v>3524</v>
      </c>
      <c r="I796" s="281">
        <v>0</v>
      </c>
      <c r="J796" s="249">
        <v>350</v>
      </c>
      <c r="K796" s="231">
        <f t="shared" si="12"/>
        <v>20</v>
      </c>
      <c r="L796" s="231"/>
      <c r="M796" s="231" t="s">
        <v>16</v>
      </c>
      <c r="N796" s="231" t="s">
        <v>253</v>
      </c>
      <c r="O796" s="231">
        <v>2022</v>
      </c>
      <c r="P796" s="281"/>
      <c r="Q796" s="231"/>
      <c r="R796" s="231"/>
      <c r="S796" s="236" t="s">
        <v>453</v>
      </c>
      <c r="T796" s="236" t="s">
        <v>264</v>
      </c>
    </row>
    <row r="797" spans="1:20" ht="14">
      <c r="A797" s="231">
        <v>796</v>
      </c>
      <c r="B797" s="235" t="s">
        <v>52</v>
      </c>
      <c r="C797" s="231" t="s">
        <v>10</v>
      </c>
      <c r="D797" s="250" t="s">
        <v>2126</v>
      </c>
      <c r="E797" s="239" t="s">
        <v>2127</v>
      </c>
      <c r="F797" s="231" t="s">
        <v>888</v>
      </c>
      <c r="G797" s="231" cm="1">
        <f t="array" ref="G797">_xlfn.IFS(J797&lt;301,2,J797&gt;300,48)</f>
        <v>48</v>
      </c>
      <c r="H797" s="231" t="s">
        <v>2773</v>
      </c>
      <c r="I797" s="281">
        <v>0</v>
      </c>
      <c r="J797" s="249">
        <v>400</v>
      </c>
      <c r="K797" s="231">
        <f t="shared" si="12"/>
        <v>10</v>
      </c>
      <c r="L797" s="231"/>
      <c r="M797" s="299" t="s">
        <v>15</v>
      </c>
      <c r="N797" s="231" t="s">
        <v>253</v>
      </c>
      <c r="O797" s="231">
        <v>2023</v>
      </c>
      <c r="P797" s="281"/>
      <c r="Q797" s="231"/>
      <c r="R797" s="231"/>
      <c r="S797" s="236" t="s">
        <v>453</v>
      </c>
      <c r="T797" s="236" t="s">
        <v>264</v>
      </c>
    </row>
    <row r="798" spans="1:20" ht="14">
      <c r="A798" s="231">
        <v>797</v>
      </c>
      <c r="B798" s="235" t="s">
        <v>52</v>
      </c>
      <c r="C798" s="231" t="s">
        <v>10</v>
      </c>
      <c r="D798" s="250" t="s">
        <v>2128</v>
      </c>
      <c r="E798" s="239" t="s">
        <v>2129</v>
      </c>
      <c r="F798" s="231" t="s">
        <v>854</v>
      </c>
      <c r="G798" s="231" cm="1">
        <f t="array" ref="G798">_xlfn.IFS(J798&lt;301,2,J798&gt;300,48)</f>
        <v>48</v>
      </c>
      <c r="H798" s="231" t="s">
        <v>2763</v>
      </c>
      <c r="I798" s="281">
        <v>0</v>
      </c>
      <c r="J798" s="249">
        <v>500</v>
      </c>
      <c r="K798" s="231">
        <f t="shared" si="12"/>
        <v>20</v>
      </c>
      <c r="L798" s="231"/>
      <c r="M798" s="231" t="s">
        <v>16</v>
      </c>
      <c r="N798" s="231" t="s">
        <v>253</v>
      </c>
      <c r="O798" s="231">
        <v>2023</v>
      </c>
      <c r="P798" s="281"/>
      <c r="Q798" s="231"/>
      <c r="R798" s="231"/>
      <c r="S798" s="236" t="s">
        <v>453</v>
      </c>
      <c r="T798" s="236" t="s">
        <v>264</v>
      </c>
    </row>
    <row r="799" spans="1:20" ht="14">
      <c r="A799" s="231">
        <v>798</v>
      </c>
      <c r="B799" s="235" t="s">
        <v>52</v>
      </c>
      <c r="C799" s="231" t="s">
        <v>10</v>
      </c>
      <c r="D799" s="250" t="s">
        <v>2130</v>
      </c>
      <c r="E799" s="239" t="s">
        <v>2131</v>
      </c>
      <c r="F799" s="231" t="s">
        <v>1076</v>
      </c>
      <c r="G799" s="231" cm="1">
        <f t="array" ref="G799">_xlfn.IFS(J799&lt;301,2,J799&gt;300,48)</f>
        <v>48</v>
      </c>
      <c r="H799" s="231" t="s">
        <v>4616</v>
      </c>
      <c r="I799" s="281">
        <v>0</v>
      </c>
      <c r="J799" s="249">
        <v>1500</v>
      </c>
      <c r="K799" s="231">
        <f t="shared" si="12"/>
        <v>10</v>
      </c>
      <c r="L799" s="231"/>
      <c r="M799" s="299" t="s">
        <v>15</v>
      </c>
      <c r="N799" s="231" t="s">
        <v>253</v>
      </c>
      <c r="O799" s="231">
        <v>2023</v>
      </c>
      <c r="P799" s="281"/>
      <c r="Q799" s="231"/>
      <c r="R799" s="231"/>
      <c r="S799" s="236" t="s">
        <v>453</v>
      </c>
      <c r="T799" s="236" t="s">
        <v>264</v>
      </c>
    </row>
    <row r="800" spans="1:20" ht="14">
      <c r="A800" s="231">
        <v>799</v>
      </c>
      <c r="B800" s="235" t="s">
        <v>52</v>
      </c>
      <c r="C800" s="231" t="s">
        <v>10</v>
      </c>
      <c r="D800" s="250" t="s">
        <v>2132</v>
      </c>
      <c r="E800" s="239" t="s">
        <v>2133</v>
      </c>
      <c r="F800" s="231" t="s">
        <v>873</v>
      </c>
      <c r="G800" s="231" cm="1">
        <f t="array" ref="G800">_xlfn.IFS(J800&lt;301,2,J800&gt;300,48)</f>
        <v>2</v>
      </c>
      <c r="H800" s="231" t="s">
        <v>2776</v>
      </c>
      <c r="I800" s="281">
        <v>0</v>
      </c>
      <c r="J800" s="249">
        <v>300</v>
      </c>
      <c r="K800" s="231">
        <f t="shared" si="12"/>
        <v>10</v>
      </c>
      <c r="L800" s="231"/>
      <c r="M800" s="299" t="s">
        <v>15</v>
      </c>
      <c r="N800" s="231" t="s">
        <v>253</v>
      </c>
      <c r="O800" s="231">
        <v>2023</v>
      </c>
      <c r="P800" s="281"/>
      <c r="Q800" s="231"/>
      <c r="R800" s="231"/>
      <c r="S800" s="236" t="s">
        <v>453</v>
      </c>
      <c r="T800" s="236" t="s">
        <v>264</v>
      </c>
    </row>
    <row r="801" spans="1:20" ht="14">
      <c r="A801" s="231">
        <v>800</v>
      </c>
      <c r="B801" s="235" t="s">
        <v>52</v>
      </c>
      <c r="C801" s="231" t="s">
        <v>10</v>
      </c>
      <c r="D801" s="250" t="s">
        <v>2134</v>
      </c>
      <c r="E801" s="239" t="s">
        <v>2135</v>
      </c>
      <c r="F801" s="231" t="s">
        <v>835</v>
      </c>
      <c r="G801" s="231" cm="1">
        <f t="array" ref="G801">_xlfn.IFS(J801&lt;301,2,J801&gt;300,48)</f>
        <v>48</v>
      </c>
      <c r="H801" s="231" t="s">
        <v>4262</v>
      </c>
      <c r="I801" s="281">
        <v>0</v>
      </c>
      <c r="J801" s="249">
        <v>600</v>
      </c>
      <c r="K801" s="231">
        <f t="shared" si="12"/>
        <v>20</v>
      </c>
      <c r="L801" s="231"/>
      <c r="M801" s="231" t="s">
        <v>16</v>
      </c>
      <c r="N801" s="231" t="s">
        <v>253</v>
      </c>
      <c r="O801" s="231">
        <v>2023</v>
      </c>
      <c r="P801" s="281"/>
      <c r="Q801" s="231"/>
      <c r="R801" s="231"/>
      <c r="S801" s="236" t="s">
        <v>453</v>
      </c>
      <c r="T801" s="236" t="s">
        <v>264</v>
      </c>
    </row>
    <row r="802" spans="1:20" ht="14">
      <c r="A802" s="231">
        <v>801</v>
      </c>
      <c r="B802" s="235" t="s">
        <v>52</v>
      </c>
      <c r="C802" s="231" t="s">
        <v>10</v>
      </c>
      <c r="D802" s="250" t="s">
        <v>2136</v>
      </c>
      <c r="E802" s="239" t="s">
        <v>2137</v>
      </c>
      <c r="F802" s="231" t="s">
        <v>763</v>
      </c>
      <c r="G802" s="231" cm="1">
        <f t="array" ref="G802">_xlfn.IFS(J802&lt;301,2,J802&gt;300,48)</f>
        <v>48</v>
      </c>
      <c r="H802" s="231" t="s">
        <v>2767</v>
      </c>
      <c r="I802" s="281">
        <v>0</v>
      </c>
      <c r="J802" s="249">
        <v>350</v>
      </c>
      <c r="K802" s="231">
        <f t="shared" si="12"/>
        <v>20</v>
      </c>
      <c r="L802" s="231"/>
      <c r="M802" s="231" t="s">
        <v>16</v>
      </c>
      <c r="N802" s="231" t="s">
        <v>253</v>
      </c>
      <c r="O802" s="231">
        <v>2023</v>
      </c>
      <c r="P802" s="281"/>
      <c r="Q802" s="231"/>
      <c r="R802" s="231"/>
      <c r="S802" s="236" t="s">
        <v>453</v>
      </c>
      <c r="T802" s="236" t="s">
        <v>264</v>
      </c>
    </row>
    <row r="803" spans="1:20" ht="14">
      <c r="A803" s="231">
        <v>802</v>
      </c>
      <c r="B803" s="235" t="s">
        <v>52</v>
      </c>
      <c r="C803" s="231" t="s">
        <v>10</v>
      </c>
      <c r="D803" s="250" t="s">
        <v>2138</v>
      </c>
      <c r="E803" s="239" t="s">
        <v>2139</v>
      </c>
      <c r="F803" s="231" t="s">
        <v>267</v>
      </c>
      <c r="G803" s="231" cm="1">
        <f t="array" ref="G803">_xlfn.IFS(J803&lt;301,2,J803&gt;300,48)</f>
        <v>48</v>
      </c>
      <c r="H803" s="231" t="s">
        <v>4265</v>
      </c>
      <c r="I803" s="281">
        <v>0</v>
      </c>
      <c r="J803" s="249">
        <v>600</v>
      </c>
      <c r="K803" s="231">
        <f t="shared" si="12"/>
        <v>20</v>
      </c>
      <c r="L803" s="231"/>
      <c r="M803" s="231" t="s">
        <v>16</v>
      </c>
      <c r="N803" s="231" t="s">
        <v>253</v>
      </c>
      <c r="O803" s="231">
        <v>2023</v>
      </c>
      <c r="P803" s="281"/>
      <c r="Q803" s="231"/>
      <c r="R803" s="231"/>
      <c r="S803" s="236" t="s">
        <v>453</v>
      </c>
      <c r="T803" s="236" t="s">
        <v>264</v>
      </c>
    </row>
    <row r="804" spans="1:20" ht="14">
      <c r="A804" s="231">
        <v>803</v>
      </c>
      <c r="B804" s="235" t="s">
        <v>52</v>
      </c>
      <c r="C804" s="231" t="s">
        <v>10</v>
      </c>
      <c r="D804" s="250" t="s">
        <v>2140</v>
      </c>
      <c r="E804" s="239" t="s">
        <v>2141</v>
      </c>
      <c r="F804" s="231" t="s">
        <v>835</v>
      </c>
      <c r="G804" s="231" cm="1">
        <f t="array" ref="G804">_xlfn.IFS(J804&lt;301,2,J804&gt;300,48)</f>
        <v>2</v>
      </c>
      <c r="H804" s="231" t="s">
        <v>4268</v>
      </c>
      <c r="I804" s="281">
        <v>0</v>
      </c>
      <c r="J804" s="249">
        <v>300</v>
      </c>
      <c r="K804" s="231">
        <f t="shared" si="12"/>
        <v>20</v>
      </c>
      <c r="L804" s="231"/>
      <c r="M804" s="231" t="s">
        <v>16</v>
      </c>
      <c r="N804" s="231" t="s">
        <v>253</v>
      </c>
      <c r="O804" s="231">
        <v>2023</v>
      </c>
      <c r="P804" s="281"/>
      <c r="Q804" s="231"/>
      <c r="R804" s="231"/>
      <c r="S804" s="236" t="s">
        <v>453</v>
      </c>
      <c r="T804" s="236" t="s">
        <v>264</v>
      </c>
    </row>
    <row r="805" spans="1:20" ht="14">
      <c r="A805" s="231">
        <v>804</v>
      </c>
      <c r="B805" s="235" t="s">
        <v>52</v>
      </c>
      <c r="C805" s="231" t="s">
        <v>10</v>
      </c>
      <c r="D805" s="250" t="s">
        <v>2142</v>
      </c>
      <c r="E805" s="239" t="s">
        <v>2143</v>
      </c>
      <c r="F805" s="231" t="s">
        <v>878</v>
      </c>
      <c r="G805" s="231" cm="1">
        <f t="array" ref="G805">_xlfn.IFS(J805&lt;301,2,J805&gt;300,48)</f>
        <v>48</v>
      </c>
      <c r="H805" s="231" t="s">
        <v>4254</v>
      </c>
      <c r="I805" s="281">
        <v>0</v>
      </c>
      <c r="J805" s="249">
        <v>1300</v>
      </c>
      <c r="K805" s="231">
        <f t="shared" si="12"/>
        <v>10</v>
      </c>
      <c r="L805" s="231"/>
      <c r="M805" s="299" t="s">
        <v>15</v>
      </c>
      <c r="N805" s="231" t="s">
        <v>253</v>
      </c>
      <c r="O805" s="231">
        <v>2023</v>
      </c>
      <c r="P805" s="281"/>
      <c r="Q805" s="231"/>
      <c r="R805" s="231"/>
      <c r="S805" s="236" t="s">
        <v>453</v>
      </c>
      <c r="T805" s="236" t="s">
        <v>264</v>
      </c>
    </row>
    <row r="806" spans="1:20" ht="14">
      <c r="A806" s="231">
        <v>805</v>
      </c>
      <c r="B806" s="235" t="s">
        <v>52</v>
      </c>
      <c r="C806" s="231" t="s">
        <v>10</v>
      </c>
      <c r="D806" s="250" t="s">
        <v>2144</v>
      </c>
      <c r="E806" s="239" t="s">
        <v>2145</v>
      </c>
      <c r="F806" s="231" t="s">
        <v>888</v>
      </c>
      <c r="G806" s="231" cm="1">
        <f t="array" ref="G806">_xlfn.IFS(J806&lt;301,2,J806&gt;300,48)</f>
        <v>48</v>
      </c>
      <c r="H806" s="231" t="s">
        <v>2773</v>
      </c>
      <c r="I806" s="281">
        <v>0</v>
      </c>
      <c r="J806" s="249">
        <v>600</v>
      </c>
      <c r="K806" s="231">
        <f t="shared" si="12"/>
        <v>10</v>
      </c>
      <c r="L806" s="231"/>
      <c r="M806" s="299" t="s">
        <v>15</v>
      </c>
      <c r="N806" s="231" t="s">
        <v>253</v>
      </c>
      <c r="O806" s="231">
        <v>2023</v>
      </c>
      <c r="P806" s="281"/>
      <c r="Q806" s="231"/>
      <c r="R806" s="231"/>
      <c r="S806" s="236" t="s">
        <v>453</v>
      </c>
      <c r="T806" s="236" t="s">
        <v>264</v>
      </c>
    </row>
    <row r="807" spans="1:20" ht="14">
      <c r="A807" s="231">
        <v>806</v>
      </c>
      <c r="B807" s="235" t="s">
        <v>52</v>
      </c>
      <c r="C807" s="231" t="s">
        <v>10</v>
      </c>
      <c r="D807" s="250" t="s">
        <v>2146</v>
      </c>
      <c r="E807" s="239" t="s">
        <v>2147</v>
      </c>
      <c r="F807" s="231" t="s">
        <v>267</v>
      </c>
      <c r="G807" s="231" cm="1">
        <f t="array" ref="G807">_xlfn.IFS(J807&lt;301,2,J807&gt;300,48)</f>
        <v>48</v>
      </c>
      <c r="H807" s="231" t="s">
        <v>3542</v>
      </c>
      <c r="I807" s="281">
        <v>0</v>
      </c>
      <c r="J807" s="249">
        <v>650</v>
      </c>
      <c r="K807" s="231">
        <f t="shared" si="12"/>
        <v>10</v>
      </c>
      <c r="L807" s="231"/>
      <c r="M807" s="299" t="s">
        <v>15</v>
      </c>
      <c r="N807" s="231" t="s">
        <v>253</v>
      </c>
      <c r="O807" s="231">
        <v>2023</v>
      </c>
      <c r="P807" s="281"/>
      <c r="Q807" s="231"/>
      <c r="R807" s="231"/>
      <c r="S807" s="236" t="s">
        <v>453</v>
      </c>
      <c r="T807" s="236" t="s">
        <v>264</v>
      </c>
    </row>
    <row r="808" spans="1:20" ht="14">
      <c r="A808" s="231">
        <v>807</v>
      </c>
      <c r="B808" s="235" t="s">
        <v>52</v>
      </c>
      <c r="C808" s="231" t="s">
        <v>10</v>
      </c>
      <c r="D808" s="250" t="s">
        <v>2148</v>
      </c>
      <c r="E808" s="239" t="s">
        <v>2149</v>
      </c>
      <c r="F808" s="231" t="s">
        <v>888</v>
      </c>
      <c r="G808" s="231" cm="1">
        <f t="array" ref="G808">_xlfn.IFS(J808&lt;301,2,J808&gt;300,48)</f>
        <v>2</v>
      </c>
      <c r="H808" s="231" t="s">
        <v>2773</v>
      </c>
      <c r="I808" s="281">
        <v>0</v>
      </c>
      <c r="J808" s="249">
        <v>0</v>
      </c>
      <c r="K808" s="231">
        <f t="shared" si="12"/>
        <v>10</v>
      </c>
      <c r="L808" s="231"/>
      <c r="M808" s="299" t="s">
        <v>15</v>
      </c>
      <c r="N808" s="231" t="s">
        <v>253</v>
      </c>
      <c r="O808" s="231">
        <v>2023</v>
      </c>
      <c r="P808" s="281"/>
      <c r="Q808" s="231"/>
      <c r="R808" s="231"/>
      <c r="S808" s="236" t="s">
        <v>453</v>
      </c>
      <c r="T808" s="236" t="s">
        <v>264</v>
      </c>
    </row>
    <row r="809" spans="1:20" ht="14">
      <c r="A809" s="231">
        <v>808</v>
      </c>
      <c r="B809" s="235" t="s">
        <v>52</v>
      </c>
      <c r="C809" s="231" t="s">
        <v>10</v>
      </c>
      <c r="D809" s="250" t="s">
        <v>2150</v>
      </c>
      <c r="E809" s="239" t="s">
        <v>2151</v>
      </c>
      <c r="F809" s="231" t="s">
        <v>814</v>
      </c>
      <c r="G809" s="231" cm="1">
        <f t="array" ref="G809">_xlfn.IFS(J809&lt;301,2,J809&gt;300,48)</f>
        <v>48</v>
      </c>
      <c r="H809" s="231" t="s">
        <v>2853</v>
      </c>
      <c r="I809" s="281">
        <v>0</v>
      </c>
      <c r="J809" s="249">
        <v>750</v>
      </c>
      <c r="K809" s="231">
        <f t="shared" si="12"/>
        <v>10</v>
      </c>
      <c r="L809" s="231"/>
      <c r="M809" s="299" t="s">
        <v>15</v>
      </c>
      <c r="N809" s="231" t="s">
        <v>253</v>
      </c>
      <c r="O809" s="231">
        <v>2023</v>
      </c>
      <c r="P809" s="281"/>
      <c r="Q809" s="231"/>
      <c r="R809" s="231"/>
      <c r="S809" s="236" t="s">
        <v>453</v>
      </c>
      <c r="T809" s="236" t="s">
        <v>264</v>
      </c>
    </row>
    <row r="810" spans="1:20" ht="14">
      <c r="A810" s="231">
        <v>809</v>
      </c>
      <c r="B810" s="235" t="s">
        <v>52</v>
      </c>
      <c r="C810" s="231" t="s">
        <v>10</v>
      </c>
      <c r="D810" s="250" t="s">
        <v>2152</v>
      </c>
      <c r="E810" s="239" t="s">
        <v>2153</v>
      </c>
      <c r="F810" s="231" t="s">
        <v>888</v>
      </c>
      <c r="G810" s="231" cm="1">
        <f t="array" ref="G810">_xlfn.IFS(J810&lt;301,2,J810&gt;300,48)</f>
        <v>48</v>
      </c>
      <c r="H810" s="231" t="s">
        <v>2773</v>
      </c>
      <c r="I810" s="281">
        <v>0</v>
      </c>
      <c r="J810" s="249">
        <v>2400</v>
      </c>
      <c r="K810" s="231" t="str">
        <f t="shared" si="12"/>
        <v>N/A</v>
      </c>
      <c r="L810" s="231"/>
      <c r="M810" s="231" t="s">
        <v>456</v>
      </c>
      <c r="N810" s="231" t="s">
        <v>253</v>
      </c>
      <c r="O810" s="231">
        <v>2022</v>
      </c>
      <c r="P810" s="281"/>
      <c r="Q810" s="231"/>
      <c r="R810" s="231"/>
      <c r="S810" s="236" t="s">
        <v>453</v>
      </c>
      <c r="T810" s="236" t="s">
        <v>264</v>
      </c>
    </row>
    <row r="811" spans="1:20" ht="14">
      <c r="A811" s="231">
        <v>810</v>
      </c>
      <c r="B811" s="235" t="s">
        <v>52</v>
      </c>
      <c r="C811" s="231" t="s">
        <v>10</v>
      </c>
      <c r="D811" s="248" t="s">
        <v>2154</v>
      </c>
      <c r="E811" s="239" t="s">
        <v>2155</v>
      </c>
      <c r="F811" s="231" t="s">
        <v>267</v>
      </c>
      <c r="G811" s="231" cm="1">
        <f t="array" ref="G811">_xlfn.IFS(J811&lt;301,2,J811&gt;300,48)</f>
        <v>2</v>
      </c>
      <c r="H811" s="231" t="s">
        <v>3512</v>
      </c>
      <c r="I811" s="281">
        <v>0</v>
      </c>
      <c r="J811" s="249">
        <v>300</v>
      </c>
      <c r="K811" s="231">
        <f t="shared" si="12"/>
        <v>20</v>
      </c>
      <c r="L811" s="231"/>
      <c r="M811" s="231" t="s">
        <v>16</v>
      </c>
      <c r="N811" s="231" t="s">
        <v>253</v>
      </c>
      <c r="O811" s="231">
        <v>2023</v>
      </c>
      <c r="P811" s="281"/>
      <c r="Q811" s="231"/>
      <c r="R811" s="231"/>
      <c r="S811" s="236" t="s">
        <v>453</v>
      </c>
      <c r="T811" s="236" t="s">
        <v>264</v>
      </c>
    </row>
    <row r="812" spans="1:20" ht="14">
      <c r="A812" s="231">
        <v>811</v>
      </c>
      <c r="B812" s="235" t="s">
        <v>52</v>
      </c>
      <c r="C812" s="231" t="s">
        <v>10</v>
      </c>
      <c r="D812" s="250" t="s">
        <v>2156</v>
      </c>
      <c r="E812" s="239" t="s">
        <v>2157</v>
      </c>
      <c r="F812" s="231" t="s">
        <v>854</v>
      </c>
      <c r="G812" s="231" cm="1">
        <f t="array" ref="G812">_xlfn.IFS(J812&lt;301,2,J812&gt;300,48)</f>
        <v>48</v>
      </c>
      <c r="H812" s="231" t="s">
        <v>2763</v>
      </c>
      <c r="I812" s="281">
        <v>0</v>
      </c>
      <c r="J812" s="249">
        <v>700</v>
      </c>
      <c r="K812" s="231">
        <f t="shared" si="12"/>
        <v>10</v>
      </c>
      <c r="L812" s="231"/>
      <c r="M812" s="299" t="s">
        <v>15</v>
      </c>
      <c r="N812" s="231" t="s">
        <v>253</v>
      </c>
      <c r="O812" s="231">
        <v>2023</v>
      </c>
      <c r="P812" s="281"/>
      <c r="Q812" s="231"/>
      <c r="R812" s="231"/>
      <c r="S812" s="236" t="s">
        <v>453</v>
      </c>
      <c r="T812" s="236" t="s">
        <v>264</v>
      </c>
    </row>
    <row r="813" spans="1:20" ht="14">
      <c r="A813" s="231">
        <v>812</v>
      </c>
      <c r="B813" s="235" t="s">
        <v>52</v>
      </c>
      <c r="C813" s="231" t="s">
        <v>10</v>
      </c>
      <c r="D813" s="250" t="s">
        <v>2158</v>
      </c>
      <c r="E813" s="239" t="s">
        <v>2159</v>
      </c>
      <c r="F813" s="231" t="s">
        <v>854</v>
      </c>
      <c r="G813" s="231" cm="1">
        <f t="array" ref="G813">_xlfn.IFS(J813&lt;301,2,J813&gt;300,48)</f>
        <v>48</v>
      </c>
      <c r="H813" s="231" t="s">
        <v>3608</v>
      </c>
      <c r="I813" s="281">
        <v>0</v>
      </c>
      <c r="J813" s="249">
        <v>750</v>
      </c>
      <c r="K813" s="231">
        <f t="shared" si="12"/>
        <v>20</v>
      </c>
      <c r="L813" s="231"/>
      <c r="M813" s="231" t="s">
        <v>16</v>
      </c>
      <c r="N813" s="231" t="s">
        <v>253</v>
      </c>
      <c r="O813" s="231">
        <v>2023</v>
      </c>
      <c r="P813" s="281"/>
      <c r="Q813" s="231"/>
      <c r="R813" s="231"/>
      <c r="S813" s="236" t="s">
        <v>453</v>
      </c>
      <c r="T813" s="236" t="s">
        <v>264</v>
      </c>
    </row>
    <row r="814" spans="1:20" ht="14">
      <c r="A814" s="231">
        <v>813</v>
      </c>
      <c r="B814" s="235" t="s">
        <v>52</v>
      </c>
      <c r="C814" s="231" t="s">
        <v>10</v>
      </c>
      <c r="D814" s="250" t="s">
        <v>2160</v>
      </c>
      <c r="E814" s="239" t="s">
        <v>2161</v>
      </c>
      <c r="F814" s="231" t="s">
        <v>1415</v>
      </c>
      <c r="G814" s="231" cm="1">
        <f t="array" ref="G814">_xlfn.IFS(J814&lt;301,2,J814&gt;300,48)</f>
        <v>48</v>
      </c>
      <c r="H814" s="231" t="s">
        <v>2779</v>
      </c>
      <c r="I814" s="281">
        <v>0</v>
      </c>
      <c r="J814" s="249">
        <v>750</v>
      </c>
      <c r="K814" s="231">
        <f t="shared" si="12"/>
        <v>20</v>
      </c>
      <c r="L814" s="231"/>
      <c r="M814" s="231" t="s">
        <v>16</v>
      </c>
      <c r="N814" s="231" t="s">
        <v>253</v>
      </c>
      <c r="O814" s="231">
        <v>2023</v>
      </c>
      <c r="P814" s="281"/>
      <c r="Q814" s="231"/>
      <c r="R814" s="231"/>
      <c r="S814" s="236" t="s">
        <v>453</v>
      </c>
      <c r="T814" s="236" t="s">
        <v>264</v>
      </c>
    </row>
    <row r="815" spans="1:20" ht="14">
      <c r="A815" s="231">
        <v>814</v>
      </c>
      <c r="B815" s="235" t="s">
        <v>52</v>
      </c>
      <c r="C815" s="231" t="s">
        <v>10</v>
      </c>
      <c r="D815" s="250" t="s">
        <v>2162</v>
      </c>
      <c r="E815" s="239" t="s">
        <v>2163</v>
      </c>
      <c r="F815" s="231" t="s">
        <v>267</v>
      </c>
      <c r="G815" s="231" cm="1">
        <f t="array" ref="G815">_xlfn.IFS(J815&lt;301,2,J815&gt;300,48)</f>
        <v>48</v>
      </c>
      <c r="H815" s="231" t="s">
        <v>3542</v>
      </c>
      <c r="I815" s="281">
        <v>0</v>
      </c>
      <c r="J815" s="249">
        <v>650</v>
      </c>
      <c r="K815" s="231">
        <f t="shared" si="12"/>
        <v>10</v>
      </c>
      <c r="L815" s="231"/>
      <c r="M815" s="299" t="s">
        <v>15</v>
      </c>
      <c r="N815" s="231" t="s">
        <v>253</v>
      </c>
      <c r="O815" s="231">
        <v>2023</v>
      </c>
      <c r="P815" s="281"/>
      <c r="Q815" s="231"/>
      <c r="R815" s="231"/>
      <c r="S815" s="236" t="s">
        <v>453</v>
      </c>
      <c r="T815" s="236" t="s">
        <v>264</v>
      </c>
    </row>
    <row r="816" spans="1:20" ht="14">
      <c r="A816" s="231">
        <v>815</v>
      </c>
      <c r="B816" s="235" t="s">
        <v>52</v>
      </c>
      <c r="C816" s="231" t="s">
        <v>10</v>
      </c>
      <c r="D816" s="248" t="s">
        <v>2164</v>
      </c>
      <c r="E816" s="239" t="s">
        <v>2165</v>
      </c>
      <c r="F816" s="231" t="s">
        <v>888</v>
      </c>
      <c r="G816" s="231" cm="1">
        <f t="array" ref="G816">_xlfn.IFS(J816&lt;301,2,J816&gt;300,48)</f>
        <v>48</v>
      </c>
      <c r="H816" s="231" t="s">
        <v>2773</v>
      </c>
      <c r="I816" s="281">
        <v>0</v>
      </c>
      <c r="J816" s="249">
        <v>1800</v>
      </c>
      <c r="K816" s="231" t="str">
        <f t="shared" si="12"/>
        <v>N/A</v>
      </c>
      <c r="L816" s="231"/>
      <c r="M816" s="231" t="s">
        <v>456</v>
      </c>
      <c r="N816" s="231" t="s">
        <v>253</v>
      </c>
      <c r="O816" s="231">
        <v>2023</v>
      </c>
      <c r="P816" s="281"/>
      <c r="Q816" s="231"/>
      <c r="R816" s="231"/>
      <c r="S816" s="236" t="s">
        <v>453</v>
      </c>
      <c r="T816" s="236" t="s">
        <v>264</v>
      </c>
    </row>
    <row r="817" spans="1:20" ht="14">
      <c r="A817" s="231">
        <v>816</v>
      </c>
      <c r="B817" s="235" t="s">
        <v>52</v>
      </c>
      <c r="C817" s="231" t="s">
        <v>10</v>
      </c>
      <c r="D817" s="250" t="s">
        <v>2166</v>
      </c>
      <c r="E817" s="239" t="s">
        <v>2167</v>
      </c>
      <c r="F817" s="231" t="s">
        <v>854</v>
      </c>
      <c r="G817" s="231" cm="1">
        <f t="array" ref="G817">_xlfn.IFS(J817&lt;301,2,J817&gt;300,48)</f>
        <v>2</v>
      </c>
      <c r="H817" s="231" t="s">
        <v>2763</v>
      </c>
      <c r="I817" s="281">
        <v>0</v>
      </c>
      <c r="J817" s="249">
        <v>300</v>
      </c>
      <c r="K817" s="231">
        <f t="shared" si="12"/>
        <v>20</v>
      </c>
      <c r="L817" s="231"/>
      <c r="M817" s="231" t="s">
        <v>16</v>
      </c>
      <c r="N817" s="231" t="s">
        <v>253</v>
      </c>
      <c r="O817" s="231">
        <v>2023</v>
      </c>
      <c r="P817" s="281"/>
      <c r="Q817" s="231"/>
      <c r="R817" s="231"/>
      <c r="S817" s="236" t="s">
        <v>453</v>
      </c>
      <c r="T817" s="236" t="s">
        <v>264</v>
      </c>
    </row>
    <row r="818" spans="1:20" ht="14">
      <c r="A818" s="231">
        <v>817</v>
      </c>
      <c r="B818" s="235" t="s">
        <v>51</v>
      </c>
      <c r="C818" s="231" t="s">
        <v>10</v>
      </c>
      <c r="D818" s="250" t="s">
        <v>2168</v>
      </c>
      <c r="E818" s="239" t="s">
        <v>2169</v>
      </c>
      <c r="F818" s="231" t="s">
        <v>778</v>
      </c>
      <c r="G818" s="231" cm="1">
        <f t="array" ref="G818">_xlfn.IFS(J818&lt;301,2,J818&gt;300,48)</f>
        <v>48</v>
      </c>
      <c r="H818" s="231" t="s">
        <v>148</v>
      </c>
      <c r="I818" s="281">
        <v>0</v>
      </c>
      <c r="J818" s="249">
        <v>350</v>
      </c>
      <c r="K818" s="231">
        <f t="shared" si="12"/>
        <v>10</v>
      </c>
      <c r="L818" s="231"/>
      <c r="M818" s="299" t="s">
        <v>15</v>
      </c>
      <c r="N818" s="231" t="s">
        <v>253</v>
      </c>
      <c r="O818" s="231">
        <v>2023</v>
      </c>
      <c r="P818" s="281"/>
      <c r="Q818" s="231"/>
      <c r="R818" s="231"/>
      <c r="S818" s="236" t="s">
        <v>453</v>
      </c>
      <c r="T818" s="236" t="s">
        <v>264</v>
      </c>
    </row>
    <row r="819" spans="1:20" ht="14">
      <c r="A819" s="231">
        <v>818</v>
      </c>
      <c r="B819" s="235" t="s">
        <v>52</v>
      </c>
      <c r="C819" s="231" t="s">
        <v>10</v>
      </c>
      <c r="D819" s="250" t="s">
        <v>2170</v>
      </c>
      <c r="E819" s="239" t="s">
        <v>2171</v>
      </c>
      <c r="F819" s="231" t="s">
        <v>854</v>
      </c>
      <c r="G819" s="231" cm="1">
        <f t="array" ref="G819">_xlfn.IFS(J819&lt;301,2,J819&gt;300,48)</f>
        <v>48</v>
      </c>
      <c r="H819" s="231" t="s">
        <v>2783</v>
      </c>
      <c r="I819" s="281">
        <v>0</v>
      </c>
      <c r="J819" s="249">
        <v>550</v>
      </c>
      <c r="K819" s="231">
        <f t="shared" si="12"/>
        <v>20</v>
      </c>
      <c r="L819" s="231"/>
      <c r="M819" s="231" t="s">
        <v>16</v>
      </c>
      <c r="N819" s="231" t="s">
        <v>253</v>
      </c>
      <c r="O819" s="231">
        <v>2023</v>
      </c>
      <c r="P819" s="281"/>
      <c r="Q819" s="231"/>
      <c r="R819" s="231"/>
      <c r="S819" s="236" t="s">
        <v>453</v>
      </c>
      <c r="T819" s="236" t="s">
        <v>264</v>
      </c>
    </row>
    <row r="820" spans="1:20" ht="14">
      <c r="A820" s="231">
        <v>819</v>
      </c>
      <c r="B820" s="235" t="s">
        <v>52</v>
      </c>
      <c r="C820" s="231" t="s">
        <v>10</v>
      </c>
      <c r="D820" s="250" t="s">
        <v>2172</v>
      </c>
      <c r="E820" s="239" t="s">
        <v>2173</v>
      </c>
      <c r="F820" s="231" t="s">
        <v>881</v>
      </c>
      <c r="G820" s="231" cm="1">
        <f t="array" ref="G820">_xlfn.IFS(J820&lt;301,2,J820&gt;300,48)</f>
        <v>48</v>
      </c>
      <c r="H820" s="231" t="s">
        <v>3583</v>
      </c>
      <c r="I820" s="281">
        <v>0</v>
      </c>
      <c r="J820" s="249">
        <v>1700</v>
      </c>
      <c r="K820" s="231">
        <f t="shared" si="12"/>
        <v>20</v>
      </c>
      <c r="L820" s="231"/>
      <c r="M820" s="231" t="s">
        <v>16</v>
      </c>
      <c r="N820" s="231" t="s">
        <v>253</v>
      </c>
      <c r="O820" s="231">
        <v>2023</v>
      </c>
      <c r="P820" s="281"/>
      <c r="Q820" s="231"/>
      <c r="R820" s="231"/>
      <c r="S820" s="236" t="s">
        <v>453</v>
      </c>
      <c r="T820" s="236" t="s">
        <v>264</v>
      </c>
    </row>
    <row r="821" spans="1:20" ht="14">
      <c r="A821" s="231">
        <v>820</v>
      </c>
      <c r="B821" s="235" t="s">
        <v>52</v>
      </c>
      <c r="C821" s="231" t="s">
        <v>10</v>
      </c>
      <c r="D821" s="250" t="s">
        <v>2174</v>
      </c>
      <c r="E821" s="239" t="s">
        <v>2175</v>
      </c>
      <c r="F821" s="231" t="s">
        <v>888</v>
      </c>
      <c r="G821" s="231" cm="1">
        <f t="array" ref="G821">_xlfn.IFS(J821&lt;301,2,J821&gt;300,48)</f>
        <v>48</v>
      </c>
      <c r="H821" s="231" t="s">
        <v>2773</v>
      </c>
      <c r="I821" s="281">
        <v>0</v>
      </c>
      <c r="J821" s="249">
        <v>450</v>
      </c>
      <c r="K821" s="231">
        <f t="shared" si="12"/>
        <v>20</v>
      </c>
      <c r="L821" s="231"/>
      <c r="M821" s="231" t="s">
        <v>16</v>
      </c>
      <c r="N821" s="231" t="s">
        <v>253</v>
      </c>
      <c r="O821" s="231">
        <v>2023</v>
      </c>
      <c r="P821" s="281"/>
      <c r="Q821" s="231"/>
      <c r="R821" s="231"/>
      <c r="S821" s="236" t="s">
        <v>453</v>
      </c>
      <c r="T821" s="236" t="s">
        <v>264</v>
      </c>
    </row>
    <row r="822" spans="1:20" ht="14">
      <c r="A822" s="231">
        <v>821</v>
      </c>
      <c r="B822" s="235" t="s">
        <v>52</v>
      </c>
      <c r="C822" s="231" t="s">
        <v>10</v>
      </c>
      <c r="D822" s="250" t="s">
        <v>2176</v>
      </c>
      <c r="E822" s="239" t="s">
        <v>2177</v>
      </c>
      <c r="F822" s="231" t="s">
        <v>888</v>
      </c>
      <c r="G822" s="231" cm="1">
        <f t="array" ref="G822">_xlfn.IFS(J822&lt;301,2,J822&gt;300,48)</f>
        <v>2</v>
      </c>
      <c r="H822" s="231" t="s">
        <v>2773</v>
      </c>
      <c r="I822" s="281">
        <v>0</v>
      </c>
      <c r="J822" s="249">
        <v>50</v>
      </c>
      <c r="K822" s="231">
        <f t="shared" si="12"/>
        <v>20</v>
      </c>
      <c r="L822" s="231"/>
      <c r="M822" s="231" t="s">
        <v>16</v>
      </c>
      <c r="N822" s="231" t="s">
        <v>253</v>
      </c>
      <c r="O822" s="231">
        <v>2023</v>
      </c>
      <c r="P822" s="281"/>
      <c r="Q822" s="231"/>
      <c r="R822" s="231"/>
      <c r="S822" s="236" t="s">
        <v>453</v>
      </c>
      <c r="T822" s="236" t="s">
        <v>264</v>
      </c>
    </row>
    <row r="823" spans="1:20" ht="14">
      <c r="A823" s="231">
        <v>822</v>
      </c>
      <c r="B823" s="235" t="s">
        <v>52</v>
      </c>
      <c r="C823" s="231" t="s">
        <v>10</v>
      </c>
      <c r="D823" s="250" t="s">
        <v>4617</v>
      </c>
      <c r="E823" s="239" t="s">
        <v>2178</v>
      </c>
      <c r="F823" s="231" t="s">
        <v>888</v>
      </c>
      <c r="G823" s="231" cm="1">
        <f t="array" ref="G823">_xlfn.IFS(J823&lt;301,2,J823&gt;300,48)</f>
        <v>48</v>
      </c>
      <c r="H823" s="231" t="s">
        <v>2773</v>
      </c>
      <c r="I823" s="281">
        <v>0</v>
      </c>
      <c r="J823" s="249">
        <v>800</v>
      </c>
      <c r="K823" s="231">
        <f t="shared" si="12"/>
        <v>10</v>
      </c>
      <c r="L823" s="231"/>
      <c r="M823" s="299" t="s">
        <v>15</v>
      </c>
      <c r="N823" s="231" t="s">
        <v>253</v>
      </c>
      <c r="O823" s="231">
        <v>2023</v>
      </c>
      <c r="P823" s="281"/>
      <c r="Q823" s="231"/>
      <c r="R823" s="231"/>
      <c r="S823" s="236" t="s">
        <v>453</v>
      </c>
      <c r="T823" s="236" t="s">
        <v>264</v>
      </c>
    </row>
    <row r="824" spans="1:20" ht="14">
      <c r="A824" s="231">
        <v>823</v>
      </c>
      <c r="B824" s="235" t="s">
        <v>52</v>
      </c>
      <c r="C824" s="231" t="s">
        <v>10</v>
      </c>
      <c r="D824" s="250" t="s">
        <v>2179</v>
      </c>
      <c r="E824" s="239" t="s">
        <v>2180</v>
      </c>
      <c r="F824" s="231" t="s">
        <v>763</v>
      </c>
      <c r="G824" s="231" cm="1">
        <f t="array" ref="G824">_xlfn.IFS(J824&lt;301,2,J824&gt;300,48)</f>
        <v>48</v>
      </c>
      <c r="H824" s="231" t="s">
        <v>2767</v>
      </c>
      <c r="I824" s="281">
        <v>0</v>
      </c>
      <c r="J824" s="249">
        <v>500</v>
      </c>
      <c r="K824" s="231">
        <f t="shared" si="12"/>
        <v>20</v>
      </c>
      <c r="L824" s="231"/>
      <c r="M824" s="231" t="s">
        <v>16</v>
      </c>
      <c r="N824" s="231" t="s">
        <v>253</v>
      </c>
      <c r="O824" s="231">
        <v>2023</v>
      </c>
      <c r="P824" s="281"/>
      <c r="Q824" s="231"/>
      <c r="R824" s="231"/>
      <c r="S824" s="236" t="s">
        <v>453</v>
      </c>
      <c r="T824" s="236" t="s">
        <v>264</v>
      </c>
    </row>
    <row r="825" spans="1:20" ht="14">
      <c r="A825" s="231">
        <v>824</v>
      </c>
      <c r="B825" s="235" t="s">
        <v>52</v>
      </c>
      <c r="C825" s="231" t="s">
        <v>10</v>
      </c>
      <c r="D825" s="250" t="s">
        <v>2181</v>
      </c>
      <c r="E825" s="239" t="s">
        <v>2182</v>
      </c>
      <c r="F825" s="231" t="s">
        <v>881</v>
      </c>
      <c r="G825" s="231" cm="1">
        <f t="array" ref="G825">_xlfn.IFS(J825&lt;301,2,J825&gt;300,48)</f>
        <v>2</v>
      </c>
      <c r="H825" s="231" t="s">
        <v>2875</v>
      </c>
      <c r="I825" s="281">
        <v>0</v>
      </c>
      <c r="J825" s="249">
        <v>250</v>
      </c>
      <c r="K825" s="231">
        <f t="shared" si="12"/>
        <v>20</v>
      </c>
      <c r="L825" s="231"/>
      <c r="M825" s="231" t="s">
        <v>16</v>
      </c>
      <c r="N825" s="231" t="s">
        <v>253</v>
      </c>
      <c r="O825" s="231">
        <v>2023</v>
      </c>
      <c r="P825" s="281"/>
      <c r="Q825" s="231"/>
      <c r="R825" s="231"/>
      <c r="S825" s="236" t="s">
        <v>453</v>
      </c>
      <c r="T825" s="236" t="s">
        <v>264</v>
      </c>
    </row>
    <row r="826" spans="1:20" ht="14">
      <c r="A826" s="231">
        <v>825</v>
      </c>
      <c r="B826" s="235" t="s">
        <v>52</v>
      </c>
      <c r="C826" s="231" t="s">
        <v>10</v>
      </c>
      <c r="D826" s="250" t="s">
        <v>2183</v>
      </c>
      <c r="E826" s="239" t="s">
        <v>2184</v>
      </c>
      <c r="F826" s="231" t="s">
        <v>881</v>
      </c>
      <c r="G826" s="231" cm="1">
        <f t="array" ref="G826">_xlfn.IFS(J826&lt;301,2,J826&gt;300,48)</f>
        <v>48</v>
      </c>
      <c r="H826" s="231" t="s">
        <v>4618</v>
      </c>
      <c r="I826" s="281">
        <v>0</v>
      </c>
      <c r="J826" s="249">
        <v>750</v>
      </c>
      <c r="K826" s="231">
        <f t="shared" si="12"/>
        <v>20</v>
      </c>
      <c r="L826" s="231"/>
      <c r="M826" s="231" t="s">
        <v>16</v>
      </c>
      <c r="N826" s="231" t="s">
        <v>253</v>
      </c>
      <c r="O826" s="231">
        <v>2023</v>
      </c>
      <c r="P826" s="281"/>
      <c r="Q826" s="231"/>
      <c r="R826" s="231"/>
      <c r="S826" s="236" t="s">
        <v>453</v>
      </c>
      <c r="T826" s="236" t="s">
        <v>264</v>
      </c>
    </row>
    <row r="827" spans="1:20" ht="14">
      <c r="A827" s="231">
        <v>826</v>
      </c>
      <c r="B827" s="235" t="s">
        <v>52</v>
      </c>
      <c r="C827" s="231" t="s">
        <v>10</v>
      </c>
      <c r="D827" s="250" t="s">
        <v>2185</v>
      </c>
      <c r="E827" s="251" t="s">
        <v>2186</v>
      </c>
      <c r="F827" s="231" t="s">
        <v>888</v>
      </c>
      <c r="G827" s="231" cm="1">
        <f t="array" ref="G827">_xlfn.IFS(J827&lt;301,2,J827&gt;300,48)</f>
        <v>48</v>
      </c>
      <c r="H827" s="231" t="s">
        <v>2773</v>
      </c>
      <c r="I827" s="281">
        <v>0</v>
      </c>
      <c r="J827" s="249">
        <v>450</v>
      </c>
      <c r="K827" s="231">
        <f t="shared" si="12"/>
        <v>20</v>
      </c>
      <c r="L827" s="231"/>
      <c r="M827" s="231" t="s">
        <v>16</v>
      </c>
      <c r="N827" s="231" t="s">
        <v>253</v>
      </c>
      <c r="O827" s="231">
        <v>2023</v>
      </c>
      <c r="P827" s="281"/>
      <c r="Q827" s="231"/>
      <c r="R827" s="231"/>
      <c r="S827" s="236" t="s">
        <v>453</v>
      </c>
      <c r="T827" s="236" t="s">
        <v>264</v>
      </c>
    </row>
    <row r="828" spans="1:20" ht="14">
      <c r="A828" s="231">
        <v>827</v>
      </c>
      <c r="B828" s="235" t="s">
        <v>52</v>
      </c>
      <c r="C828" s="231" t="s">
        <v>10</v>
      </c>
      <c r="D828" s="250" t="s">
        <v>2187</v>
      </c>
      <c r="E828" s="239" t="s">
        <v>2188</v>
      </c>
      <c r="F828" s="231" t="s">
        <v>1076</v>
      </c>
      <c r="G828" s="231" cm="1">
        <f t="array" ref="G828">_xlfn.IFS(J828&lt;301,2,J828&gt;300,48)</f>
        <v>48</v>
      </c>
      <c r="H828" s="231" t="s">
        <v>4619</v>
      </c>
      <c r="I828" s="281">
        <v>0</v>
      </c>
      <c r="J828" s="249">
        <v>400</v>
      </c>
      <c r="K828" s="231">
        <f t="shared" si="12"/>
        <v>20</v>
      </c>
      <c r="L828" s="231"/>
      <c r="M828" s="231" t="s">
        <v>16</v>
      </c>
      <c r="N828" s="231" t="s">
        <v>253</v>
      </c>
      <c r="O828" s="231">
        <v>2023</v>
      </c>
      <c r="P828" s="281"/>
      <c r="Q828" s="231"/>
      <c r="R828" s="231"/>
      <c r="S828" s="236" t="s">
        <v>453</v>
      </c>
      <c r="T828" s="236" t="s">
        <v>264</v>
      </c>
    </row>
    <row r="829" spans="1:20" ht="14">
      <c r="A829" s="231">
        <v>828</v>
      </c>
      <c r="B829" s="235" t="s">
        <v>52</v>
      </c>
      <c r="C829" s="231" t="s">
        <v>10</v>
      </c>
      <c r="D829" s="250" t="s">
        <v>4620</v>
      </c>
      <c r="E829" s="251" t="s">
        <v>2189</v>
      </c>
      <c r="F829" s="231" t="s">
        <v>881</v>
      </c>
      <c r="G829" s="231" cm="1">
        <f t="array" ref="G829">_xlfn.IFS(J829&lt;301,2,J829&gt;300,48)</f>
        <v>2</v>
      </c>
      <c r="H829" s="231" t="s">
        <v>3060</v>
      </c>
      <c r="I829" s="281">
        <v>0</v>
      </c>
      <c r="J829" s="249">
        <v>300</v>
      </c>
      <c r="K829" s="231">
        <f t="shared" si="12"/>
        <v>20</v>
      </c>
      <c r="L829" s="231"/>
      <c r="M829" s="231" t="s">
        <v>16</v>
      </c>
      <c r="N829" s="231" t="s">
        <v>253</v>
      </c>
      <c r="O829" s="231">
        <v>2023</v>
      </c>
      <c r="P829" s="281"/>
      <c r="Q829" s="231"/>
      <c r="R829" s="231"/>
      <c r="S829" s="236" t="s">
        <v>453</v>
      </c>
      <c r="T829" s="236" t="s">
        <v>264</v>
      </c>
    </row>
    <row r="830" spans="1:20" ht="14">
      <c r="A830" s="231">
        <v>829</v>
      </c>
      <c r="B830" s="235" t="s">
        <v>52</v>
      </c>
      <c r="C830" s="231" t="s">
        <v>10</v>
      </c>
      <c r="D830" s="250" t="s">
        <v>2190</v>
      </c>
      <c r="E830" s="239" t="s">
        <v>2191</v>
      </c>
      <c r="F830" s="231" t="s">
        <v>861</v>
      </c>
      <c r="G830" s="231" cm="1">
        <f t="array" ref="G830">_xlfn.IFS(J830&lt;301,2,J830&gt;300,48)</f>
        <v>48</v>
      </c>
      <c r="H830" s="231" t="s">
        <v>4621</v>
      </c>
      <c r="I830" s="281">
        <v>0</v>
      </c>
      <c r="J830" s="249">
        <v>2500</v>
      </c>
      <c r="K830" s="231">
        <f t="shared" si="12"/>
        <v>10</v>
      </c>
      <c r="L830" s="231"/>
      <c r="M830" s="299" t="s">
        <v>15</v>
      </c>
      <c r="N830" s="231" t="s">
        <v>253</v>
      </c>
      <c r="O830" s="231">
        <v>2023</v>
      </c>
      <c r="P830" s="281"/>
      <c r="Q830" s="231"/>
      <c r="R830" s="231"/>
      <c r="S830" s="236" t="s">
        <v>453</v>
      </c>
      <c r="T830" s="236" t="s">
        <v>264</v>
      </c>
    </row>
    <row r="831" spans="1:20" ht="14">
      <c r="A831" s="231">
        <v>830</v>
      </c>
      <c r="B831" s="235" t="s">
        <v>52</v>
      </c>
      <c r="C831" s="231" t="s">
        <v>10</v>
      </c>
      <c r="D831" s="250" t="s">
        <v>2192</v>
      </c>
      <c r="E831" s="251" t="s">
        <v>2193</v>
      </c>
      <c r="F831" s="231" t="s">
        <v>878</v>
      </c>
      <c r="G831" s="231" cm="1">
        <f t="array" ref="G831">_xlfn.IFS(J831&lt;301,2,J831&gt;300,48)</f>
        <v>2</v>
      </c>
      <c r="H831" s="231" t="s">
        <v>3111</v>
      </c>
      <c r="I831" s="281">
        <v>0</v>
      </c>
      <c r="J831" s="249">
        <v>300</v>
      </c>
      <c r="K831" s="231">
        <f t="shared" si="12"/>
        <v>10</v>
      </c>
      <c r="L831" s="231"/>
      <c r="M831" s="299" t="s">
        <v>15</v>
      </c>
      <c r="N831" s="231" t="s">
        <v>253</v>
      </c>
      <c r="O831" s="231">
        <v>2022</v>
      </c>
      <c r="P831" s="281"/>
      <c r="Q831" s="231"/>
      <c r="R831" s="231"/>
      <c r="S831" s="236" t="s">
        <v>453</v>
      </c>
      <c r="T831" s="236" t="s">
        <v>264</v>
      </c>
    </row>
    <row r="832" spans="1:20" ht="14">
      <c r="A832" s="231">
        <v>831</v>
      </c>
      <c r="B832" s="235" t="s">
        <v>52</v>
      </c>
      <c r="C832" s="231" t="s">
        <v>10</v>
      </c>
      <c r="D832" s="250" t="s">
        <v>2194</v>
      </c>
      <c r="E832" s="239" t="s">
        <v>2195</v>
      </c>
      <c r="F832" s="231" t="s">
        <v>881</v>
      </c>
      <c r="G832" s="231" cm="1">
        <f t="array" ref="G832">_xlfn.IFS(J832&lt;301,2,J832&gt;300,48)</f>
        <v>2</v>
      </c>
      <c r="H832" s="231" t="s">
        <v>3542</v>
      </c>
      <c r="I832" s="281">
        <v>0</v>
      </c>
      <c r="J832" s="249">
        <v>250</v>
      </c>
      <c r="K832" s="231">
        <f t="shared" ref="K832:K895" si="13">IF(M832="ONT",20,IF(M832="N/A","N/A",IF(M832="MIKROTIK",IF(J832&lt;3000,10,IF(3000&lt;J832&gt;10000,20,IF(10000&lt;J832&gt;20000,40,IF(20000&lt;J832&gt;40000,60,IF(J832&gt;40000,80,IF(J832&lt;300,3,)))))))))</f>
        <v>10</v>
      </c>
      <c r="L832" s="231"/>
      <c r="M832" s="299" t="s">
        <v>15</v>
      </c>
      <c r="N832" s="231" t="s">
        <v>253</v>
      </c>
      <c r="O832" s="231">
        <v>2022</v>
      </c>
      <c r="P832" s="281"/>
      <c r="Q832" s="231"/>
      <c r="R832" s="231"/>
      <c r="S832" s="236" t="s">
        <v>453</v>
      </c>
      <c r="T832" s="236" t="s">
        <v>264</v>
      </c>
    </row>
    <row r="833" spans="1:20" ht="14">
      <c r="A833" s="231">
        <v>832</v>
      </c>
      <c r="B833" s="235" t="s">
        <v>52</v>
      </c>
      <c r="C833" s="231" t="s">
        <v>10</v>
      </c>
      <c r="D833" s="250" t="s">
        <v>2196</v>
      </c>
      <c r="E833" s="239" t="s">
        <v>2197</v>
      </c>
      <c r="F833" s="231" t="s">
        <v>267</v>
      </c>
      <c r="G833" s="231" cm="1">
        <f t="array" ref="G833">_xlfn.IFS(J833&lt;301,2,J833&gt;300,48)</f>
        <v>48</v>
      </c>
      <c r="H833" s="231" t="s">
        <v>4648</v>
      </c>
      <c r="I833" s="281">
        <v>0</v>
      </c>
      <c r="J833" s="249">
        <v>600</v>
      </c>
      <c r="K833" s="231">
        <f t="shared" si="13"/>
        <v>10</v>
      </c>
      <c r="L833" s="231"/>
      <c r="M833" s="299" t="s">
        <v>15</v>
      </c>
      <c r="N833" s="231" t="s">
        <v>253</v>
      </c>
      <c r="O833" s="231">
        <v>2022</v>
      </c>
      <c r="P833" s="281"/>
      <c r="Q833" s="231"/>
      <c r="R833" s="231"/>
      <c r="S833" s="236" t="s">
        <v>453</v>
      </c>
      <c r="T833" s="236" t="s">
        <v>264</v>
      </c>
    </row>
    <row r="834" spans="1:20" ht="14">
      <c r="A834" s="231">
        <v>833</v>
      </c>
      <c r="B834" s="235" t="s">
        <v>52</v>
      </c>
      <c r="C834" s="231" t="s">
        <v>10</v>
      </c>
      <c r="D834" s="250" t="s">
        <v>2198</v>
      </c>
      <c r="E834" s="239" t="s">
        <v>2199</v>
      </c>
      <c r="F834" s="231" t="s">
        <v>267</v>
      </c>
      <c r="G834" s="231" cm="1">
        <f t="array" ref="G834">_xlfn.IFS(J834&lt;301,2,J834&gt;300,48)</f>
        <v>48</v>
      </c>
      <c r="H834" s="231" t="s">
        <v>3542</v>
      </c>
      <c r="I834" s="281">
        <v>0</v>
      </c>
      <c r="J834" s="249">
        <v>350</v>
      </c>
      <c r="K834" s="231">
        <f t="shared" si="13"/>
        <v>20</v>
      </c>
      <c r="L834" s="231"/>
      <c r="M834" s="231" t="s">
        <v>16</v>
      </c>
      <c r="N834" s="231" t="s">
        <v>253</v>
      </c>
      <c r="O834" s="231">
        <v>2022</v>
      </c>
      <c r="P834" s="281"/>
      <c r="Q834" s="231"/>
      <c r="R834" s="231"/>
      <c r="S834" s="236" t="s">
        <v>453</v>
      </c>
      <c r="T834" s="236" t="s">
        <v>264</v>
      </c>
    </row>
    <row r="835" spans="1:20" ht="14">
      <c r="A835" s="231">
        <v>834</v>
      </c>
      <c r="B835" s="235" t="s">
        <v>52</v>
      </c>
      <c r="C835" s="231" t="s">
        <v>10</v>
      </c>
      <c r="D835" s="250" t="s">
        <v>2200</v>
      </c>
      <c r="E835" s="251" t="s">
        <v>2201</v>
      </c>
      <c r="F835" s="231" t="s">
        <v>888</v>
      </c>
      <c r="G835" s="231" cm="1">
        <f t="array" ref="G835">_xlfn.IFS(J835&lt;301,2,J835&gt;300,48)</f>
        <v>48</v>
      </c>
      <c r="H835" s="231" t="s">
        <v>2773</v>
      </c>
      <c r="I835" s="281">
        <v>0</v>
      </c>
      <c r="J835" s="249">
        <v>350</v>
      </c>
      <c r="K835" s="231">
        <f t="shared" si="13"/>
        <v>20</v>
      </c>
      <c r="L835" s="231"/>
      <c r="M835" s="231" t="s">
        <v>16</v>
      </c>
      <c r="N835" s="231" t="s">
        <v>253</v>
      </c>
      <c r="O835" s="231">
        <v>2022</v>
      </c>
      <c r="P835" s="281"/>
      <c r="Q835" s="231"/>
      <c r="R835" s="231"/>
      <c r="S835" s="236" t="s">
        <v>453</v>
      </c>
      <c r="T835" s="236" t="s">
        <v>264</v>
      </c>
    </row>
    <row r="836" spans="1:20" ht="14">
      <c r="A836" s="231">
        <v>835</v>
      </c>
      <c r="B836" s="235" t="s">
        <v>52</v>
      </c>
      <c r="C836" s="231" t="s">
        <v>10</v>
      </c>
      <c r="D836" s="250" t="s">
        <v>2202</v>
      </c>
      <c r="E836" s="239" t="s">
        <v>2203</v>
      </c>
      <c r="F836" s="231" t="s">
        <v>888</v>
      </c>
      <c r="G836" s="231" cm="1">
        <f t="array" ref="G836">_xlfn.IFS(J836&lt;301,2,J836&gt;300,48)</f>
        <v>48</v>
      </c>
      <c r="H836" s="231" t="s">
        <v>2773</v>
      </c>
      <c r="I836" s="281">
        <v>0</v>
      </c>
      <c r="J836" s="249">
        <v>431</v>
      </c>
      <c r="K836" s="231">
        <f t="shared" si="13"/>
        <v>20</v>
      </c>
      <c r="L836" s="231"/>
      <c r="M836" s="231" t="s">
        <v>16</v>
      </c>
      <c r="N836" s="231" t="s">
        <v>253</v>
      </c>
      <c r="O836" s="231">
        <v>2022</v>
      </c>
      <c r="P836" s="281"/>
      <c r="Q836" s="231"/>
      <c r="R836" s="231"/>
      <c r="S836" s="236" t="s">
        <v>453</v>
      </c>
      <c r="T836" s="236" t="s">
        <v>264</v>
      </c>
    </row>
    <row r="837" spans="1:20" ht="14">
      <c r="A837" s="231">
        <v>836</v>
      </c>
      <c r="B837" s="235" t="s">
        <v>52</v>
      </c>
      <c r="C837" s="231" t="s">
        <v>10</v>
      </c>
      <c r="D837" s="254" t="s">
        <v>2204</v>
      </c>
      <c r="E837" s="239" t="s">
        <v>2205</v>
      </c>
      <c r="F837" s="231" t="s">
        <v>267</v>
      </c>
      <c r="G837" s="231" cm="1">
        <f t="array" ref="G837">_xlfn.IFS(J837&lt;301,2,J837&gt;300,48)</f>
        <v>2</v>
      </c>
      <c r="H837" s="231" t="s">
        <v>582</v>
      </c>
      <c r="I837" s="281">
        <v>0</v>
      </c>
      <c r="J837" s="249">
        <v>300</v>
      </c>
      <c r="K837" s="231">
        <f t="shared" si="13"/>
        <v>20</v>
      </c>
      <c r="L837" s="231"/>
      <c r="M837" s="231" t="s">
        <v>16</v>
      </c>
      <c r="N837" s="231" t="s">
        <v>253</v>
      </c>
      <c r="O837" s="231">
        <v>2022</v>
      </c>
      <c r="P837" s="281"/>
      <c r="Q837" s="231"/>
      <c r="R837" s="231"/>
      <c r="S837" s="236" t="s">
        <v>453</v>
      </c>
      <c r="T837" s="236" t="s">
        <v>264</v>
      </c>
    </row>
    <row r="838" spans="1:20" ht="14">
      <c r="A838" s="231">
        <v>837</v>
      </c>
      <c r="B838" s="235" t="s">
        <v>52</v>
      </c>
      <c r="C838" s="231" t="s">
        <v>10</v>
      </c>
      <c r="D838" s="248" t="s">
        <v>2206</v>
      </c>
      <c r="E838" s="239" t="s">
        <v>2207</v>
      </c>
      <c r="F838" s="231" t="s">
        <v>267</v>
      </c>
      <c r="G838" s="231" cm="1">
        <f t="array" ref="G838">_xlfn.IFS(J838&lt;301,2,J838&gt;300,48)</f>
        <v>2</v>
      </c>
      <c r="H838" s="231" t="s">
        <v>582</v>
      </c>
      <c r="I838" s="281">
        <v>0</v>
      </c>
      <c r="J838" s="249">
        <v>300</v>
      </c>
      <c r="K838" s="231">
        <f t="shared" si="13"/>
        <v>20</v>
      </c>
      <c r="L838" s="231"/>
      <c r="M838" s="231" t="s">
        <v>16</v>
      </c>
      <c r="N838" s="231" t="s">
        <v>253</v>
      </c>
      <c r="O838" s="231">
        <v>2022</v>
      </c>
      <c r="P838" s="281"/>
      <c r="Q838" s="231"/>
      <c r="R838" s="231"/>
      <c r="S838" s="236" t="s">
        <v>453</v>
      </c>
      <c r="T838" s="236" t="s">
        <v>264</v>
      </c>
    </row>
    <row r="839" spans="1:20" ht="14">
      <c r="A839" s="231">
        <v>838</v>
      </c>
      <c r="B839" s="235" t="s">
        <v>52</v>
      </c>
      <c r="C839" s="231" t="s">
        <v>10</v>
      </c>
      <c r="D839" s="250" t="s">
        <v>2208</v>
      </c>
      <c r="E839" s="239" t="s">
        <v>2209</v>
      </c>
      <c r="F839" s="231" t="s">
        <v>881</v>
      </c>
      <c r="G839" s="231" cm="1">
        <f t="array" ref="G839">_xlfn.IFS(J839&lt;301,2,J839&gt;300,48)</f>
        <v>48</v>
      </c>
      <c r="H839" s="231" t="s">
        <v>4616</v>
      </c>
      <c r="I839" s="281">
        <v>0</v>
      </c>
      <c r="J839" s="249">
        <v>5300</v>
      </c>
      <c r="K839" s="231">
        <f t="shared" si="13"/>
        <v>20</v>
      </c>
      <c r="L839" s="231"/>
      <c r="M839" s="231" t="s">
        <v>16</v>
      </c>
      <c r="N839" s="231" t="s">
        <v>253</v>
      </c>
      <c r="O839" s="231">
        <v>2022</v>
      </c>
      <c r="P839" s="281"/>
      <c r="Q839" s="231"/>
      <c r="R839" s="231"/>
      <c r="S839" s="236" t="s">
        <v>453</v>
      </c>
      <c r="T839" s="236" t="s">
        <v>264</v>
      </c>
    </row>
    <row r="840" spans="1:20" ht="14">
      <c r="A840" s="231">
        <v>839</v>
      </c>
      <c r="B840" s="235" t="s">
        <v>52</v>
      </c>
      <c r="C840" s="231" t="s">
        <v>10</v>
      </c>
      <c r="D840" s="248" t="s">
        <v>2210</v>
      </c>
      <c r="E840" s="254" t="s">
        <v>2211</v>
      </c>
      <c r="F840" s="231" t="s">
        <v>854</v>
      </c>
      <c r="G840" s="231" cm="1">
        <f t="array" ref="G840">_xlfn.IFS(J840&lt;301,2,J840&gt;300,48)</f>
        <v>48</v>
      </c>
      <c r="H840" s="231" t="s">
        <v>2763</v>
      </c>
      <c r="I840" s="281">
        <v>0</v>
      </c>
      <c r="J840" s="249">
        <v>400</v>
      </c>
      <c r="K840" s="231">
        <f t="shared" si="13"/>
        <v>20</v>
      </c>
      <c r="L840" s="231"/>
      <c r="M840" s="231" t="s">
        <v>16</v>
      </c>
      <c r="N840" s="231" t="s">
        <v>253</v>
      </c>
      <c r="O840" s="231">
        <v>2022</v>
      </c>
      <c r="P840" s="281"/>
      <c r="Q840" s="231"/>
      <c r="R840" s="231"/>
      <c r="S840" s="236" t="s">
        <v>453</v>
      </c>
      <c r="T840" s="236" t="s">
        <v>264</v>
      </c>
    </row>
    <row r="841" spans="1:20" ht="14">
      <c r="A841" s="231">
        <v>840</v>
      </c>
      <c r="B841" s="235" t="s">
        <v>52</v>
      </c>
      <c r="C841" s="231" t="s">
        <v>10</v>
      </c>
      <c r="D841" s="250" t="s">
        <v>2212</v>
      </c>
      <c r="E841" s="254" t="s">
        <v>2213</v>
      </c>
      <c r="F841" s="231" t="s">
        <v>888</v>
      </c>
      <c r="G841" s="231" cm="1">
        <f t="array" ref="G841">_xlfn.IFS(J841&lt;301,2,J841&gt;300,48)</f>
        <v>48</v>
      </c>
      <c r="H841" s="231" t="s">
        <v>2773</v>
      </c>
      <c r="I841" s="281">
        <v>0</v>
      </c>
      <c r="J841" s="249">
        <v>600</v>
      </c>
      <c r="K841" s="231">
        <f t="shared" si="13"/>
        <v>20</v>
      </c>
      <c r="L841" s="231"/>
      <c r="M841" s="231" t="s">
        <v>16</v>
      </c>
      <c r="N841" s="231" t="s">
        <v>253</v>
      </c>
      <c r="O841" s="231">
        <v>2022</v>
      </c>
      <c r="P841" s="281"/>
      <c r="Q841" s="231"/>
      <c r="R841" s="231"/>
      <c r="S841" s="236" t="s">
        <v>453</v>
      </c>
      <c r="T841" s="236" t="s">
        <v>264</v>
      </c>
    </row>
    <row r="842" spans="1:20" ht="14">
      <c r="A842" s="231">
        <v>841</v>
      </c>
      <c r="B842" s="235" t="s">
        <v>52</v>
      </c>
      <c r="C842" s="231" t="s">
        <v>10</v>
      </c>
      <c r="D842" s="250" t="s">
        <v>2214</v>
      </c>
      <c r="E842" s="254" t="s">
        <v>2215</v>
      </c>
      <c r="F842" s="231" t="s">
        <v>267</v>
      </c>
      <c r="G842" s="231" cm="1">
        <f t="array" ref="G842">_xlfn.IFS(J842&lt;301,2,J842&gt;300,48)</f>
        <v>2</v>
      </c>
      <c r="H842" s="231" t="s">
        <v>4630</v>
      </c>
      <c r="I842" s="281">
        <v>0</v>
      </c>
      <c r="J842" s="249">
        <v>300</v>
      </c>
      <c r="K842" s="231">
        <f t="shared" si="13"/>
        <v>20</v>
      </c>
      <c r="L842" s="231"/>
      <c r="M842" s="231" t="s">
        <v>16</v>
      </c>
      <c r="N842" s="231" t="s">
        <v>253</v>
      </c>
      <c r="O842" s="231">
        <v>2022</v>
      </c>
      <c r="P842" s="281"/>
      <c r="Q842" s="231"/>
      <c r="R842" s="231"/>
      <c r="S842" s="236" t="s">
        <v>453</v>
      </c>
      <c r="T842" s="236" t="s">
        <v>264</v>
      </c>
    </row>
    <row r="843" spans="1:20" ht="14">
      <c r="A843" s="231">
        <v>842</v>
      </c>
      <c r="B843" s="235" t="s">
        <v>52</v>
      </c>
      <c r="C843" s="231" t="s">
        <v>10</v>
      </c>
      <c r="D843" s="250" t="s">
        <v>2216</v>
      </c>
      <c r="E843" s="254" t="s">
        <v>2217</v>
      </c>
      <c r="F843" s="231" t="s">
        <v>854</v>
      </c>
      <c r="G843" s="231" cm="1">
        <f t="array" ref="G843">_xlfn.IFS(J843&lt;301,2,J843&gt;300,48)</f>
        <v>2</v>
      </c>
      <c r="H843" s="231" t="s">
        <v>2763</v>
      </c>
      <c r="I843" s="281">
        <v>0</v>
      </c>
      <c r="J843" s="249">
        <v>300</v>
      </c>
      <c r="K843" s="231">
        <f t="shared" si="13"/>
        <v>20</v>
      </c>
      <c r="L843" s="231"/>
      <c r="M843" s="231" t="s">
        <v>16</v>
      </c>
      <c r="N843" s="231" t="s">
        <v>253</v>
      </c>
      <c r="O843" s="231">
        <v>2022</v>
      </c>
      <c r="P843" s="281"/>
      <c r="Q843" s="231"/>
      <c r="R843" s="231"/>
      <c r="S843" s="236" t="s">
        <v>453</v>
      </c>
      <c r="T843" s="236" t="s">
        <v>264</v>
      </c>
    </row>
    <row r="844" spans="1:20" ht="14">
      <c r="A844" s="231">
        <v>843</v>
      </c>
      <c r="B844" s="235" t="s">
        <v>52</v>
      </c>
      <c r="C844" s="231" t="s">
        <v>10</v>
      </c>
      <c r="D844" s="250" t="s">
        <v>2218</v>
      </c>
      <c r="E844" s="239" t="s">
        <v>2219</v>
      </c>
      <c r="F844" s="231" t="s">
        <v>861</v>
      </c>
      <c r="G844" s="231" cm="1">
        <f t="array" ref="G844">_xlfn.IFS(J844&lt;301,2,J844&gt;300,48)</f>
        <v>48</v>
      </c>
      <c r="H844" s="231" t="s">
        <v>3524</v>
      </c>
      <c r="I844" s="281">
        <v>0</v>
      </c>
      <c r="J844" s="249">
        <v>600</v>
      </c>
      <c r="K844" s="231">
        <f t="shared" si="13"/>
        <v>10</v>
      </c>
      <c r="L844" s="231"/>
      <c r="M844" s="299" t="s">
        <v>15</v>
      </c>
      <c r="N844" s="231" t="s">
        <v>253</v>
      </c>
      <c r="O844" s="231">
        <v>2021</v>
      </c>
      <c r="P844" s="281"/>
      <c r="Q844" s="231"/>
      <c r="R844" s="231"/>
      <c r="S844" s="236" t="s">
        <v>453</v>
      </c>
      <c r="T844" s="236" t="s">
        <v>264</v>
      </c>
    </row>
    <row r="845" spans="1:20" ht="14">
      <c r="A845" s="231">
        <v>844</v>
      </c>
      <c r="B845" s="235" t="s">
        <v>52</v>
      </c>
      <c r="C845" s="231" t="s">
        <v>10</v>
      </c>
      <c r="D845" s="250" t="s">
        <v>2220</v>
      </c>
      <c r="E845" s="239" t="s">
        <v>2221</v>
      </c>
      <c r="F845" s="231" t="s">
        <v>888</v>
      </c>
      <c r="G845" s="231" cm="1">
        <f t="array" ref="G845">_xlfn.IFS(J845&lt;301,2,J845&gt;300,48)</f>
        <v>48</v>
      </c>
      <c r="H845" s="231" t="s">
        <v>4542</v>
      </c>
      <c r="I845" s="281">
        <v>0</v>
      </c>
      <c r="J845" s="249">
        <v>1500</v>
      </c>
      <c r="K845" s="231">
        <f t="shared" si="13"/>
        <v>20</v>
      </c>
      <c r="L845" s="231"/>
      <c r="M845" s="231" t="s">
        <v>16</v>
      </c>
      <c r="N845" s="231" t="s">
        <v>253</v>
      </c>
      <c r="O845" s="231">
        <v>2023</v>
      </c>
      <c r="P845" s="281"/>
      <c r="Q845" s="231"/>
      <c r="R845" s="231"/>
      <c r="S845" s="236" t="s">
        <v>453</v>
      </c>
      <c r="T845" s="236" t="s">
        <v>264</v>
      </c>
    </row>
    <row r="846" spans="1:20" ht="14">
      <c r="A846" s="231">
        <v>845</v>
      </c>
      <c r="B846" s="235" t="s">
        <v>52</v>
      </c>
      <c r="C846" s="231" t="s">
        <v>10</v>
      </c>
      <c r="D846" s="250" t="s">
        <v>2222</v>
      </c>
      <c r="E846" s="254" t="s">
        <v>2223</v>
      </c>
      <c r="F846" s="231" t="s">
        <v>267</v>
      </c>
      <c r="G846" s="231" cm="1">
        <f t="array" ref="G846">_xlfn.IFS(J846&lt;301,2,J846&gt;300,48)</f>
        <v>48</v>
      </c>
      <c r="H846" s="231" t="s">
        <v>3512</v>
      </c>
      <c r="I846" s="281">
        <v>0</v>
      </c>
      <c r="J846" s="249">
        <v>455</v>
      </c>
      <c r="K846" s="231">
        <f t="shared" si="13"/>
        <v>20</v>
      </c>
      <c r="L846" s="231"/>
      <c r="M846" s="231" t="s">
        <v>16</v>
      </c>
      <c r="N846" s="231" t="s">
        <v>253</v>
      </c>
      <c r="O846" s="231">
        <v>2021</v>
      </c>
      <c r="P846" s="281"/>
      <c r="Q846" s="231"/>
      <c r="R846" s="231"/>
      <c r="S846" s="236" t="s">
        <v>453</v>
      </c>
      <c r="T846" s="236" t="s">
        <v>264</v>
      </c>
    </row>
    <row r="847" spans="1:20" ht="14">
      <c r="A847" s="231">
        <v>846</v>
      </c>
      <c r="B847" s="235" t="s">
        <v>52</v>
      </c>
      <c r="C847" s="231" t="s">
        <v>10</v>
      </c>
      <c r="D847" s="250" t="s">
        <v>2224</v>
      </c>
      <c r="E847" s="254" t="s">
        <v>2225</v>
      </c>
      <c r="F847" s="231" t="s">
        <v>1076</v>
      </c>
      <c r="G847" s="231" cm="1">
        <f t="array" ref="G847">_xlfn.IFS(J847&lt;301,2,J847&gt;300,48)</f>
        <v>48</v>
      </c>
      <c r="H847" s="231" t="s">
        <v>4664</v>
      </c>
      <c r="I847" s="281">
        <v>0</v>
      </c>
      <c r="J847" s="249">
        <v>700</v>
      </c>
      <c r="K847" s="231">
        <f t="shared" si="13"/>
        <v>10</v>
      </c>
      <c r="L847" s="231"/>
      <c r="M847" s="299" t="s">
        <v>15</v>
      </c>
      <c r="N847" s="231" t="s">
        <v>253</v>
      </c>
      <c r="O847" s="231">
        <v>2022</v>
      </c>
      <c r="P847" s="281"/>
      <c r="Q847" s="231"/>
      <c r="R847" s="231"/>
      <c r="S847" s="236" t="s">
        <v>453</v>
      </c>
      <c r="T847" s="236" t="s">
        <v>264</v>
      </c>
    </row>
    <row r="848" spans="1:20" ht="14">
      <c r="A848" s="231">
        <v>847</v>
      </c>
      <c r="B848" s="235" t="s">
        <v>52</v>
      </c>
      <c r="C848" s="231" t="s">
        <v>10</v>
      </c>
      <c r="D848" s="250" t="s">
        <v>2226</v>
      </c>
      <c r="E848" s="239" t="s">
        <v>2227</v>
      </c>
      <c r="F848" s="231" t="s">
        <v>267</v>
      </c>
      <c r="G848" s="231" cm="1">
        <f t="array" ref="G848">_xlfn.IFS(J848&lt;301,2,J848&gt;300,48)</f>
        <v>2</v>
      </c>
      <c r="H848" s="231" t="s">
        <v>2765</v>
      </c>
      <c r="I848" s="281">
        <v>0</v>
      </c>
      <c r="J848" s="249">
        <v>300</v>
      </c>
      <c r="K848" s="231">
        <f t="shared" si="13"/>
        <v>20</v>
      </c>
      <c r="L848" s="231"/>
      <c r="M848" s="231" t="s">
        <v>16</v>
      </c>
      <c r="N848" s="231" t="s">
        <v>253</v>
      </c>
      <c r="O848" s="231">
        <v>2022</v>
      </c>
      <c r="P848" s="281"/>
      <c r="Q848" s="231"/>
      <c r="R848" s="231"/>
      <c r="S848" s="236" t="s">
        <v>453</v>
      </c>
      <c r="T848" s="236" t="s">
        <v>264</v>
      </c>
    </row>
    <row r="849" spans="1:20" ht="14">
      <c r="A849" s="231">
        <v>848</v>
      </c>
      <c r="B849" s="235" t="s">
        <v>52</v>
      </c>
      <c r="C849" s="231" t="s">
        <v>10</v>
      </c>
      <c r="D849" s="250" t="s">
        <v>2228</v>
      </c>
      <c r="E849" s="254" t="s">
        <v>2229</v>
      </c>
      <c r="F849" s="231" t="s">
        <v>854</v>
      </c>
      <c r="G849" s="231" cm="1">
        <f t="array" ref="G849">_xlfn.IFS(J849&lt;301,2,J849&gt;300,48)</f>
        <v>48</v>
      </c>
      <c r="H849" s="231" t="s">
        <v>2763</v>
      </c>
      <c r="I849" s="281">
        <v>0</v>
      </c>
      <c r="J849" s="249">
        <v>2500</v>
      </c>
      <c r="K849" s="231">
        <f t="shared" si="13"/>
        <v>20</v>
      </c>
      <c r="L849" s="231"/>
      <c r="M849" s="231" t="s">
        <v>16</v>
      </c>
      <c r="N849" s="231" t="s">
        <v>253</v>
      </c>
      <c r="O849" s="231">
        <v>2022</v>
      </c>
      <c r="P849" s="281"/>
      <c r="Q849" s="231"/>
      <c r="R849" s="231"/>
      <c r="S849" s="236" t="s">
        <v>453</v>
      </c>
      <c r="T849" s="236" t="s">
        <v>264</v>
      </c>
    </row>
    <row r="850" spans="1:20" ht="14">
      <c r="A850" s="231">
        <v>849</v>
      </c>
      <c r="B850" s="235" t="s">
        <v>52</v>
      </c>
      <c r="C850" s="231" t="s">
        <v>10</v>
      </c>
      <c r="D850" s="250" t="s">
        <v>2230</v>
      </c>
      <c r="E850" s="239" t="s">
        <v>2231</v>
      </c>
      <c r="F850" s="231" t="s">
        <v>881</v>
      </c>
      <c r="G850" s="231" cm="1">
        <f t="array" ref="G850">_xlfn.IFS(J850&lt;301,2,J850&gt;300,48)</f>
        <v>2</v>
      </c>
      <c r="H850" s="231" t="s">
        <v>3060</v>
      </c>
      <c r="I850" s="281">
        <v>0</v>
      </c>
      <c r="J850" s="249">
        <v>300</v>
      </c>
      <c r="K850" s="231">
        <f t="shared" si="13"/>
        <v>20</v>
      </c>
      <c r="L850" s="231"/>
      <c r="M850" s="231" t="s">
        <v>16</v>
      </c>
      <c r="N850" s="231" t="s">
        <v>253</v>
      </c>
      <c r="O850" s="231">
        <v>2022</v>
      </c>
      <c r="P850" s="281"/>
      <c r="Q850" s="231"/>
      <c r="R850" s="231"/>
      <c r="S850" s="236" t="s">
        <v>453</v>
      </c>
      <c r="T850" s="236" t="s">
        <v>264</v>
      </c>
    </row>
    <row r="851" spans="1:20" ht="14">
      <c r="A851" s="231">
        <v>850</v>
      </c>
      <c r="B851" s="235" t="s">
        <v>52</v>
      </c>
      <c r="C851" s="231" t="s">
        <v>10</v>
      </c>
      <c r="D851" s="250" t="s">
        <v>2232</v>
      </c>
      <c r="E851" s="254" t="s">
        <v>2233</v>
      </c>
      <c r="F851" s="231" t="s">
        <v>881</v>
      </c>
      <c r="G851" s="231" cm="1">
        <f t="array" ref="G851">_xlfn.IFS(J851&lt;301,2,J851&gt;300,48)</f>
        <v>2</v>
      </c>
      <c r="H851" s="231" t="s">
        <v>2875</v>
      </c>
      <c r="I851" s="281">
        <v>0</v>
      </c>
      <c r="J851" s="249">
        <v>300</v>
      </c>
      <c r="K851" s="231">
        <f t="shared" si="13"/>
        <v>20</v>
      </c>
      <c r="L851" s="231"/>
      <c r="M851" s="231" t="s">
        <v>16</v>
      </c>
      <c r="N851" s="231" t="s">
        <v>253</v>
      </c>
      <c r="O851" s="231">
        <v>2022</v>
      </c>
      <c r="P851" s="281"/>
      <c r="Q851" s="231"/>
      <c r="R851" s="231"/>
      <c r="S851" s="236" t="s">
        <v>453</v>
      </c>
      <c r="T851" s="236" t="s">
        <v>264</v>
      </c>
    </row>
    <row r="852" spans="1:20" ht="14">
      <c r="A852" s="231">
        <v>851</v>
      </c>
      <c r="B852" s="235" t="s">
        <v>52</v>
      </c>
      <c r="C852" s="231" t="s">
        <v>10</v>
      </c>
      <c r="D852" s="248" t="s">
        <v>2234</v>
      </c>
      <c r="E852" s="239" t="s">
        <v>2235</v>
      </c>
      <c r="F852" s="231" t="s">
        <v>267</v>
      </c>
      <c r="G852" s="231" cm="1">
        <f t="array" ref="G852">_xlfn.IFS(J852&lt;301,2,J852&gt;300,48)</f>
        <v>48</v>
      </c>
      <c r="H852" s="231" t="s">
        <v>2763</v>
      </c>
      <c r="I852" s="281">
        <v>0</v>
      </c>
      <c r="J852" s="249">
        <v>500</v>
      </c>
      <c r="K852" s="231">
        <f t="shared" si="13"/>
        <v>20</v>
      </c>
      <c r="L852" s="231"/>
      <c r="M852" s="231" t="s">
        <v>16</v>
      </c>
      <c r="N852" s="231" t="s">
        <v>253</v>
      </c>
      <c r="O852" s="231">
        <v>2022</v>
      </c>
      <c r="P852" s="281"/>
      <c r="Q852" s="231"/>
      <c r="R852" s="231"/>
      <c r="S852" s="236" t="s">
        <v>453</v>
      </c>
      <c r="T852" s="236" t="s">
        <v>264</v>
      </c>
    </row>
    <row r="853" spans="1:20" ht="14">
      <c r="A853" s="231">
        <v>852</v>
      </c>
      <c r="B853" s="235" t="s">
        <v>52</v>
      </c>
      <c r="C853" s="231" t="s">
        <v>10</v>
      </c>
      <c r="D853" s="248" t="s">
        <v>2236</v>
      </c>
      <c r="E853" s="239" t="s">
        <v>2237</v>
      </c>
      <c r="F853" s="231" t="s">
        <v>267</v>
      </c>
      <c r="G853" s="231" cm="1">
        <f t="array" ref="G853">_xlfn.IFS(J853&lt;301,2,J853&gt;300,48)</f>
        <v>48</v>
      </c>
      <c r="H853" s="231" t="s">
        <v>3512</v>
      </c>
      <c r="I853" s="281">
        <v>0</v>
      </c>
      <c r="J853" s="249">
        <v>700</v>
      </c>
      <c r="K853" s="231">
        <f t="shared" si="13"/>
        <v>20</v>
      </c>
      <c r="L853" s="231"/>
      <c r="M853" s="231" t="s">
        <v>16</v>
      </c>
      <c r="N853" s="231" t="s">
        <v>253</v>
      </c>
      <c r="O853" s="231">
        <v>2022</v>
      </c>
      <c r="P853" s="281"/>
      <c r="Q853" s="231"/>
      <c r="R853" s="231"/>
      <c r="S853" s="236" t="s">
        <v>453</v>
      </c>
      <c r="T853" s="236" t="s">
        <v>264</v>
      </c>
    </row>
    <row r="854" spans="1:20" ht="14">
      <c r="A854" s="231">
        <v>853</v>
      </c>
      <c r="B854" s="235" t="s">
        <v>52</v>
      </c>
      <c r="C854" s="231" t="s">
        <v>10</v>
      </c>
      <c r="D854" s="252" t="s">
        <v>2238</v>
      </c>
      <c r="E854" s="239" t="s">
        <v>2239</v>
      </c>
      <c r="F854" s="231" t="s">
        <v>888</v>
      </c>
      <c r="G854" s="231" cm="1">
        <f t="array" ref="G854">_xlfn.IFS(J854&lt;301,2,J854&gt;300,48)</f>
        <v>48</v>
      </c>
      <c r="H854" s="231" t="s">
        <v>2781</v>
      </c>
      <c r="I854" s="281">
        <v>0</v>
      </c>
      <c r="J854" s="249">
        <v>750</v>
      </c>
      <c r="K854" s="231" t="str">
        <f t="shared" si="13"/>
        <v>N/A</v>
      </c>
      <c r="L854" s="231"/>
      <c r="M854" s="231" t="s">
        <v>456</v>
      </c>
      <c r="N854" s="231" t="s">
        <v>253</v>
      </c>
      <c r="O854" s="231">
        <v>2020</v>
      </c>
      <c r="P854" s="281"/>
      <c r="Q854" s="231"/>
      <c r="R854" s="231"/>
      <c r="S854" s="236" t="s">
        <v>457</v>
      </c>
      <c r="T854" s="236"/>
    </row>
    <row r="855" spans="1:20" ht="14">
      <c r="A855" s="231">
        <v>854</v>
      </c>
      <c r="B855" s="235" t="s">
        <v>53</v>
      </c>
      <c r="C855" s="231" t="s">
        <v>10</v>
      </c>
      <c r="D855" s="250" t="s">
        <v>2240</v>
      </c>
      <c r="E855" s="239" t="s">
        <v>2241</v>
      </c>
      <c r="F855" s="231" t="s">
        <v>2242</v>
      </c>
      <c r="G855" s="231" cm="1">
        <f t="array" ref="G855">_xlfn.IFS(J855&lt;301,2,J855&gt;300,48)</f>
        <v>48</v>
      </c>
      <c r="H855" s="231" t="s">
        <v>4653</v>
      </c>
      <c r="I855" s="281">
        <v>0</v>
      </c>
      <c r="J855" s="249">
        <v>830</v>
      </c>
      <c r="K855" s="231">
        <f t="shared" si="13"/>
        <v>10</v>
      </c>
      <c r="L855" s="231"/>
      <c r="M855" s="299" t="s">
        <v>15</v>
      </c>
      <c r="N855" s="231" t="s">
        <v>253</v>
      </c>
      <c r="O855" s="231">
        <v>2021</v>
      </c>
      <c r="P855" s="281"/>
      <c r="Q855" s="231"/>
      <c r="R855" s="231"/>
      <c r="S855" s="236" t="s">
        <v>453</v>
      </c>
      <c r="T855" s="236" t="s">
        <v>264</v>
      </c>
    </row>
    <row r="856" spans="1:20" ht="14">
      <c r="A856" s="231">
        <v>855</v>
      </c>
      <c r="B856" s="235" t="s">
        <v>53</v>
      </c>
      <c r="C856" s="231" t="s">
        <v>10</v>
      </c>
      <c r="D856" s="248" t="s">
        <v>2243</v>
      </c>
      <c r="E856" s="239" t="s">
        <v>2244</v>
      </c>
      <c r="F856" s="231" t="s">
        <v>2245</v>
      </c>
      <c r="G856" s="231" cm="1">
        <f t="array" ref="G856">_xlfn.IFS(J856&lt;301,2,J856&gt;300,48)</f>
        <v>48</v>
      </c>
      <c r="H856" s="231" t="s">
        <v>213</v>
      </c>
      <c r="I856" s="281">
        <v>0</v>
      </c>
      <c r="J856" s="249">
        <v>1000</v>
      </c>
      <c r="K856" s="231">
        <f t="shared" si="13"/>
        <v>10</v>
      </c>
      <c r="L856" s="231"/>
      <c r="M856" s="299" t="s">
        <v>15</v>
      </c>
      <c r="N856" s="231" t="s">
        <v>253</v>
      </c>
      <c r="O856" s="231">
        <v>2022</v>
      </c>
      <c r="P856" s="281"/>
      <c r="Q856" s="231"/>
      <c r="R856" s="231"/>
      <c r="S856" s="236" t="s">
        <v>453</v>
      </c>
      <c r="T856" s="236" t="s">
        <v>264</v>
      </c>
    </row>
    <row r="857" spans="1:20" ht="14">
      <c r="A857" s="231">
        <v>856</v>
      </c>
      <c r="B857" s="235" t="s">
        <v>53</v>
      </c>
      <c r="C857" s="231" t="s">
        <v>10</v>
      </c>
      <c r="D857" s="250" t="s">
        <v>2246</v>
      </c>
      <c r="E857" s="239" t="s">
        <v>1765</v>
      </c>
      <c r="F857" s="231" t="s">
        <v>1765</v>
      </c>
      <c r="G857" s="231" cm="1">
        <f t="array" ref="G857">_xlfn.IFS(J857&lt;301,2,J857&gt;300,48)</f>
        <v>48</v>
      </c>
      <c r="H857" s="231" t="s">
        <v>207</v>
      </c>
      <c r="I857" s="281">
        <v>0</v>
      </c>
      <c r="J857" s="249">
        <v>1000</v>
      </c>
      <c r="K857" s="231" t="str">
        <f t="shared" si="13"/>
        <v>N/A</v>
      </c>
      <c r="L857" s="231"/>
      <c r="M857" s="231" t="s">
        <v>456</v>
      </c>
      <c r="N857" s="231" t="s">
        <v>253</v>
      </c>
      <c r="O857" s="231">
        <v>2022</v>
      </c>
      <c r="P857" s="281"/>
      <c r="Q857" s="231"/>
      <c r="R857" s="231"/>
      <c r="S857" s="236" t="s">
        <v>453</v>
      </c>
      <c r="T857" s="236" t="s">
        <v>264</v>
      </c>
    </row>
    <row r="858" spans="1:20" ht="14">
      <c r="A858" s="231">
        <v>857</v>
      </c>
      <c r="B858" s="235" t="s">
        <v>55</v>
      </c>
      <c r="C858" s="231" t="s">
        <v>10</v>
      </c>
      <c r="D858" s="250" t="s">
        <v>2247</v>
      </c>
      <c r="E858" s="239" t="s">
        <v>2248</v>
      </c>
      <c r="F858" s="231" t="s">
        <v>1626</v>
      </c>
      <c r="G858" s="231" cm="1">
        <f t="array" ref="G858">_xlfn.IFS(J858&lt;301,2,J858&gt;300,48)</f>
        <v>48</v>
      </c>
      <c r="H858" s="231" t="s">
        <v>2894</v>
      </c>
      <c r="I858" s="281">
        <v>0</v>
      </c>
      <c r="J858" s="249">
        <v>1000</v>
      </c>
      <c r="K858" s="231">
        <f t="shared" si="13"/>
        <v>10</v>
      </c>
      <c r="L858" s="231"/>
      <c r="M858" s="299" t="s">
        <v>15</v>
      </c>
      <c r="N858" s="231" t="s">
        <v>253</v>
      </c>
      <c r="O858" s="231">
        <v>2021</v>
      </c>
      <c r="P858" s="281"/>
      <c r="Q858" s="231"/>
      <c r="R858" s="231"/>
      <c r="S858" s="236" t="s">
        <v>453</v>
      </c>
      <c r="T858" s="236" t="s">
        <v>264</v>
      </c>
    </row>
    <row r="859" spans="1:20" ht="14">
      <c r="A859" s="231">
        <v>858</v>
      </c>
      <c r="B859" s="235" t="s">
        <v>55</v>
      </c>
      <c r="C859" s="231" t="s">
        <v>10</v>
      </c>
      <c r="D859" s="250" t="s">
        <v>2249</v>
      </c>
      <c r="E859" s="239" t="s">
        <v>2250</v>
      </c>
      <c r="F859" s="231" t="s">
        <v>1626</v>
      </c>
      <c r="G859" s="231" cm="1">
        <f t="array" ref="G859">_xlfn.IFS(J859&lt;301,2,J859&gt;300,48)</f>
        <v>48</v>
      </c>
      <c r="H859" s="231" t="s">
        <v>2894</v>
      </c>
      <c r="I859" s="281">
        <v>0</v>
      </c>
      <c r="J859" s="249">
        <v>3000</v>
      </c>
      <c r="K859" s="231">
        <f t="shared" si="13"/>
        <v>20</v>
      </c>
      <c r="L859" s="231"/>
      <c r="M859" s="299" t="s">
        <v>15</v>
      </c>
      <c r="N859" s="231" t="s">
        <v>253</v>
      </c>
      <c r="O859" s="231">
        <v>2021</v>
      </c>
      <c r="P859" s="281"/>
      <c r="Q859" s="231"/>
      <c r="R859" s="231"/>
      <c r="S859" s="236" t="s">
        <v>453</v>
      </c>
      <c r="T859" s="236" t="s">
        <v>264</v>
      </c>
    </row>
    <row r="860" spans="1:20" ht="14">
      <c r="A860" s="231">
        <v>859</v>
      </c>
      <c r="B860" s="235" t="s">
        <v>55</v>
      </c>
      <c r="C860" s="231" t="s">
        <v>10</v>
      </c>
      <c r="D860" s="250" t="s">
        <v>2251</v>
      </c>
      <c r="E860" s="239" t="s">
        <v>2252</v>
      </c>
      <c r="F860" s="231" t="s">
        <v>1626</v>
      </c>
      <c r="G860" s="231" cm="1">
        <f t="array" ref="G860">_xlfn.IFS(J860&lt;301,2,J860&gt;300,48)</f>
        <v>48</v>
      </c>
      <c r="H860" s="231" t="s">
        <v>2894</v>
      </c>
      <c r="I860" s="281">
        <v>0</v>
      </c>
      <c r="J860" s="249">
        <v>3500</v>
      </c>
      <c r="K860" s="231">
        <f t="shared" si="13"/>
        <v>20</v>
      </c>
      <c r="L860" s="231"/>
      <c r="M860" s="299" t="s">
        <v>15</v>
      </c>
      <c r="N860" s="231" t="s">
        <v>253</v>
      </c>
      <c r="O860" s="231">
        <v>2022</v>
      </c>
      <c r="P860" s="281"/>
      <c r="Q860" s="231"/>
      <c r="R860" s="231"/>
      <c r="S860" s="236" t="s">
        <v>453</v>
      </c>
      <c r="T860" s="236" t="s">
        <v>264</v>
      </c>
    </row>
    <row r="861" spans="1:20" ht="14">
      <c r="A861" s="231">
        <v>860</v>
      </c>
      <c r="B861" s="235" t="s">
        <v>55</v>
      </c>
      <c r="C861" s="231" t="s">
        <v>10</v>
      </c>
      <c r="D861" s="250" t="s">
        <v>2253</v>
      </c>
      <c r="E861" s="239" t="s">
        <v>2254</v>
      </c>
      <c r="F861" s="231" t="s">
        <v>1626</v>
      </c>
      <c r="G861" s="231" cm="1">
        <f t="array" ref="G861">_xlfn.IFS(J861&lt;301,2,J861&gt;300,48)</f>
        <v>48</v>
      </c>
      <c r="H861" s="231" t="s">
        <v>2894</v>
      </c>
      <c r="I861" s="281">
        <v>0</v>
      </c>
      <c r="J861" s="249">
        <v>2500</v>
      </c>
      <c r="K861" s="231">
        <f t="shared" si="13"/>
        <v>10</v>
      </c>
      <c r="L861" s="231"/>
      <c r="M861" s="299" t="s">
        <v>15</v>
      </c>
      <c r="N861" s="231" t="s">
        <v>253</v>
      </c>
      <c r="O861" s="231">
        <v>2021</v>
      </c>
      <c r="P861" s="281"/>
      <c r="Q861" s="231"/>
      <c r="R861" s="231"/>
      <c r="S861" s="236" t="s">
        <v>453</v>
      </c>
      <c r="T861" s="236" t="s">
        <v>264</v>
      </c>
    </row>
    <row r="862" spans="1:20" ht="14">
      <c r="A862" s="231">
        <v>861</v>
      </c>
      <c r="B862" s="235" t="s">
        <v>55</v>
      </c>
      <c r="C862" s="231" t="s">
        <v>10</v>
      </c>
      <c r="D862" s="250" t="s">
        <v>2255</v>
      </c>
      <c r="E862" s="239" t="s">
        <v>2256</v>
      </c>
      <c r="F862" s="231" t="s">
        <v>1626</v>
      </c>
      <c r="G862" s="231" cm="1">
        <f t="array" ref="G862">_xlfn.IFS(J862&lt;301,2,J862&gt;300,48)</f>
        <v>48</v>
      </c>
      <c r="H862" s="231" t="s">
        <v>2894</v>
      </c>
      <c r="I862" s="281">
        <v>0</v>
      </c>
      <c r="J862" s="249">
        <v>1300</v>
      </c>
      <c r="K862" s="231">
        <f t="shared" si="13"/>
        <v>10</v>
      </c>
      <c r="L862" s="231"/>
      <c r="M862" s="299" t="s">
        <v>15</v>
      </c>
      <c r="N862" s="231" t="s">
        <v>253</v>
      </c>
      <c r="O862" s="231">
        <v>2022</v>
      </c>
      <c r="P862" s="281"/>
      <c r="Q862" s="231"/>
      <c r="R862" s="231"/>
      <c r="S862" s="236" t="s">
        <v>453</v>
      </c>
      <c r="T862" s="236" t="s">
        <v>264</v>
      </c>
    </row>
    <row r="863" spans="1:20" ht="14">
      <c r="A863" s="231">
        <v>862</v>
      </c>
      <c r="B863" s="235" t="s">
        <v>55</v>
      </c>
      <c r="C863" s="231" t="s">
        <v>10</v>
      </c>
      <c r="D863" s="250" t="s">
        <v>2257</v>
      </c>
      <c r="E863" s="239" t="s">
        <v>2258</v>
      </c>
      <c r="F863" s="231" t="s">
        <v>1626</v>
      </c>
      <c r="G863" s="231" cm="1">
        <f t="array" ref="G863">_xlfn.IFS(J863&lt;301,2,J863&gt;300,48)</f>
        <v>48</v>
      </c>
      <c r="H863" s="231" t="s">
        <v>4644</v>
      </c>
      <c r="I863" s="281">
        <v>0</v>
      </c>
      <c r="J863" s="249">
        <v>1500</v>
      </c>
      <c r="K863" s="231">
        <f t="shared" si="13"/>
        <v>10</v>
      </c>
      <c r="L863" s="231"/>
      <c r="M863" s="299" t="s">
        <v>15</v>
      </c>
      <c r="N863" s="231" t="s">
        <v>253</v>
      </c>
      <c r="O863" s="231">
        <v>2022</v>
      </c>
      <c r="P863" s="281"/>
      <c r="Q863" s="231"/>
      <c r="R863" s="231"/>
      <c r="S863" s="236" t="s">
        <v>453</v>
      </c>
      <c r="T863" s="236" t="s">
        <v>264</v>
      </c>
    </row>
    <row r="864" spans="1:20" ht="14">
      <c r="A864" s="231">
        <v>863</v>
      </c>
      <c r="B864" s="235" t="s">
        <v>55</v>
      </c>
      <c r="C864" s="231" t="s">
        <v>10</v>
      </c>
      <c r="D864" s="250" t="s">
        <v>2259</v>
      </c>
      <c r="E864" s="239" t="s">
        <v>2260</v>
      </c>
      <c r="F864" s="231" t="s">
        <v>1626</v>
      </c>
      <c r="G864" s="231" cm="1">
        <f t="array" ref="G864">_xlfn.IFS(J864&lt;301,2,J864&gt;300,48)</f>
        <v>48</v>
      </c>
      <c r="H864" s="231" t="s">
        <v>4645</v>
      </c>
      <c r="I864" s="281">
        <v>0</v>
      </c>
      <c r="J864" s="249">
        <v>2500</v>
      </c>
      <c r="K864" s="231">
        <f t="shared" si="13"/>
        <v>10</v>
      </c>
      <c r="L864" s="231"/>
      <c r="M864" s="299" t="s">
        <v>15</v>
      </c>
      <c r="N864" s="231" t="s">
        <v>253</v>
      </c>
      <c r="O864" s="231">
        <v>2022</v>
      </c>
      <c r="P864" s="281"/>
      <c r="Q864" s="231"/>
      <c r="R864" s="231"/>
      <c r="S864" s="236" t="s">
        <v>453</v>
      </c>
      <c r="T864" s="236" t="s">
        <v>264</v>
      </c>
    </row>
    <row r="865" spans="1:20" ht="14">
      <c r="A865" s="231">
        <v>864</v>
      </c>
      <c r="B865" s="235" t="s">
        <v>55</v>
      </c>
      <c r="C865" s="231" t="s">
        <v>10</v>
      </c>
      <c r="D865" s="250" t="s">
        <v>2261</v>
      </c>
      <c r="E865" s="239" t="s">
        <v>2262</v>
      </c>
      <c r="F865" s="231" t="s">
        <v>1626</v>
      </c>
      <c r="G865" s="231" cm="1">
        <f t="array" ref="G865">_xlfn.IFS(J865&lt;301,2,J865&gt;300,48)</f>
        <v>2</v>
      </c>
      <c r="H865" s="231" t="s">
        <v>2894</v>
      </c>
      <c r="I865" s="281">
        <v>0</v>
      </c>
      <c r="J865" s="249">
        <v>100</v>
      </c>
      <c r="K865" s="231">
        <f t="shared" si="13"/>
        <v>10</v>
      </c>
      <c r="L865" s="231"/>
      <c r="M865" s="299" t="s">
        <v>15</v>
      </c>
      <c r="N865" s="231" t="s">
        <v>253</v>
      </c>
      <c r="O865" s="231">
        <v>2021</v>
      </c>
      <c r="P865" s="281"/>
      <c r="Q865" s="231"/>
      <c r="R865" s="231"/>
      <c r="S865" s="236" t="s">
        <v>453</v>
      </c>
      <c r="T865" s="236" t="s">
        <v>264</v>
      </c>
    </row>
    <row r="866" spans="1:20" ht="14">
      <c r="A866" s="231">
        <v>865</v>
      </c>
      <c r="B866" s="235" t="s">
        <v>55</v>
      </c>
      <c r="C866" s="231" t="s">
        <v>10</v>
      </c>
      <c r="D866" s="250" t="s">
        <v>2263</v>
      </c>
      <c r="E866" s="251" t="s">
        <v>2264</v>
      </c>
      <c r="F866" s="231" t="s">
        <v>1626</v>
      </c>
      <c r="G866" s="231" cm="1">
        <f t="array" ref="G866">_xlfn.IFS(J866&lt;301,2,J866&gt;300,48)</f>
        <v>48</v>
      </c>
      <c r="H866" s="231" t="s">
        <v>2894</v>
      </c>
      <c r="I866" s="281">
        <v>0</v>
      </c>
      <c r="J866" s="249">
        <v>1000</v>
      </c>
      <c r="K866" s="231">
        <f t="shared" si="13"/>
        <v>10</v>
      </c>
      <c r="L866" s="231"/>
      <c r="M866" s="299" t="s">
        <v>15</v>
      </c>
      <c r="N866" s="231" t="s">
        <v>253</v>
      </c>
      <c r="O866" s="231">
        <v>2022</v>
      </c>
      <c r="P866" s="281"/>
      <c r="Q866" s="231"/>
      <c r="R866" s="231"/>
      <c r="S866" s="236" t="s">
        <v>453</v>
      </c>
      <c r="T866" s="236" t="s">
        <v>264</v>
      </c>
    </row>
    <row r="867" spans="1:20" ht="14">
      <c r="A867" s="231">
        <v>866</v>
      </c>
      <c r="B867" s="235" t="s">
        <v>55</v>
      </c>
      <c r="C867" s="231" t="s">
        <v>10</v>
      </c>
      <c r="D867" s="250" t="s">
        <v>2265</v>
      </c>
      <c r="E867" s="251" t="s">
        <v>2266</v>
      </c>
      <c r="F867" s="231" t="s">
        <v>1626</v>
      </c>
      <c r="G867" s="231" cm="1">
        <f t="array" ref="G867">_xlfn.IFS(J867&lt;301,2,J867&gt;300,48)</f>
        <v>48</v>
      </c>
      <c r="H867" s="231" t="s">
        <v>2894</v>
      </c>
      <c r="I867" s="281">
        <v>0</v>
      </c>
      <c r="J867" s="249">
        <v>800</v>
      </c>
      <c r="K867" s="231">
        <f t="shared" si="13"/>
        <v>10</v>
      </c>
      <c r="L867" s="231"/>
      <c r="M867" s="299" t="s">
        <v>15</v>
      </c>
      <c r="N867" s="231" t="s">
        <v>253</v>
      </c>
      <c r="O867" s="231">
        <v>2022</v>
      </c>
      <c r="P867" s="281"/>
      <c r="Q867" s="231"/>
      <c r="R867" s="231"/>
      <c r="S867" s="236" t="s">
        <v>453</v>
      </c>
      <c r="T867" s="236" t="s">
        <v>264</v>
      </c>
    </row>
    <row r="868" spans="1:20" ht="14">
      <c r="A868" s="231">
        <v>867</v>
      </c>
      <c r="B868" s="235" t="s">
        <v>55</v>
      </c>
      <c r="C868" s="231" t="s">
        <v>10</v>
      </c>
      <c r="D868" s="250" t="s">
        <v>2267</v>
      </c>
      <c r="E868" s="251" t="s">
        <v>2268</v>
      </c>
      <c r="F868" s="231" t="s">
        <v>1626</v>
      </c>
      <c r="G868" s="231" cm="1">
        <f t="array" ref="G868">_xlfn.IFS(J868&lt;301,2,J868&gt;300,48)</f>
        <v>48</v>
      </c>
      <c r="H868" s="231" t="s">
        <v>2894</v>
      </c>
      <c r="I868" s="281">
        <v>0</v>
      </c>
      <c r="J868" s="249">
        <v>800</v>
      </c>
      <c r="K868" s="231">
        <f t="shared" si="13"/>
        <v>10</v>
      </c>
      <c r="L868" s="231"/>
      <c r="M868" s="299" t="s">
        <v>15</v>
      </c>
      <c r="N868" s="231" t="s">
        <v>253</v>
      </c>
      <c r="O868" s="231">
        <v>2022</v>
      </c>
      <c r="P868" s="281"/>
      <c r="Q868" s="231"/>
      <c r="R868" s="231"/>
      <c r="S868" s="236" t="s">
        <v>453</v>
      </c>
      <c r="T868" s="236" t="s">
        <v>264</v>
      </c>
    </row>
    <row r="869" spans="1:20" ht="14">
      <c r="A869" s="231">
        <v>868</v>
      </c>
      <c r="B869" s="235" t="s">
        <v>55</v>
      </c>
      <c r="C869" s="231" t="s">
        <v>10</v>
      </c>
      <c r="D869" s="250" t="s">
        <v>2269</v>
      </c>
      <c r="E869" s="239" t="s">
        <v>2270</v>
      </c>
      <c r="F869" s="231" t="s">
        <v>1626</v>
      </c>
      <c r="G869" s="231" cm="1">
        <f t="array" ref="G869">_xlfn.IFS(J869&lt;301,2,J869&gt;300,48)</f>
        <v>48</v>
      </c>
      <c r="H869" s="231" t="s">
        <v>2894</v>
      </c>
      <c r="I869" s="281">
        <v>0</v>
      </c>
      <c r="J869" s="249">
        <v>1000</v>
      </c>
      <c r="K869" s="231">
        <f t="shared" si="13"/>
        <v>10</v>
      </c>
      <c r="L869" s="231"/>
      <c r="M869" s="299" t="s">
        <v>15</v>
      </c>
      <c r="N869" s="231" t="s">
        <v>253</v>
      </c>
      <c r="O869" s="231">
        <v>2022</v>
      </c>
      <c r="P869" s="281"/>
      <c r="Q869" s="231"/>
      <c r="R869" s="231"/>
      <c r="S869" s="236" t="s">
        <v>453</v>
      </c>
      <c r="T869" s="236" t="s">
        <v>264</v>
      </c>
    </row>
    <row r="870" spans="1:20" ht="14">
      <c r="A870" s="231">
        <v>869</v>
      </c>
      <c r="B870" s="235" t="s">
        <v>55</v>
      </c>
      <c r="C870" s="231" t="s">
        <v>10</v>
      </c>
      <c r="D870" s="250" t="s">
        <v>2271</v>
      </c>
      <c r="E870" s="239" t="s">
        <v>2272</v>
      </c>
      <c r="F870" s="231" t="s">
        <v>1626</v>
      </c>
      <c r="G870" s="231" cm="1">
        <f t="array" ref="G870">_xlfn.IFS(J870&lt;301,2,J870&gt;300,48)</f>
        <v>48</v>
      </c>
      <c r="H870" s="231" t="s">
        <v>2894</v>
      </c>
      <c r="I870" s="281">
        <v>0</v>
      </c>
      <c r="J870" s="249">
        <v>4500</v>
      </c>
      <c r="K870" s="231">
        <f t="shared" si="13"/>
        <v>20</v>
      </c>
      <c r="L870" s="231"/>
      <c r="M870" s="299" t="s">
        <v>15</v>
      </c>
      <c r="N870" s="231" t="s">
        <v>253</v>
      </c>
      <c r="O870" s="231">
        <v>2021</v>
      </c>
      <c r="P870" s="281"/>
      <c r="Q870" s="231"/>
      <c r="R870" s="231"/>
      <c r="S870" s="236" t="s">
        <v>453</v>
      </c>
      <c r="T870" s="236" t="s">
        <v>264</v>
      </c>
    </row>
    <row r="871" spans="1:20" ht="14">
      <c r="A871" s="231">
        <v>870</v>
      </c>
      <c r="B871" s="235" t="s">
        <v>55</v>
      </c>
      <c r="C871" s="231" t="s">
        <v>10</v>
      </c>
      <c r="D871" s="250" t="s">
        <v>2273</v>
      </c>
      <c r="E871" s="239" t="s">
        <v>2274</v>
      </c>
      <c r="F871" s="231" t="s">
        <v>2275</v>
      </c>
      <c r="G871" s="231" cm="1">
        <f t="array" ref="G871">_xlfn.IFS(J871&lt;301,2,J871&gt;300,48)</f>
        <v>48</v>
      </c>
      <c r="H871" s="231" t="s">
        <v>4639</v>
      </c>
      <c r="I871" s="281">
        <v>0</v>
      </c>
      <c r="J871" s="249">
        <v>3156</v>
      </c>
      <c r="K871" s="231">
        <f t="shared" si="13"/>
        <v>20</v>
      </c>
      <c r="L871" s="231"/>
      <c r="M871" s="299" t="s">
        <v>15</v>
      </c>
      <c r="N871" s="231" t="s">
        <v>253</v>
      </c>
      <c r="O871" s="231">
        <v>2022</v>
      </c>
      <c r="P871" s="281"/>
      <c r="Q871" s="231"/>
      <c r="R871" s="231"/>
      <c r="S871" s="236" t="s">
        <v>453</v>
      </c>
      <c r="T871" s="236" t="s">
        <v>264</v>
      </c>
    </row>
    <row r="872" spans="1:20" ht="14">
      <c r="A872" s="231">
        <v>871</v>
      </c>
      <c r="B872" s="235" t="s">
        <v>55</v>
      </c>
      <c r="C872" s="231" t="s">
        <v>10</v>
      </c>
      <c r="D872" s="250" t="s">
        <v>2276</v>
      </c>
      <c r="E872" s="239" t="s">
        <v>2277</v>
      </c>
      <c r="F872" s="231" t="s">
        <v>2278</v>
      </c>
      <c r="G872" s="231">
        <v>24</v>
      </c>
      <c r="H872" s="231" t="s">
        <v>231</v>
      </c>
      <c r="I872" s="281">
        <v>0</v>
      </c>
      <c r="J872" s="249">
        <v>60153</v>
      </c>
      <c r="K872" s="231" t="str">
        <f t="shared" si="13"/>
        <v>N/A</v>
      </c>
      <c r="L872" s="231"/>
      <c r="M872" s="231" t="s">
        <v>456</v>
      </c>
      <c r="N872" s="231" t="s">
        <v>253</v>
      </c>
      <c r="O872" s="231">
        <v>2022</v>
      </c>
      <c r="P872" s="281"/>
      <c r="Q872" s="231"/>
      <c r="R872" s="231"/>
      <c r="S872" s="236" t="s">
        <v>453</v>
      </c>
      <c r="T872" s="236" t="s">
        <v>264</v>
      </c>
    </row>
    <row r="873" spans="1:20" ht="14">
      <c r="A873" s="231">
        <v>872</v>
      </c>
      <c r="B873" s="235" t="s">
        <v>55</v>
      </c>
      <c r="C873" s="231" t="s">
        <v>10</v>
      </c>
      <c r="D873" s="250" t="s">
        <v>2279</v>
      </c>
      <c r="E873" s="239" t="s">
        <v>2280</v>
      </c>
      <c r="F873" s="231" t="s">
        <v>1626</v>
      </c>
      <c r="G873" s="231" cm="1">
        <f t="array" ref="G873">_xlfn.IFS(J873&lt;301,2,J873&gt;300,48)</f>
        <v>48</v>
      </c>
      <c r="H873" s="231" t="s">
        <v>2894</v>
      </c>
      <c r="I873" s="281">
        <v>0</v>
      </c>
      <c r="J873" s="249">
        <v>1000</v>
      </c>
      <c r="K873" s="231">
        <f t="shared" si="13"/>
        <v>10</v>
      </c>
      <c r="L873" s="231"/>
      <c r="M873" s="299" t="s">
        <v>15</v>
      </c>
      <c r="N873" s="231" t="s">
        <v>253</v>
      </c>
      <c r="O873" s="231">
        <v>2021</v>
      </c>
      <c r="P873" s="281"/>
      <c r="Q873" s="231"/>
      <c r="R873" s="231"/>
      <c r="S873" s="236" t="s">
        <v>453</v>
      </c>
      <c r="T873" s="236" t="s">
        <v>264</v>
      </c>
    </row>
    <row r="874" spans="1:20" ht="14">
      <c r="A874" s="231">
        <v>873</v>
      </c>
      <c r="B874" s="235" t="s">
        <v>55</v>
      </c>
      <c r="C874" s="231" t="s">
        <v>10</v>
      </c>
      <c r="D874" s="250" t="s">
        <v>2281</v>
      </c>
      <c r="E874" s="239" t="s">
        <v>2282</v>
      </c>
      <c r="F874" s="239" t="s">
        <v>1626</v>
      </c>
      <c r="G874" s="231" cm="1">
        <f t="array" ref="G874">_xlfn.IFS(J874&lt;301,2,J874&gt;300,48)</f>
        <v>48</v>
      </c>
      <c r="H874" s="231" t="s">
        <v>2894</v>
      </c>
      <c r="I874" s="281">
        <v>0</v>
      </c>
      <c r="J874" s="249">
        <v>1100</v>
      </c>
      <c r="K874" s="231">
        <f t="shared" si="13"/>
        <v>10</v>
      </c>
      <c r="L874" s="231"/>
      <c r="M874" s="299" t="s">
        <v>15</v>
      </c>
      <c r="N874" s="231" t="s">
        <v>253</v>
      </c>
      <c r="O874" s="231">
        <v>2021</v>
      </c>
      <c r="P874" s="281"/>
      <c r="Q874" s="231"/>
      <c r="R874" s="231"/>
      <c r="S874" s="236" t="s">
        <v>453</v>
      </c>
      <c r="T874" s="236" t="s">
        <v>264</v>
      </c>
    </row>
    <row r="875" spans="1:20" ht="14">
      <c r="A875" s="231">
        <v>874</v>
      </c>
      <c r="B875" s="235" t="s">
        <v>55</v>
      </c>
      <c r="C875" s="231" t="s">
        <v>10</v>
      </c>
      <c r="D875" s="250" t="s">
        <v>4654</v>
      </c>
      <c r="E875" s="239" t="s">
        <v>2283</v>
      </c>
      <c r="F875" s="231" t="s">
        <v>1626</v>
      </c>
      <c r="G875" s="231" cm="1">
        <f t="array" ref="G875">_xlfn.IFS(J875&lt;301,2,J875&gt;300,48)</f>
        <v>48</v>
      </c>
      <c r="H875" s="231" t="s">
        <v>2894</v>
      </c>
      <c r="I875" s="281">
        <v>0</v>
      </c>
      <c r="J875" s="249">
        <v>3220</v>
      </c>
      <c r="K875" s="231">
        <f t="shared" si="13"/>
        <v>20</v>
      </c>
      <c r="L875" s="231"/>
      <c r="M875" s="299" t="s">
        <v>15</v>
      </c>
      <c r="N875" s="231" t="s">
        <v>253</v>
      </c>
      <c r="O875" s="231">
        <v>2021</v>
      </c>
      <c r="P875" s="281"/>
      <c r="Q875" s="231"/>
      <c r="R875" s="231"/>
      <c r="S875" s="236" t="s">
        <v>453</v>
      </c>
      <c r="T875" s="236" t="s">
        <v>264</v>
      </c>
    </row>
    <row r="876" spans="1:20" ht="14">
      <c r="A876" s="231">
        <v>875</v>
      </c>
      <c r="B876" s="235" t="s">
        <v>55</v>
      </c>
      <c r="C876" s="231" t="s">
        <v>10</v>
      </c>
      <c r="D876" s="250" t="s">
        <v>2284</v>
      </c>
      <c r="E876" s="239" t="s">
        <v>2285</v>
      </c>
      <c r="F876" s="231" t="s">
        <v>1626</v>
      </c>
      <c r="G876" s="231" cm="1">
        <f t="array" ref="G876">_xlfn.IFS(J876&lt;301,2,J876&gt;300,48)</f>
        <v>48</v>
      </c>
      <c r="H876" s="231" t="s">
        <v>4639</v>
      </c>
      <c r="I876" s="281">
        <v>0</v>
      </c>
      <c r="J876" s="249">
        <v>3550</v>
      </c>
      <c r="K876" s="231">
        <f t="shared" si="13"/>
        <v>20</v>
      </c>
      <c r="L876" s="231"/>
      <c r="M876" s="299" t="s">
        <v>15</v>
      </c>
      <c r="N876" s="231" t="s">
        <v>253</v>
      </c>
      <c r="O876" s="231">
        <v>2022</v>
      </c>
      <c r="P876" s="281"/>
      <c r="Q876" s="231"/>
      <c r="R876" s="231"/>
      <c r="S876" s="236" t="s">
        <v>453</v>
      </c>
      <c r="T876" s="236" t="s">
        <v>264</v>
      </c>
    </row>
    <row r="877" spans="1:20" ht="14">
      <c r="A877" s="231">
        <v>876</v>
      </c>
      <c r="B877" s="235" t="s">
        <v>51</v>
      </c>
      <c r="C877" s="231" t="s">
        <v>10</v>
      </c>
      <c r="D877" s="250" t="s">
        <v>2286</v>
      </c>
      <c r="E877" s="239" t="s">
        <v>2287</v>
      </c>
      <c r="F877" s="231" t="s">
        <v>1626</v>
      </c>
      <c r="G877" s="231" cm="1">
        <f t="array" ref="G877">_xlfn.IFS(J877&lt;301,2,J877&gt;300,48)</f>
        <v>48</v>
      </c>
      <c r="H877" s="231" t="s">
        <v>4647</v>
      </c>
      <c r="I877" s="281">
        <v>0</v>
      </c>
      <c r="J877" s="249">
        <v>1300</v>
      </c>
      <c r="K877" s="231">
        <f t="shared" si="13"/>
        <v>10</v>
      </c>
      <c r="L877" s="231"/>
      <c r="M877" s="299" t="s">
        <v>15</v>
      </c>
      <c r="N877" s="231" t="s">
        <v>253</v>
      </c>
      <c r="O877" s="231">
        <v>2021</v>
      </c>
      <c r="P877" s="281"/>
      <c r="Q877" s="231"/>
      <c r="R877" s="231"/>
      <c r="S877" s="236" t="s">
        <v>453</v>
      </c>
      <c r="T877" s="236" t="s">
        <v>264</v>
      </c>
    </row>
    <row r="878" spans="1:20" ht="14">
      <c r="A878" s="231">
        <v>877</v>
      </c>
      <c r="B878" s="235" t="s">
        <v>55</v>
      </c>
      <c r="C878" s="231" t="s">
        <v>10</v>
      </c>
      <c r="D878" s="250" t="s">
        <v>2288</v>
      </c>
      <c r="E878" s="239" t="s">
        <v>2289</v>
      </c>
      <c r="F878" s="231" t="s">
        <v>1626</v>
      </c>
      <c r="G878" s="231" cm="1">
        <f t="array" ref="G878">_xlfn.IFS(J878&lt;301,2,J878&gt;300,48)</f>
        <v>48</v>
      </c>
      <c r="H878" s="231" t="s">
        <v>2894</v>
      </c>
      <c r="I878" s="281">
        <v>0</v>
      </c>
      <c r="J878" s="249">
        <v>1950</v>
      </c>
      <c r="K878" s="231" t="str">
        <f t="shared" si="13"/>
        <v>N/A</v>
      </c>
      <c r="L878" s="231"/>
      <c r="M878" s="231" t="s">
        <v>456</v>
      </c>
      <c r="N878" s="231" t="s">
        <v>253</v>
      </c>
      <c r="O878" s="231">
        <v>2022</v>
      </c>
      <c r="P878" s="281"/>
      <c r="Q878" s="231"/>
      <c r="R878" s="231"/>
      <c r="S878" s="236" t="s">
        <v>453</v>
      </c>
      <c r="T878" s="236" t="s">
        <v>264</v>
      </c>
    </row>
    <row r="879" spans="1:20" ht="14">
      <c r="A879" s="231">
        <v>878</v>
      </c>
      <c r="B879" s="235" t="s">
        <v>55</v>
      </c>
      <c r="C879" s="231" t="s">
        <v>10</v>
      </c>
      <c r="D879" s="250" t="s">
        <v>2290</v>
      </c>
      <c r="E879" s="239" t="s">
        <v>2291</v>
      </c>
      <c r="F879" s="231" t="s">
        <v>763</v>
      </c>
      <c r="G879" s="231" cm="1">
        <f t="array" ref="G879">_xlfn.IFS(J879&lt;301,2,J879&gt;300,48)</f>
        <v>48</v>
      </c>
      <c r="H879" s="231" t="s">
        <v>2894</v>
      </c>
      <c r="I879" s="281">
        <v>0</v>
      </c>
      <c r="J879" s="249">
        <v>580</v>
      </c>
      <c r="K879" s="231">
        <f t="shared" si="13"/>
        <v>10</v>
      </c>
      <c r="L879" s="231"/>
      <c r="M879" s="299" t="s">
        <v>15</v>
      </c>
      <c r="N879" s="231" t="s">
        <v>253</v>
      </c>
      <c r="O879" s="231">
        <v>2023</v>
      </c>
      <c r="P879" s="281"/>
      <c r="Q879" s="231"/>
      <c r="R879" s="231"/>
      <c r="S879" s="236" t="s">
        <v>453</v>
      </c>
      <c r="T879" s="236" t="s">
        <v>264</v>
      </c>
    </row>
    <row r="880" spans="1:20" ht="14">
      <c r="A880" s="231">
        <v>879</v>
      </c>
      <c r="B880" s="235" t="s">
        <v>55</v>
      </c>
      <c r="C880" s="231" t="s">
        <v>10</v>
      </c>
      <c r="D880" s="250" t="s">
        <v>2292</v>
      </c>
      <c r="E880" s="239" t="s">
        <v>2293</v>
      </c>
      <c r="F880" s="231" t="s">
        <v>1626</v>
      </c>
      <c r="G880" s="231" cm="1">
        <f t="array" ref="G880">_xlfn.IFS(J880&lt;301,2,J880&gt;300,48)</f>
        <v>48</v>
      </c>
      <c r="H880" s="231" t="s">
        <v>2894</v>
      </c>
      <c r="I880" s="281">
        <v>0</v>
      </c>
      <c r="J880" s="249">
        <v>4106</v>
      </c>
      <c r="K880" s="231">
        <f t="shared" si="13"/>
        <v>20</v>
      </c>
      <c r="L880" s="231"/>
      <c r="M880" s="299" t="s">
        <v>15</v>
      </c>
      <c r="N880" s="231" t="s">
        <v>253</v>
      </c>
      <c r="O880" s="231">
        <v>2023</v>
      </c>
      <c r="P880" s="281"/>
      <c r="Q880" s="231"/>
      <c r="R880" s="231"/>
      <c r="S880" s="236" t="s">
        <v>453</v>
      </c>
      <c r="T880" s="236" t="s">
        <v>264</v>
      </c>
    </row>
    <row r="881" spans="1:20" ht="14">
      <c r="A881" s="231">
        <v>880</v>
      </c>
      <c r="B881" s="235" t="s">
        <v>55</v>
      </c>
      <c r="C881" s="231" t="s">
        <v>10</v>
      </c>
      <c r="D881" s="239" t="s">
        <v>2294</v>
      </c>
      <c r="E881" s="239" t="s">
        <v>2295</v>
      </c>
      <c r="F881" s="231" t="s">
        <v>756</v>
      </c>
      <c r="G881" s="231" cm="1">
        <f t="array" ref="G881">_xlfn.IFS(J881&lt;301,2,J881&gt;300,48)</f>
        <v>48</v>
      </c>
      <c r="H881" s="231" t="s">
        <v>2894</v>
      </c>
      <c r="I881" s="281">
        <v>0</v>
      </c>
      <c r="J881" s="249">
        <v>1500</v>
      </c>
      <c r="K881" s="231">
        <f t="shared" si="13"/>
        <v>10</v>
      </c>
      <c r="L881" s="231"/>
      <c r="M881" s="299" t="s">
        <v>15</v>
      </c>
      <c r="N881" s="231" t="s">
        <v>253</v>
      </c>
      <c r="O881" s="231">
        <v>2023</v>
      </c>
      <c r="P881" s="281"/>
      <c r="Q881" s="231"/>
      <c r="R881" s="231"/>
      <c r="S881" s="236" t="s">
        <v>453</v>
      </c>
      <c r="T881" s="236" t="s">
        <v>264</v>
      </c>
    </row>
    <row r="882" spans="1:20" ht="14">
      <c r="A882" s="231">
        <v>881</v>
      </c>
      <c r="B882" s="235" t="s">
        <v>55</v>
      </c>
      <c r="C882" s="231" t="s">
        <v>10</v>
      </c>
      <c r="D882" s="250" t="s">
        <v>2296</v>
      </c>
      <c r="E882" s="239" t="s">
        <v>2297</v>
      </c>
      <c r="F882" s="231" t="s">
        <v>2298</v>
      </c>
      <c r="G882" s="231" cm="1">
        <f t="array" ref="G882">_xlfn.IFS(J882&lt;301,2,J882&gt;300,48)</f>
        <v>48</v>
      </c>
      <c r="H882" s="231" t="s">
        <v>4636</v>
      </c>
      <c r="I882" s="281">
        <v>0</v>
      </c>
      <c r="J882" s="249">
        <v>1369</v>
      </c>
      <c r="K882" s="231">
        <f t="shared" si="13"/>
        <v>10</v>
      </c>
      <c r="L882" s="231"/>
      <c r="M882" s="299" t="s">
        <v>15</v>
      </c>
      <c r="N882" s="231" t="s">
        <v>253</v>
      </c>
      <c r="O882" s="231">
        <v>2023</v>
      </c>
      <c r="P882" s="281"/>
      <c r="Q882" s="231"/>
      <c r="R882" s="231"/>
      <c r="S882" s="236" t="s">
        <v>453</v>
      </c>
      <c r="T882" s="236" t="s">
        <v>264</v>
      </c>
    </row>
    <row r="883" spans="1:20" ht="14">
      <c r="A883" s="231">
        <v>882</v>
      </c>
      <c r="B883" s="235" t="s">
        <v>51</v>
      </c>
      <c r="C883" s="231" t="s">
        <v>10</v>
      </c>
      <c r="D883" s="250" t="s">
        <v>2299</v>
      </c>
      <c r="E883" s="239" t="s">
        <v>2300</v>
      </c>
      <c r="F883" s="231" t="s">
        <v>2301</v>
      </c>
      <c r="G883" s="231" cm="1">
        <f t="array" ref="G883">_xlfn.IFS(J883&lt;301,2,J883&gt;300,48)</f>
        <v>48</v>
      </c>
      <c r="H883" s="231" t="s">
        <v>4591</v>
      </c>
      <c r="I883" s="281">
        <v>0</v>
      </c>
      <c r="J883" s="249">
        <v>1200</v>
      </c>
      <c r="K883" s="231">
        <f t="shared" si="13"/>
        <v>10</v>
      </c>
      <c r="L883" s="231"/>
      <c r="M883" s="299" t="s">
        <v>15</v>
      </c>
      <c r="N883" s="231" t="s">
        <v>253</v>
      </c>
      <c r="O883" s="231">
        <v>2023</v>
      </c>
      <c r="P883" s="281"/>
      <c r="Q883" s="231"/>
      <c r="R883" s="231"/>
      <c r="S883" s="236" t="s">
        <v>453</v>
      </c>
      <c r="T883" s="236" t="s">
        <v>264</v>
      </c>
    </row>
    <row r="884" spans="1:20" ht="14">
      <c r="A884" s="231">
        <v>883</v>
      </c>
      <c r="B884" s="235" t="s">
        <v>49</v>
      </c>
      <c r="C884" s="231" t="s">
        <v>10</v>
      </c>
      <c r="D884" s="250" t="s">
        <v>2302</v>
      </c>
      <c r="E884" s="239" t="s">
        <v>2303</v>
      </c>
      <c r="F884" s="231" t="s">
        <v>2301</v>
      </c>
      <c r="G884" s="231" cm="1">
        <f t="array" ref="G884">_xlfn.IFS(J884&lt;301,2,J884&gt;300,48)</f>
        <v>2</v>
      </c>
      <c r="H884" s="231" t="s">
        <v>124</v>
      </c>
      <c r="I884" s="281">
        <v>0</v>
      </c>
      <c r="J884" s="249">
        <v>300</v>
      </c>
      <c r="K884" s="231">
        <f t="shared" si="13"/>
        <v>10</v>
      </c>
      <c r="L884" s="231"/>
      <c r="M884" s="299" t="s">
        <v>15</v>
      </c>
      <c r="N884" s="231" t="s">
        <v>253</v>
      </c>
      <c r="O884" s="231">
        <v>2023</v>
      </c>
      <c r="P884" s="281"/>
      <c r="Q884" s="231"/>
      <c r="R884" s="231"/>
      <c r="S884" s="236" t="s">
        <v>453</v>
      </c>
      <c r="T884" s="236" t="s">
        <v>264</v>
      </c>
    </row>
    <row r="885" spans="1:20" ht="14">
      <c r="A885" s="231">
        <v>884</v>
      </c>
      <c r="B885" s="235" t="s">
        <v>55</v>
      </c>
      <c r="C885" s="231" t="s">
        <v>10</v>
      </c>
      <c r="D885" s="250" t="s">
        <v>2304</v>
      </c>
      <c r="E885" s="239" t="s">
        <v>2305</v>
      </c>
      <c r="F885" s="231" t="s">
        <v>2306</v>
      </c>
      <c r="G885" s="231" cm="1">
        <f t="array" ref="G885">_xlfn.IFS(J885&lt;301,2,J885&gt;300,48)</f>
        <v>48</v>
      </c>
      <c r="H885" s="231" t="s">
        <v>231</v>
      </c>
      <c r="I885" s="281">
        <v>0</v>
      </c>
      <c r="J885" s="249">
        <v>1200</v>
      </c>
      <c r="K885" s="231">
        <f t="shared" si="13"/>
        <v>10</v>
      </c>
      <c r="L885" s="231"/>
      <c r="M885" s="299" t="s">
        <v>15</v>
      </c>
      <c r="N885" s="231" t="s">
        <v>253</v>
      </c>
      <c r="O885" s="231">
        <v>2023</v>
      </c>
      <c r="P885" s="281"/>
      <c r="Q885" s="231"/>
      <c r="R885" s="231"/>
      <c r="S885" s="236" t="s">
        <v>453</v>
      </c>
      <c r="T885" s="236" t="s">
        <v>264</v>
      </c>
    </row>
    <row r="886" spans="1:20" ht="14">
      <c r="A886" s="231">
        <v>885</v>
      </c>
      <c r="B886" s="235" t="s">
        <v>55</v>
      </c>
      <c r="C886" s="231" t="s">
        <v>10</v>
      </c>
      <c r="D886" s="250" t="s">
        <v>2307</v>
      </c>
      <c r="E886" s="254" t="s">
        <v>2308</v>
      </c>
      <c r="F886" s="231" t="s">
        <v>1626</v>
      </c>
      <c r="G886" s="231" cm="1">
        <f t="array" ref="G886">_xlfn.IFS(J886&lt;301,2,J886&gt;300,48)</f>
        <v>48</v>
      </c>
      <c r="H886" s="231" t="s">
        <v>2894</v>
      </c>
      <c r="I886" s="281">
        <v>0</v>
      </c>
      <c r="J886" s="249">
        <v>500</v>
      </c>
      <c r="K886" s="231">
        <f t="shared" si="13"/>
        <v>10</v>
      </c>
      <c r="L886" s="231"/>
      <c r="M886" s="299" t="s">
        <v>15</v>
      </c>
      <c r="N886" s="231" t="s">
        <v>253</v>
      </c>
      <c r="O886" s="231">
        <v>2023</v>
      </c>
      <c r="P886" s="281"/>
      <c r="Q886" s="231"/>
      <c r="R886" s="231"/>
      <c r="S886" s="236" t="s">
        <v>453</v>
      </c>
      <c r="T886" s="236" t="s">
        <v>264</v>
      </c>
    </row>
    <row r="887" spans="1:20" ht="14">
      <c r="A887" s="231">
        <v>886</v>
      </c>
      <c r="B887" s="235" t="s">
        <v>55</v>
      </c>
      <c r="C887" s="231" t="s">
        <v>10</v>
      </c>
      <c r="D887" s="250" t="s">
        <v>2309</v>
      </c>
      <c r="E887" s="239" t="s">
        <v>2310</v>
      </c>
      <c r="F887" s="231" t="s">
        <v>1626</v>
      </c>
      <c r="G887" s="231" cm="1">
        <f t="array" ref="G887">_xlfn.IFS(J887&lt;301,2,J887&gt;300,48)</f>
        <v>48</v>
      </c>
      <c r="H887" s="231" t="s">
        <v>2894</v>
      </c>
      <c r="I887" s="281">
        <v>0</v>
      </c>
      <c r="J887" s="249">
        <v>380</v>
      </c>
      <c r="K887" s="231">
        <f t="shared" si="13"/>
        <v>10</v>
      </c>
      <c r="L887" s="231"/>
      <c r="M887" s="299" t="s">
        <v>15</v>
      </c>
      <c r="N887" s="231" t="s">
        <v>253</v>
      </c>
      <c r="O887" s="231">
        <v>2023</v>
      </c>
      <c r="P887" s="281"/>
      <c r="Q887" s="231"/>
      <c r="R887" s="231"/>
      <c r="S887" s="236" t="s">
        <v>453</v>
      </c>
      <c r="T887" s="236" t="s">
        <v>264</v>
      </c>
    </row>
    <row r="888" spans="1:20" ht="14">
      <c r="A888" s="231">
        <v>887</v>
      </c>
      <c r="B888" s="235" t="s">
        <v>55</v>
      </c>
      <c r="C888" s="231" t="s">
        <v>10</v>
      </c>
      <c r="D888" s="250" t="s">
        <v>2311</v>
      </c>
      <c r="E888" s="239" t="s">
        <v>2312</v>
      </c>
      <c r="F888" s="231" t="s">
        <v>1626</v>
      </c>
      <c r="G888" s="231" cm="1">
        <f t="array" ref="G888">_xlfn.IFS(J888&lt;301,2,J888&gt;300,48)</f>
        <v>48</v>
      </c>
      <c r="H888" s="231" t="s">
        <v>2894</v>
      </c>
      <c r="I888" s="281">
        <v>0</v>
      </c>
      <c r="J888" s="249">
        <v>500</v>
      </c>
      <c r="K888" s="231">
        <f t="shared" si="13"/>
        <v>10</v>
      </c>
      <c r="L888" s="231"/>
      <c r="M888" s="299" t="s">
        <v>15</v>
      </c>
      <c r="N888" s="231" t="s">
        <v>253</v>
      </c>
      <c r="O888" s="231">
        <v>2023</v>
      </c>
      <c r="P888" s="281"/>
      <c r="Q888" s="231"/>
      <c r="R888" s="231"/>
      <c r="S888" s="236" t="s">
        <v>453</v>
      </c>
      <c r="T888" s="236" t="s">
        <v>264</v>
      </c>
    </row>
    <row r="889" spans="1:20" ht="14">
      <c r="A889" s="231">
        <v>888</v>
      </c>
      <c r="B889" s="235" t="s">
        <v>55</v>
      </c>
      <c r="C889" s="231" t="s">
        <v>10</v>
      </c>
      <c r="D889" s="250" t="s">
        <v>2313</v>
      </c>
      <c r="E889" s="239" t="s">
        <v>2314</v>
      </c>
      <c r="F889" s="231" t="s">
        <v>2306</v>
      </c>
      <c r="G889" s="231" cm="1">
        <f t="array" ref="G889">_xlfn.IFS(J889&lt;301,2,J889&gt;300,48)</f>
        <v>48</v>
      </c>
      <c r="H889" s="231" t="s">
        <v>231</v>
      </c>
      <c r="I889" s="281">
        <v>0</v>
      </c>
      <c r="J889" s="249">
        <v>500</v>
      </c>
      <c r="K889" s="231">
        <f t="shared" si="13"/>
        <v>10</v>
      </c>
      <c r="L889" s="231"/>
      <c r="M889" s="299" t="s">
        <v>15</v>
      </c>
      <c r="N889" s="231" t="s">
        <v>253</v>
      </c>
      <c r="O889" s="231">
        <v>2023</v>
      </c>
      <c r="P889" s="281"/>
      <c r="Q889" s="231"/>
      <c r="R889" s="231"/>
      <c r="S889" s="236" t="s">
        <v>453</v>
      </c>
      <c r="T889" s="236" t="s">
        <v>264</v>
      </c>
    </row>
    <row r="890" spans="1:20" ht="14">
      <c r="A890" s="231">
        <v>889</v>
      </c>
      <c r="B890" s="235" t="s">
        <v>49</v>
      </c>
      <c r="C890" s="231" t="s">
        <v>10</v>
      </c>
      <c r="D890" s="250" t="s">
        <v>2315</v>
      </c>
      <c r="E890" s="239" t="s">
        <v>2316</v>
      </c>
      <c r="F890" s="231" t="s">
        <v>2301</v>
      </c>
      <c r="G890" s="231" cm="1">
        <f t="array" ref="G890">_xlfn.IFS(J890&lt;301,2,J890&gt;300,48)</f>
        <v>2</v>
      </c>
      <c r="H890" s="231" t="s">
        <v>124</v>
      </c>
      <c r="I890" s="281">
        <v>0</v>
      </c>
      <c r="J890" s="249">
        <v>300</v>
      </c>
      <c r="K890" s="231">
        <f t="shared" si="13"/>
        <v>10</v>
      </c>
      <c r="L890" s="231"/>
      <c r="M890" s="299" t="s">
        <v>15</v>
      </c>
      <c r="N890" s="231" t="s">
        <v>253</v>
      </c>
      <c r="O890" s="231">
        <v>2023</v>
      </c>
      <c r="P890" s="281"/>
      <c r="Q890" s="231"/>
      <c r="R890" s="231"/>
      <c r="S890" s="236" t="s">
        <v>453</v>
      </c>
      <c r="T890" s="236" t="s">
        <v>264</v>
      </c>
    </row>
    <row r="891" spans="1:20" ht="14">
      <c r="A891" s="231">
        <v>890</v>
      </c>
      <c r="B891" s="235" t="s">
        <v>55</v>
      </c>
      <c r="C891" s="231" t="s">
        <v>10</v>
      </c>
      <c r="D891" s="250" t="s">
        <v>2317</v>
      </c>
      <c r="E891" s="239" t="s">
        <v>2318</v>
      </c>
      <c r="F891" s="231" t="s">
        <v>1626</v>
      </c>
      <c r="G891" s="231" cm="1">
        <f t="array" ref="G891">_xlfn.IFS(J891&lt;301,2,J891&gt;300,48)</f>
        <v>2</v>
      </c>
      <c r="H891" s="231" t="s">
        <v>2894</v>
      </c>
      <c r="I891" s="281">
        <v>0</v>
      </c>
      <c r="J891" s="249">
        <v>260</v>
      </c>
      <c r="K891" s="231">
        <f t="shared" si="13"/>
        <v>10</v>
      </c>
      <c r="L891" s="231"/>
      <c r="M891" s="299" t="s">
        <v>15</v>
      </c>
      <c r="N891" s="231" t="s">
        <v>253</v>
      </c>
      <c r="O891" s="231">
        <v>2023</v>
      </c>
      <c r="P891" s="281"/>
      <c r="Q891" s="231"/>
      <c r="R891" s="231"/>
      <c r="S891" s="236" t="s">
        <v>453</v>
      </c>
      <c r="T891" s="236" t="s">
        <v>264</v>
      </c>
    </row>
    <row r="892" spans="1:20" ht="14">
      <c r="A892" s="231">
        <v>891</v>
      </c>
      <c r="B892" s="235" t="s">
        <v>55</v>
      </c>
      <c r="C892" s="231" t="s">
        <v>10</v>
      </c>
      <c r="D892" s="250" t="s">
        <v>2319</v>
      </c>
      <c r="E892" s="239" t="s">
        <v>2320</v>
      </c>
      <c r="F892" s="231" t="s">
        <v>1626</v>
      </c>
      <c r="G892" s="231" cm="1">
        <f t="array" ref="G892">_xlfn.IFS(J892&lt;301,2,J892&gt;300,48)</f>
        <v>48</v>
      </c>
      <c r="H892" s="231" t="s">
        <v>2894</v>
      </c>
      <c r="I892" s="281">
        <v>0</v>
      </c>
      <c r="J892" s="249">
        <v>800</v>
      </c>
      <c r="K892" s="231">
        <f t="shared" si="13"/>
        <v>10</v>
      </c>
      <c r="L892" s="231"/>
      <c r="M892" s="299" t="s">
        <v>15</v>
      </c>
      <c r="N892" s="231" t="s">
        <v>253</v>
      </c>
      <c r="O892" s="231">
        <v>2023</v>
      </c>
      <c r="P892" s="281"/>
      <c r="Q892" s="231"/>
      <c r="R892" s="231"/>
      <c r="S892" s="236" t="s">
        <v>453</v>
      </c>
      <c r="T892" s="236" t="s">
        <v>264</v>
      </c>
    </row>
    <row r="893" spans="1:20" ht="14">
      <c r="A893" s="231">
        <v>892</v>
      </c>
      <c r="B893" s="235" t="s">
        <v>55</v>
      </c>
      <c r="C893" s="231" t="s">
        <v>10</v>
      </c>
      <c r="D893" s="250" t="s">
        <v>2321</v>
      </c>
      <c r="E893" s="254" t="s">
        <v>2322</v>
      </c>
      <c r="F893" s="231" t="s">
        <v>1626</v>
      </c>
      <c r="G893" s="231" cm="1">
        <f t="array" ref="G893">_xlfn.IFS(J893&lt;301,2,J893&gt;300,48)</f>
        <v>48</v>
      </c>
      <c r="H893" s="231" t="s">
        <v>2894</v>
      </c>
      <c r="I893" s="281">
        <v>0</v>
      </c>
      <c r="J893" s="249">
        <v>1375</v>
      </c>
      <c r="K893" s="231">
        <f t="shared" si="13"/>
        <v>10</v>
      </c>
      <c r="L893" s="231"/>
      <c r="M893" s="299" t="s">
        <v>15</v>
      </c>
      <c r="N893" s="231" t="s">
        <v>253</v>
      </c>
      <c r="O893" s="231">
        <v>2023</v>
      </c>
      <c r="P893" s="281"/>
      <c r="Q893" s="231"/>
      <c r="R893" s="231"/>
      <c r="S893" s="236" t="s">
        <v>453</v>
      </c>
      <c r="T893" s="236" t="s">
        <v>264</v>
      </c>
    </row>
    <row r="894" spans="1:20" ht="14">
      <c r="A894" s="231">
        <v>893</v>
      </c>
      <c r="B894" s="235" t="s">
        <v>55</v>
      </c>
      <c r="C894" s="231" t="s">
        <v>10</v>
      </c>
      <c r="D894" s="252" t="s">
        <v>2323</v>
      </c>
      <c r="E894" s="254" t="s">
        <v>2324</v>
      </c>
      <c r="F894" s="231" t="s">
        <v>1626</v>
      </c>
      <c r="G894" s="231">
        <v>48</v>
      </c>
      <c r="H894" s="231" t="s">
        <v>4637</v>
      </c>
      <c r="I894" s="281">
        <v>0</v>
      </c>
      <c r="J894" s="249">
        <v>7000</v>
      </c>
      <c r="K894" s="231">
        <f t="shared" si="13"/>
        <v>20</v>
      </c>
      <c r="L894" s="231"/>
      <c r="M894" s="299" t="s">
        <v>15</v>
      </c>
      <c r="N894" s="231" t="s">
        <v>253</v>
      </c>
      <c r="O894" s="231">
        <v>2023</v>
      </c>
      <c r="P894" s="281"/>
      <c r="Q894" s="231"/>
      <c r="R894" s="231"/>
      <c r="S894" s="236" t="s">
        <v>453</v>
      </c>
      <c r="T894" s="236" t="s">
        <v>264</v>
      </c>
    </row>
    <row r="895" spans="1:20" ht="14">
      <c r="A895" s="231">
        <v>894</v>
      </c>
      <c r="B895" s="235" t="s">
        <v>55</v>
      </c>
      <c r="C895" s="231" t="s">
        <v>10</v>
      </c>
      <c r="D895" s="252" t="s">
        <v>2325</v>
      </c>
      <c r="E895" s="254" t="s">
        <v>2326</v>
      </c>
      <c r="F895" s="231" t="s">
        <v>2306</v>
      </c>
      <c r="G895" s="231">
        <v>48</v>
      </c>
      <c r="H895" s="231" t="s">
        <v>4638</v>
      </c>
      <c r="I895" s="281">
        <v>0</v>
      </c>
      <c r="J895" s="249">
        <v>700</v>
      </c>
      <c r="K895" s="231">
        <f t="shared" si="13"/>
        <v>10</v>
      </c>
      <c r="L895" s="231"/>
      <c r="M895" s="299" t="s">
        <v>15</v>
      </c>
      <c r="N895" s="231" t="s">
        <v>253</v>
      </c>
      <c r="O895" s="231">
        <v>2023</v>
      </c>
      <c r="P895" s="281"/>
      <c r="Q895" s="231"/>
      <c r="R895" s="231"/>
      <c r="S895" s="236" t="s">
        <v>453</v>
      </c>
      <c r="T895" s="236" t="s">
        <v>264</v>
      </c>
    </row>
    <row r="896" spans="1:20" ht="14">
      <c r="A896" s="231">
        <v>895</v>
      </c>
      <c r="B896" s="235" t="s">
        <v>53</v>
      </c>
      <c r="C896" s="231" t="s">
        <v>10</v>
      </c>
      <c r="D896" s="252" t="s">
        <v>2327</v>
      </c>
      <c r="E896" s="254" t="s">
        <v>2328</v>
      </c>
      <c r="F896" s="231" t="s">
        <v>2329</v>
      </c>
      <c r="G896" s="231">
        <v>48</v>
      </c>
      <c r="H896" s="231" t="s">
        <v>213</v>
      </c>
      <c r="I896" s="281">
        <v>0</v>
      </c>
      <c r="J896" s="249">
        <v>2800</v>
      </c>
      <c r="K896" s="231">
        <f t="shared" ref="K896:K959" si="14">IF(M896="ONT",20,IF(M896="N/A","N/A",IF(M896="MIKROTIK",IF(J896&lt;3000,10,IF(3000&lt;J896&gt;10000,20,IF(10000&lt;J896&gt;20000,40,IF(20000&lt;J896&gt;40000,60,IF(J896&gt;40000,80,IF(J896&lt;300,3,)))))))))</f>
        <v>10</v>
      </c>
      <c r="L896" s="231"/>
      <c r="M896" s="299" t="s">
        <v>15</v>
      </c>
      <c r="N896" s="231" t="s">
        <v>637</v>
      </c>
      <c r="O896" s="231">
        <v>2023</v>
      </c>
      <c r="P896" s="281"/>
      <c r="Q896" s="231"/>
      <c r="R896" s="231"/>
      <c r="S896" s="236" t="s">
        <v>453</v>
      </c>
      <c r="T896" s="236" t="s">
        <v>264</v>
      </c>
    </row>
    <row r="897" spans="1:20" ht="14">
      <c r="A897" s="231">
        <v>896</v>
      </c>
      <c r="B897" s="235" t="s">
        <v>53</v>
      </c>
      <c r="C897" s="231" t="s">
        <v>10</v>
      </c>
      <c r="D897" s="252" t="s">
        <v>2330</v>
      </c>
      <c r="E897" s="255" t="s">
        <v>2331</v>
      </c>
      <c r="F897" s="231" t="s">
        <v>2332</v>
      </c>
      <c r="G897" s="231">
        <v>48</v>
      </c>
      <c r="H897" s="231" t="s">
        <v>219</v>
      </c>
      <c r="I897" s="281">
        <v>0</v>
      </c>
      <c r="J897" s="249">
        <v>700</v>
      </c>
      <c r="K897" s="231">
        <f t="shared" si="14"/>
        <v>10</v>
      </c>
      <c r="L897" s="231"/>
      <c r="M897" s="299" t="s">
        <v>15</v>
      </c>
      <c r="N897" s="231" t="s">
        <v>637</v>
      </c>
      <c r="O897" s="231">
        <v>2023</v>
      </c>
      <c r="P897" s="281"/>
      <c r="Q897" s="231"/>
      <c r="R897" s="231"/>
      <c r="S897" s="236" t="s">
        <v>453</v>
      </c>
      <c r="T897" s="236" t="s">
        <v>264</v>
      </c>
    </row>
    <row r="898" spans="1:20" ht="14">
      <c r="A898" s="231">
        <v>897</v>
      </c>
      <c r="B898" s="235" t="s">
        <v>51</v>
      </c>
      <c r="C898" s="231" t="s">
        <v>10</v>
      </c>
      <c r="D898" s="252" t="s">
        <v>2333</v>
      </c>
      <c r="E898" s="255" t="s">
        <v>2334</v>
      </c>
      <c r="F898" s="255" t="s">
        <v>2335</v>
      </c>
      <c r="G898" s="231">
        <v>48</v>
      </c>
      <c r="H898" s="231" t="s">
        <v>148</v>
      </c>
      <c r="I898" s="281">
        <v>0</v>
      </c>
      <c r="J898" s="249">
        <v>400</v>
      </c>
      <c r="K898" s="231">
        <f t="shared" si="14"/>
        <v>10</v>
      </c>
      <c r="L898" s="231"/>
      <c r="M898" s="299" t="s">
        <v>15</v>
      </c>
      <c r="N898" s="231" t="s">
        <v>637</v>
      </c>
      <c r="O898" s="231">
        <v>2023</v>
      </c>
      <c r="P898" s="281"/>
      <c r="Q898" s="231"/>
      <c r="R898" s="231"/>
      <c r="S898" s="236" t="s">
        <v>453</v>
      </c>
      <c r="T898" s="236" t="s">
        <v>264</v>
      </c>
    </row>
    <row r="899" spans="1:20" ht="14">
      <c r="A899" s="231">
        <v>898</v>
      </c>
      <c r="B899" s="235" t="s">
        <v>55</v>
      </c>
      <c r="C899" s="231" t="s">
        <v>10</v>
      </c>
      <c r="D899" s="252" t="s">
        <v>2336</v>
      </c>
      <c r="E899" s="255" t="s">
        <v>2337</v>
      </c>
      <c r="F899" s="255" t="s">
        <v>2338</v>
      </c>
      <c r="G899" s="231">
        <v>48</v>
      </c>
      <c r="H899" s="231" t="s">
        <v>2894</v>
      </c>
      <c r="I899" s="281">
        <v>0</v>
      </c>
      <c r="J899" s="249">
        <v>1000</v>
      </c>
      <c r="K899" s="231">
        <f t="shared" si="14"/>
        <v>10</v>
      </c>
      <c r="L899" s="231"/>
      <c r="M899" s="299" t="s">
        <v>15</v>
      </c>
      <c r="N899" s="231" t="s">
        <v>637</v>
      </c>
      <c r="O899" s="231">
        <v>2023</v>
      </c>
      <c r="P899" s="281"/>
      <c r="Q899" s="231"/>
      <c r="R899" s="231"/>
      <c r="S899" s="236" t="s">
        <v>453</v>
      </c>
      <c r="T899" s="236" t="s">
        <v>264</v>
      </c>
    </row>
    <row r="900" spans="1:20" ht="14">
      <c r="A900" s="231">
        <v>899</v>
      </c>
      <c r="B900" s="235" t="s">
        <v>52</v>
      </c>
      <c r="C900" s="231" t="s">
        <v>10</v>
      </c>
      <c r="D900" s="252" t="s">
        <v>2339</v>
      </c>
      <c r="E900" s="255" t="s">
        <v>2340</v>
      </c>
      <c r="F900" s="255" t="s">
        <v>2341</v>
      </c>
      <c r="G900" s="231">
        <v>48</v>
      </c>
      <c r="H900" s="231" t="s">
        <v>4622</v>
      </c>
      <c r="I900" s="281">
        <v>0</v>
      </c>
      <c r="J900" s="249">
        <v>1110</v>
      </c>
      <c r="K900" s="231">
        <f t="shared" si="14"/>
        <v>10</v>
      </c>
      <c r="L900" s="231"/>
      <c r="M900" s="299" t="s">
        <v>15</v>
      </c>
      <c r="N900" s="231" t="s">
        <v>637</v>
      </c>
      <c r="O900" s="231">
        <v>2023</v>
      </c>
      <c r="P900" s="281"/>
      <c r="Q900" s="231"/>
      <c r="R900" s="231"/>
      <c r="S900" s="236" t="s">
        <v>453</v>
      </c>
      <c r="T900" s="236" t="s">
        <v>264</v>
      </c>
    </row>
    <row r="901" spans="1:20" ht="14">
      <c r="A901" s="231">
        <v>900</v>
      </c>
      <c r="B901" s="235" t="s">
        <v>52</v>
      </c>
      <c r="C901" s="231" t="s">
        <v>10</v>
      </c>
      <c r="D901" s="252" t="s">
        <v>2342</v>
      </c>
      <c r="E901" s="255" t="s">
        <v>2343</v>
      </c>
      <c r="F901" s="255" t="s">
        <v>2344</v>
      </c>
      <c r="G901" s="231">
        <v>2</v>
      </c>
      <c r="H901" s="231" t="s">
        <v>2773</v>
      </c>
      <c r="I901" s="281">
        <v>0</v>
      </c>
      <c r="J901" s="249">
        <v>300</v>
      </c>
      <c r="K901" s="231">
        <f t="shared" si="14"/>
        <v>10</v>
      </c>
      <c r="L901" s="231"/>
      <c r="M901" s="299" t="s">
        <v>15</v>
      </c>
      <c r="N901" s="231" t="s">
        <v>637</v>
      </c>
      <c r="O901" s="231">
        <v>2023</v>
      </c>
      <c r="P901" s="281"/>
      <c r="Q901" s="231"/>
      <c r="R901" s="231"/>
      <c r="S901" s="236" t="s">
        <v>453</v>
      </c>
      <c r="T901" s="236" t="s">
        <v>264</v>
      </c>
    </row>
    <row r="902" spans="1:20" ht="14">
      <c r="A902" s="231">
        <v>901</v>
      </c>
      <c r="B902" s="235" t="s">
        <v>52</v>
      </c>
      <c r="C902" s="231" t="s">
        <v>10</v>
      </c>
      <c r="D902" s="252" t="s">
        <v>2345</v>
      </c>
      <c r="E902" s="255" t="s">
        <v>2346</v>
      </c>
      <c r="F902" s="255" t="s">
        <v>2347</v>
      </c>
      <c r="G902" s="231">
        <v>48</v>
      </c>
      <c r="H902" s="231" t="s">
        <v>2763</v>
      </c>
      <c r="I902" s="281">
        <v>0</v>
      </c>
      <c r="J902" s="249">
        <v>450</v>
      </c>
      <c r="K902" s="231">
        <f t="shared" si="14"/>
        <v>20</v>
      </c>
      <c r="L902" s="231"/>
      <c r="M902" s="231" t="s">
        <v>16</v>
      </c>
      <c r="N902" s="231" t="s">
        <v>637</v>
      </c>
      <c r="O902" s="231">
        <v>2023</v>
      </c>
      <c r="P902" s="281"/>
      <c r="Q902" s="231"/>
      <c r="R902" s="231"/>
      <c r="S902" s="236" t="s">
        <v>453</v>
      </c>
      <c r="T902" s="236" t="s">
        <v>264</v>
      </c>
    </row>
    <row r="903" spans="1:20" ht="14">
      <c r="A903" s="231">
        <v>902</v>
      </c>
      <c r="B903" s="235" t="s">
        <v>52</v>
      </c>
      <c r="C903" s="231" t="s">
        <v>10</v>
      </c>
      <c r="D903" s="252" t="s">
        <v>2348</v>
      </c>
      <c r="E903" s="255" t="s">
        <v>2349</v>
      </c>
      <c r="F903" s="255" t="s">
        <v>2350</v>
      </c>
      <c r="G903" s="231">
        <v>48</v>
      </c>
      <c r="H903" s="231" t="s">
        <v>3542</v>
      </c>
      <c r="I903" s="281">
        <v>0</v>
      </c>
      <c r="J903" s="249">
        <v>700</v>
      </c>
      <c r="K903" s="231">
        <f t="shared" si="14"/>
        <v>10</v>
      </c>
      <c r="L903" s="231"/>
      <c r="M903" s="299" t="s">
        <v>15</v>
      </c>
      <c r="N903" s="231" t="s">
        <v>637</v>
      </c>
      <c r="O903" s="231">
        <v>2023</v>
      </c>
      <c r="P903" s="281"/>
      <c r="Q903" s="231"/>
      <c r="R903" s="231"/>
      <c r="S903" s="236" t="s">
        <v>453</v>
      </c>
      <c r="T903" s="236" t="s">
        <v>264</v>
      </c>
    </row>
    <row r="904" spans="1:20" ht="14">
      <c r="A904" s="231">
        <v>903</v>
      </c>
      <c r="B904" s="235" t="s">
        <v>52</v>
      </c>
      <c r="C904" s="231" t="s">
        <v>10</v>
      </c>
      <c r="D904" s="252" t="s">
        <v>2351</v>
      </c>
      <c r="E904" s="255" t="s">
        <v>2352</v>
      </c>
      <c r="F904" s="255" t="s">
        <v>814</v>
      </c>
      <c r="G904" s="231">
        <v>48</v>
      </c>
      <c r="H904" s="231" t="s">
        <v>187</v>
      </c>
      <c r="I904" s="281">
        <v>0</v>
      </c>
      <c r="J904" s="249">
        <v>1700</v>
      </c>
      <c r="K904" s="231">
        <f t="shared" si="14"/>
        <v>10</v>
      </c>
      <c r="L904" s="231"/>
      <c r="M904" s="299" t="s">
        <v>15</v>
      </c>
      <c r="N904" s="231" t="s">
        <v>637</v>
      </c>
      <c r="O904" s="231">
        <v>2023</v>
      </c>
      <c r="P904" s="281"/>
      <c r="Q904" s="231"/>
      <c r="R904" s="231"/>
      <c r="S904" s="236" t="s">
        <v>453</v>
      </c>
      <c r="T904" s="236" t="s">
        <v>264</v>
      </c>
    </row>
    <row r="905" spans="1:20" ht="14">
      <c r="A905" s="231">
        <v>904</v>
      </c>
      <c r="B905" s="235" t="s">
        <v>49</v>
      </c>
      <c r="C905" s="231" t="s">
        <v>10</v>
      </c>
      <c r="D905" s="252" t="s">
        <v>2353</v>
      </c>
      <c r="E905" s="239" t="s">
        <v>2354</v>
      </c>
      <c r="F905" s="255" t="s">
        <v>2355</v>
      </c>
      <c r="G905" s="231">
        <v>48</v>
      </c>
      <c r="H905" s="231" t="s">
        <v>452</v>
      </c>
      <c r="I905" s="281">
        <v>0</v>
      </c>
      <c r="J905" s="249">
        <v>450</v>
      </c>
      <c r="K905" s="231">
        <f t="shared" si="14"/>
        <v>10</v>
      </c>
      <c r="L905" s="231"/>
      <c r="M905" s="299" t="s">
        <v>15</v>
      </c>
      <c r="N905" s="231" t="s">
        <v>637</v>
      </c>
      <c r="O905" s="231">
        <v>2023</v>
      </c>
      <c r="P905" s="281"/>
      <c r="Q905" s="231"/>
      <c r="R905" s="231"/>
      <c r="S905" s="236" t="s">
        <v>453</v>
      </c>
      <c r="T905" s="236" t="s">
        <v>264</v>
      </c>
    </row>
    <row r="906" spans="1:20" ht="14">
      <c r="A906" s="231">
        <v>905</v>
      </c>
      <c r="B906" s="235" t="s">
        <v>52</v>
      </c>
      <c r="C906" s="231" t="s">
        <v>10</v>
      </c>
      <c r="D906" s="252" t="s">
        <v>2356</v>
      </c>
      <c r="E906" s="255" t="s">
        <v>2357</v>
      </c>
      <c r="F906" s="255" t="s">
        <v>814</v>
      </c>
      <c r="G906" s="231">
        <v>48</v>
      </c>
      <c r="H906" s="231" t="s">
        <v>187</v>
      </c>
      <c r="I906" s="281">
        <v>0</v>
      </c>
      <c r="J906" s="249">
        <v>500</v>
      </c>
      <c r="K906" s="231">
        <f t="shared" si="14"/>
        <v>10</v>
      </c>
      <c r="L906" s="231"/>
      <c r="M906" s="299" t="s">
        <v>15</v>
      </c>
      <c r="N906" s="231" t="s">
        <v>637</v>
      </c>
      <c r="O906" s="231">
        <v>2023</v>
      </c>
      <c r="P906" s="281"/>
      <c r="Q906" s="231"/>
      <c r="R906" s="231"/>
      <c r="S906" s="236" t="s">
        <v>453</v>
      </c>
      <c r="T906" s="236" t="s">
        <v>264</v>
      </c>
    </row>
    <row r="907" spans="1:20" ht="14">
      <c r="A907" s="231">
        <v>906</v>
      </c>
      <c r="B907" s="235" t="s">
        <v>52</v>
      </c>
      <c r="C907" s="231" t="s">
        <v>10</v>
      </c>
      <c r="D907" s="252" t="s">
        <v>2358</v>
      </c>
      <c r="E907" s="255" t="s">
        <v>2359</v>
      </c>
      <c r="F907" s="231" t="s">
        <v>2360</v>
      </c>
      <c r="G907" s="231">
        <v>48</v>
      </c>
      <c r="H907" s="231" t="s">
        <v>3542</v>
      </c>
      <c r="I907" s="281">
        <v>0</v>
      </c>
      <c r="J907" s="249">
        <v>600</v>
      </c>
      <c r="K907" s="231" t="str">
        <f t="shared" si="14"/>
        <v>N/A</v>
      </c>
      <c r="L907" s="231"/>
      <c r="M907" s="231" t="s">
        <v>456</v>
      </c>
      <c r="N907" s="231" t="s">
        <v>637</v>
      </c>
      <c r="O907" s="231">
        <v>2023</v>
      </c>
      <c r="P907" s="281"/>
      <c r="Q907" s="231"/>
      <c r="R907" s="231"/>
      <c r="S907" s="236" t="s">
        <v>457</v>
      </c>
      <c r="T907" s="236"/>
    </row>
    <row r="908" spans="1:20" ht="14">
      <c r="A908" s="231">
        <v>907</v>
      </c>
      <c r="B908" s="235" t="s">
        <v>51</v>
      </c>
      <c r="C908" s="231" t="s">
        <v>10</v>
      </c>
      <c r="D908" s="252" t="s">
        <v>2361</v>
      </c>
      <c r="E908" s="239" t="s">
        <v>2362</v>
      </c>
      <c r="F908" s="255" t="s">
        <v>2363</v>
      </c>
      <c r="G908" s="231">
        <v>48</v>
      </c>
      <c r="H908" s="231" t="s">
        <v>148</v>
      </c>
      <c r="I908" s="281">
        <v>0</v>
      </c>
      <c r="J908" s="249">
        <v>300</v>
      </c>
      <c r="K908" s="231">
        <f t="shared" si="14"/>
        <v>20</v>
      </c>
      <c r="L908" s="231"/>
      <c r="M908" s="231" t="s">
        <v>16</v>
      </c>
      <c r="N908" s="231" t="s">
        <v>637</v>
      </c>
      <c r="O908" s="231">
        <v>2023</v>
      </c>
      <c r="P908" s="281"/>
      <c r="Q908" s="231"/>
      <c r="R908" s="231"/>
      <c r="S908" s="236" t="s">
        <v>453</v>
      </c>
      <c r="T908" s="236" t="s">
        <v>264</v>
      </c>
    </row>
    <row r="909" spans="1:20" ht="14">
      <c r="A909" s="231">
        <v>908</v>
      </c>
      <c r="B909" s="235" t="s">
        <v>52</v>
      </c>
      <c r="C909" s="231" t="s">
        <v>10</v>
      </c>
      <c r="D909" s="252" t="s">
        <v>2364</v>
      </c>
      <c r="E909" s="255" t="s">
        <v>2365</v>
      </c>
      <c r="F909" s="255" t="s">
        <v>2366</v>
      </c>
      <c r="G909" s="231">
        <v>2</v>
      </c>
      <c r="H909" s="231" t="s">
        <v>2767</v>
      </c>
      <c r="I909" s="281">
        <v>0</v>
      </c>
      <c r="J909" s="249">
        <v>300</v>
      </c>
      <c r="K909" s="231">
        <f t="shared" si="14"/>
        <v>20</v>
      </c>
      <c r="L909" s="231"/>
      <c r="M909" s="231" t="s">
        <v>16</v>
      </c>
      <c r="N909" s="231" t="s">
        <v>637</v>
      </c>
      <c r="O909" s="231">
        <v>2023</v>
      </c>
      <c r="P909" s="281"/>
      <c r="Q909" s="231"/>
      <c r="R909" s="231"/>
      <c r="S909" s="236" t="s">
        <v>453</v>
      </c>
      <c r="T909" s="236" t="s">
        <v>264</v>
      </c>
    </row>
    <row r="910" spans="1:20" ht="14">
      <c r="A910" s="231">
        <v>909</v>
      </c>
      <c r="B910" s="235" t="s">
        <v>52</v>
      </c>
      <c r="C910" s="231" t="s">
        <v>10</v>
      </c>
      <c r="D910" s="252" t="s">
        <v>2367</v>
      </c>
      <c r="E910" s="255" t="s">
        <v>2368</v>
      </c>
      <c r="F910" s="231" t="s">
        <v>2369</v>
      </c>
      <c r="G910" s="231">
        <v>2</v>
      </c>
      <c r="H910" s="231" t="s">
        <v>3111</v>
      </c>
      <c r="I910" s="281">
        <v>0</v>
      </c>
      <c r="J910" s="249">
        <v>100</v>
      </c>
      <c r="K910" s="231">
        <f t="shared" si="14"/>
        <v>20</v>
      </c>
      <c r="L910" s="231"/>
      <c r="M910" s="231" t="s">
        <v>16</v>
      </c>
      <c r="N910" s="231" t="s">
        <v>637</v>
      </c>
      <c r="O910" s="231">
        <v>2023</v>
      </c>
      <c r="P910" s="281"/>
      <c r="Q910" s="231"/>
      <c r="R910" s="231"/>
      <c r="S910" s="236" t="s">
        <v>453</v>
      </c>
      <c r="T910" s="236" t="s">
        <v>264</v>
      </c>
    </row>
    <row r="911" spans="1:20" ht="14">
      <c r="A911" s="231">
        <v>910</v>
      </c>
      <c r="B911" s="235" t="s">
        <v>55</v>
      </c>
      <c r="C911" s="231" t="s">
        <v>10</v>
      </c>
      <c r="D911" s="252" t="s">
        <v>2370</v>
      </c>
      <c r="E911" s="255" t="s">
        <v>2371</v>
      </c>
      <c r="F911" s="255" t="s">
        <v>2372</v>
      </c>
      <c r="G911" s="231">
        <v>48</v>
      </c>
      <c r="H911" s="231" t="s">
        <v>4635</v>
      </c>
      <c r="I911" s="281">
        <v>0</v>
      </c>
      <c r="J911" s="249">
        <v>850</v>
      </c>
      <c r="K911" s="231">
        <f t="shared" si="14"/>
        <v>10</v>
      </c>
      <c r="L911" s="231"/>
      <c r="M911" s="299" t="s">
        <v>15</v>
      </c>
      <c r="N911" s="231" t="s">
        <v>637</v>
      </c>
      <c r="O911" s="231">
        <v>2023</v>
      </c>
      <c r="P911" s="281"/>
      <c r="Q911" s="231"/>
      <c r="R911" s="231"/>
      <c r="S911" s="236" t="s">
        <v>453</v>
      </c>
      <c r="T911" s="236" t="s">
        <v>264</v>
      </c>
    </row>
    <row r="912" spans="1:20" ht="14">
      <c r="A912" s="231">
        <v>911</v>
      </c>
      <c r="B912" s="235" t="s">
        <v>52</v>
      </c>
      <c r="C912" s="231" t="s">
        <v>10</v>
      </c>
      <c r="D912" s="252" t="s">
        <v>2373</v>
      </c>
      <c r="E912" s="239" t="s">
        <v>2374</v>
      </c>
      <c r="F912" s="255" t="s">
        <v>2375</v>
      </c>
      <c r="G912" s="231">
        <v>48</v>
      </c>
      <c r="H912" s="231" t="s">
        <v>4265</v>
      </c>
      <c r="I912" s="281">
        <v>0</v>
      </c>
      <c r="J912" s="249">
        <v>800</v>
      </c>
      <c r="K912" s="231">
        <f t="shared" si="14"/>
        <v>20</v>
      </c>
      <c r="L912" s="231"/>
      <c r="M912" s="231" t="s">
        <v>16</v>
      </c>
      <c r="N912" s="231" t="s">
        <v>637</v>
      </c>
      <c r="O912" s="231">
        <v>2023</v>
      </c>
      <c r="P912" s="281"/>
      <c r="Q912" s="231"/>
      <c r="R912" s="231"/>
      <c r="S912" s="236" t="s">
        <v>453</v>
      </c>
      <c r="T912" s="236" t="s">
        <v>264</v>
      </c>
    </row>
    <row r="913" spans="1:20" ht="14">
      <c r="A913" s="231">
        <v>912</v>
      </c>
      <c r="B913" s="235" t="s">
        <v>52</v>
      </c>
      <c r="C913" s="231" t="s">
        <v>10</v>
      </c>
      <c r="D913" s="252" t="s">
        <v>2376</v>
      </c>
      <c r="E913" s="239" t="s">
        <v>2377</v>
      </c>
      <c r="F913" s="255" t="s">
        <v>2378</v>
      </c>
      <c r="G913" s="231">
        <v>48</v>
      </c>
      <c r="H913" s="231" t="s">
        <v>2773</v>
      </c>
      <c r="I913" s="281">
        <v>0</v>
      </c>
      <c r="J913" s="249">
        <v>600</v>
      </c>
      <c r="K913" s="231">
        <f t="shared" si="14"/>
        <v>20</v>
      </c>
      <c r="L913" s="231"/>
      <c r="M913" s="231" t="s">
        <v>16</v>
      </c>
      <c r="N913" s="231" t="s">
        <v>637</v>
      </c>
      <c r="O913" s="231">
        <v>2023</v>
      </c>
      <c r="P913" s="281"/>
      <c r="Q913" s="231"/>
      <c r="R913" s="231"/>
      <c r="S913" s="236" t="s">
        <v>453</v>
      </c>
      <c r="T913" s="236" t="s">
        <v>264</v>
      </c>
    </row>
    <row r="914" spans="1:20" ht="14">
      <c r="A914" s="231">
        <v>913</v>
      </c>
      <c r="B914" s="235" t="s">
        <v>52</v>
      </c>
      <c r="C914" s="231" t="s">
        <v>10</v>
      </c>
      <c r="D914" s="252" t="s">
        <v>2379</v>
      </c>
      <c r="E914" s="255" t="s">
        <v>2380</v>
      </c>
      <c r="F914" s="255" t="s">
        <v>2375</v>
      </c>
      <c r="G914" s="231">
        <v>48</v>
      </c>
      <c r="H914" s="231" t="s">
        <v>4265</v>
      </c>
      <c r="I914" s="281">
        <v>0</v>
      </c>
      <c r="J914" s="249">
        <v>450</v>
      </c>
      <c r="K914" s="231">
        <f t="shared" si="14"/>
        <v>20</v>
      </c>
      <c r="L914" s="231"/>
      <c r="M914" s="231" t="s">
        <v>16</v>
      </c>
      <c r="N914" s="231" t="s">
        <v>637</v>
      </c>
      <c r="O914" s="231">
        <v>2023</v>
      </c>
      <c r="P914" s="281"/>
      <c r="Q914" s="231"/>
      <c r="R914" s="231"/>
      <c r="S914" s="236" t="s">
        <v>453</v>
      </c>
      <c r="T914" s="236" t="s">
        <v>264</v>
      </c>
    </row>
    <row r="915" spans="1:20" ht="14">
      <c r="A915" s="231">
        <v>914</v>
      </c>
      <c r="B915" s="235" t="s">
        <v>52</v>
      </c>
      <c r="C915" s="231" t="s">
        <v>10</v>
      </c>
      <c r="D915" s="252" t="s">
        <v>2381</v>
      </c>
      <c r="E915" s="255" t="s">
        <v>2382</v>
      </c>
      <c r="F915" s="255" t="s">
        <v>2375</v>
      </c>
      <c r="G915" s="231">
        <v>48</v>
      </c>
      <c r="H915" s="231" t="s">
        <v>4545</v>
      </c>
      <c r="I915" s="281">
        <v>0</v>
      </c>
      <c r="J915" s="249">
        <v>350</v>
      </c>
      <c r="K915" s="231">
        <f t="shared" si="14"/>
        <v>20</v>
      </c>
      <c r="L915" s="231"/>
      <c r="M915" s="231" t="s">
        <v>16</v>
      </c>
      <c r="N915" s="231" t="s">
        <v>637</v>
      </c>
      <c r="O915" s="231">
        <v>2023</v>
      </c>
      <c r="P915" s="281"/>
      <c r="Q915" s="231"/>
      <c r="R915" s="231"/>
      <c r="S915" s="236" t="s">
        <v>453</v>
      </c>
      <c r="T915" s="236" t="s">
        <v>264</v>
      </c>
    </row>
    <row r="916" spans="1:20" ht="14">
      <c r="A916" s="231">
        <v>915</v>
      </c>
      <c r="B916" s="235" t="s">
        <v>52</v>
      </c>
      <c r="C916" s="231" t="s">
        <v>10</v>
      </c>
      <c r="D916" s="256" t="s">
        <v>2383</v>
      </c>
      <c r="E916" s="239" t="s">
        <v>2153</v>
      </c>
      <c r="F916" s="231" t="s">
        <v>888</v>
      </c>
      <c r="G916" s="231">
        <v>48</v>
      </c>
      <c r="H916" s="231" t="s">
        <v>2773</v>
      </c>
      <c r="I916" s="281">
        <v>0</v>
      </c>
      <c r="J916" s="249">
        <v>2200</v>
      </c>
      <c r="K916" s="231">
        <f t="shared" si="14"/>
        <v>20</v>
      </c>
      <c r="L916" s="231"/>
      <c r="M916" s="231" t="s">
        <v>16</v>
      </c>
      <c r="N916" s="231" t="s">
        <v>637</v>
      </c>
      <c r="O916" s="231">
        <v>2023</v>
      </c>
      <c r="P916" s="281"/>
      <c r="Q916" s="231"/>
      <c r="R916" s="231"/>
      <c r="S916" s="236" t="s">
        <v>453</v>
      </c>
      <c r="T916" s="236" t="s">
        <v>264</v>
      </c>
    </row>
    <row r="917" spans="1:20" ht="14">
      <c r="A917" s="231">
        <v>916</v>
      </c>
      <c r="B917" s="235" t="s">
        <v>52</v>
      </c>
      <c r="C917" s="231" t="s">
        <v>10</v>
      </c>
      <c r="D917" s="252" t="s">
        <v>4706</v>
      </c>
      <c r="E917" s="239" t="s">
        <v>2384</v>
      </c>
      <c r="F917" s="231" t="s">
        <v>267</v>
      </c>
      <c r="G917" s="231">
        <v>48</v>
      </c>
      <c r="H917" s="231" t="s">
        <v>582</v>
      </c>
      <c r="I917" s="281">
        <v>0</v>
      </c>
      <c r="J917" s="249">
        <v>500</v>
      </c>
      <c r="K917" s="231" t="str">
        <f t="shared" si="14"/>
        <v>N/A</v>
      </c>
      <c r="L917" s="231"/>
      <c r="M917" s="231" t="s">
        <v>456</v>
      </c>
      <c r="N917" s="231" t="s">
        <v>637</v>
      </c>
      <c r="O917" s="231">
        <v>2023</v>
      </c>
      <c r="P917" s="281"/>
      <c r="Q917" s="231"/>
      <c r="R917" s="231"/>
      <c r="S917" s="236" t="s">
        <v>453</v>
      </c>
      <c r="T917" s="236" t="s">
        <v>264</v>
      </c>
    </row>
    <row r="918" spans="1:20" ht="14">
      <c r="A918" s="231">
        <v>917</v>
      </c>
      <c r="B918" s="235" t="s">
        <v>51</v>
      </c>
      <c r="C918" s="231" t="s">
        <v>10</v>
      </c>
      <c r="D918" s="252" t="s">
        <v>2385</v>
      </c>
      <c r="E918" s="239" t="s">
        <v>2386</v>
      </c>
      <c r="F918" s="231" t="s">
        <v>778</v>
      </c>
      <c r="G918" s="231">
        <v>48</v>
      </c>
      <c r="H918" s="231" t="s">
        <v>148</v>
      </c>
      <c r="I918" s="281">
        <v>0</v>
      </c>
      <c r="J918" s="249">
        <v>300</v>
      </c>
      <c r="K918" s="231">
        <f t="shared" si="14"/>
        <v>10</v>
      </c>
      <c r="L918" s="231"/>
      <c r="M918" s="299" t="s">
        <v>15</v>
      </c>
      <c r="N918" s="231" t="s">
        <v>637</v>
      </c>
      <c r="O918" s="231">
        <v>2023</v>
      </c>
      <c r="P918" s="281"/>
      <c r="Q918" s="231"/>
      <c r="R918" s="231"/>
      <c r="S918" s="236" t="s">
        <v>453</v>
      </c>
      <c r="T918" s="236" t="s">
        <v>264</v>
      </c>
    </row>
    <row r="919" spans="1:20" ht="14">
      <c r="A919" s="231">
        <v>918</v>
      </c>
      <c r="B919" s="235" t="s">
        <v>51</v>
      </c>
      <c r="C919" s="231" t="s">
        <v>10</v>
      </c>
      <c r="D919" s="250" t="s">
        <v>2387</v>
      </c>
      <c r="E919" s="239" t="s">
        <v>2388</v>
      </c>
      <c r="F919" s="231" t="s">
        <v>753</v>
      </c>
      <c r="G919" s="231">
        <v>48</v>
      </c>
      <c r="H919" s="231" t="s">
        <v>164</v>
      </c>
      <c r="I919" s="281">
        <v>0</v>
      </c>
      <c r="J919" s="249">
        <v>150</v>
      </c>
      <c r="K919" s="231">
        <f t="shared" si="14"/>
        <v>10</v>
      </c>
      <c r="L919" s="231"/>
      <c r="M919" s="299" t="s">
        <v>15</v>
      </c>
      <c r="N919" s="231" t="s">
        <v>637</v>
      </c>
      <c r="O919" s="231">
        <v>2023</v>
      </c>
      <c r="P919" s="281"/>
      <c r="Q919" s="231"/>
      <c r="R919" s="231"/>
      <c r="S919" s="236" t="s">
        <v>453</v>
      </c>
      <c r="T919" s="236" t="s">
        <v>264</v>
      </c>
    </row>
    <row r="920" spans="1:20" ht="14">
      <c r="A920" s="231">
        <v>919</v>
      </c>
      <c r="B920" s="235" t="s">
        <v>52</v>
      </c>
      <c r="C920" s="231" t="s">
        <v>10</v>
      </c>
      <c r="D920" s="250" t="s">
        <v>2389</v>
      </c>
      <c r="E920" s="239" t="s">
        <v>2390</v>
      </c>
      <c r="F920" s="231" t="s">
        <v>873</v>
      </c>
      <c r="G920" s="231">
        <v>48</v>
      </c>
      <c r="H920" s="231" t="s">
        <v>4629</v>
      </c>
      <c r="I920" s="281">
        <v>0</v>
      </c>
      <c r="J920" s="249">
        <v>300</v>
      </c>
      <c r="K920" s="231">
        <f t="shared" si="14"/>
        <v>10</v>
      </c>
      <c r="L920" s="231"/>
      <c r="M920" s="299" t="s">
        <v>15</v>
      </c>
      <c r="N920" s="231" t="s">
        <v>637</v>
      </c>
      <c r="O920" s="231">
        <v>2023</v>
      </c>
      <c r="P920" s="281"/>
      <c r="Q920" s="231"/>
      <c r="R920" s="231"/>
      <c r="S920" s="236" t="s">
        <v>453</v>
      </c>
      <c r="T920" s="236" t="s">
        <v>264</v>
      </c>
    </row>
    <row r="921" spans="1:20" ht="14">
      <c r="A921" s="231">
        <v>920</v>
      </c>
      <c r="B921" s="235" t="s">
        <v>52</v>
      </c>
      <c r="C921" s="231" t="s">
        <v>10</v>
      </c>
      <c r="D921" s="250" t="s">
        <v>2391</v>
      </c>
      <c r="E921" s="239" t="s">
        <v>2390</v>
      </c>
      <c r="F921" s="231" t="s">
        <v>881</v>
      </c>
      <c r="G921" s="231">
        <v>48</v>
      </c>
      <c r="H921" s="231" t="s">
        <v>4629</v>
      </c>
      <c r="I921" s="281">
        <v>0</v>
      </c>
      <c r="J921" s="249">
        <v>300</v>
      </c>
      <c r="K921" s="231">
        <f t="shared" si="14"/>
        <v>20</v>
      </c>
      <c r="L921" s="231"/>
      <c r="M921" s="231" t="s">
        <v>16</v>
      </c>
      <c r="N921" s="231" t="s">
        <v>637</v>
      </c>
      <c r="O921" s="231">
        <v>2023</v>
      </c>
      <c r="P921" s="281"/>
      <c r="Q921" s="231"/>
      <c r="R921" s="231"/>
      <c r="S921" s="236" t="s">
        <v>453</v>
      </c>
      <c r="T921" s="236" t="s">
        <v>264</v>
      </c>
    </row>
    <row r="922" spans="1:20" ht="14">
      <c r="A922" s="231">
        <v>921</v>
      </c>
      <c r="B922" s="235" t="s">
        <v>52</v>
      </c>
      <c r="C922" s="231" t="s">
        <v>10</v>
      </c>
      <c r="D922" s="250" t="s">
        <v>2392</v>
      </c>
      <c r="E922" s="239" t="s">
        <v>2393</v>
      </c>
      <c r="F922" s="231" t="s">
        <v>881</v>
      </c>
      <c r="G922" s="231">
        <v>48</v>
      </c>
      <c r="H922" s="231" t="s">
        <v>4618</v>
      </c>
      <c r="I922" s="281">
        <v>0</v>
      </c>
      <c r="J922" s="249">
        <v>1700</v>
      </c>
      <c r="K922" s="231">
        <f t="shared" si="14"/>
        <v>20</v>
      </c>
      <c r="L922" s="231"/>
      <c r="M922" s="231" t="s">
        <v>16</v>
      </c>
      <c r="N922" s="231" t="s">
        <v>637</v>
      </c>
      <c r="O922" s="231">
        <v>2023</v>
      </c>
      <c r="P922" s="281"/>
      <c r="Q922" s="231"/>
      <c r="R922" s="231"/>
      <c r="S922" s="236" t="s">
        <v>453</v>
      </c>
      <c r="T922" s="236" t="s">
        <v>264</v>
      </c>
    </row>
    <row r="923" spans="1:20" ht="14">
      <c r="A923" s="231">
        <v>922</v>
      </c>
      <c r="B923" s="235" t="s">
        <v>55</v>
      </c>
      <c r="C923" s="231" t="s">
        <v>10</v>
      </c>
      <c r="D923" s="250" t="s">
        <v>2394</v>
      </c>
      <c r="E923" s="255" t="s">
        <v>2395</v>
      </c>
      <c r="F923" s="231" t="s">
        <v>2396</v>
      </c>
      <c r="G923" s="231">
        <v>48</v>
      </c>
      <c r="H923" s="231" t="s">
        <v>4632</v>
      </c>
      <c r="I923" s="281">
        <v>0</v>
      </c>
      <c r="J923" s="249">
        <v>0</v>
      </c>
      <c r="K923" s="231">
        <f t="shared" si="14"/>
        <v>10</v>
      </c>
      <c r="L923" s="231"/>
      <c r="M923" s="299" t="s">
        <v>15</v>
      </c>
      <c r="N923" s="231" t="s">
        <v>2397</v>
      </c>
      <c r="O923" s="231">
        <v>2023</v>
      </c>
      <c r="P923" s="281"/>
      <c r="Q923" s="231"/>
      <c r="R923" s="231"/>
      <c r="S923" s="236" t="s">
        <v>453</v>
      </c>
      <c r="T923" s="236" t="s">
        <v>264</v>
      </c>
    </row>
    <row r="924" spans="1:20" ht="14">
      <c r="A924" s="231">
        <v>923</v>
      </c>
      <c r="B924" s="235" t="s">
        <v>52</v>
      </c>
      <c r="C924" s="231" t="s">
        <v>10</v>
      </c>
      <c r="D924" s="250" t="s">
        <v>2398</v>
      </c>
      <c r="E924" s="239" t="s">
        <v>2399</v>
      </c>
      <c r="F924" s="231" t="s">
        <v>763</v>
      </c>
      <c r="G924" s="231">
        <v>48</v>
      </c>
      <c r="H924" s="231" t="s">
        <v>2767</v>
      </c>
      <c r="I924" s="281">
        <v>0</v>
      </c>
      <c r="J924" s="249">
        <v>600</v>
      </c>
      <c r="K924" s="231">
        <f t="shared" si="14"/>
        <v>20</v>
      </c>
      <c r="L924" s="231"/>
      <c r="M924" s="231" t="s">
        <v>16</v>
      </c>
      <c r="N924" s="231" t="s">
        <v>637</v>
      </c>
      <c r="O924" s="231">
        <v>2023</v>
      </c>
      <c r="P924" s="281"/>
      <c r="Q924" s="231"/>
      <c r="R924" s="231"/>
      <c r="S924" s="236" t="s">
        <v>453</v>
      </c>
      <c r="T924" s="236" t="s">
        <v>264</v>
      </c>
    </row>
    <row r="925" spans="1:20" ht="14">
      <c r="A925" s="231">
        <v>924</v>
      </c>
      <c r="B925" s="235" t="s">
        <v>51</v>
      </c>
      <c r="C925" s="231" t="s">
        <v>10</v>
      </c>
      <c r="D925" s="250" t="s">
        <v>2400</v>
      </c>
      <c r="E925" s="239" t="s">
        <v>2401</v>
      </c>
      <c r="F925" s="231" t="s">
        <v>778</v>
      </c>
      <c r="G925" s="231">
        <v>48</v>
      </c>
      <c r="H925" s="231" t="s">
        <v>4597</v>
      </c>
      <c r="I925" s="281">
        <v>0</v>
      </c>
      <c r="J925" s="249">
        <v>700</v>
      </c>
      <c r="K925" s="231">
        <f t="shared" si="14"/>
        <v>10</v>
      </c>
      <c r="L925" s="231"/>
      <c r="M925" s="299" t="s">
        <v>15</v>
      </c>
      <c r="N925" s="231" t="s">
        <v>637</v>
      </c>
      <c r="O925" s="231">
        <v>2023</v>
      </c>
      <c r="P925" s="281"/>
      <c r="Q925" s="231"/>
      <c r="R925" s="231"/>
      <c r="S925" s="236" t="s">
        <v>453</v>
      </c>
      <c r="T925" s="236" t="s">
        <v>264</v>
      </c>
    </row>
    <row r="926" spans="1:20" ht="14">
      <c r="A926" s="231">
        <v>925</v>
      </c>
      <c r="B926" s="235" t="s">
        <v>52</v>
      </c>
      <c r="C926" s="231" t="s">
        <v>10</v>
      </c>
      <c r="D926" s="250" t="s">
        <v>2402</v>
      </c>
      <c r="E926" s="318" t="s">
        <v>2403</v>
      </c>
      <c r="F926" s="318" t="s">
        <v>2404</v>
      </c>
      <c r="G926" s="271">
        <v>48</v>
      </c>
      <c r="H926" s="231" t="s">
        <v>4261</v>
      </c>
      <c r="I926" s="281">
        <v>0</v>
      </c>
      <c r="J926" s="249">
        <v>3100</v>
      </c>
      <c r="K926" s="231" t="b">
        <f t="shared" si="14"/>
        <v>0</v>
      </c>
      <c r="L926" s="231"/>
      <c r="M926" s="231" t="s">
        <v>3437</v>
      </c>
      <c r="N926" s="231" t="s">
        <v>637</v>
      </c>
      <c r="O926" s="231">
        <v>2023</v>
      </c>
      <c r="P926" s="281"/>
      <c r="Q926" s="231"/>
      <c r="R926" s="231"/>
      <c r="S926" s="236" t="s">
        <v>453</v>
      </c>
      <c r="T926" s="236" t="s">
        <v>264</v>
      </c>
    </row>
    <row r="927" spans="1:20" ht="14">
      <c r="A927" s="231">
        <v>926</v>
      </c>
      <c r="B927" s="235" t="s">
        <v>52</v>
      </c>
      <c r="C927" s="231" t="s">
        <v>10</v>
      </c>
      <c r="D927" s="250" t="s">
        <v>2405</v>
      </c>
      <c r="E927" s="318" t="s">
        <v>2403</v>
      </c>
      <c r="F927" s="318" t="s">
        <v>2347</v>
      </c>
      <c r="G927" s="271">
        <v>48</v>
      </c>
      <c r="H927" s="231" t="s">
        <v>4261</v>
      </c>
      <c r="I927" s="281">
        <v>0</v>
      </c>
      <c r="J927" s="249">
        <v>3100</v>
      </c>
      <c r="K927" s="231">
        <f t="shared" si="14"/>
        <v>20</v>
      </c>
      <c r="L927" s="231"/>
      <c r="M927" s="231" t="s">
        <v>15</v>
      </c>
      <c r="N927" s="231" t="s">
        <v>637</v>
      </c>
      <c r="O927" s="231">
        <v>2023</v>
      </c>
      <c r="P927" s="281"/>
      <c r="Q927" s="231"/>
      <c r="R927" s="231"/>
      <c r="S927" s="236" t="s">
        <v>457</v>
      </c>
      <c r="T927" s="236"/>
    </row>
    <row r="928" spans="1:20" ht="14">
      <c r="A928" s="231">
        <v>927</v>
      </c>
      <c r="B928" s="235" t="s">
        <v>51</v>
      </c>
      <c r="C928" s="231" t="s">
        <v>10</v>
      </c>
      <c r="D928" s="250" t="s">
        <v>2406</v>
      </c>
      <c r="E928" s="239" t="s">
        <v>2407</v>
      </c>
      <c r="F928" s="231" t="s">
        <v>778</v>
      </c>
      <c r="G928" s="231">
        <v>48</v>
      </c>
      <c r="H928" s="231" t="s">
        <v>148</v>
      </c>
      <c r="I928" s="281">
        <v>0</v>
      </c>
      <c r="J928" s="249">
        <v>300</v>
      </c>
      <c r="K928" s="231">
        <f t="shared" si="14"/>
        <v>20</v>
      </c>
      <c r="L928" s="231"/>
      <c r="M928" s="231" t="s">
        <v>16</v>
      </c>
      <c r="N928" s="231" t="s">
        <v>637</v>
      </c>
      <c r="O928" s="231">
        <v>2023</v>
      </c>
      <c r="P928" s="281"/>
      <c r="Q928" s="231"/>
      <c r="R928" s="231"/>
      <c r="S928" s="236" t="s">
        <v>453</v>
      </c>
      <c r="T928" s="236" t="s">
        <v>264</v>
      </c>
    </row>
    <row r="929" spans="1:20" ht="14">
      <c r="A929" s="231">
        <v>928</v>
      </c>
      <c r="B929" s="235" t="s">
        <v>50</v>
      </c>
      <c r="C929" s="231" t="s">
        <v>10</v>
      </c>
      <c r="D929" s="250" t="s">
        <v>4707</v>
      </c>
      <c r="E929" s="239" t="s">
        <v>2408</v>
      </c>
      <c r="F929" s="231" t="s">
        <v>2409</v>
      </c>
      <c r="G929" s="231">
        <v>48</v>
      </c>
      <c r="H929" s="231" t="s">
        <v>4631</v>
      </c>
      <c r="I929" s="281">
        <v>0</v>
      </c>
      <c r="J929" s="249">
        <v>1500</v>
      </c>
      <c r="K929" s="231">
        <f t="shared" si="14"/>
        <v>10</v>
      </c>
      <c r="L929" s="231"/>
      <c r="M929" s="299" t="s">
        <v>15</v>
      </c>
      <c r="N929" s="231" t="s">
        <v>637</v>
      </c>
      <c r="O929" s="231">
        <v>2023</v>
      </c>
      <c r="P929" s="281"/>
      <c r="Q929" s="231"/>
      <c r="R929" s="231"/>
      <c r="S929" s="236" t="s">
        <v>453</v>
      </c>
      <c r="T929" s="236" t="s">
        <v>264</v>
      </c>
    </row>
    <row r="930" spans="1:20" ht="14">
      <c r="A930" s="231">
        <v>929</v>
      </c>
      <c r="B930" s="235" t="s">
        <v>52</v>
      </c>
      <c r="C930" s="231" t="s">
        <v>10</v>
      </c>
      <c r="D930" s="250" t="s">
        <v>2410</v>
      </c>
      <c r="E930" s="239" t="s">
        <v>2411</v>
      </c>
      <c r="F930" s="231" t="s">
        <v>763</v>
      </c>
      <c r="G930" s="231">
        <v>48</v>
      </c>
      <c r="H930" s="231" t="s">
        <v>2767</v>
      </c>
      <c r="I930" s="281">
        <v>0</v>
      </c>
      <c r="J930" s="249">
        <v>1000</v>
      </c>
      <c r="K930" s="231">
        <f t="shared" si="14"/>
        <v>20</v>
      </c>
      <c r="L930" s="231"/>
      <c r="M930" s="231" t="s">
        <v>16</v>
      </c>
      <c r="N930" s="231" t="s">
        <v>637</v>
      </c>
      <c r="O930" s="231">
        <v>2023</v>
      </c>
      <c r="P930" s="281"/>
      <c r="Q930" s="231"/>
      <c r="R930" s="231"/>
      <c r="S930" s="236" t="s">
        <v>453</v>
      </c>
      <c r="T930" s="236" t="s">
        <v>264</v>
      </c>
    </row>
    <row r="931" spans="1:20" ht="14">
      <c r="A931" s="231">
        <v>930</v>
      </c>
      <c r="B931" s="235" t="s">
        <v>52</v>
      </c>
      <c r="C931" s="231" t="s">
        <v>10</v>
      </c>
      <c r="D931" s="250" t="s">
        <v>2412</v>
      </c>
      <c r="E931" s="255" t="s">
        <v>2413</v>
      </c>
      <c r="F931" s="231" t="s">
        <v>888</v>
      </c>
      <c r="G931" s="231">
        <v>48</v>
      </c>
      <c r="H931" s="231" t="s">
        <v>2773</v>
      </c>
      <c r="I931" s="281">
        <v>0</v>
      </c>
      <c r="J931" s="249">
        <v>2000</v>
      </c>
      <c r="K931" s="231">
        <f t="shared" si="14"/>
        <v>20</v>
      </c>
      <c r="L931" s="231"/>
      <c r="M931" s="231" t="s">
        <v>16</v>
      </c>
      <c r="N931" s="231" t="s">
        <v>637</v>
      </c>
      <c r="O931" s="231">
        <v>2023</v>
      </c>
      <c r="P931" s="281"/>
      <c r="Q931" s="231"/>
      <c r="R931" s="231"/>
      <c r="S931" s="236" t="s">
        <v>453</v>
      </c>
      <c r="T931" s="236" t="s">
        <v>264</v>
      </c>
    </row>
    <row r="932" spans="1:20" ht="14">
      <c r="A932" s="231">
        <v>931</v>
      </c>
      <c r="B932" s="235" t="s">
        <v>52</v>
      </c>
      <c r="C932" s="231" t="s">
        <v>10</v>
      </c>
      <c r="D932" s="250" t="s">
        <v>2414</v>
      </c>
      <c r="E932" s="239" t="s">
        <v>2415</v>
      </c>
      <c r="F932" s="231" t="s">
        <v>873</v>
      </c>
      <c r="G932" s="231">
        <v>48</v>
      </c>
      <c r="H932" s="231" t="s">
        <v>2776</v>
      </c>
      <c r="I932" s="281">
        <v>0</v>
      </c>
      <c r="J932" s="249">
        <v>450</v>
      </c>
      <c r="K932" s="231">
        <f t="shared" si="14"/>
        <v>20</v>
      </c>
      <c r="L932" s="231"/>
      <c r="M932" s="231" t="s">
        <v>16</v>
      </c>
      <c r="N932" s="231" t="s">
        <v>637</v>
      </c>
      <c r="O932" s="231">
        <v>2023</v>
      </c>
      <c r="P932" s="281"/>
      <c r="Q932" s="231"/>
      <c r="R932" s="231"/>
      <c r="S932" s="236" t="s">
        <v>453</v>
      </c>
      <c r="T932" s="236" t="s">
        <v>264</v>
      </c>
    </row>
    <row r="933" spans="1:20" ht="14">
      <c r="A933" s="231">
        <v>932</v>
      </c>
      <c r="B933" s="235" t="s">
        <v>52</v>
      </c>
      <c r="C933" s="231" t="s">
        <v>10</v>
      </c>
      <c r="D933" s="250" t="s">
        <v>2416</v>
      </c>
      <c r="E933" s="255" t="s">
        <v>2417</v>
      </c>
      <c r="F933" s="255" t="s">
        <v>2375</v>
      </c>
      <c r="G933" s="231">
        <v>2</v>
      </c>
      <c r="H933" s="231" t="s">
        <v>582</v>
      </c>
      <c r="I933" s="281">
        <v>0</v>
      </c>
      <c r="J933" s="249">
        <v>200</v>
      </c>
      <c r="K933" s="231">
        <f t="shared" si="14"/>
        <v>20</v>
      </c>
      <c r="L933" s="231"/>
      <c r="M933" s="231" t="s">
        <v>16</v>
      </c>
      <c r="N933" s="231" t="s">
        <v>637</v>
      </c>
      <c r="O933" s="231">
        <v>2023</v>
      </c>
      <c r="P933" s="281"/>
      <c r="Q933" s="231"/>
      <c r="R933" s="231"/>
      <c r="S933" s="236" t="s">
        <v>453</v>
      </c>
      <c r="T933" s="236" t="s">
        <v>264</v>
      </c>
    </row>
    <row r="934" spans="1:20" ht="14">
      <c r="A934" s="231">
        <v>933</v>
      </c>
      <c r="B934" s="235" t="s">
        <v>52</v>
      </c>
      <c r="C934" s="231" t="s">
        <v>10</v>
      </c>
      <c r="D934" s="250" t="s">
        <v>2418</v>
      </c>
      <c r="E934" s="255" t="s">
        <v>2419</v>
      </c>
      <c r="F934" s="255" t="s">
        <v>2375</v>
      </c>
      <c r="G934" s="231">
        <v>2</v>
      </c>
      <c r="H934" s="231" t="s">
        <v>582</v>
      </c>
      <c r="I934" s="281">
        <v>0</v>
      </c>
      <c r="J934" s="249">
        <v>200</v>
      </c>
      <c r="K934" s="231">
        <f t="shared" si="14"/>
        <v>20</v>
      </c>
      <c r="L934" s="231"/>
      <c r="M934" s="231" t="s">
        <v>16</v>
      </c>
      <c r="N934" s="231" t="s">
        <v>637</v>
      </c>
      <c r="O934" s="231">
        <v>2023</v>
      </c>
      <c r="P934" s="281"/>
      <c r="Q934" s="231"/>
      <c r="R934" s="231"/>
      <c r="S934" s="236" t="s">
        <v>453</v>
      </c>
      <c r="T934" s="236" t="s">
        <v>264</v>
      </c>
    </row>
    <row r="935" spans="1:20" ht="14">
      <c r="A935" s="231">
        <v>934</v>
      </c>
      <c r="B935" s="235" t="s">
        <v>52</v>
      </c>
      <c r="C935" s="231" t="s">
        <v>10</v>
      </c>
      <c r="D935" s="250" t="s">
        <v>2420</v>
      </c>
      <c r="E935" s="255" t="s">
        <v>2421</v>
      </c>
      <c r="F935" s="255" t="s">
        <v>2375</v>
      </c>
      <c r="G935" s="231">
        <v>2</v>
      </c>
      <c r="H935" s="231" t="s">
        <v>582</v>
      </c>
      <c r="I935" s="281">
        <v>0</v>
      </c>
      <c r="J935" s="249">
        <v>200</v>
      </c>
      <c r="K935" s="231">
        <f t="shared" si="14"/>
        <v>20</v>
      </c>
      <c r="L935" s="231"/>
      <c r="M935" s="231" t="s">
        <v>16</v>
      </c>
      <c r="N935" s="231" t="s">
        <v>637</v>
      </c>
      <c r="O935" s="231">
        <v>2023</v>
      </c>
      <c r="P935" s="281"/>
      <c r="Q935" s="231"/>
      <c r="R935" s="231"/>
      <c r="S935" s="236" t="s">
        <v>453</v>
      </c>
      <c r="T935" s="236" t="s">
        <v>264</v>
      </c>
    </row>
    <row r="936" spans="1:20" ht="14">
      <c r="A936" s="231">
        <v>935</v>
      </c>
      <c r="B936" s="235" t="s">
        <v>52</v>
      </c>
      <c r="C936" s="231" t="s">
        <v>10</v>
      </c>
      <c r="D936" s="250" t="s">
        <v>2422</v>
      </c>
      <c r="E936" s="255" t="s">
        <v>2423</v>
      </c>
      <c r="F936" s="255" t="s">
        <v>2375</v>
      </c>
      <c r="G936" s="231">
        <v>48</v>
      </c>
      <c r="H936" s="231" t="s">
        <v>582</v>
      </c>
      <c r="I936" s="281">
        <v>0</v>
      </c>
      <c r="J936" s="249">
        <v>350</v>
      </c>
      <c r="K936" s="231">
        <f t="shared" si="14"/>
        <v>20</v>
      </c>
      <c r="L936" s="231"/>
      <c r="M936" s="231" t="s">
        <v>16</v>
      </c>
      <c r="N936" s="231" t="s">
        <v>637</v>
      </c>
      <c r="O936" s="231">
        <v>2023</v>
      </c>
      <c r="P936" s="281"/>
      <c r="Q936" s="231"/>
      <c r="R936" s="231"/>
      <c r="S936" s="236" t="s">
        <v>453</v>
      </c>
      <c r="T936" s="236" t="s">
        <v>264</v>
      </c>
    </row>
    <row r="937" spans="1:20" ht="14">
      <c r="A937" s="231">
        <v>936</v>
      </c>
      <c r="B937" s="235" t="s">
        <v>52</v>
      </c>
      <c r="C937" s="231" t="s">
        <v>10</v>
      </c>
      <c r="D937" s="250" t="s">
        <v>2424</v>
      </c>
      <c r="E937" s="239" t="s">
        <v>2425</v>
      </c>
      <c r="F937" s="231" t="s">
        <v>873</v>
      </c>
      <c r="G937" s="231">
        <v>48</v>
      </c>
      <c r="H937" s="231" t="s">
        <v>4564</v>
      </c>
      <c r="I937" s="281">
        <v>0</v>
      </c>
      <c r="J937" s="249">
        <v>1100</v>
      </c>
      <c r="K937" s="231">
        <f t="shared" si="14"/>
        <v>20</v>
      </c>
      <c r="L937" s="231"/>
      <c r="M937" s="231" t="s">
        <v>16</v>
      </c>
      <c r="N937" s="231" t="s">
        <v>637</v>
      </c>
      <c r="O937" s="231">
        <v>2023</v>
      </c>
      <c r="P937" s="281"/>
      <c r="Q937" s="231"/>
      <c r="R937" s="231"/>
      <c r="S937" s="236" t="s">
        <v>453</v>
      </c>
      <c r="T937" s="236" t="s">
        <v>264</v>
      </c>
    </row>
    <row r="938" spans="1:20" ht="14">
      <c r="A938" s="231">
        <v>937</v>
      </c>
      <c r="B938" s="235" t="s">
        <v>49</v>
      </c>
      <c r="C938" s="231" t="s">
        <v>10</v>
      </c>
      <c r="D938" s="250" t="s">
        <v>2426</v>
      </c>
      <c r="E938" s="255" t="s">
        <v>2427</v>
      </c>
      <c r="F938" s="255" t="s">
        <v>464</v>
      </c>
      <c r="G938" s="231">
        <v>48</v>
      </c>
      <c r="H938" s="231" t="s">
        <v>3542</v>
      </c>
      <c r="I938" s="281">
        <v>0</v>
      </c>
      <c r="J938" s="249">
        <v>1600</v>
      </c>
      <c r="K938" s="231">
        <f t="shared" si="14"/>
        <v>10</v>
      </c>
      <c r="L938" s="231">
        <v>10</v>
      </c>
      <c r="M938" s="299" t="s">
        <v>15</v>
      </c>
      <c r="N938" s="231" t="s">
        <v>637</v>
      </c>
      <c r="O938" s="231">
        <v>2023</v>
      </c>
      <c r="P938" s="281"/>
      <c r="Q938" s="231"/>
      <c r="R938" s="231"/>
      <c r="S938" s="236" t="s">
        <v>453</v>
      </c>
      <c r="T938" s="236" t="s">
        <v>264</v>
      </c>
    </row>
    <row r="939" spans="1:20" ht="14">
      <c r="A939" s="231">
        <v>938</v>
      </c>
      <c r="B939" s="235" t="s">
        <v>49</v>
      </c>
      <c r="C939" s="231" t="s">
        <v>10</v>
      </c>
      <c r="D939" s="250" t="s">
        <v>2428</v>
      </c>
      <c r="E939" s="255" t="s">
        <v>2429</v>
      </c>
      <c r="F939" s="255" t="s">
        <v>464</v>
      </c>
      <c r="G939" s="231">
        <v>48</v>
      </c>
      <c r="H939" s="231" t="s">
        <v>3620</v>
      </c>
      <c r="I939" s="281">
        <v>0</v>
      </c>
      <c r="J939" s="249">
        <v>400</v>
      </c>
      <c r="K939" s="231">
        <f t="shared" si="14"/>
        <v>10</v>
      </c>
      <c r="L939" s="231">
        <v>10</v>
      </c>
      <c r="M939" s="299" t="s">
        <v>15</v>
      </c>
      <c r="N939" s="231" t="s">
        <v>637</v>
      </c>
      <c r="O939" s="231">
        <v>2023</v>
      </c>
      <c r="P939" s="281"/>
      <c r="Q939" s="231"/>
      <c r="R939" s="231"/>
      <c r="S939" s="236" t="s">
        <v>453</v>
      </c>
      <c r="T939" s="236" t="s">
        <v>264</v>
      </c>
    </row>
    <row r="940" spans="1:20" ht="14">
      <c r="A940" s="231">
        <v>939</v>
      </c>
      <c r="B940" s="235" t="s">
        <v>52</v>
      </c>
      <c r="C940" s="231" t="s">
        <v>10</v>
      </c>
      <c r="D940" s="250" t="s">
        <v>2430</v>
      </c>
      <c r="E940" s="239" t="s">
        <v>2431</v>
      </c>
      <c r="F940" s="231" t="s">
        <v>878</v>
      </c>
      <c r="G940" s="231">
        <v>48</v>
      </c>
      <c r="H940" s="231" t="s">
        <v>2765</v>
      </c>
      <c r="I940" s="281">
        <v>0</v>
      </c>
      <c r="J940" s="249">
        <v>600</v>
      </c>
      <c r="K940" s="231">
        <f t="shared" si="14"/>
        <v>10</v>
      </c>
      <c r="L940" s="231" t="s">
        <v>2432</v>
      </c>
      <c r="M940" s="299" t="s">
        <v>15</v>
      </c>
      <c r="N940" s="231" t="s">
        <v>637</v>
      </c>
      <c r="O940" s="231">
        <v>2023</v>
      </c>
      <c r="P940" s="281"/>
      <c r="Q940" s="231"/>
      <c r="R940" s="231"/>
      <c r="S940" s="236" t="s">
        <v>453</v>
      </c>
      <c r="T940" s="236" t="s">
        <v>264</v>
      </c>
    </row>
    <row r="941" spans="1:20" ht="14">
      <c r="A941" s="231">
        <v>940</v>
      </c>
      <c r="B941" s="235" t="s">
        <v>52</v>
      </c>
      <c r="C941" s="231" t="s">
        <v>10</v>
      </c>
      <c r="D941" s="250" t="s">
        <v>2433</v>
      </c>
      <c r="E941" s="255" t="s">
        <v>2434</v>
      </c>
      <c r="F941" s="255" t="s">
        <v>2404</v>
      </c>
      <c r="G941" s="231">
        <v>48</v>
      </c>
      <c r="H941" s="231" t="s">
        <v>3623</v>
      </c>
      <c r="I941" s="281">
        <v>0</v>
      </c>
      <c r="J941" s="249">
        <v>600</v>
      </c>
      <c r="K941" s="231">
        <f t="shared" si="14"/>
        <v>10</v>
      </c>
      <c r="L941" s="231"/>
      <c r="M941" s="231" t="s">
        <v>15</v>
      </c>
      <c r="N941" s="231" t="s">
        <v>637</v>
      </c>
      <c r="O941" s="231">
        <v>2023</v>
      </c>
      <c r="P941" s="281"/>
      <c r="Q941" s="231"/>
      <c r="R941" s="231"/>
      <c r="S941" s="236" t="s">
        <v>453</v>
      </c>
      <c r="T941" s="236" t="s">
        <v>264</v>
      </c>
    </row>
    <row r="942" spans="1:20" ht="14">
      <c r="A942" s="231">
        <v>941</v>
      </c>
      <c r="B942" s="235" t="s">
        <v>52</v>
      </c>
      <c r="C942" s="231" t="s">
        <v>10</v>
      </c>
      <c r="D942" s="250" t="s">
        <v>2435</v>
      </c>
      <c r="E942" s="239" t="s">
        <v>2436</v>
      </c>
      <c r="F942" s="231" t="s">
        <v>844</v>
      </c>
      <c r="G942" s="231">
        <v>2</v>
      </c>
      <c r="H942" s="231" t="s">
        <v>4630</v>
      </c>
      <c r="I942" s="281">
        <v>0</v>
      </c>
      <c r="J942" s="249">
        <v>300</v>
      </c>
      <c r="K942" s="231">
        <f t="shared" si="14"/>
        <v>20</v>
      </c>
      <c r="L942" s="231"/>
      <c r="M942" s="231" t="s">
        <v>16</v>
      </c>
      <c r="N942" s="231" t="s">
        <v>637</v>
      </c>
      <c r="O942" s="231">
        <v>2023</v>
      </c>
      <c r="P942" s="281"/>
      <c r="Q942" s="231"/>
      <c r="R942" s="231"/>
      <c r="S942" s="236" t="s">
        <v>453</v>
      </c>
      <c r="T942" s="236" t="s">
        <v>264</v>
      </c>
    </row>
    <row r="943" spans="1:20" ht="14">
      <c r="A943" s="231">
        <v>942</v>
      </c>
      <c r="B943" s="235" t="s">
        <v>49</v>
      </c>
      <c r="C943" s="231" t="s">
        <v>10</v>
      </c>
      <c r="D943" s="250" t="s">
        <v>2437</v>
      </c>
      <c r="E943" s="255" t="s">
        <v>2438</v>
      </c>
      <c r="F943" s="255" t="s">
        <v>464</v>
      </c>
      <c r="G943" s="231">
        <v>48</v>
      </c>
      <c r="H943" s="231" t="s">
        <v>452</v>
      </c>
      <c r="I943" s="281">
        <v>0</v>
      </c>
      <c r="J943" s="249">
        <v>2500</v>
      </c>
      <c r="K943" s="231">
        <f t="shared" si="14"/>
        <v>10</v>
      </c>
      <c r="L943" s="231">
        <v>40</v>
      </c>
      <c r="M943" s="299" t="s">
        <v>15</v>
      </c>
      <c r="N943" s="231" t="s">
        <v>637</v>
      </c>
      <c r="O943" s="231">
        <v>2023</v>
      </c>
      <c r="P943" s="281"/>
      <c r="Q943" s="231"/>
      <c r="R943" s="231"/>
      <c r="S943" s="236" t="s">
        <v>453</v>
      </c>
      <c r="T943" s="236" t="s">
        <v>264</v>
      </c>
    </row>
    <row r="944" spans="1:20" ht="14">
      <c r="A944" s="231">
        <v>943</v>
      </c>
      <c r="B944" s="235" t="s">
        <v>49</v>
      </c>
      <c r="C944" s="231" t="s">
        <v>10</v>
      </c>
      <c r="D944" s="250" t="s">
        <v>2439</v>
      </c>
      <c r="E944" s="255" t="s">
        <v>2438</v>
      </c>
      <c r="F944" s="255" t="s">
        <v>2440</v>
      </c>
      <c r="G944" s="231">
        <v>48</v>
      </c>
      <c r="H944" s="231" t="s">
        <v>452</v>
      </c>
      <c r="I944" s="281">
        <v>0</v>
      </c>
      <c r="J944" s="249">
        <v>2700</v>
      </c>
      <c r="K944" s="231">
        <f t="shared" si="14"/>
        <v>10</v>
      </c>
      <c r="L944" s="231">
        <v>40</v>
      </c>
      <c r="M944" s="299" t="s">
        <v>15</v>
      </c>
      <c r="N944" s="231" t="s">
        <v>637</v>
      </c>
      <c r="O944" s="231">
        <v>2023</v>
      </c>
      <c r="P944" s="281"/>
      <c r="Q944" s="231"/>
      <c r="R944" s="231"/>
      <c r="S944" s="236" t="s">
        <v>453</v>
      </c>
      <c r="T944" s="236" t="s">
        <v>264</v>
      </c>
    </row>
    <row r="945" spans="1:20" ht="14">
      <c r="A945" s="231">
        <v>944</v>
      </c>
      <c r="B945" s="235" t="s">
        <v>52</v>
      </c>
      <c r="C945" s="231" t="s">
        <v>10</v>
      </c>
      <c r="D945" s="250" t="s">
        <v>2441</v>
      </c>
      <c r="E945" s="239" t="s">
        <v>2442</v>
      </c>
      <c r="F945" s="231" t="s">
        <v>873</v>
      </c>
      <c r="G945" s="231">
        <v>48</v>
      </c>
      <c r="H945" s="231" t="s">
        <v>168</v>
      </c>
      <c r="I945" s="281">
        <v>0</v>
      </c>
      <c r="J945" s="249">
        <v>1100</v>
      </c>
      <c r="K945" s="231">
        <f t="shared" si="14"/>
        <v>20</v>
      </c>
      <c r="L945" s="231"/>
      <c r="M945" s="231" t="s">
        <v>16</v>
      </c>
      <c r="N945" s="231" t="s">
        <v>637</v>
      </c>
      <c r="O945" s="231">
        <v>2023</v>
      </c>
      <c r="P945" s="281"/>
      <c r="Q945" s="231"/>
      <c r="R945" s="231"/>
      <c r="S945" s="236" t="s">
        <v>453</v>
      </c>
      <c r="T945" s="236" t="s">
        <v>264</v>
      </c>
    </row>
    <row r="946" spans="1:20" ht="14">
      <c r="A946" s="231">
        <v>945</v>
      </c>
      <c r="B946" s="235" t="s">
        <v>52</v>
      </c>
      <c r="C946" s="231" t="s">
        <v>10</v>
      </c>
      <c r="D946" s="250" t="s">
        <v>2443</v>
      </c>
      <c r="E946" s="239" t="s">
        <v>2444</v>
      </c>
      <c r="F946" s="231" t="s">
        <v>1415</v>
      </c>
      <c r="G946" s="231">
        <v>48</v>
      </c>
      <c r="H946" s="231" t="s">
        <v>4569</v>
      </c>
      <c r="I946" s="281">
        <v>0</v>
      </c>
      <c r="J946" s="249">
        <v>800</v>
      </c>
      <c r="K946" s="231">
        <f t="shared" si="14"/>
        <v>20</v>
      </c>
      <c r="L946" s="231"/>
      <c r="M946" s="231" t="s">
        <v>16</v>
      </c>
      <c r="N946" s="231" t="s">
        <v>637</v>
      </c>
      <c r="O946" s="231">
        <v>2023</v>
      </c>
      <c r="P946" s="281"/>
      <c r="Q946" s="231"/>
      <c r="R946" s="231"/>
      <c r="S946" s="236" t="s">
        <v>453</v>
      </c>
      <c r="T946" s="236" t="s">
        <v>264</v>
      </c>
    </row>
    <row r="947" spans="1:20" ht="14">
      <c r="A947" s="231">
        <v>946</v>
      </c>
      <c r="B947" s="235" t="s">
        <v>49</v>
      </c>
      <c r="C947" s="231" t="s">
        <v>10</v>
      </c>
      <c r="D947" s="250" t="s">
        <v>4592</v>
      </c>
      <c r="E947" s="239" t="s">
        <v>2445</v>
      </c>
      <c r="F947" s="231" t="s">
        <v>2446</v>
      </c>
      <c r="G947" s="231">
        <v>48</v>
      </c>
      <c r="H947" s="231" t="s">
        <v>2923</v>
      </c>
      <c r="I947" s="281">
        <v>0</v>
      </c>
      <c r="J947" s="249">
        <v>300</v>
      </c>
      <c r="K947" s="231">
        <f t="shared" si="14"/>
        <v>10</v>
      </c>
      <c r="L947" s="231">
        <v>80</v>
      </c>
      <c r="M947" s="299" t="s">
        <v>15</v>
      </c>
      <c r="N947" s="231" t="s">
        <v>637</v>
      </c>
      <c r="O947" s="231">
        <v>2023</v>
      </c>
      <c r="P947" s="281"/>
      <c r="Q947" s="231"/>
      <c r="R947" s="231"/>
      <c r="S947" s="236" t="s">
        <v>453</v>
      </c>
      <c r="T947" s="236" t="s">
        <v>264</v>
      </c>
    </row>
    <row r="948" spans="1:20" ht="14">
      <c r="A948" s="231">
        <v>947</v>
      </c>
      <c r="B948" s="235" t="s">
        <v>52</v>
      </c>
      <c r="C948" s="231" t="s">
        <v>10</v>
      </c>
      <c r="D948" s="250" t="s">
        <v>2447</v>
      </c>
      <c r="E948" s="255" t="s">
        <v>2448</v>
      </c>
      <c r="F948" s="255" t="s">
        <v>2449</v>
      </c>
      <c r="G948" s="231">
        <v>2</v>
      </c>
      <c r="H948" s="231" t="s">
        <v>4614</v>
      </c>
      <c r="I948" s="281">
        <v>0</v>
      </c>
      <c r="J948" s="249">
        <v>350</v>
      </c>
      <c r="K948" s="231">
        <f t="shared" si="14"/>
        <v>10</v>
      </c>
      <c r="L948" s="231"/>
      <c r="M948" s="299" t="s">
        <v>15</v>
      </c>
      <c r="N948" s="231" t="s">
        <v>637</v>
      </c>
      <c r="O948" s="231">
        <v>2023</v>
      </c>
      <c r="P948" s="281"/>
      <c r="Q948" s="231"/>
      <c r="R948" s="231"/>
      <c r="S948" s="236" t="s">
        <v>453</v>
      </c>
      <c r="T948" s="236" t="s">
        <v>264</v>
      </c>
    </row>
    <row r="949" spans="1:20" ht="14">
      <c r="A949" s="231">
        <v>948</v>
      </c>
      <c r="B949" s="235" t="s">
        <v>52</v>
      </c>
      <c r="C949" s="231" t="s">
        <v>10</v>
      </c>
      <c r="D949" s="250" t="s">
        <v>2450</v>
      </c>
      <c r="E949" s="255" t="s">
        <v>2451</v>
      </c>
      <c r="F949" s="255" t="s">
        <v>2449</v>
      </c>
      <c r="G949" s="231">
        <v>2</v>
      </c>
      <c r="H949" s="231" t="s">
        <v>4614</v>
      </c>
      <c r="I949" s="281">
        <v>0</v>
      </c>
      <c r="J949" s="249">
        <v>350</v>
      </c>
      <c r="K949" s="231">
        <f t="shared" si="14"/>
        <v>10</v>
      </c>
      <c r="L949" s="231"/>
      <c r="M949" s="299" t="s">
        <v>15</v>
      </c>
      <c r="N949" s="231" t="s">
        <v>637</v>
      </c>
      <c r="O949" s="231">
        <v>2023</v>
      </c>
      <c r="P949" s="281"/>
      <c r="Q949" s="231"/>
      <c r="R949" s="231"/>
      <c r="S949" s="236" t="s">
        <v>453</v>
      </c>
      <c r="T949" s="236" t="s">
        <v>264</v>
      </c>
    </row>
    <row r="950" spans="1:20" ht="14">
      <c r="A950" s="231">
        <v>949</v>
      </c>
      <c r="B950" s="235" t="s">
        <v>52</v>
      </c>
      <c r="C950" s="231" t="s">
        <v>10</v>
      </c>
      <c r="D950" s="250" t="s">
        <v>2452</v>
      </c>
      <c r="E950" s="255" t="s">
        <v>2453</v>
      </c>
      <c r="F950" s="231" t="s">
        <v>888</v>
      </c>
      <c r="G950" s="231">
        <v>48</v>
      </c>
      <c r="H950" s="231" t="s">
        <v>2773</v>
      </c>
      <c r="I950" s="281">
        <v>0</v>
      </c>
      <c r="J950" s="249">
        <v>400</v>
      </c>
      <c r="K950" s="231">
        <f t="shared" si="14"/>
        <v>20</v>
      </c>
      <c r="L950" s="231"/>
      <c r="M950" s="231" t="s">
        <v>16</v>
      </c>
      <c r="N950" s="231" t="s">
        <v>637</v>
      </c>
      <c r="O950" s="231">
        <v>2023</v>
      </c>
      <c r="P950" s="281"/>
      <c r="Q950" s="231"/>
      <c r="R950" s="231"/>
      <c r="S950" s="236" t="s">
        <v>453</v>
      </c>
      <c r="T950" s="236" t="s">
        <v>264</v>
      </c>
    </row>
    <row r="951" spans="1:20" ht="14">
      <c r="A951" s="231">
        <v>950</v>
      </c>
      <c r="B951" s="235" t="s">
        <v>49</v>
      </c>
      <c r="C951" s="231" t="s">
        <v>10</v>
      </c>
      <c r="D951" s="250" t="s">
        <v>2454</v>
      </c>
      <c r="E951" s="255" t="s">
        <v>2455</v>
      </c>
      <c r="F951" s="255" t="s">
        <v>464</v>
      </c>
      <c r="G951" s="231">
        <v>48</v>
      </c>
      <c r="H951" s="231" t="s">
        <v>452</v>
      </c>
      <c r="I951" s="281">
        <v>0</v>
      </c>
      <c r="J951" s="249">
        <v>4600</v>
      </c>
      <c r="K951" s="231">
        <f t="shared" si="14"/>
        <v>20</v>
      </c>
      <c r="L951" s="231"/>
      <c r="M951" s="299" t="s">
        <v>15</v>
      </c>
      <c r="N951" s="231" t="s">
        <v>637</v>
      </c>
      <c r="O951" s="231">
        <v>2023</v>
      </c>
      <c r="P951" s="281"/>
      <c r="Q951" s="231"/>
      <c r="R951" s="231"/>
      <c r="S951" s="236" t="s">
        <v>453</v>
      </c>
      <c r="T951" s="236" t="s">
        <v>264</v>
      </c>
    </row>
    <row r="952" spans="1:20" ht="14">
      <c r="A952" s="231">
        <v>951</v>
      </c>
      <c r="B952" s="235" t="s">
        <v>52</v>
      </c>
      <c r="C952" s="231" t="s">
        <v>10</v>
      </c>
      <c r="D952" s="250" t="s">
        <v>2456</v>
      </c>
      <c r="E952" s="239" t="s">
        <v>2457</v>
      </c>
      <c r="F952" s="231" t="s">
        <v>1415</v>
      </c>
      <c r="G952" s="231">
        <v>48</v>
      </c>
      <c r="H952" s="231" t="s">
        <v>4569</v>
      </c>
      <c r="I952" s="281">
        <v>0</v>
      </c>
      <c r="J952" s="249">
        <v>600</v>
      </c>
      <c r="K952" s="231">
        <f t="shared" si="14"/>
        <v>20</v>
      </c>
      <c r="L952" s="231"/>
      <c r="M952" s="231" t="s">
        <v>16</v>
      </c>
      <c r="N952" s="231" t="s">
        <v>637</v>
      </c>
      <c r="O952" s="231">
        <v>2023</v>
      </c>
      <c r="P952" s="281"/>
      <c r="Q952" s="231"/>
      <c r="R952" s="231"/>
      <c r="S952" s="236" t="s">
        <v>453</v>
      </c>
      <c r="T952" s="236"/>
    </row>
    <row r="953" spans="1:20" ht="14">
      <c r="A953" s="231">
        <v>952</v>
      </c>
      <c r="B953" s="235" t="s">
        <v>52</v>
      </c>
      <c r="C953" s="231" t="s">
        <v>10</v>
      </c>
      <c r="D953" s="250" t="s">
        <v>2458</v>
      </c>
      <c r="E953" s="239" t="s">
        <v>2459</v>
      </c>
      <c r="F953" s="231" t="s">
        <v>835</v>
      </c>
      <c r="G953" s="231">
        <v>48</v>
      </c>
      <c r="H953" s="231" t="s">
        <v>1440</v>
      </c>
      <c r="I953" s="281">
        <v>0</v>
      </c>
      <c r="J953" s="249">
        <v>1200</v>
      </c>
      <c r="K953" s="231">
        <f t="shared" si="14"/>
        <v>20</v>
      </c>
      <c r="L953" s="231"/>
      <c r="M953" s="231" t="s">
        <v>16</v>
      </c>
      <c r="N953" s="231" t="s">
        <v>637</v>
      </c>
      <c r="O953" s="231">
        <v>2023</v>
      </c>
      <c r="P953" s="281"/>
      <c r="Q953" s="231"/>
      <c r="R953" s="231"/>
      <c r="S953" s="236" t="s">
        <v>453</v>
      </c>
      <c r="T953" s="236"/>
    </row>
    <row r="954" spans="1:20" ht="14">
      <c r="A954" s="231">
        <v>953</v>
      </c>
      <c r="B954" s="235" t="s">
        <v>52</v>
      </c>
      <c r="C954" s="231" t="s">
        <v>10</v>
      </c>
      <c r="D954" s="250" t="s">
        <v>2460</v>
      </c>
      <c r="E954" s="255" t="s">
        <v>2461</v>
      </c>
      <c r="F954" s="255" t="s">
        <v>2375</v>
      </c>
      <c r="G954" s="231">
        <v>2</v>
      </c>
      <c r="H954" s="231" t="s">
        <v>3542</v>
      </c>
      <c r="I954" s="281">
        <v>0</v>
      </c>
      <c r="J954" s="249">
        <v>150</v>
      </c>
      <c r="K954" s="231">
        <f t="shared" si="14"/>
        <v>20</v>
      </c>
      <c r="L954" s="231"/>
      <c r="M954" s="231" t="s">
        <v>16</v>
      </c>
      <c r="N954" s="231" t="s">
        <v>637</v>
      </c>
      <c r="O954" s="231">
        <v>2023</v>
      </c>
      <c r="P954" s="281"/>
      <c r="Q954" s="231"/>
      <c r="R954" s="231"/>
      <c r="S954" s="236" t="s">
        <v>453</v>
      </c>
      <c r="T954" s="236"/>
    </row>
    <row r="955" spans="1:20" ht="14">
      <c r="A955" s="231">
        <v>954</v>
      </c>
      <c r="B955" s="235" t="s">
        <v>52</v>
      </c>
      <c r="C955" s="231" t="s">
        <v>10</v>
      </c>
      <c r="D955" s="250" t="s">
        <v>2462</v>
      </c>
      <c r="E955" s="255" t="s">
        <v>2463</v>
      </c>
      <c r="F955" s="257" t="s">
        <v>888</v>
      </c>
      <c r="G955" s="231">
        <v>2</v>
      </c>
      <c r="H955" s="231" t="s">
        <v>2773</v>
      </c>
      <c r="I955" s="281">
        <v>0</v>
      </c>
      <c r="J955" s="249">
        <v>300</v>
      </c>
      <c r="K955" s="231">
        <f t="shared" si="14"/>
        <v>20</v>
      </c>
      <c r="L955" s="231"/>
      <c r="M955" s="231" t="s">
        <v>16</v>
      </c>
      <c r="N955" s="231" t="s">
        <v>637</v>
      </c>
      <c r="O955" s="231">
        <v>2023</v>
      </c>
      <c r="P955" s="281"/>
      <c r="Q955" s="231"/>
      <c r="R955" s="231"/>
      <c r="S955" s="236" t="s">
        <v>453</v>
      </c>
      <c r="T955" s="236"/>
    </row>
    <row r="956" spans="1:20" ht="14">
      <c r="A956" s="231">
        <v>955</v>
      </c>
      <c r="B956" s="235" t="s">
        <v>52</v>
      </c>
      <c r="C956" s="231" t="s">
        <v>10</v>
      </c>
      <c r="D956" s="250" t="s">
        <v>2464</v>
      </c>
      <c r="E956" s="255" t="s">
        <v>2465</v>
      </c>
      <c r="F956" s="231" t="s">
        <v>888</v>
      </c>
      <c r="G956" s="231">
        <v>2</v>
      </c>
      <c r="H956" s="231" t="s">
        <v>2773</v>
      </c>
      <c r="I956" s="281">
        <v>0</v>
      </c>
      <c r="J956" s="249">
        <v>300</v>
      </c>
      <c r="K956" s="231">
        <f t="shared" si="14"/>
        <v>20</v>
      </c>
      <c r="L956" s="231"/>
      <c r="M956" s="231" t="s">
        <v>16</v>
      </c>
      <c r="N956" s="231" t="s">
        <v>637</v>
      </c>
      <c r="O956" s="231">
        <v>2023</v>
      </c>
      <c r="P956" s="281"/>
      <c r="Q956" s="231"/>
      <c r="R956" s="231"/>
      <c r="S956" s="236" t="s">
        <v>453</v>
      </c>
      <c r="T956" s="236"/>
    </row>
    <row r="957" spans="1:20" ht="14">
      <c r="A957" s="231">
        <v>956</v>
      </c>
      <c r="B957" s="235" t="s">
        <v>52</v>
      </c>
      <c r="C957" s="231" t="s">
        <v>10</v>
      </c>
      <c r="D957" s="250" t="s">
        <v>2466</v>
      </c>
      <c r="E957" s="255" t="s">
        <v>2467</v>
      </c>
      <c r="F957" s="231" t="s">
        <v>2468</v>
      </c>
      <c r="G957" s="231">
        <v>2</v>
      </c>
      <c r="H957" s="231" t="s">
        <v>2773</v>
      </c>
      <c r="I957" s="281">
        <v>0</v>
      </c>
      <c r="J957" s="249">
        <v>300</v>
      </c>
      <c r="K957" s="231">
        <f t="shared" si="14"/>
        <v>20</v>
      </c>
      <c r="L957" s="231"/>
      <c r="M957" s="231" t="s">
        <v>16</v>
      </c>
      <c r="N957" s="231" t="s">
        <v>637</v>
      </c>
      <c r="O957" s="231">
        <v>2023</v>
      </c>
      <c r="P957" s="281"/>
      <c r="Q957" s="231"/>
      <c r="R957" s="231"/>
      <c r="S957" s="236" t="s">
        <v>453</v>
      </c>
      <c r="T957" s="236"/>
    </row>
    <row r="958" spans="1:20" ht="14">
      <c r="A958" s="231">
        <v>957</v>
      </c>
      <c r="B958" s="235" t="s">
        <v>52</v>
      </c>
      <c r="C958" s="231" t="s">
        <v>10</v>
      </c>
      <c r="D958" s="250" t="s">
        <v>2469</v>
      </c>
      <c r="E958" s="255" t="s">
        <v>2470</v>
      </c>
      <c r="F958" s="231" t="s">
        <v>2471</v>
      </c>
      <c r="G958" s="231">
        <v>2</v>
      </c>
      <c r="H958" s="231" t="s">
        <v>2773</v>
      </c>
      <c r="I958" s="281">
        <v>0</v>
      </c>
      <c r="J958" s="249">
        <v>300</v>
      </c>
      <c r="K958" s="231">
        <f t="shared" si="14"/>
        <v>20</v>
      </c>
      <c r="L958" s="231"/>
      <c r="M958" s="231" t="s">
        <v>16</v>
      </c>
      <c r="N958" s="231" t="s">
        <v>637</v>
      </c>
      <c r="O958" s="231">
        <v>2023</v>
      </c>
      <c r="P958" s="281"/>
      <c r="Q958" s="231"/>
      <c r="R958" s="231"/>
      <c r="S958" s="236" t="s">
        <v>453</v>
      </c>
      <c r="T958" s="236"/>
    </row>
    <row r="959" spans="1:20" ht="14">
      <c r="A959" s="231">
        <v>958</v>
      </c>
      <c r="B959" s="235" t="s">
        <v>52</v>
      </c>
      <c r="C959" s="231" t="s">
        <v>10</v>
      </c>
      <c r="D959" s="250" t="s">
        <v>2472</v>
      </c>
      <c r="E959" s="255" t="s">
        <v>2473</v>
      </c>
      <c r="F959" s="231" t="s">
        <v>2474</v>
      </c>
      <c r="G959" s="231">
        <v>2</v>
      </c>
      <c r="H959" s="231" t="s">
        <v>2773</v>
      </c>
      <c r="I959" s="281">
        <v>0</v>
      </c>
      <c r="J959" s="249">
        <v>300</v>
      </c>
      <c r="K959" s="231">
        <f t="shared" si="14"/>
        <v>20</v>
      </c>
      <c r="L959" s="231"/>
      <c r="M959" s="231" t="s">
        <v>16</v>
      </c>
      <c r="N959" s="231" t="s">
        <v>637</v>
      </c>
      <c r="O959" s="231">
        <v>2023</v>
      </c>
      <c r="P959" s="281"/>
      <c r="Q959" s="231"/>
      <c r="R959" s="231"/>
      <c r="S959" s="236" t="s">
        <v>453</v>
      </c>
      <c r="T959" s="236"/>
    </row>
    <row r="960" spans="1:20" ht="14">
      <c r="A960" s="231">
        <v>959</v>
      </c>
      <c r="B960" s="235" t="s">
        <v>52</v>
      </c>
      <c r="C960" s="231" t="s">
        <v>10</v>
      </c>
      <c r="D960" s="250" t="s">
        <v>2475</v>
      </c>
      <c r="E960" s="255" t="s">
        <v>2476</v>
      </c>
      <c r="F960" s="231" t="s">
        <v>2477</v>
      </c>
      <c r="G960" s="231">
        <v>2</v>
      </c>
      <c r="H960" s="231" t="s">
        <v>2773</v>
      </c>
      <c r="I960" s="281">
        <v>0</v>
      </c>
      <c r="J960" s="249">
        <v>300</v>
      </c>
      <c r="K960" s="231">
        <f t="shared" ref="K960:K1023" si="15">IF(M960="ONT",20,IF(M960="N/A","N/A",IF(M960="MIKROTIK",IF(J960&lt;3000,10,IF(3000&lt;J960&gt;10000,20,IF(10000&lt;J960&gt;20000,40,IF(20000&lt;J960&gt;40000,60,IF(J960&gt;40000,80,IF(J960&lt;300,3,)))))))))</f>
        <v>20</v>
      </c>
      <c r="L960" s="231"/>
      <c r="M960" s="231" t="s">
        <v>16</v>
      </c>
      <c r="N960" s="231" t="s">
        <v>637</v>
      </c>
      <c r="O960" s="231">
        <v>2023</v>
      </c>
      <c r="P960" s="281"/>
      <c r="Q960" s="231"/>
      <c r="R960" s="231"/>
      <c r="S960" s="236" t="s">
        <v>453</v>
      </c>
      <c r="T960" s="236"/>
    </row>
    <row r="961" spans="1:20" ht="14">
      <c r="A961" s="231">
        <v>960</v>
      </c>
      <c r="B961" s="235" t="s">
        <v>52</v>
      </c>
      <c r="C961" s="231" t="s">
        <v>10</v>
      </c>
      <c r="D961" s="250" t="s">
        <v>2478</v>
      </c>
      <c r="E961" s="255" t="s">
        <v>2479</v>
      </c>
      <c r="F961" s="255" t="s">
        <v>2404</v>
      </c>
      <c r="G961" s="231">
        <v>48</v>
      </c>
      <c r="H961" s="231" t="s">
        <v>3060</v>
      </c>
      <c r="I961" s="281">
        <v>0</v>
      </c>
      <c r="J961" s="249">
        <v>1000</v>
      </c>
      <c r="K961" s="231">
        <f t="shared" si="15"/>
        <v>20</v>
      </c>
      <c r="L961" s="231"/>
      <c r="M961" s="231" t="s">
        <v>16</v>
      </c>
      <c r="N961" s="231" t="s">
        <v>637</v>
      </c>
      <c r="O961" s="231">
        <v>2023</v>
      </c>
      <c r="P961" s="281"/>
      <c r="Q961" s="231"/>
      <c r="R961" s="231"/>
      <c r="S961" s="236" t="s">
        <v>453</v>
      </c>
      <c r="T961" s="236" t="s">
        <v>264</v>
      </c>
    </row>
    <row r="962" spans="1:20" ht="14">
      <c r="A962" s="231">
        <v>961</v>
      </c>
      <c r="B962" s="235" t="s">
        <v>52</v>
      </c>
      <c r="C962" s="231" t="s">
        <v>10</v>
      </c>
      <c r="D962" s="250" t="s">
        <v>2480</v>
      </c>
      <c r="E962" s="239" t="s">
        <v>2481</v>
      </c>
      <c r="F962" s="255" t="s">
        <v>2404</v>
      </c>
      <c r="G962" s="231">
        <v>2</v>
      </c>
      <c r="H962" s="231" t="s">
        <v>4555</v>
      </c>
      <c r="I962" s="281">
        <v>0</v>
      </c>
      <c r="J962" s="249">
        <v>100</v>
      </c>
      <c r="K962" s="231">
        <f t="shared" si="15"/>
        <v>20</v>
      </c>
      <c r="L962" s="231"/>
      <c r="M962" s="231" t="s">
        <v>16</v>
      </c>
      <c r="N962" s="231" t="s">
        <v>637</v>
      </c>
      <c r="O962" s="231">
        <v>2023</v>
      </c>
      <c r="P962" s="281"/>
      <c r="Q962" s="231"/>
      <c r="R962" s="231"/>
      <c r="S962" s="236" t="s">
        <v>453</v>
      </c>
      <c r="T962" s="236" t="s">
        <v>264</v>
      </c>
    </row>
    <row r="963" spans="1:20" ht="14">
      <c r="A963" s="231">
        <v>962</v>
      </c>
      <c r="B963" s="235" t="s">
        <v>55</v>
      </c>
      <c r="C963" s="231" t="s">
        <v>10</v>
      </c>
      <c r="D963" s="250" t="s">
        <v>2482</v>
      </c>
      <c r="E963" s="239" t="s">
        <v>2483</v>
      </c>
      <c r="F963" s="231" t="s">
        <v>1626</v>
      </c>
      <c r="G963" s="231">
        <v>48</v>
      </c>
      <c r="H963" s="231" t="s">
        <v>2894</v>
      </c>
      <c r="I963" s="281">
        <v>0</v>
      </c>
      <c r="J963" s="249">
        <v>4800</v>
      </c>
      <c r="K963" s="231">
        <f t="shared" si="15"/>
        <v>20</v>
      </c>
      <c r="L963" s="231"/>
      <c r="M963" s="299" t="s">
        <v>15</v>
      </c>
      <c r="N963" s="231"/>
      <c r="O963" s="231">
        <v>2023</v>
      </c>
      <c r="P963" s="281"/>
      <c r="Q963" s="231"/>
      <c r="R963" s="231"/>
      <c r="S963" s="236" t="s">
        <v>453</v>
      </c>
      <c r="T963" s="236"/>
    </row>
    <row r="964" spans="1:20" ht="14">
      <c r="A964" s="231">
        <v>963</v>
      </c>
      <c r="B964" s="235" t="s">
        <v>52</v>
      </c>
      <c r="C964" s="231" t="s">
        <v>10</v>
      </c>
      <c r="D964" s="250" t="s">
        <v>2484</v>
      </c>
      <c r="E964" s="239" t="s">
        <v>2485</v>
      </c>
      <c r="F964" s="231" t="s">
        <v>854</v>
      </c>
      <c r="G964" s="231">
        <v>48</v>
      </c>
      <c r="H964" s="231" t="s">
        <v>185</v>
      </c>
      <c r="I964" s="281">
        <v>0</v>
      </c>
      <c r="J964" s="249">
        <v>2500</v>
      </c>
      <c r="K964" s="231">
        <f t="shared" si="15"/>
        <v>20</v>
      </c>
      <c r="L964" s="231"/>
      <c r="M964" s="231" t="s">
        <v>16</v>
      </c>
      <c r="N964" s="231"/>
      <c r="O964" s="231">
        <v>2023</v>
      </c>
      <c r="P964" s="281"/>
      <c r="Q964" s="231"/>
      <c r="R964" s="231"/>
      <c r="S964" s="236" t="s">
        <v>453</v>
      </c>
      <c r="T964" s="236"/>
    </row>
    <row r="965" spans="1:20" ht="14">
      <c r="A965" s="231">
        <v>964</v>
      </c>
      <c r="B965" s="235" t="s">
        <v>52</v>
      </c>
      <c r="C965" s="231" t="s">
        <v>10</v>
      </c>
      <c r="D965" s="250" t="s">
        <v>2486</v>
      </c>
      <c r="E965" s="239" t="s">
        <v>2487</v>
      </c>
      <c r="F965" s="231" t="s">
        <v>888</v>
      </c>
      <c r="G965" s="231">
        <v>48</v>
      </c>
      <c r="H965" s="231" t="s">
        <v>189</v>
      </c>
      <c r="I965" s="281">
        <v>0</v>
      </c>
      <c r="J965" s="249">
        <v>4000</v>
      </c>
      <c r="K965" s="231">
        <f t="shared" si="15"/>
        <v>20</v>
      </c>
      <c r="L965" s="231"/>
      <c r="M965" s="231" t="s">
        <v>16</v>
      </c>
      <c r="N965" s="231"/>
      <c r="O965" s="231">
        <v>2023</v>
      </c>
      <c r="P965" s="281"/>
      <c r="Q965" s="231"/>
      <c r="R965" s="231"/>
      <c r="S965" s="236" t="s">
        <v>453</v>
      </c>
      <c r="T965" s="236"/>
    </row>
    <row r="966" spans="1:20" ht="14">
      <c r="A966" s="231">
        <v>965</v>
      </c>
      <c r="B966" s="235" t="s">
        <v>52</v>
      </c>
      <c r="C966" s="231" t="s">
        <v>10</v>
      </c>
      <c r="D966" s="250" t="s">
        <v>2488</v>
      </c>
      <c r="E966" s="239" t="s">
        <v>2436</v>
      </c>
      <c r="F966" s="231" t="s">
        <v>844</v>
      </c>
      <c r="G966" s="231">
        <v>2</v>
      </c>
      <c r="H966" s="231" t="s">
        <v>4630</v>
      </c>
      <c r="I966" s="281">
        <v>0</v>
      </c>
      <c r="J966" s="249">
        <v>300</v>
      </c>
      <c r="K966" s="231">
        <f t="shared" si="15"/>
        <v>10</v>
      </c>
      <c r="L966" s="231"/>
      <c r="M966" s="299" t="s">
        <v>15</v>
      </c>
      <c r="N966" s="231"/>
      <c r="O966" s="231">
        <v>2023</v>
      </c>
      <c r="P966" s="281"/>
      <c r="Q966" s="231"/>
      <c r="R966" s="231"/>
      <c r="S966" s="236" t="s">
        <v>453</v>
      </c>
      <c r="T966" s="236"/>
    </row>
    <row r="967" spans="1:20" ht="14">
      <c r="A967" s="231">
        <v>966</v>
      </c>
      <c r="B967" s="235" t="s">
        <v>50</v>
      </c>
      <c r="C967" s="231" t="s">
        <v>10</v>
      </c>
      <c r="D967" s="250" t="s">
        <v>2492</v>
      </c>
      <c r="E967" s="239" t="s">
        <v>2490</v>
      </c>
      <c r="F967" s="231" t="s">
        <v>2491</v>
      </c>
      <c r="G967" s="231">
        <v>48</v>
      </c>
      <c r="H967" s="231" t="s">
        <v>4594</v>
      </c>
      <c r="I967" s="281">
        <v>0</v>
      </c>
      <c r="J967" s="249">
        <v>2000</v>
      </c>
      <c r="K967" s="231">
        <f t="shared" si="15"/>
        <v>10</v>
      </c>
      <c r="L967" s="231"/>
      <c r="M967" s="299" t="s">
        <v>15</v>
      </c>
      <c r="N967" s="231"/>
      <c r="O967" s="231">
        <v>2023</v>
      </c>
      <c r="P967" s="281"/>
      <c r="Q967" s="231"/>
      <c r="R967" s="231"/>
      <c r="S967" s="236" t="s">
        <v>453</v>
      </c>
      <c r="T967" s="236"/>
    </row>
    <row r="968" spans="1:20" ht="14">
      <c r="A968" s="231">
        <v>967</v>
      </c>
      <c r="B968" s="235" t="s">
        <v>52</v>
      </c>
      <c r="C968" s="231" t="s">
        <v>10</v>
      </c>
      <c r="D968" s="250" t="s">
        <v>2495</v>
      </c>
      <c r="E968" s="239" t="s">
        <v>2493</v>
      </c>
      <c r="F968" s="231" t="s">
        <v>2494</v>
      </c>
      <c r="G968" s="231">
        <v>48</v>
      </c>
      <c r="H968" s="231" t="s">
        <v>3542</v>
      </c>
      <c r="I968" s="281">
        <v>0</v>
      </c>
      <c r="J968" s="249">
        <v>1000</v>
      </c>
      <c r="K968" s="231">
        <f t="shared" si="15"/>
        <v>20</v>
      </c>
      <c r="L968" s="231"/>
      <c r="M968" s="231" t="s">
        <v>16</v>
      </c>
      <c r="N968" s="231"/>
      <c r="O968" s="231">
        <v>2023</v>
      </c>
      <c r="P968" s="281"/>
      <c r="Q968" s="231"/>
      <c r="R968" s="231"/>
      <c r="S968" s="236" t="s">
        <v>453</v>
      </c>
      <c r="T968" s="236"/>
    </row>
    <row r="969" spans="1:20" ht="14">
      <c r="A969" s="231">
        <v>968</v>
      </c>
      <c r="B969" s="235" t="s">
        <v>55</v>
      </c>
      <c r="C969" s="231" t="s">
        <v>10</v>
      </c>
      <c r="D969" s="250" t="s">
        <v>2497</v>
      </c>
      <c r="E969" s="239" t="s">
        <v>2496</v>
      </c>
      <c r="F969" s="231" t="s">
        <v>2396</v>
      </c>
      <c r="G969" s="231">
        <v>48</v>
      </c>
      <c r="H969" s="231" t="s">
        <v>2894</v>
      </c>
      <c r="I969" s="281">
        <v>0</v>
      </c>
      <c r="J969" s="249">
        <v>1339</v>
      </c>
      <c r="K969" s="231">
        <f t="shared" si="15"/>
        <v>10</v>
      </c>
      <c r="L969" s="231"/>
      <c r="M969" s="299" t="s">
        <v>15</v>
      </c>
      <c r="N969" s="231"/>
      <c r="O969" s="231">
        <v>2023</v>
      </c>
      <c r="P969" s="281"/>
      <c r="Q969" s="231"/>
      <c r="R969" s="231"/>
      <c r="S969" s="236" t="s">
        <v>453</v>
      </c>
      <c r="T969" s="236"/>
    </row>
    <row r="970" spans="1:20" ht="14">
      <c r="A970" s="231">
        <v>969</v>
      </c>
      <c r="B970" s="235" t="s">
        <v>52</v>
      </c>
      <c r="C970" s="231" t="s">
        <v>10</v>
      </c>
      <c r="D970" s="250" t="s">
        <v>2500</v>
      </c>
      <c r="E970" s="239" t="s">
        <v>2498</v>
      </c>
      <c r="F970" s="231" t="s">
        <v>2499</v>
      </c>
      <c r="G970" s="231">
        <v>48</v>
      </c>
      <c r="H970" s="231" t="s">
        <v>2773</v>
      </c>
      <c r="I970" s="281">
        <v>0</v>
      </c>
      <c r="J970" s="249">
        <v>1000</v>
      </c>
      <c r="K970" s="231">
        <f t="shared" si="15"/>
        <v>20</v>
      </c>
      <c r="L970" s="231"/>
      <c r="M970" s="231" t="s">
        <v>16</v>
      </c>
      <c r="N970" s="231"/>
      <c r="O970" s="231">
        <v>2023</v>
      </c>
      <c r="P970" s="281"/>
      <c r="Q970" s="231"/>
      <c r="R970" s="231"/>
      <c r="S970" s="236" t="s">
        <v>453</v>
      </c>
      <c r="T970" s="236"/>
    </row>
    <row r="971" spans="1:20" ht="14">
      <c r="A971" s="231">
        <v>970</v>
      </c>
      <c r="B971" s="235" t="s">
        <v>52</v>
      </c>
      <c r="C971" s="231" t="s">
        <v>10</v>
      </c>
      <c r="D971" s="250" t="s">
        <v>2503</v>
      </c>
      <c r="E971" s="239" t="s">
        <v>2501</v>
      </c>
      <c r="F971" s="231" t="s">
        <v>2502</v>
      </c>
      <c r="G971" s="231">
        <v>48</v>
      </c>
      <c r="H971" s="231" t="s">
        <v>3060</v>
      </c>
      <c r="I971" s="281">
        <v>0</v>
      </c>
      <c r="J971" s="249">
        <v>1200</v>
      </c>
      <c r="K971" s="231">
        <f t="shared" si="15"/>
        <v>20</v>
      </c>
      <c r="L971" s="231"/>
      <c r="M971" s="231" t="s">
        <v>16</v>
      </c>
      <c r="N971" s="231"/>
      <c r="O971" s="231">
        <v>2023</v>
      </c>
      <c r="P971" s="281"/>
      <c r="Q971" s="231"/>
      <c r="R971" s="231"/>
      <c r="S971" s="236" t="s">
        <v>453</v>
      </c>
      <c r="T971" s="236"/>
    </row>
    <row r="972" spans="1:20" ht="14">
      <c r="A972" s="231">
        <v>971</v>
      </c>
      <c r="B972" s="235" t="s">
        <v>52</v>
      </c>
      <c r="C972" s="231" t="s">
        <v>10</v>
      </c>
      <c r="D972" s="250" t="s">
        <v>2505</v>
      </c>
      <c r="E972" s="239" t="s">
        <v>2504</v>
      </c>
      <c r="F972" s="231" t="s">
        <v>2360</v>
      </c>
      <c r="G972" s="231">
        <v>48</v>
      </c>
      <c r="H972" s="231" t="s">
        <v>2776</v>
      </c>
      <c r="I972" s="281">
        <v>0</v>
      </c>
      <c r="J972" s="249">
        <v>800</v>
      </c>
      <c r="K972" s="231">
        <f t="shared" si="15"/>
        <v>20</v>
      </c>
      <c r="L972" s="231"/>
      <c r="M972" s="231" t="s">
        <v>16</v>
      </c>
      <c r="N972" s="231"/>
      <c r="O972" s="231">
        <v>2023</v>
      </c>
      <c r="P972" s="281"/>
      <c r="Q972" s="231"/>
      <c r="R972" s="231"/>
      <c r="S972" s="236" t="s">
        <v>453</v>
      </c>
      <c r="T972" s="236"/>
    </row>
    <row r="973" spans="1:20" ht="14">
      <c r="A973" s="231">
        <v>972</v>
      </c>
      <c r="B973" s="235" t="s">
        <v>52</v>
      </c>
      <c r="C973" s="231" t="s">
        <v>10</v>
      </c>
      <c r="D973" s="250" t="s">
        <v>2508</v>
      </c>
      <c r="E973" s="239" t="s">
        <v>2506</v>
      </c>
      <c r="F973" s="231" t="s">
        <v>2507</v>
      </c>
      <c r="G973" s="231">
        <v>48</v>
      </c>
      <c r="H973" s="231" t="s">
        <v>3063</v>
      </c>
      <c r="I973" s="281">
        <v>0</v>
      </c>
      <c r="J973" s="249">
        <v>500</v>
      </c>
      <c r="K973" s="231">
        <f t="shared" si="15"/>
        <v>20</v>
      </c>
      <c r="L973" s="231"/>
      <c r="M973" s="231" t="s">
        <v>16</v>
      </c>
      <c r="N973" s="231"/>
      <c r="O973" s="231">
        <v>2023</v>
      </c>
      <c r="P973" s="281"/>
      <c r="Q973" s="231"/>
      <c r="R973" s="231"/>
      <c r="S973" s="236" t="s">
        <v>453</v>
      </c>
      <c r="T973" s="236"/>
    </row>
    <row r="974" spans="1:20" ht="14">
      <c r="A974" s="231">
        <v>973</v>
      </c>
      <c r="B974" s="235" t="s">
        <v>52</v>
      </c>
      <c r="C974" s="231" t="s">
        <v>10</v>
      </c>
      <c r="D974" s="250" t="s">
        <v>2510</v>
      </c>
      <c r="E974" s="239" t="s">
        <v>2509</v>
      </c>
      <c r="F974" s="231" t="s">
        <v>2507</v>
      </c>
      <c r="G974" s="231">
        <v>48</v>
      </c>
      <c r="H974" s="231" t="s">
        <v>4262</v>
      </c>
      <c r="I974" s="281">
        <v>0</v>
      </c>
      <c r="J974" s="249">
        <v>300</v>
      </c>
      <c r="K974" s="231">
        <f t="shared" si="15"/>
        <v>20</v>
      </c>
      <c r="L974" s="231"/>
      <c r="M974" s="231" t="s">
        <v>16</v>
      </c>
      <c r="N974" s="231"/>
      <c r="O974" s="231">
        <v>2023</v>
      </c>
      <c r="P974" s="281"/>
      <c r="Q974" s="231"/>
      <c r="R974" s="231"/>
      <c r="S974" s="236" t="s">
        <v>453</v>
      </c>
      <c r="T974" s="236"/>
    </row>
    <row r="975" spans="1:20" ht="14">
      <c r="A975" s="231">
        <v>974</v>
      </c>
      <c r="B975" s="235" t="s">
        <v>52</v>
      </c>
      <c r="C975" s="231" t="s">
        <v>10</v>
      </c>
      <c r="D975" s="250" t="s">
        <v>2513</v>
      </c>
      <c r="E975" s="239" t="s">
        <v>2511</v>
      </c>
      <c r="F975" s="231" t="s">
        <v>2512</v>
      </c>
      <c r="G975" s="231">
        <v>2</v>
      </c>
      <c r="H975" s="231" t="s">
        <v>2773</v>
      </c>
      <c r="I975" s="281">
        <v>0</v>
      </c>
      <c r="J975" s="249">
        <v>1400</v>
      </c>
      <c r="K975" s="231">
        <f t="shared" si="15"/>
        <v>20</v>
      </c>
      <c r="L975" s="231"/>
      <c r="M975" s="231" t="s">
        <v>16</v>
      </c>
      <c r="N975" s="231"/>
      <c r="O975" s="231">
        <v>2023</v>
      </c>
      <c r="P975" s="281"/>
      <c r="Q975" s="231"/>
      <c r="R975" s="231"/>
      <c r="S975" s="236" t="s">
        <v>453</v>
      </c>
      <c r="T975" s="236"/>
    </row>
    <row r="976" spans="1:20" ht="14">
      <c r="A976" s="231">
        <v>975</v>
      </c>
      <c r="B976" s="235" t="s">
        <v>52</v>
      </c>
      <c r="C976" s="231" t="s">
        <v>10</v>
      </c>
      <c r="D976" s="250" t="s">
        <v>2515</v>
      </c>
      <c r="E976" s="239" t="s">
        <v>2514</v>
      </c>
      <c r="F976" s="231" t="s">
        <v>2502</v>
      </c>
      <c r="G976" s="231">
        <v>48</v>
      </c>
      <c r="H976" s="231" t="s">
        <v>4606</v>
      </c>
      <c r="I976" s="281">
        <v>0</v>
      </c>
      <c r="J976" s="249">
        <v>2000</v>
      </c>
      <c r="K976" s="231">
        <f t="shared" si="15"/>
        <v>10</v>
      </c>
      <c r="L976" s="231"/>
      <c r="M976" s="299" t="s">
        <v>15</v>
      </c>
      <c r="N976" s="231"/>
      <c r="O976" s="231">
        <v>2023</v>
      </c>
      <c r="P976" s="281"/>
      <c r="Q976" s="231"/>
      <c r="R976" s="231"/>
      <c r="S976" s="236" t="s">
        <v>453</v>
      </c>
      <c r="T976" s="236"/>
    </row>
    <row r="977" spans="1:20" ht="14">
      <c r="A977" s="231">
        <v>976</v>
      </c>
      <c r="B977" s="235" t="s">
        <v>53</v>
      </c>
      <c r="C977" s="231" t="s">
        <v>10</v>
      </c>
      <c r="D977" s="250" t="s">
        <v>2517</v>
      </c>
      <c r="E977" s="237" t="s">
        <v>2516</v>
      </c>
      <c r="F977" s="231" t="s">
        <v>2512</v>
      </c>
      <c r="G977" s="231">
        <v>48</v>
      </c>
      <c r="H977" s="231" t="s">
        <v>207</v>
      </c>
      <c r="I977" s="281">
        <v>0</v>
      </c>
      <c r="J977" s="249">
        <v>1300</v>
      </c>
      <c r="K977" s="231">
        <f t="shared" si="15"/>
        <v>10</v>
      </c>
      <c r="L977" s="231"/>
      <c r="M977" s="299" t="s">
        <v>15</v>
      </c>
      <c r="N977" s="231"/>
      <c r="O977" s="231">
        <v>2023</v>
      </c>
      <c r="P977" s="281"/>
      <c r="Q977" s="231"/>
      <c r="R977" s="231"/>
      <c r="S977" s="236" t="s">
        <v>453</v>
      </c>
      <c r="T977" s="236"/>
    </row>
    <row r="978" spans="1:20" ht="14">
      <c r="A978" s="231">
        <v>977</v>
      </c>
      <c r="B978" s="235" t="s">
        <v>52</v>
      </c>
      <c r="C978" s="231" t="s">
        <v>10</v>
      </c>
      <c r="D978" s="250" t="s">
        <v>2520</v>
      </c>
      <c r="E978" s="239" t="s">
        <v>2518</v>
      </c>
      <c r="F978" s="231" t="s">
        <v>2519</v>
      </c>
      <c r="G978" s="231">
        <v>48</v>
      </c>
      <c r="H978" s="231" t="s">
        <v>2943</v>
      </c>
      <c r="I978" s="281">
        <v>0</v>
      </c>
      <c r="J978" s="249">
        <v>350</v>
      </c>
      <c r="K978" s="231">
        <f t="shared" si="15"/>
        <v>10</v>
      </c>
      <c r="L978" s="231"/>
      <c r="M978" s="299" t="s">
        <v>15</v>
      </c>
      <c r="N978" s="231"/>
      <c r="O978" s="231">
        <v>2023</v>
      </c>
      <c r="P978" s="281"/>
      <c r="Q978" s="231"/>
      <c r="R978" s="231"/>
      <c r="S978" s="236" t="s">
        <v>453</v>
      </c>
      <c r="T978" s="236"/>
    </row>
    <row r="979" spans="1:20" ht="14">
      <c r="A979" s="231">
        <v>978</v>
      </c>
      <c r="B979" s="235" t="s">
        <v>52</v>
      </c>
      <c r="C979" s="231" t="s">
        <v>10</v>
      </c>
      <c r="D979" s="250" t="s">
        <v>2522</v>
      </c>
      <c r="E979" s="239" t="s">
        <v>2521</v>
      </c>
      <c r="F979" s="231" t="s">
        <v>2507</v>
      </c>
      <c r="G979" s="231">
        <v>2</v>
      </c>
      <c r="H979" s="231" t="s">
        <v>2767</v>
      </c>
      <c r="I979" s="281">
        <v>0</v>
      </c>
      <c r="J979" s="249">
        <v>350</v>
      </c>
      <c r="K979" s="231">
        <f t="shared" si="15"/>
        <v>20</v>
      </c>
      <c r="L979" s="231"/>
      <c r="M979" s="231" t="s">
        <v>16</v>
      </c>
      <c r="N979" s="231"/>
      <c r="O979" s="231">
        <v>2023</v>
      </c>
      <c r="P979" s="281"/>
      <c r="Q979" s="231"/>
      <c r="R979" s="231"/>
      <c r="S979" s="236" t="s">
        <v>453</v>
      </c>
      <c r="T979" s="236"/>
    </row>
    <row r="980" spans="1:20" ht="14">
      <c r="A980" s="231">
        <v>979</v>
      </c>
      <c r="B980" s="235" t="s">
        <v>52</v>
      </c>
      <c r="C980" s="231" t="s">
        <v>10</v>
      </c>
      <c r="D980" s="250" t="s">
        <v>2525</v>
      </c>
      <c r="E980" s="239" t="s">
        <v>2523</v>
      </c>
      <c r="F980" s="231" t="s">
        <v>2524</v>
      </c>
      <c r="G980" s="231">
        <v>2</v>
      </c>
      <c r="H980" s="231" t="s">
        <v>2773</v>
      </c>
      <c r="I980" s="281">
        <v>0</v>
      </c>
      <c r="J980" s="249">
        <v>300</v>
      </c>
      <c r="K980" s="231">
        <f t="shared" si="15"/>
        <v>20</v>
      </c>
      <c r="L980" s="231"/>
      <c r="M980" s="231" t="s">
        <v>16</v>
      </c>
      <c r="N980" s="231"/>
      <c r="O980" s="231">
        <v>2023</v>
      </c>
      <c r="P980" s="281"/>
      <c r="Q980" s="231"/>
      <c r="R980" s="231"/>
      <c r="S980" s="236" t="s">
        <v>453</v>
      </c>
      <c r="T980" s="236"/>
    </row>
    <row r="981" spans="1:20" ht="14">
      <c r="A981" s="231">
        <v>980</v>
      </c>
      <c r="B981" s="235" t="s">
        <v>52</v>
      </c>
      <c r="C981" s="231" t="s">
        <v>10</v>
      </c>
      <c r="D981" s="250" t="s">
        <v>2527</v>
      </c>
      <c r="E981" s="239" t="s">
        <v>2526</v>
      </c>
      <c r="F981" s="231" t="s">
        <v>2502</v>
      </c>
      <c r="G981" s="231">
        <v>2</v>
      </c>
      <c r="H981" s="231" t="s">
        <v>2773</v>
      </c>
      <c r="I981" s="281">
        <v>0</v>
      </c>
      <c r="J981" s="249">
        <v>300</v>
      </c>
      <c r="K981" s="231">
        <f t="shared" si="15"/>
        <v>20</v>
      </c>
      <c r="L981" s="231"/>
      <c r="M981" s="231" t="s">
        <v>16</v>
      </c>
      <c r="N981" s="231"/>
      <c r="O981" s="231">
        <v>2023</v>
      </c>
      <c r="P981" s="281"/>
      <c r="Q981" s="231"/>
      <c r="R981" s="231"/>
      <c r="S981" s="236" t="s">
        <v>453</v>
      </c>
      <c r="T981" s="236"/>
    </row>
    <row r="982" spans="1:20" ht="14">
      <c r="A982" s="231">
        <v>981</v>
      </c>
      <c r="B982" s="235" t="s">
        <v>52</v>
      </c>
      <c r="C982" s="231" t="s">
        <v>10</v>
      </c>
      <c r="D982" s="250" t="s">
        <v>2529</v>
      </c>
      <c r="E982" s="239" t="s">
        <v>2528</v>
      </c>
      <c r="F982" s="231" t="s">
        <v>2502</v>
      </c>
      <c r="G982" s="231">
        <v>2</v>
      </c>
      <c r="H982" s="231" t="s">
        <v>2773</v>
      </c>
      <c r="I982" s="281">
        <v>0</v>
      </c>
      <c r="J982" s="249">
        <v>300</v>
      </c>
      <c r="K982" s="231">
        <f t="shared" si="15"/>
        <v>20</v>
      </c>
      <c r="L982" s="231"/>
      <c r="M982" s="231" t="s">
        <v>16</v>
      </c>
      <c r="N982" s="231"/>
      <c r="O982" s="231">
        <v>2023</v>
      </c>
      <c r="P982" s="281"/>
      <c r="Q982" s="231"/>
      <c r="R982" s="231"/>
      <c r="S982" s="236" t="s">
        <v>453</v>
      </c>
      <c r="T982" s="236"/>
    </row>
    <row r="983" spans="1:20" ht="14">
      <c r="A983" s="231">
        <v>982</v>
      </c>
      <c r="B983" s="235" t="s">
        <v>52</v>
      </c>
      <c r="C983" s="231" t="s">
        <v>10</v>
      </c>
      <c r="D983" s="250" t="s">
        <v>2531</v>
      </c>
      <c r="E983" s="239" t="s">
        <v>2530</v>
      </c>
      <c r="F983" s="231" t="s">
        <v>2502</v>
      </c>
      <c r="G983" s="231">
        <v>2</v>
      </c>
      <c r="H983" s="231" t="s">
        <v>2773</v>
      </c>
      <c r="I983" s="281">
        <v>0</v>
      </c>
      <c r="J983" s="249">
        <v>300</v>
      </c>
      <c r="K983" s="231">
        <f t="shared" si="15"/>
        <v>20</v>
      </c>
      <c r="L983" s="231"/>
      <c r="M983" s="231" t="s">
        <v>16</v>
      </c>
      <c r="N983" s="231"/>
      <c r="O983" s="231">
        <v>2023</v>
      </c>
      <c r="P983" s="281"/>
      <c r="Q983" s="231"/>
      <c r="R983" s="231"/>
      <c r="S983" s="236" t="s">
        <v>453</v>
      </c>
      <c r="T983" s="236"/>
    </row>
    <row r="984" spans="1:20" ht="14">
      <c r="A984" s="231">
        <v>983</v>
      </c>
      <c r="B984" s="235" t="s">
        <v>52</v>
      </c>
      <c r="C984" s="231" t="s">
        <v>10</v>
      </c>
      <c r="D984" s="250" t="s">
        <v>2533</v>
      </c>
      <c r="E984" s="239" t="s">
        <v>2532</v>
      </c>
      <c r="F984" s="231" t="s">
        <v>2502</v>
      </c>
      <c r="G984" s="231">
        <v>2</v>
      </c>
      <c r="H984" s="231" t="s">
        <v>2773</v>
      </c>
      <c r="I984" s="281">
        <v>0</v>
      </c>
      <c r="J984" s="249">
        <v>300</v>
      </c>
      <c r="K984" s="231">
        <f t="shared" si="15"/>
        <v>20</v>
      </c>
      <c r="L984" s="231"/>
      <c r="M984" s="231" t="s">
        <v>16</v>
      </c>
      <c r="N984" s="231"/>
      <c r="O984" s="231">
        <v>2023</v>
      </c>
      <c r="P984" s="281"/>
      <c r="Q984" s="231"/>
      <c r="R984" s="231"/>
      <c r="S984" s="236" t="s">
        <v>453</v>
      </c>
      <c r="T984" s="236"/>
    </row>
    <row r="985" spans="1:20" ht="14">
      <c r="A985" s="231">
        <v>984</v>
      </c>
      <c r="B985" s="235" t="s">
        <v>52</v>
      </c>
      <c r="C985" s="231" t="s">
        <v>10</v>
      </c>
      <c r="D985" s="250" t="s">
        <v>2535</v>
      </c>
      <c r="E985" s="239" t="s">
        <v>2534</v>
      </c>
      <c r="F985" s="231" t="s">
        <v>2502</v>
      </c>
      <c r="G985" s="231">
        <v>2</v>
      </c>
      <c r="H985" s="231" t="s">
        <v>2773</v>
      </c>
      <c r="I985" s="281">
        <v>0</v>
      </c>
      <c r="J985" s="249">
        <v>300</v>
      </c>
      <c r="K985" s="231">
        <f t="shared" si="15"/>
        <v>20</v>
      </c>
      <c r="L985" s="231"/>
      <c r="M985" s="231" t="s">
        <v>16</v>
      </c>
      <c r="N985" s="231"/>
      <c r="O985" s="231">
        <v>2023</v>
      </c>
      <c r="P985" s="281"/>
      <c r="Q985" s="231"/>
      <c r="R985" s="231"/>
      <c r="S985" s="236" t="s">
        <v>453</v>
      </c>
      <c r="T985" s="236"/>
    </row>
    <row r="986" spans="1:20" ht="14">
      <c r="A986" s="231">
        <v>985</v>
      </c>
      <c r="B986" s="235" t="s">
        <v>52</v>
      </c>
      <c r="C986" s="231" t="s">
        <v>10</v>
      </c>
      <c r="D986" s="250" t="s">
        <v>2537</v>
      </c>
      <c r="E986" s="239" t="s">
        <v>2536</v>
      </c>
      <c r="F986" s="231" t="s">
        <v>2502</v>
      </c>
      <c r="G986" s="231">
        <v>2</v>
      </c>
      <c r="H986" s="231" t="s">
        <v>2773</v>
      </c>
      <c r="I986" s="281">
        <v>0</v>
      </c>
      <c r="J986" s="249">
        <v>300</v>
      </c>
      <c r="K986" s="231">
        <f t="shared" si="15"/>
        <v>20</v>
      </c>
      <c r="L986" s="231"/>
      <c r="M986" s="231" t="s">
        <v>16</v>
      </c>
      <c r="N986" s="231"/>
      <c r="O986" s="231">
        <v>2023</v>
      </c>
      <c r="P986" s="281"/>
      <c r="Q986" s="231"/>
      <c r="R986" s="231"/>
      <c r="S986" s="236" t="s">
        <v>453</v>
      </c>
      <c r="T986" s="236"/>
    </row>
    <row r="987" spans="1:20" ht="14">
      <c r="A987" s="231">
        <v>986</v>
      </c>
      <c r="B987" s="235" t="s">
        <v>52</v>
      </c>
      <c r="C987" s="231" t="s">
        <v>10</v>
      </c>
      <c r="D987" s="250" t="s">
        <v>2539</v>
      </c>
      <c r="E987" s="239" t="s">
        <v>2538</v>
      </c>
      <c r="F987" s="231" t="s">
        <v>2502</v>
      </c>
      <c r="G987" s="231">
        <v>2</v>
      </c>
      <c r="H987" s="231" t="s">
        <v>2773</v>
      </c>
      <c r="I987" s="281">
        <v>0</v>
      </c>
      <c r="J987" s="249">
        <v>300</v>
      </c>
      <c r="K987" s="231">
        <f t="shared" si="15"/>
        <v>20</v>
      </c>
      <c r="L987" s="231"/>
      <c r="M987" s="231" t="s">
        <v>16</v>
      </c>
      <c r="N987" s="231"/>
      <c r="O987" s="231">
        <v>2023</v>
      </c>
      <c r="P987" s="281"/>
      <c r="Q987" s="231"/>
      <c r="R987" s="231"/>
      <c r="S987" s="236" t="s">
        <v>453</v>
      </c>
      <c r="T987" s="236"/>
    </row>
    <row r="988" spans="1:20" ht="14">
      <c r="A988" s="231">
        <v>987</v>
      </c>
      <c r="B988" s="235" t="s">
        <v>51</v>
      </c>
      <c r="C988" s="231" t="s">
        <v>10</v>
      </c>
      <c r="D988" s="250" t="s">
        <v>2541</v>
      </c>
      <c r="E988" s="239" t="s">
        <v>2540</v>
      </c>
      <c r="F988" s="231" t="s">
        <v>2502</v>
      </c>
      <c r="G988" s="231">
        <v>2</v>
      </c>
      <c r="H988" s="231" t="s">
        <v>160</v>
      </c>
      <c r="I988" s="281">
        <v>0</v>
      </c>
      <c r="J988" s="249">
        <v>300</v>
      </c>
      <c r="K988" s="231">
        <f t="shared" si="15"/>
        <v>10</v>
      </c>
      <c r="L988" s="231"/>
      <c r="M988" s="299" t="s">
        <v>15</v>
      </c>
      <c r="N988" s="231"/>
      <c r="O988" s="231">
        <v>2023</v>
      </c>
      <c r="P988" s="281"/>
      <c r="Q988" s="231"/>
      <c r="R988" s="231"/>
      <c r="S988" s="236" t="s">
        <v>453</v>
      </c>
      <c r="T988" s="236"/>
    </row>
    <row r="989" spans="1:20" ht="14">
      <c r="A989" s="231">
        <v>988</v>
      </c>
      <c r="B989" s="235" t="s">
        <v>55</v>
      </c>
      <c r="C989" s="231" t="s">
        <v>10</v>
      </c>
      <c r="D989" s="250" t="s">
        <v>2544</v>
      </c>
      <c r="E989" s="239" t="s">
        <v>2542</v>
      </c>
      <c r="F989" s="231" t="s">
        <v>2543</v>
      </c>
      <c r="G989" s="231">
        <v>2</v>
      </c>
      <c r="H989" s="231" t="s">
        <v>2894</v>
      </c>
      <c r="I989" s="281">
        <v>0</v>
      </c>
      <c r="J989" s="249">
        <v>300</v>
      </c>
      <c r="K989" s="231">
        <f t="shared" si="15"/>
        <v>10</v>
      </c>
      <c r="L989" s="231"/>
      <c r="M989" s="299" t="s">
        <v>15</v>
      </c>
      <c r="N989" s="231"/>
      <c r="O989" s="231">
        <v>2023</v>
      </c>
      <c r="P989" s="281"/>
      <c r="Q989" s="231"/>
      <c r="R989" s="231"/>
      <c r="S989" s="236" t="s">
        <v>453</v>
      </c>
      <c r="T989" s="236"/>
    </row>
    <row r="990" spans="1:20" ht="14">
      <c r="A990" s="231">
        <v>989</v>
      </c>
      <c r="B990" s="235" t="s">
        <v>52</v>
      </c>
      <c r="C990" s="231" t="s">
        <v>10</v>
      </c>
      <c r="D990" s="250" t="s">
        <v>2546</v>
      </c>
      <c r="E990" s="239" t="s">
        <v>2545</v>
      </c>
      <c r="F990" s="231" t="s">
        <v>2499</v>
      </c>
      <c r="G990" s="231">
        <v>2</v>
      </c>
      <c r="H990" s="231" t="s">
        <v>4555</v>
      </c>
      <c r="I990" s="281">
        <v>0</v>
      </c>
      <c r="J990" s="249">
        <v>300</v>
      </c>
      <c r="K990" s="231">
        <f t="shared" si="15"/>
        <v>20</v>
      </c>
      <c r="L990" s="231"/>
      <c r="M990" s="231" t="s">
        <v>16</v>
      </c>
      <c r="N990" s="231"/>
      <c r="O990" s="231">
        <v>2023</v>
      </c>
      <c r="P990" s="281"/>
      <c r="Q990" s="231"/>
      <c r="R990" s="231"/>
      <c r="S990" s="236" t="s">
        <v>453</v>
      </c>
      <c r="T990" s="236"/>
    </row>
    <row r="991" spans="1:20" ht="14">
      <c r="A991" s="231">
        <v>990</v>
      </c>
      <c r="B991" s="235" t="s">
        <v>55</v>
      </c>
      <c r="C991" s="231" t="s">
        <v>10</v>
      </c>
      <c r="D991" s="250" t="s">
        <v>2548</v>
      </c>
      <c r="E991" s="239" t="s">
        <v>2547</v>
      </c>
      <c r="F991" s="231" t="s">
        <v>2507</v>
      </c>
      <c r="G991" s="231">
        <v>2</v>
      </c>
      <c r="H991" s="231" t="s">
        <v>2894</v>
      </c>
      <c r="I991" s="281">
        <v>0</v>
      </c>
      <c r="J991" s="249">
        <v>300</v>
      </c>
      <c r="K991" s="231">
        <f t="shared" si="15"/>
        <v>10</v>
      </c>
      <c r="L991" s="231"/>
      <c r="M991" s="299" t="s">
        <v>15</v>
      </c>
      <c r="N991" s="231"/>
      <c r="O991" s="231">
        <v>2023</v>
      </c>
      <c r="P991" s="281"/>
      <c r="Q991" s="231"/>
      <c r="R991" s="231"/>
      <c r="S991" s="236" t="s">
        <v>453</v>
      </c>
      <c r="T991" s="236"/>
    </row>
    <row r="992" spans="1:20" ht="14">
      <c r="A992" s="231">
        <v>991</v>
      </c>
      <c r="B992" s="235" t="s">
        <v>52</v>
      </c>
      <c r="C992" s="231" t="s">
        <v>10</v>
      </c>
      <c r="D992" s="250" t="s">
        <v>2550</v>
      </c>
      <c r="E992" s="239" t="s">
        <v>2549</v>
      </c>
      <c r="F992" s="231" t="s">
        <v>2499</v>
      </c>
      <c r="G992" s="231">
        <v>2</v>
      </c>
      <c r="H992" s="231" t="s">
        <v>2773</v>
      </c>
      <c r="I992" s="281">
        <v>0</v>
      </c>
      <c r="J992" s="249">
        <v>300</v>
      </c>
      <c r="K992" s="231">
        <f t="shared" si="15"/>
        <v>20</v>
      </c>
      <c r="L992" s="231"/>
      <c r="M992" s="231" t="s">
        <v>16</v>
      </c>
      <c r="N992" s="231"/>
      <c r="O992" s="231">
        <v>2023</v>
      </c>
      <c r="P992" s="281"/>
      <c r="Q992" s="231"/>
      <c r="R992" s="231"/>
      <c r="S992" s="236" t="s">
        <v>453</v>
      </c>
      <c r="T992" s="236"/>
    </row>
    <row r="993" spans="1:20" ht="14">
      <c r="A993" s="231">
        <v>992</v>
      </c>
      <c r="B993" s="235" t="s">
        <v>52</v>
      </c>
      <c r="C993" s="231" t="s">
        <v>10</v>
      </c>
      <c r="D993" s="250" t="s">
        <v>2552</v>
      </c>
      <c r="E993" s="239" t="s">
        <v>2551</v>
      </c>
      <c r="F993" s="231" t="s">
        <v>267</v>
      </c>
      <c r="G993" s="231">
        <v>2</v>
      </c>
      <c r="H993" s="231" t="s">
        <v>2773</v>
      </c>
      <c r="I993" s="281">
        <v>0</v>
      </c>
      <c r="J993" s="249">
        <v>300</v>
      </c>
      <c r="K993" s="231">
        <f t="shared" si="15"/>
        <v>20</v>
      </c>
      <c r="L993" s="231"/>
      <c r="M993" s="231" t="s">
        <v>16</v>
      </c>
      <c r="N993" s="231"/>
      <c r="O993" s="231">
        <v>2023</v>
      </c>
      <c r="P993" s="281"/>
      <c r="Q993" s="231"/>
      <c r="R993" s="231"/>
      <c r="S993" s="236" t="s">
        <v>453</v>
      </c>
      <c r="T993" s="236"/>
    </row>
    <row r="994" spans="1:20" ht="14">
      <c r="A994" s="231">
        <v>993</v>
      </c>
      <c r="B994" s="235" t="s">
        <v>52</v>
      </c>
      <c r="C994" s="231" t="s">
        <v>10</v>
      </c>
      <c r="D994" s="250" t="s">
        <v>2554</v>
      </c>
      <c r="E994" s="239" t="s">
        <v>2553</v>
      </c>
      <c r="F994" s="231" t="s">
        <v>2502</v>
      </c>
      <c r="G994" s="231">
        <v>2</v>
      </c>
      <c r="H994" s="231" t="s">
        <v>2773</v>
      </c>
      <c r="I994" s="281">
        <v>0</v>
      </c>
      <c r="J994" s="249">
        <v>300</v>
      </c>
      <c r="K994" s="231">
        <f t="shared" si="15"/>
        <v>20</v>
      </c>
      <c r="L994" s="231"/>
      <c r="M994" s="231" t="s">
        <v>16</v>
      </c>
      <c r="N994" s="231"/>
      <c r="O994" s="231">
        <v>2023</v>
      </c>
      <c r="P994" s="281"/>
      <c r="Q994" s="231"/>
      <c r="R994" s="231"/>
      <c r="S994" s="236" t="s">
        <v>453</v>
      </c>
      <c r="T994" s="236"/>
    </row>
    <row r="995" spans="1:20" ht="14">
      <c r="A995" s="231">
        <v>994</v>
      </c>
      <c r="B995" s="235" t="s">
        <v>52</v>
      </c>
      <c r="C995" s="231" t="s">
        <v>10</v>
      </c>
      <c r="D995" s="250" t="s">
        <v>2556</v>
      </c>
      <c r="E995" s="239" t="s">
        <v>2555</v>
      </c>
      <c r="F995" s="231" t="s">
        <v>2502</v>
      </c>
      <c r="G995" s="231">
        <v>2</v>
      </c>
      <c r="H995" s="231" t="s">
        <v>2773</v>
      </c>
      <c r="I995" s="281">
        <v>0</v>
      </c>
      <c r="J995" s="249">
        <v>300</v>
      </c>
      <c r="K995" s="231">
        <f t="shared" si="15"/>
        <v>20</v>
      </c>
      <c r="L995" s="231"/>
      <c r="M995" s="231" t="s">
        <v>16</v>
      </c>
      <c r="N995" s="231"/>
      <c r="O995" s="231">
        <v>2023</v>
      </c>
      <c r="P995" s="281"/>
      <c r="Q995" s="231"/>
      <c r="R995" s="231"/>
      <c r="S995" s="236" t="s">
        <v>453</v>
      </c>
      <c r="T995" s="236"/>
    </row>
    <row r="996" spans="1:20" ht="14">
      <c r="A996" s="231">
        <v>995</v>
      </c>
      <c r="B996" s="235" t="s">
        <v>52</v>
      </c>
      <c r="C996" s="231" t="s">
        <v>10</v>
      </c>
      <c r="D996" s="250" t="s">
        <v>2558</v>
      </c>
      <c r="E996" s="239" t="s">
        <v>2557</v>
      </c>
      <c r="F996" s="231" t="s">
        <v>2502</v>
      </c>
      <c r="G996" s="231">
        <v>2</v>
      </c>
      <c r="H996" s="231" t="s">
        <v>2773</v>
      </c>
      <c r="I996" s="281">
        <v>0</v>
      </c>
      <c r="J996" s="249">
        <v>300</v>
      </c>
      <c r="K996" s="231">
        <f t="shared" si="15"/>
        <v>20</v>
      </c>
      <c r="L996" s="231"/>
      <c r="M996" s="231" t="s">
        <v>16</v>
      </c>
      <c r="N996" s="231"/>
      <c r="O996" s="231">
        <v>2023</v>
      </c>
      <c r="P996" s="281"/>
      <c r="Q996" s="231"/>
      <c r="R996" s="231"/>
      <c r="S996" s="236" t="s">
        <v>453</v>
      </c>
      <c r="T996" s="236"/>
    </row>
    <row r="997" spans="1:20" ht="14">
      <c r="A997" s="231">
        <v>996</v>
      </c>
      <c r="B997" s="235" t="s">
        <v>52</v>
      </c>
      <c r="C997" s="231" t="s">
        <v>10</v>
      </c>
      <c r="D997" s="250" t="s">
        <v>2560</v>
      </c>
      <c r="E997" s="239" t="s">
        <v>2559</v>
      </c>
      <c r="F997" s="231" t="s">
        <v>2502</v>
      </c>
      <c r="G997" s="231">
        <v>2</v>
      </c>
      <c r="H997" s="231" t="s">
        <v>2773</v>
      </c>
      <c r="I997" s="281">
        <v>0</v>
      </c>
      <c r="J997" s="249">
        <v>300</v>
      </c>
      <c r="K997" s="231">
        <f t="shared" si="15"/>
        <v>20</v>
      </c>
      <c r="L997" s="231"/>
      <c r="M997" s="231" t="s">
        <v>16</v>
      </c>
      <c r="N997" s="231"/>
      <c r="O997" s="231">
        <v>2023</v>
      </c>
      <c r="P997" s="281"/>
      <c r="Q997" s="231"/>
      <c r="R997" s="231"/>
      <c r="S997" s="236" t="s">
        <v>453</v>
      </c>
      <c r="T997" s="236"/>
    </row>
    <row r="998" spans="1:20" ht="14">
      <c r="A998" s="231">
        <v>997</v>
      </c>
      <c r="B998" s="235" t="s">
        <v>52</v>
      </c>
      <c r="C998" s="231" t="s">
        <v>10</v>
      </c>
      <c r="D998" s="250" t="s">
        <v>2563</v>
      </c>
      <c r="E998" s="239" t="s">
        <v>2561</v>
      </c>
      <c r="F998" s="231" t="s">
        <v>2502</v>
      </c>
      <c r="G998" s="231">
        <v>2</v>
      </c>
      <c r="H998" s="231" t="s">
        <v>2767</v>
      </c>
      <c r="I998" s="281">
        <v>0</v>
      </c>
      <c r="J998" s="249">
        <v>350</v>
      </c>
      <c r="K998" s="231">
        <f t="shared" si="15"/>
        <v>20</v>
      </c>
      <c r="L998" s="231"/>
      <c r="M998" s="231" t="s">
        <v>16</v>
      </c>
      <c r="N998" s="231"/>
      <c r="O998" s="231">
        <v>2023</v>
      </c>
      <c r="P998" s="281"/>
      <c r="Q998" s="231"/>
      <c r="R998" s="231"/>
      <c r="S998" s="236" t="s">
        <v>453</v>
      </c>
      <c r="T998" s="236"/>
    </row>
    <row r="999" spans="1:20" ht="14">
      <c r="A999" s="231">
        <v>998</v>
      </c>
      <c r="B999" s="235" t="s">
        <v>52</v>
      </c>
      <c r="C999" s="231" t="s">
        <v>10</v>
      </c>
      <c r="D999" s="250" t="s">
        <v>2564</v>
      </c>
      <c r="E999" s="239"/>
      <c r="F999" s="231"/>
      <c r="G999" s="231">
        <v>48</v>
      </c>
      <c r="H999" s="231" t="s">
        <v>2763</v>
      </c>
      <c r="I999" s="281">
        <v>0</v>
      </c>
      <c r="J999" s="249">
        <v>450</v>
      </c>
      <c r="K999" s="231">
        <f t="shared" si="15"/>
        <v>20</v>
      </c>
      <c r="L999" s="231"/>
      <c r="M999" s="231" t="s">
        <v>16</v>
      </c>
      <c r="N999" s="231"/>
      <c r="O999" s="231">
        <v>2023</v>
      </c>
      <c r="P999" s="281"/>
      <c r="Q999" s="231"/>
      <c r="R999" s="231"/>
      <c r="S999" s="231" t="s">
        <v>457</v>
      </c>
      <c r="T999" s="231"/>
    </row>
    <row r="1000" spans="1:20" ht="14">
      <c r="A1000" s="231">
        <v>999</v>
      </c>
      <c r="B1000" s="235" t="s">
        <v>52</v>
      </c>
      <c r="C1000" s="231" t="s">
        <v>10</v>
      </c>
      <c r="D1000" s="250" t="s">
        <v>2566</v>
      </c>
      <c r="E1000" s="239"/>
      <c r="F1000" s="231"/>
      <c r="G1000" s="231">
        <v>2</v>
      </c>
      <c r="H1000" s="231" t="s">
        <v>187</v>
      </c>
      <c r="I1000" s="281">
        <v>0</v>
      </c>
      <c r="J1000" s="249">
        <v>500</v>
      </c>
      <c r="K1000" s="231">
        <f t="shared" si="15"/>
        <v>10</v>
      </c>
      <c r="L1000" s="231"/>
      <c r="M1000" s="299" t="s">
        <v>15</v>
      </c>
      <c r="N1000" s="231"/>
      <c r="O1000" s="231">
        <v>2023</v>
      </c>
      <c r="P1000" s="281"/>
      <c r="Q1000" s="231"/>
      <c r="R1000" s="231"/>
      <c r="S1000" s="231" t="s">
        <v>453</v>
      </c>
      <c r="T1000" s="231"/>
    </row>
    <row r="1001" spans="1:20" ht="14">
      <c r="A1001" s="231">
        <v>1000</v>
      </c>
      <c r="B1001" s="235" t="s">
        <v>52</v>
      </c>
      <c r="C1001" s="231" t="s">
        <v>10</v>
      </c>
      <c r="D1001" s="250" t="s">
        <v>2569</v>
      </c>
      <c r="E1001" s="239" t="s">
        <v>2565</v>
      </c>
      <c r="F1001" s="231"/>
      <c r="G1001" s="231">
        <v>48</v>
      </c>
      <c r="H1001" s="231" t="s">
        <v>1440</v>
      </c>
      <c r="I1001" s="281">
        <v>0</v>
      </c>
      <c r="J1001" s="249">
        <v>300</v>
      </c>
      <c r="K1001" s="231" t="str">
        <f t="shared" si="15"/>
        <v>N/A</v>
      </c>
      <c r="L1001" s="231"/>
      <c r="M1001" s="231" t="s">
        <v>456</v>
      </c>
      <c r="N1001" s="231"/>
      <c r="O1001" s="231">
        <v>2023</v>
      </c>
      <c r="P1001" s="281"/>
      <c r="Q1001" s="231"/>
      <c r="R1001" s="231"/>
      <c r="S1001" s="231" t="s">
        <v>453</v>
      </c>
      <c r="T1001" s="231"/>
    </row>
    <row r="1002" spans="1:20" ht="14">
      <c r="A1002" s="231">
        <v>1001</v>
      </c>
      <c r="B1002" s="235" t="s">
        <v>52</v>
      </c>
      <c r="C1002" s="231" t="s">
        <v>10</v>
      </c>
      <c r="D1002" s="250" t="s">
        <v>2570</v>
      </c>
      <c r="E1002" s="239" t="s">
        <v>2567</v>
      </c>
      <c r="F1002" s="231" t="s">
        <v>2568</v>
      </c>
      <c r="G1002" s="231">
        <v>48</v>
      </c>
      <c r="H1002" s="231" t="s">
        <v>3111</v>
      </c>
      <c r="I1002" s="281">
        <v>0</v>
      </c>
      <c r="J1002" s="249">
        <v>300</v>
      </c>
      <c r="K1002" s="231" t="str">
        <f t="shared" si="15"/>
        <v>N/A</v>
      </c>
      <c r="L1002" s="231"/>
      <c r="M1002" s="231" t="s">
        <v>456</v>
      </c>
      <c r="N1002" s="231"/>
      <c r="O1002" s="231">
        <v>2023</v>
      </c>
      <c r="P1002" s="281"/>
      <c r="Q1002" s="231"/>
      <c r="R1002" s="231"/>
      <c r="S1002" s="231" t="s">
        <v>453</v>
      </c>
      <c r="T1002" s="231"/>
    </row>
    <row r="1003" spans="1:20" ht="14">
      <c r="A1003" s="231">
        <v>1002</v>
      </c>
      <c r="B1003" s="235" t="s">
        <v>52</v>
      </c>
      <c r="C1003" s="231" t="s">
        <v>10</v>
      </c>
      <c r="D1003" s="250" t="s">
        <v>2573</v>
      </c>
      <c r="E1003" s="239"/>
      <c r="F1003" s="231"/>
      <c r="G1003" s="231">
        <v>2</v>
      </c>
      <c r="H1003" s="231" t="s">
        <v>2773</v>
      </c>
      <c r="I1003" s="281">
        <v>0</v>
      </c>
      <c r="J1003" s="249">
        <v>300</v>
      </c>
      <c r="K1003" s="231">
        <f t="shared" si="15"/>
        <v>10</v>
      </c>
      <c r="L1003" s="231"/>
      <c r="M1003" s="299" t="s">
        <v>15</v>
      </c>
      <c r="N1003" s="231"/>
      <c r="O1003" s="231">
        <v>2023</v>
      </c>
      <c r="P1003" s="281"/>
      <c r="Q1003" s="231"/>
      <c r="R1003" s="231"/>
      <c r="S1003" s="231" t="s">
        <v>457</v>
      </c>
      <c r="T1003" s="231"/>
    </row>
    <row r="1004" spans="1:20" ht="14">
      <c r="A1004" s="231">
        <v>1003</v>
      </c>
      <c r="B1004" s="235" t="s">
        <v>52</v>
      </c>
      <c r="C1004" s="231" t="s">
        <v>10</v>
      </c>
      <c r="D1004" s="250" t="s">
        <v>2575</v>
      </c>
      <c r="E1004" s="239" t="s">
        <v>2571</v>
      </c>
      <c r="F1004" s="231"/>
      <c r="G1004" s="231">
        <v>2</v>
      </c>
      <c r="H1004" s="231" t="s">
        <v>2781</v>
      </c>
      <c r="I1004" s="281">
        <v>0</v>
      </c>
      <c r="J1004" s="249">
        <v>300</v>
      </c>
      <c r="K1004" s="231">
        <f t="shared" si="15"/>
        <v>20</v>
      </c>
      <c r="L1004" s="231"/>
      <c r="M1004" s="231" t="s">
        <v>16</v>
      </c>
      <c r="N1004" s="231"/>
      <c r="O1004" s="231">
        <v>2023</v>
      </c>
      <c r="P1004" s="281"/>
      <c r="Q1004" s="231"/>
      <c r="R1004" s="231"/>
      <c r="S1004" s="231" t="s">
        <v>457</v>
      </c>
      <c r="T1004" s="231"/>
    </row>
    <row r="1005" spans="1:20" ht="14">
      <c r="A1005" s="231">
        <v>1004</v>
      </c>
      <c r="B1005" s="235" t="s">
        <v>52</v>
      </c>
      <c r="C1005" s="231" t="s">
        <v>10</v>
      </c>
      <c r="D1005" s="250" t="s">
        <v>2577</v>
      </c>
      <c r="E1005" s="239"/>
      <c r="F1005" s="231"/>
      <c r="G1005" s="231">
        <v>48</v>
      </c>
      <c r="H1005" s="231" t="s">
        <v>3507</v>
      </c>
      <c r="I1005" s="281">
        <v>0</v>
      </c>
      <c r="J1005" s="249">
        <v>500</v>
      </c>
      <c r="K1005" s="231">
        <f t="shared" si="15"/>
        <v>20</v>
      </c>
      <c r="L1005" s="231"/>
      <c r="M1005" s="231" t="s">
        <v>16</v>
      </c>
      <c r="N1005" s="231"/>
      <c r="O1005" s="231">
        <v>2023</v>
      </c>
      <c r="P1005" s="281"/>
      <c r="Q1005" s="231"/>
      <c r="R1005" s="231"/>
      <c r="S1005" s="231" t="s">
        <v>453</v>
      </c>
      <c r="T1005" s="231"/>
    </row>
    <row r="1006" spans="1:20" ht="14">
      <c r="A1006" s="231">
        <v>1005</v>
      </c>
      <c r="B1006" s="235" t="s">
        <v>52</v>
      </c>
      <c r="C1006" s="231" t="s">
        <v>10</v>
      </c>
      <c r="D1006" s="250" t="s">
        <v>2578</v>
      </c>
      <c r="E1006" s="239" t="s">
        <v>2574</v>
      </c>
      <c r="F1006" s="231"/>
      <c r="G1006" s="231">
        <v>48</v>
      </c>
      <c r="H1006" s="231" t="s">
        <v>4551</v>
      </c>
      <c r="I1006" s="281">
        <v>0</v>
      </c>
      <c r="J1006" s="249">
        <v>700</v>
      </c>
      <c r="K1006" s="231">
        <f t="shared" si="15"/>
        <v>20</v>
      </c>
      <c r="L1006" s="231"/>
      <c r="M1006" s="231" t="s">
        <v>16</v>
      </c>
      <c r="N1006" s="231"/>
      <c r="O1006" s="231">
        <v>2023</v>
      </c>
      <c r="P1006" s="281"/>
      <c r="Q1006" s="231"/>
      <c r="R1006" s="231"/>
      <c r="S1006" s="236" t="s">
        <v>453</v>
      </c>
      <c r="T1006" s="236"/>
    </row>
    <row r="1007" spans="1:20" ht="14">
      <c r="A1007" s="231">
        <v>1006</v>
      </c>
      <c r="B1007" s="235" t="s">
        <v>52</v>
      </c>
      <c r="C1007" s="231" t="s">
        <v>10</v>
      </c>
      <c r="D1007" s="250" t="s">
        <v>2580</v>
      </c>
      <c r="E1007" s="239" t="s">
        <v>2576</v>
      </c>
      <c r="F1007" s="231"/>
      <c r="G1007" s="231">
        <v>48</v>
      </c>
      <c r="H1007" s="231" t="s">
        <v>168</v>
      </c>
      <c r="I1007" s="281">
        <v>0</v>
      </c>
      <c r="J1007" s="249">
        <v>700</v>
      </c>
      <c r="K1007" s="231">
        <f t="shared" si="15"/>
        <v>20</v>
      </c>
      <c r="L1007" s="231"/>
      <c r="M1007" s="231" t="s">
        <v>16</v>
      </c>
      <c r="N1007" s="231"/>
      <c r="O1007" s="231">
        <v>2023</v>
      </c>
      <c r="P1007" s="281"/>
      <c r="Q1007" s="231"/>
      <c r="R1007" s="231"/>
      <c r="S1007" s="236" t="s">
        <v>453</v>
      </c>
      <c r="T1007" s="236"/>
    </row>
    <row r="1008" spans="1:20" ht="14">
      <c r="A1008" s="231">
        <v>1007</v>
      </c>
      <c r="B1008" s="235" t="s">
        <v>49</v>
      </c>
      <c r="C1008" s="231" t="s">
        <v>10</v>
      </c>
      <c r="D1008" s="250" t="s">
        <v>2582</v>
      </c>
      <c r="E1008" s="239"/>
      <c r="F1008" s="231"/>
      <c r="G1008" s="231">
        <v>48</v>
      </c>
      <c r="H1008" s="231" t="s">
        <v>4552</v>
      </c>
      <c r="I1008" s="281">
        <v>0</v>
      </c>
      <c r="J1008" s="249">
        <v>2000</v>
      </c>
      <c r="K1008" s="231">
        <f t="shared" si="15"/>
        <v>20</v>
      </c>
      <c r="L1008" s="231"/>
      <c r="M1008" s="231" t="s">
        <v>16</v>
      </c>
      <c r="N1008" s="231"/>
      <c r="O1008" s="231">
        <v>2023</v>
      </c>
      <c r="P1008" s="281"/>
      <c r="Q1008" s="231"/>
      <c r="R1008" s="231"/>
      <c r="S1008" s="236" t="s">
        <v>453</v>
      </c>
      <c r="T1008" s="236"/>
    </row>
    <row r="1009" spans="1:20" ht="14">
      <c r="A1009" s="231">
        <v>1008</v>
      </c>
      <c r="B1009" s="235" t="s">
        <v>52</v>
      </c>
      <c r="C1009" s="231" t="s">
        <v>10</v>
      </c>
      <c r="D1009" s="250" t="s">
        <v>2584</v>
      </c>
      <c r="E1009" s="239" t="s">
        <v>2579</v>
      </c>
      <c r="F1009" s="231"/>
      <c r="G1009" s="231">
        <v>48</v>
      </c>
      <c r="H1009" s="231" t="s">
        <v>3542</v>
      </c>
      <c r="I1009" s="281">
        <v>0</v>
      </c>
      <c r="J1009" s="249">
        <v>1200</v>
      </c>
      <c r="K1009" s="231">
        <f t="shared" si="15"/>
        <v>10</v>
      </c>
      <c r="L1009" s="231"/>
      <c r="M1009" s="299" t="s">
        <v>15</v>
      </c>
      <c r="N1009" s="231"/>
      <c r="O1009" s="231">
        <v>2023</v>
      </c>
      <c r="P1009" s="281"/>
      <c r="Q1009" s="231"/>
      <c r="R1009" s="231"/>
      <c r="S1009" s="236" t="s">
        <v>453</v>
      </c>
      <c r="T1009" s="236"/>
    </row>
    <row r="1010" spans="1:20" ht="14">
      <c r="A1010" s="231">
        <v>1009</v>
      </c>
      <c r="B1010" s="235" t="s">
        <v>52</v>
      </c>
      <c r="C1010" s="231" t="s">
        <v>10</v>
      </c>
      <c r="D1010" s="250" t="s">
        <v>2586</v>
      </c>
      <c r="E1010" s="239" t="s">
        <v>2581</v>
      </c>
      <c r="F1010" s="231"/>
      <c r="G1010" s="231">
        <v>48</v>
      </c>
      <c r="H1010" s="231" t="s">
        <v>4606</v>
      </c>
      <c r="I1010" s="281">
        <v>0</v>
      </c>
      <c r="J1010" s="249">
        <v>150</v>
      </c>
      <c r="K1010" s="231">
        <f t="shared" si="15"/>
        <v>10</v>
      </c>
      <c r="L1010" s="231"/>
      <c r="M1010" s="299" t="s">
        <v>15</v>
      </c>
      <c r="N1010" s="231"/>
      <c r="O1010" s="231">
        <v>2023</v>
      </c>
      <c r="P1010" s="281"/>
      <c r="Q1010" s="231"/>
      <c r="R1010" s="231"/>
      <c r="S1010" s="236" t="s">
        <v>453</v>
      </c>
      <c r="T1010" s="236"/>
    </row>
    <row r="1011" spans="1:20" ht="14">
      <c r="A1011" s="231">
        <v>1010</v>
      </c>
      <c r="B1011" s="235" t="s">
        <v>52</v>
      </c>
      <c r="C1011" s="231" t="s">
        <v>10</v>
      </c>
      <c r="D1011" s="250" t="s">
        <v>2588</v>
      </c>
      <c r="E1011" s="239" t="s">
        <v>2583</v>
      </c>
      <c r="F1011" s="231"/>
      <c r="G1011" s="231">
        <v>48</v>
      </c>
      <c r="H1011" s="231" t="s">
        <v>2980</v>
      </c>
      <c r="I1011" s="281">
        <v>0</v>
      </c>
      <c r="J1011" s="249">
        <v>500</v>
      </c>
      <c r="K1011" s="231">
        <f t="shared" si="15"/>
        <v>20</v>
      </c>
      <c r="L1011" s="231"/>
      <c r="M1011" s="231" t="s">
        <v>16</v>
      </c>
      <c r="N1011" s="231"/>
      <c r="O1011" s="231">
        <v>2023</v>
      </c>
      <c r="P1011" s="281"/>
      <c r="Q1011" s="231"/>
      <c r="R1011" s="231"/>
      <c r="S1011" s="236" t="s">
        <v>453</v>
      </c>
      <c r="T1011" s="236"/>
    </row>
    <row r="1012" spans="1:20" ht="14">
      <c r="A1012" s="231">
        <v>1011</v>
      </c>
      <c r="B1012" s="235" t="s">
        <v>52</v>
      </c>
      <c r="C1012" s="231" t="s">
        <v>10</v>
      </c>
      <c r="D1012" s="250" t="s">
        <v>2590</v>
      </c>
      <c r="E1012" s="239" t="s">
        <v>2585</v>
      </c>
      <c r="F1012" s="231"/>
      <c r="G1012" s="231">
        <v>48</v>
      </c>
      <c r="H1012" s="231" t="s">
        <v>2767</v>
      </c>
      <c r="I1012" s="281">
        <v>0</v>
      </c>
      <c r="J1012" s="249">
        <v>300</v>
      </c>
      <c r="K1012" s="231">
        <f t="shared" si="15"/>
        <v>20</v>
      </c>
      <c r="L1012" s="231"/>
      <c r="M1012" s="231" t="s">
        <v>16</v>
      </c>
      <c r="N1012" s="231"/>
      <c r="O1012" s="231">
        <v>2023</v>
      </c>
      <c r="P1012" s="281"/>
      <c r="Q1012" s="231"/>
      <c r="R1012" s="231"/>
      <c r="S1012" s="236" t="s">
        <v>453</v>
      </c>
      <c r="T1012" s="236"/>
    </row>
    <row r="1013" spans="1:20" ht="14">
      <c r="A1013" s="231">
        <v>1012</v>
      </c>
      <c r="B1013" s="235" t="s">
        <v>52</v>
      </c>
      <c r="C1013" s="231" t="s">
        <v>10</v>
      </c>
      <c r="D1013" s="250" t="s">
        <v>2592</v>
      </c>
      <c r="E1013" s="239" t="s">
        <v>2587</v>
      </c>
      <c r="F1013" s="231"/>
      <c r="G1013" s="231">
        <v>2</v>
      </c>
      <c r="H1013" s="231" t="s">
        <v>2779</v>
      </c>
      <c r="I1013" s="281">
        <v>0</v>
      </c>
      <c r="J1013" s="249">
        <v>500</v>
      </c>
      <c r="K1013" s="231">
        <f t="shared" si="15"/>
        <v>20</v>
      </c>
      <c r="L1013" s="231"/>
      <c r="M1013" s="231" t="s">
        <v>16</v>
      </c>
      <c r="N1013" s="231"/>
      <c r="O1013" s="231">
        <v>2023</v>
      </c>
      <c r="P1013" s="281"/>
      <c r="Q1013" s="231"/>
      <c r="R1013" s="231"/>
      <c r="S1013" s="236" t="s">
        <v>453</v>
      </c>
      <c r="T1013" s="236"/>
    </row>
    <row r="1014" spans="1:20" ht="14">
      <c r="A1014" s="231">
        <v>1013</v>
      </c>
      <c r="B1014" s="235" t="s">
        <v>52</v>
      </c>
      <c r="C1014" s="231" t="s">
        <v>10</v>
      </c>
      <c r="D1014" s="250" t="s">
        <v>2594</v>
      </c>
      <c r="E1014" s="239" t="s">
        <v>2589</v>
      </c>
      <c r="F1014" s="231"/>
      <c r="G1014" s="231">
        <v>48</v>
      </c>
      <c r="H1014" s="231" t="s">
        <v>4579</v>
      </c>
      <c r="I1014" s="281">
        <v>0</v>
      </c>
      <c r="J1014" s="249">
        <v>7000</v>
      </c>
      <c r="K1014" s="231">
        <f t="shared" si="15"/>
        <v>20</v>
      </c>
      <c r="L1014" s="231"/>
      <c r="M1014" s="299" t="s">
        <v>15</v>
      </c>
      <c r="N1014" s="231"/>
      <c r="O1014" s="231">
        <v>2023</v>
      </c>
      <c r="P1014" s="281"/>
      <c r="Q1014" s="231"/>
      <c r="R1014" s="231"/>
      <c r="S1014" s="231" t="s">
        <v>453</v>
      </c>
      <c r="T1014" s="231"/>
    </row>
    <row r="1015" spans="1:20" ht="14">
      <c r="A1015" s="231">
        <v>1014</v>
      </c>
      <c r="B1015" s="235" t="s">
        <v>49</v>
      </c>
      <c r="C1015" s="231" t="s">
        <v>10</v>
      </c>
      <c r="D1015" s="250" t="s">
        <v>2596</v>
      </c>
      <c r="E1015" s="239" t="s">
        <v>2591</v>
      </c>
      <c r="F1015" s="231"/>
      <c r="G1015" s="231">
        <v>2</v>
      </c>
      <c r="H1015" s="231" t="s">
        <v>452</v>
      </c>
      <c r="I1015" s="281">
        <v>0</v>
      </c>
      <c r="J1015" s="249">
        <v>500</v>
      </c>
      <c r="K1015" s="231">
        <f t="shared" si="15"/>
        <v>20</v>
      </c>
      <c r="L1015" s="231"/>
      <c r="M1015" s="231" t="s">
        <v>16</v>
      </c>
      <c r="N1015" s="231"/>
      <c r="O1015" s="231">
        <v>2023</v>
      </c>
      <c r="P1015" s="281"/>
      <c r="Q1015" s="231"/>
      <c r="R1015" s="231"/>
      <c r="S1015" s="231" t="s">
        <v>453</v>
      </c>
      <c r="T1015" s="231"/>
    </row>
    <row r="1016" spans="1:20" ht="14">
      <c r="A1016" s="231">
        <v>1015</v>
      </c>
      <c r="B1016" s="235" t="s">
        <v>52</v>
      </c>
      <c r="C1016" s="231" t="s">
        <v>10</v>
      </c>
      <c r="D1016" s="250" t="s">
        <v>2597</v>
      </c>
      <c r="E1016" s="239" t="s">
        <v>2593</v>
      </c>
      <c r="F1016" s="231"/>
      <c r="G1016" s="231">
        <v>48</v>
      </c>
      <c r="H1016" s="231" t="s">
        <v>4628</v>
      </c>
      <c r="I1016" s="281">
        <v>0</v>
      </c>
      <c r="J1016" s="249">
        <v>1100</v>
      </c>
      <c r="K1016" s="231">
        <f t="shared" si="15"/>
        <v>20</v>
      </c>
      <c r="L1016" s="231"/>
      <c r="M1016" s="231" t="s">
        <v>16</v>
      </c>
      <c r="N1016" s="231"/>
      <c r="O1016" s="231">
        <v>2023</v>
      </c>
      <c r="P1016" s="281"/>
      <c r="Q1016" s="231"/>
      <c r="R1016" s="231"/>
      <c r="S1016" s="231" t="s">
        <v>453</v>
      </c>
      <c r="T1016" s="231"/>
    </row>
    <row r="1017" spans="1:20" ht="14">
      <c r="A1017" s="231">
        <v>1016</v>
      </c>
      <c r="B1017" s="235" t="s">
        <v>52</v>
      </c>
      <c r="C1017" s="231" t="s">
        <v>10</v>
      </c>
      <c r="D1017" s="250" t="s">
        <v>2599</v>
      </c>
      <c r="E1017" s="257" t="s">
        <v>2595</v>
      </c>
      <c r="F1017" s="231" t="s">
        <v>2507</v>
      </c>
      <c r="G1017" s="231">
        <v>48</v>
      </c>
      <c r="H1017" s="231" t="s">
        <v>4551</v>
      </c>
      <c r="I1017" s="281">
        <v>0</v>
      </c>
      <c r="J1017" s="249">
        <v>700</v>
      </c>
      <c r="K1017" s="231">
        <f t="shared" si="15"/>
        <v>20</v>
      </c>
      <c r="L1017" s="231"/>
      <c r="M1017" s="231" t="s">
        <v>16</v>
      </c>
      <c r="N1017" s="231"/>
      <c r="O1017" s="231">
        <v>2023</v>
      </c>
      <c r="P1017" s="281"/>
      <c r="Q1017" s="231"/>
      <c r="R1017" s="231"/>
      <c r="S1017" s="231" t="s">
        <v>453</v>
      </c>
      <c r="T1017" s="231"/>
    </row>
    <row r="1018" spans="1:20" ht="14">
      <c r="A1018" s="231">
        <v>1017</v>
      </c>
      <c r="B1018" s="235" t="s">
        <v>49</v>
      </c>
      <c r="C1018" s="231" t="s">
        <v>10</v>
      </c>
      <c r="D1018" s="250" t="s">
        <v>2601</v>
      </c>
      <c r="E1018" s="239"/>
      <c r="F1018" s="231"/>
      <c r="G1018" s="231">
        <v>48</v>
      </c>
      <c r="H1018" s="231" t="s">
        <v>452</v>
      </c>
      <c r="I1018" s="281">
        <v>0</v>
      </c>
      <c r="J1018" s="249">
        <v>300</v>
      </c>
      <c r="K1018" s="231">
        <f t="shared" si="15"/>
        <v>20</v>
      </c>
      <c r="L1018" s="231"/>
      <c r="M1018" s="231" t="s">
        <v>16</v>
      </c>
      <c r="N1018" s="231"/>
      <c r="O1018" s="231">
        <v>2023</v>
      </c>
      <c r="P1018" s="281"/>
      <c r="Q1018" s="231"/>
      <c r="R1018" s="231"/>
      <c r="S1018" s="231" t="s">
        <v>453</v>
      </c>
      <c r="T1018" s="231"/>
    </row>
    <row r="1019" spans="1:20" ht="14">
      <c r="A1019" s="231">
        <v>1018</v>
      </c>
      <c r="B1019" s="235" t="s">
        <v>55</v>
      </c>
      <c r="C1019" s="231" t="s">
        <v>10</v>
      </c>
      <c r="D1019" s="250" t="s">
        <v>2604</v>
      </c>
      <c r="E1019" s="239" t="s">
        <v>2598</v>
      </c>
      <c r="F1019" s="231"/>
      <c r="G1019" s="231">
        <v>48</v>
      </c>
      <c r="H1019" s="231" t="s">
        <v>2894</v>
      </c>
      <c r="I1019" s="281">
        <v>0</v>
      </c>
      <c r="J1019" s="249">
        <v>500</v>
      </c>
      <c r="K1019" s="231">
        <f t="shared" si="15"/>
        <v>10</v>
      </c>
      <c r="L1019" s="231"/>
      <c r="M1019" s="299" t="s">
        <v>15</v>
      </c>
      <c r="N1019" s="231"/>
      <c r="O1019" s="231">
        <v>2023</v>
      </c>
      <c r="P1019" s="281"/>
      <c r="Q1019" s="231"/>
      <c r="R1019" s="231"/>
      <c r="S1019" s="231" t="s">
        <v>453</v>
      </c>
      <c r="T1019" s="231"/>
    </row>
    <row r="1020" spans="1:20" ht="14">
      <c r="A1020" s="231">
        <v>1019</v>
      </c>
      <c r="B1020" s="235" t="s">
        <v>49</v>
      </c>
      <c r="C1020" s="231" t="s">
        <v>10</v>
      </c>
      <c r="D1020" s="250" t="s">
        <v>2606</v>
      </c>
      <c r="E1020" s="239" t="s">
        <v>2600</v>
      </c>
      <c r="F1020" s="231"/>
      <c r="G1020" s="231">
        <v>48</v>
      </c>
      <c r="H1020" s="231" t="s">
        <v>452</v>
      </c>
      <c r="I1020" s="281">
        <v>0</v>
      </c>
      <c r="J1020" s="249">
        <v>200</v>
      </c>
      <c r="K1020" s="231">
        <f t="shared" si="15"/>
        <v>20</v>
      </c>
      <c r="L1020" s="231"/>
      <c r="M1020" s="231" t="s">
        <v>16</v>
      </c>
      <c r="N1020" s="231"/>
      <c r="O1020" s="231">
        <v>2023</v>
      </c>
      <c r="P1020" s="281"/>
      <c r="Q1020" s="231"/>
      <c r="R1020" s="231"/>
      <c r="S1020" s="231" t="s">
        <v>453</v>
      </c>
      <c r="T1020" s="231"/>
    </row>
    <row r="1021" spans="1:20" ht="14">
      <c r="A1021" s="231">
        <v>1020</v>
      </c>
      <c r="B1021" s="235" t="s">
        <v>52</v>
      </c>
      <c r="C1021" s="231" t="s">
        <v>10</v>
      </c>
      <c r="D1021" s="250" t="s">
        <v>2608</v>
      </c>
      <c r="E1021" s="239" t="s">
        <v>2602</v>
      </c>
      <c r="F1021" s="231" t="s">
        <v>2603</v>
      </c>
      <c r="G1021" s="231">
        <v>2</v>
      </c>
      <c r="H1021" s="231" t="s">
        <v>1440</v>
      </c>
      <c r="I1021" s="281">
        <v>0</v>
      </c>
      <c r="J1021" s="249">
        <v>200</v>
      </c>
      <c r="K1021" s="231">
        <f t="shared" si="15"/>
        <v>20</v>
      </c>
      <c r="L1021" s="231"/>
      <c r="M1021" s="231" t="s">
        <v>16</v>
      </c>
      <c r="N1021" s="231"/>
      <c r="O1021" s="231">
        <v>2023</v>
      </c>
      <c r="P1021" s="281"/>
      <c r="Q1021" s="231"/>
      <c r="R1021" s="231"/>
      <c r="S1021" s="231" t="s">
        <v>453</v>
      </c>
      <c r="T1021" s="231"/>
    </row>
    <row r="1022" spans="1:20" ht="14">
      <c r="A1022" s="231">
        <v>1021</v>
      </c>
      <c r="B1022" s="235" t="s">
        <v>52</v>
      </c>
      <c r="C1022" s="231" t="s">
        <v>10</v>
      </c>
      <c r="D1022" s="250" t="s">
        <v>2610</v>
      </c>
      <c r="E1022" s="239" t="s">
        <v>2605</v>
      </c>
      <c r="F1022" s="231" t="s">
        <v>2499</v>
      </c>
      <c r="G1022" s="231">
        <v>2</v>
      </c>
      <c r="H1022" s="231" t="s">
        <v>2767</v>
      </c>
      <c r="I1022" s="281">
        <v>0</v>
      </c>
      <c r="J1022" s="249">
        <v>300</v>
      </c>
      <c r="K1022" s="231">
        <f t="shared" si="15"/>
        <v>20</v>
      </c>
      <c r="L1022" s="231"/>
      <c r="M1022" s="231" t="s">
        <v>16</v>
      </c>
      <c r="N1022" s="231"/>
      <c r="O1022" s="231">
        <v>2023</v>
      </c>
      <c r="P1022" s="281"/>
      <c r="Q1022" s="231"/>
      <c r="R1022" s="231"/>
      <c r="S1022" s="231" t="s">
        <v>453</v>
      </c>
      <c r="T1022" s="231"/>
    </row>
    <row r="1023" spans="1:20" ht="14">
      <c r="A1023" s="231">
        <v>1022</v>
      </c>
      <c r="B1023" s="235" t="s">
        <v>52</v>
      </c>
      <c r="C1023" s="231" t="s">
        <v>10</v>
      </c>
      <c r="D1023" s="250" t="s">
        <v>2611</v>
      </c>
      <c r="E1023" s="239" t="s">
        <v>2607</v>
      </c>
      <c r="F1023" s="231"/>
      <c r="G1023" s="231">
        <v>2</v>
      </c>
      <c r="H1023" s="231" t="s">
        <v>2767</v>
      </c>
      <c r="I1023" s="281">
        <v>0</v>
      </c>
      <c r="J1023" s="249">
        <v>300</v>
      </c>
      <c r="K1023" s="231">
        <f t="shared" si="15"/>
        <v>20</v>
      </c>
      <c r="L1023" s="231"/>
      <c r="M1023" s="231" t="s">
        <v>16</v>
      </c>
      <c r="N1023" s="231"/>
      <c r="O1023" s="231">
        <v>2023</v>
      </c>
      <c r="P1023" s="281"/>
      <c r="Q1023" s="231"/>
      <c r="R1023" s="231"/>
      <c r="S1023" s="231" t="s">
        <v>453</v>
      </c>
      <c r="T1023" s="231"/>
    </row>
    <row r="1024" spans="1:20" ht="14">
      <c r="A1024" s="231">
        <v>1023</v>
      </c>
      <c r="B1024" s="235" t="s">
        <v>51</v>
      </c>
      <c r="C1024" s="231" t="s">
        <v>10</v>
      </c>
      <c r="D1024" s="250" t="s">
        <v>2613</v>
      </c>
      <c r="E1024" s="239" t="s">
        <v>2609</v>
      </c>
      <c r="F1024" s="231"/>
      <c r="G1024" s="231">
        <v>2</v>
      </c>
      <c r="H1024" s="231" t="s">
        <v>148</v>
      </c>
      <c r="I1024" s="281">
        <v>0</v>
      </c>
      <c r="J1024" s="249">
        <v>300</v>
      </c>
      <c r="K1024" s="231">
        <f t="shared" ref="K1024:K1087" si="16">IF(M1024="ONT",20,IF(M1024="N/A","N/A",IF(M1024="MIKROTIK",IF(J1024&lt;3000,10,IF(3000&lt;J1024&gt;10000,20,IF(10000&lt;J1024&gt;20000,40,IF(20000&lt;J1024&gt;40000,60,IF(J1024&gt;40000,80,IF(J1024&lt;300,3,)))))))))</f>
        <v>10</v>
      </c>
      <c r="L1024" s="231"/>
      <c r="M1024" s="299" t="s">
        <v>15</v>
      </c>
      <c r="N1024" s="231"/>
      <c r="O1024" s="231">
        <v>2023</v>
      </c>
      <c r="P1024" s="281"/>
      <c r="Q1024" s="231"/>
      <c r="R1024" s="231"/>
      <c r="S1024" s="231" t="s">
        <v>453</v>
      </c>
      <c r="T1024" s="231"/>
    </row>
    <row r="1025" spans="1:20" ht="14">
      <c r="A1025" s="231">
        <v>1024</v>
      </c>
      <c r="B1025" s="235" t="s">
        <v>52</v>
      </c>
      <c r="C1025" s="231" t="s">
        <v>10</v>
      </c>
      <c r="D1025" s="250" t="s">
        <v>2615</v>
      </c>
      <c r="E1025" s="239"/>
      <c r="F1025" s="231"/>
      <c r="G1025" s="231">
        <v>2</v>
      </c>
      <c r="H1025" s="231" t="s">
        <v>2773</v>
      </c>
      <c r="I1025" s="281">
        <v>0</v>
      </c>
      <c r="J1025" s="249">
        <v>300</v>
      </c>
      <c r="K1025" s="231">
        <f t="shared" si="16"/>
        <v>20</v>
      </c>
      <c r="L1025" s="231"/>
      <c r="M1025" s="231" t="s">
        <v>16</v>
      </c>
      <c r="N1025" s="231"/>
      <c r="O1025" s="231">
        <v>2023</v>
      </c>
      <c r="P1025" s="281"/>
      <c r="Q1025" s="231"/>
      <c r="R1025" s="231"/>
      <c r="S1025" s="231" t="s">
        <v>453</v>
      </c>
      <c r="T1025" s="231"/>
    </row>
    <row r="1026" spans="1:20" ht="14">
      <c r="A1026" s="231">
        <v>1025</v>
      </c>
      <c r="B1026" s="235" t="s">
        <v>52</v>
      </c>
      <c r="C1026" s="231" t="s">
        <v>10</v>
      </c>
      <c r="D1026" s="250" t="s">
        <v>2617</v>
      </c>
      <c r="E1026" s="239" t="s">
        <v>2612</v>
      </c>
      <c r="F1026" s="231"/>
      <c r="G1026" s="231">
        <v>2</v>
      </c>
      <c r="H1026" s="231" t="s">
        <v>2773</v>
      </c>
      <c r="I1026" s="281">
        <v>0</v>
      </c>
      <c r="J1026" s="249">
        <v>300</v>
      </c>
      <c r="K1026" s="231">
        <f t="shared" si="16"/>
        <v>20</v>
      </c>
      <c r="L1026" s="231"/>
      <c r="M1026" s="231" t="s">
        <v>16</v>
      </c>
      <c r="N1026" s="231"/>
      <c r="O1026" s="231">
        <v>2023</v>
      </c>
      <c r="P1026" s="281"/>
      <c r="Q1026" s="231"/>
      <c r="R1026" s="231"/>
      <c r="S1026" s="231" t="s">
        <v>453</v>
      </c>
      <c r="T1026" s="231"/>
    </row>
    <row r="1027" spans="1:20" ht="14">
      <c r="A1027" s="231">
        <v>1026</v>
      </c>
      <c r="B1027" s="235" t="s">
        <v>52</v>
      </c>
      <c r="C1027" s="231" t="s">
        <v>10</v>
      </c>
      <c r="D1027" s="250" t="s">
        <v>2619</v>
      </c>
      <c r="E1027" s="239" t="s">
        <v>2614</v>
      </c>
      <c r="F1027" s="231" t="s">
        <v>778</v>
      </c>
      <c r="G1027" s="231">
        <v>2</v>
      </c>
      <c r="H1027" s="231" t="s">
        <v>3524</v>
      </c>
      <c r="I1027" s="281">
        <v>0</v>
      </c>
      <c r="J1027" s="249">
        <v>300</v>
      </c>
      <c r="K1027" s="231">
        <f t="shared" si="16"/>
        <v>20</v>
      </c>
      <c r="L1027" s="231"/>
      <c r="M1027" s="231" t="s">
        <v>16</v>
      </c>
      <c r="N1027" s="231"/>
      <c r="O1027" s="231">
        <v>2023</v>
      </c>
      <c r="P1027" s="281"/>
      <c r="Q1027" s="231"/>
      <c r="R1027" s="231"/>
      <c r="S1027" s="231" t="s">
        <v>453</v>
      </c>
      <c r="T1027" s="231"/>
    </row>
    <row r="1028" spans="1:20" ht="14">
      <c r="A1028" s="231">
        <v>1027</v>
      </c>
      <c r="B1028" s="235" t="s">
        <v>52</v>
      </c>
      <c r="C1028" s="231" t="s">
        <v>10</v>
      </c>
      <c r="D1028" s="250" t="s">
        <v>2621</v>
      </c>
      <c r="E1028" s="239" t="s">
        <v>2616</v>
      </c>
      <c r="F1028" s="231"/>
      <c r="G1028" s="231">
        <v>2</v>
      </c>
      <c r="H1028" s="231" t="s">
        <v>4260</v>
      </c>
      <c r="I1028" s="281">
        <v>0</v>
      </c>
      <c r="J1028" s="249">
        <v>450</v>
      </c>
      <c r="K1028" s="231" t="str">
        <f t="shared" si="16"/>
        <v>N/A</v>
      </c>
      <c r="L1028" s="231"/>
      <c r="M1028" s="231" t="s">
        <v>456</v>
      </c>
      <c r="N1028" s="231"/>
      <c r="O1028" s="231">
        <v>2023</v>
      </c>
      <c r="P1028" s="281"/>
      <c r="Q1028" s="231"/>
      <c r="R1028" s="231"/>
      <c r="S1028" s="231" t="s">
        <v>453</v>
      </c>
      <c r="T1028" s="231"/>
    </row>
    <row r="1029" spans="1:20" ht="14">
      <c r="A1029" s="231">
        <v>1028</v>
      </c>
      <c r="B1029" s="235" t="s">
        <v>52</v>
      </c>
      <c r="C1029" s="231" t="s">
        <v>10</v>
      </c>
      <c r="D1029" s="250" t="s">
        <v>2623</v>
      </c>
      <c r="E1029" s="239" t="s">
        <v>2618</v>
      </c>
      <c r="F1029" s="231"/>
      <c r="G1029" s="231">
        <v>2</v>
      </c>
      <c r="H1029" s="231" t="s">
        <v>2776</v>
      </c>
      <c r="I1029" s="281">
        <v>0</v>
      </c>
      <c r="J1029" s="249">
        <v>500</v>
      </c>
      <c r="K1029" s="231">
        <f t="shared" si="16"/>
        <v>20</v>
      </c>
      <c r="L1029" s="231"/>
      <c r="M1029" s="231" t="s">
        <v>16</v>
      </c>
      <c r="N1029" s="231"/>
      <c r="O1029" s="231">
        <v>2023</v>
      </c>
      <c r="P1029" s="281"/>
      <c r="Q1029" s="231"/>
      <c r="R1029" s="231"/>
      <c r="S1029" s="231" t="s">
        <v>453</v>
      </c>
      <c r="T1029" s="231"/>
    </row>
    <row r="1030" spans="1:20" ht="14">
      <c r="A1030" s="231">
        <v>1029</v>
      </c>
      <c r="B1030" s="235" t="s">
        <v>52</v>
      </c>
      <c r="C1030" s="231" t="s">
        <v>10</v>
      </c>
      <c r="D1030" s="250" t="s">
        <v>2625</v>
      </c>
      <c r="E1030" s="239" t="s">
        <v>2620</v>
      </c>
      <c r="F1030" s="231"/>
      <c r="G1030" s="231">
        <v>2</v>
      </c>
      <c r="H1030" s="231" t="s">
        <v>3111</v>
      </c>
      <c r="I1030" s="281">
        <v>0</v>
      </c>
      <c r="J1030" s="249">
        <v>350</v>
      </c>
      <c r="K1030" s="231">
        <f t="shared" si="16"/>
        <v>20</v>
      </c>
      <c r="L1030" s="231"/>
      <c r="M1030" s="231" t="s">
        <v>16</v>
      </c>
      <c r="N1030" s="231"/>
      <c r="O1030" s="231">
        <v>2023</v>
      </c>
      <c r="P1030" s="281"/>
      <c r="Q1030" s="231"/>
      <c r="R1030" s="231"/>
      <c r="S1030" s="231" t="s">
        <v>453</v>
      </c>
      <c r="T1030" s="231"/>
    </row>
    <row r="1031" spans="1:20" ht="14">
      <c r="A1031" s="231">
        <v>1030</v>
      </c>
      <c r="B1031" s="235" t="s">
        <v>52</v>
      </c>
      <c r="C1031" s="231" t="s">
        <v>10</v>
      </c>
      <c r="D1031" s="250" t="s">
        <v>2627</v>
      </c>
      <c r="E1031" s="239" t="s">
        <v>2622</v>
      </c>
      <c r="F1031" s="231"/>
      <c r="G1031" s="231">
        <v>48</v>
      </c>
      <c r="H1031" s="231" t="s">
        <v>4588</v>
      </c>
      <c r="I1031" s="281">
        <v>0</v>
      </c>
      <c r="J1031" s="249">
        <v>300</v>
      </c>
      <c r="K1031" s="231">
        <f t="shared" si="16"/>
        <v>20</v>
      </c>
      <c r="L1031" s="231"/>
      <c r="M1031" s="231" t="s">
        <v>16</v>
      </c>
      <c r="N1031" s="231"/>
      <c r="O1031" s="231">
        <v>2023</v>
      </c>
      <c r="P1031" s="281"/>
      <c r="Q1031" s="231"/>
      <c r="R1031" s="231"/>
      <c r="S1031" s="231" t="s">
        <v>453</v>
      </c>
      <c r="T1031" s="231"/>
    </row>
    <row r="1032" spans="1:20" ht="14">
      <c r="A1032" s="231">
        <v>1031</v>
      </c>
      <c r="B1032" s="235" t="s">
        <v>52</v>
      </c>
      <c r="C1032" s="231" t="s">
        <v>10</v>
      </c>
      <c r="D1032" s="250" t="s">
        <v>2628</v>
      </c>
      <c r="E1032" s="239" t="s">
        <v>2624</v>
      </c>
      <c r="F1032" s="231"/>
      <c r="G1032" s="231">
        <v>48</v>
      </c>
      <c r="H1032" s="231" t="s">
        <v>4579</v>
      </c>
      <c r="I1032" s="281">
        <v>0</v>
      </c>
      <c r="J1032" s="249">
        <v>600</v>
      </c>
      <c r="K1032" s="231">
        <f t="shared" si="16"/>
        <v>20</v>
      </c>
      <c r="L1032" s="231"/>
      <c r="M1032" s="231" t="s">
        <v>16</v>
      </c>
      <c r="N1032" s="231"/>
      <c r="O1032" s="231">
        <v>2023</v>
      </c>
      <c r="P1032" s="281"/>
      <c r="Q1032" s="231"/>
      <c r="R1032" s="231"/>
      <c r="S1032" s="231" t="s">
        <v>453</v>
      </c>
      <c r="T1032" s="231"/>
    </row>
    <row r="1033" spans="1:20" ht="14">
      <c r="A1033" s="231">
        <v>1032</v>
      </c>
      <c r="B1033" s="235" t="s">
        <v>49</v>
      </c>
      <c r="C1033" s="231" t="s">
        <v>10</v>
      </c>
      <c r="D1033" s="250" t="s">
        <v>2630</v>
      </c>
      <c r="E1033" s="239" t="s">
        <v>2626</v>
      </c>
      <c r="F1033" s="231"/>
      <c r="G1033" s="231">
        <v>2</v>
      </c>
      <c r="H1033" s="231" t="s">
        <v>452</v>
      </c>
      <c r="I1033" s="281">
        <v>0</v>
      </c>
      <c r="J1033" s="249">
        <v>1200</v>
      </c>
      <c r="K1033" s="231">
        <f t="shared" si="16"/>
        <v>20</v>
      </c>
      <c r="L1033" s="231"/>
      <c r="M1033" s="231" t="s">
        <v>16</v>
      </c>
      <c r="N1033" s="231"/>
      <c r="O1033" s="231">
        <v>2023</v>
      </c>
      <c r="P1033" s="281"/>
      <c r="Q1033" s="231"/>
      <c r="R1033" s="231"/>
      <c r="S1033" s="231" t="s">
        <v>453</v>
      </c>
      <c r="T1033" s="231"/>
    </row>
    <row r="1034" spans="1:20" ht="14">
      <c r="A1034" s="231">
        <v>1033</v>
      </c>
      <c r="B1034" s="235" t="s">
        <v>52</v>
      </c>
      <c r="C1034" s="231" t="s">
        <v>10</v>
      </c>
      <c r="D1034" s="250" t="s">
        <v>2632</v>
      </c>
      <c r="E1034" s="239"/>
      <c r="F1034" s="231"/>
      <c r="G1034" s="231">
        <v>2</v>
      </c>
      <c r="H1034" s="231" t="s">
        <v>4627</v>
      </c>
      <c r="I1034" s="281">
        <v>0</v>
      </c>
      <c r="J1034" s="249">
        <v>1100</v>
      </c>
      <c r="K1034" s="231">
        <f t="shared" si="16"/>
        <v>10</v>
      </c>
      <c r="L1034" s="231"/>
      <c r="M1034" s="299" t="s">
        <v>15</v>
      </c>
      <c r="N1034" s="231"/>
      <c r="O1034" s="231">
        <v>2023</v>
      </c>
      <c r="P1034" s="281"/>
      <c r="Q1034" s="231"/>
      <c r="R1034" s="231"/>
      <c r="S1034" s="231" t="s">
        <v>453</v>
      </c>
      <c r="T1034" s="231"/>
    </row>
    <row r="1035" spans="1:20" ht="14">
      <c r="A1035" s="231">
        <v>1034</v>
      </c>
      <c r="B1035" s="235" t="s">
        <v>52</v>
      </c>
      <c r="C1035" s="231" t="s">
        <v>10</v>
      </c>
      <c r="D1035" s="250" t="s">
        <v>2634</v>
      </c>
      <c r="E1035" s="239" t="s">
        <v>2629</v>
      </c>
      <c r="F1035" s="231"/>
      <c r="G1035" s="231">
        <v>2</v>
      </c>
      <c r="H1035" s="231" t="s">
        <v>3512</v>
      </c>
      <c r="I1035" s="281">
        <v>0</v>
      </c>
      <c r="J1035" s="249">
        <v>300</v>
      </c>
      <c r="K1035" s="231">
        <f t="shared" si="16"/>
        <v>20</v>
      </c>
      <c r="L1035" s="231"/>
      <c r="M1035" s="231" t="s">
        <v>16</v>
      </c>
      <c r="N1035" s="231"/>
      <c r="O1035" s="231">
        <v>2023</v>
      </c>
      <c r="P1035" s="281"/>
      <c r="Q1035" s="231"/>
      <c r="R1035" s="231"/>
      <c r="S1035" s="231" t="s">
        <v>453</v>
      </c>
      <c r="T1035" s="231"/>
    </row>
    <row r="1036" spans="1:20" ht="14">
      <c r="A1036" s="231">
        <v>1035</v>
      </c>
      <c r="B1036" s="235" t="s">
        <v>52</v>
      </c>
      <c r="C1036" s="231" t="s">
        <v>10</v>
      </c>
      <c r="D1036" s="250" t="s">
        <v>2636</v>
      </c>
      <c r="E1036" s="239" t="s">
        <v>2631</v>
      </c>
      <c r="F1036" s="231"/>
      <c r="G1036" s="231">
        <v>48</v>
      </c>
      <c r="H1036" s="231" t="s">
        <v>3524</v>
      </c>
      <c r="I1036" s="281">
        <v>0</v>
      </c>
      <c r="J1036" s="249">
        <v>200</v>
      </c>
      <c r="K1036" s="231">
        <f t="shared" si="16"/>
        <v>20</v>
      </c>
      <c r="L1036" s="231"/>
      <c r="M1036" s="231" t="s">
        <v>16</v>
      </c>
      <c r="N1036" s="231"/>
      <c r="O1036" s="231">
        <v>2023</v>
      </c>
      <c r="P1036" s="281"/>
      <c r="Q1036" s="231"/>
      <c r="R1036" s="231"/>
      <c r="S1036" s="231" t="s">
        <v>453</v>
      </c>
      <c r="T1036" s="231"/>
    </row>
    <row r="1037" spans="1:20" ht="14">
      <c r="A1037" s="231">
        <v>1036</v>
      </c>
      <c r="B1037" s="235" t="s">
        <v>51</v>
      </c>
      <c r="C1037" s="231" t="s">
        <v>10</v>
      </c>
      <c r="D1037" s="250" t="s">
        <v>2639</v>
      </c>
      <c r="E1037" s="239" t="s">
        <v>2633</v>
      </c>
      <c r="F1037" s="231"/>
      <c r="G1037" s="231">
        <v>48</v>
      </c>
      <c r="H1037" s="231" t="s">
        <v>160</v>
      </c>
      <c r="I1037" s="281">
        <v>0</v>
      </c>
      <c r="J1037" s="249">
        <v>200</v>
      </c>
      <c r="K1037" s="231">
        <f t="shared" si="16"/>
        <v>10</v>
      </c>
      <c r="L1037" s="231"/>
      <c r="M1037" s="299" t="s">
        <v>15</v>
      </c>
      <c r="N1037" s="231"/>
      <c r="O1037" s="231">
        <v>2023</v>
      </c>
      <c r="P1037" s="281"/>
      <c r="Q1037" s="231"/>
      <c r="R1037" s="231"/>
      <c r="S1037" s="231" t="s">
        <v>453</v>
      </c>
      <c r="T1037" s="231"/>
    </row>
    <row r="1038" spans="1:20" ht="14">
      <c r="A1038" s="231">
        <v>1037</v>
      </c>
      <c r="B1038" s="235" t="s">
        <v>55</v>
      </c>
      <c r="C1038" s="231" t="s">
        <v>10</v>
      </c>
      <c r="D1038" s="250" t="s">
        <v>2640</v>
      </c>
      <c r="E1038" s="239" t="s">
        <v>2635</v>
      </c>
      <c r="F1038" s="231" t="s">
        <v>267</v>
      </c>
      <c r="G1038" s="231">
        <v>2</v>
      </c>
      <c r="H1038" s="231" t="s">
        <v>2894</v>
      </c>
      <c r="I1038" s="281">
        <v>0</v>
      </c>
      <c r="J1038" s="249">
        <v>3400</v>
      </c>
      <c r="K1038" s="231">
        <f t="shared" si="16"/>
        <v>20</v>
      </c>
      <c r="L1038" s="231"/>
      <c r="M1038" s="299" t="s">
        <v>15</v>
      </c>
      <c r="N1038" s="231"/>
      <c r="O1038" s="231">
        <v>2023</v>
      </c>
      <c r="P1038" s="281"/>
      <c r="Q1038" s="231"/>
      <c r="R1038" s="231"/>
      <c r="S1038" s="231" t="s">
        <v>453</v>
      </c>
      <c r="T1038" s="231"/>
    </row>
    <row r="1039" spans="1:20" ht="14">
      <c r="A1039" s="231">
        <v>1038</v>
      </c>
      <c r="B1039" s="235" t="s">
        <v>49</v>
      </c>
      <c r="C1039" s="231" t="s">
        <v>10</v>
      </c>
      <c r="D1039" s="250" t="s">
        <v>2642</v>
      </c>
      <c r="E1039" s="239" t="s">
        <v>2637</v>
      </c>
      <c r="F1039" s="231" t="s">
        <v>2638</v>
      </c>
      <c r="G1039" s="231">
        <v>2</v>
      </c>
      <c r="H1039" s="231" t="s">
        <v>452</v>
      </c>
      <c r="I1039" s="281">
        <v>0</v>
      </c>
      <c r="J1039" s="249">
        <v>200</v>
      </c>
      <c r="K1039" s="231">
        <f t="shared" si="16"/>
        <v>20</v>
      </c>
      <c r="L1039" s="231"/>
      <c r="M1039" s="231" t="s">
        <v>16</v>
      </c>
      <c r="N1039" s="231"/>
      <c r="O1039" s="231">
        <v>2023</v>
      </c>
      <c r="P1039" s="281"/>
      <c r="Q1039" s="231"/>
      <c r="R1039" s="231"/>
      <c r="S1039" s="231" t="s">
        <v>453</v>
      </c>
      <c r="T1039" s="231"/>
    </row>
    <row r="1040" spans="1:20" ht="14">
      <c r="A1040" s="231">
        <v>1039</v>
      </c>
      <c r="B1040" s="235" t="s">
        <v>52</v>
      </c>
      <c r="C1040" s="231" t="s">
        <v>10</v>
      </c>
      <c r="D1040" s="250" t="s">
        <v>2644</v>
      </c>
      <c r="E1040" s="239"/>
      <c r="F1040" s="231" t="s">
        <v>2543</v>
      </c>
      <c r="G1040" s="231">
        <v>48</v>
      </c>
      <c r="H1040" s="238" t="s">
        <v>3111</v>
      </c>
      <c r="I1040" s="281">
        <v>0</v>
      </c>
      <c r="J1040" s="249">
        <v>9300</v>
      </c>
      <c r="K1040" s="231" t="str">
        <f t="shared" si="16"/>
        <v>N/A</v>
      </c>
      <c r="L1040" s="231"/>
      <c r="M1040" s="231" t="s">
        <v>456</v>
      </c>
      <c r="N1040" s="231"/>
      <c r="O1040" s="231">
        <v>2023</v>
      </c>
      <c r="P1040" s="281"/>
      <c r="Q1040" s="231"/>
      <c r="R1040" s="231"/>
      <c r="S1040" s="236" t="s">
        <v>453</v>
      </c>
      <c r="T1040" s="231"/>
    </row>
    <row r="1041" spans="1:20" ht="14">
      <c r="A1041" s="231">
        <v>1040</v>
      </c>
      <c r="B1041" s="235" t="s">
        <v>52</v>
      </c>
      <c r="C1041" s="231" t="s">
        <v>10</v>
      </c>
      <c r="D1041" s="250" t="s">
        <v>2645</v>
      </c>
      <c r="E1041" s="239" t="s">
        <v>2641</v>
      </c>
      <c r="F1041" s="231" t="s">
        <v>2499</v>
      </c>
      <c r="G1041" s="231">
        <v>48</v>
      </c>
      <c r="H1041" s="231" t="s">
        <v>4587</v>
      </c>
      <c r="I1041" s="281">
        <v>0</v>
      </c>
      <c r="J1041" s="249">
        <v>8000</v>
      </c>
      <c r="K1041" s="231">
        <f t="shared" si="16"/>
        <v>20</v>
      </c>
      <c r="L1041" s="231"/>
      <c r="M1041" s="299" t="s">
        <v>15</v>
      </c>
      <c r="N1041" s="231"/>
      <c r="O1041" s="231">
        <v>2023</v>
      </c>
      <c r="P1041" s="281"/>
      <c r="Q1041" s="231"/>
      <c r="R1041" s="231"/>
      <c r="S1041" s="236" t="s">
        <v>453</v>
      </c>
      <c r="T1041" s="231"/>
    </row>
    <row r="1042" spans="1:20" ht="14">
      <c r="A1042" s="231">
        <v>1041</v>
      </c>
      <c r="B1042" s="235" t="s">
        <v>52</v>
      </c>
      <c r="C1042" s="231" t="s">
        <v>10</v>
      </c>
      <c r="D1042" s="250" t="s">
        <v>2647</v>
      </c>
      <c r="E1042" s="239" t="s">
        <v>2643</v>
      </c>
      <c r="F1042" s="231" t="s">
        <v>2603</v>
      </c>
      <c r="G1042" s="231">
        <v>2</v>
      </c>
      <c r="H1042" s="231" t="s">
        <v>4674</v>
      </c>
      <c r="I1042" s="281">
        <v>0</v>
      </c>
      <c r="J1042" s="249">
        <v>200</v>
      </c>
      <c r="K1042" s="231">
        <f t="shared" si="16"/>
        <v>10</v>
      </c>
      <c r="L1042" s="231"/>
      <c r="M1042" s="299" t="s">
        <v>15</v>
      </c>
      <c r="N1042" s="231"/>
      <c r="O1042" s="231">
        <v>2023</v>
      </c>
      <c r="P1042" s="281"/>
      <c r="Q1042" s="231"/>
      <c r="R1042" s="231"/>
      <c r="S1042" s="236" t="s">
        <v>453</v>
      </c>
      <c r="T1042" s="231"/>
    </row>
    <row r="1043" spans="1:20" ht="14">
      <c r="A1043" s="231">
        <v>1042</v>
      </c>
      <c r="B1043" s="235" t="s">
        <v>52</v>
      </c>
      <c r="C1043" s="231" t="s">
        <v>10</v>
      </c>
      <c r="D1043" s="250" t="s">
        <v>2649</v>
      </c>
      <c r="E1043" s="237" t="s">
        <v>850</v>
      </c>
      <c r="F1043" s="237" t="s">
        <v>283</v>
      </c>
      <c r="G1043" s="238">
        <v>48</v>
      </c>
      <c r="H1043" s="231" t="s">
        <v>4674</v>
      </c>
      <c r="I1043" s="281">
        <v>0</v>
      </c>
      <c r="J1043" s="249">
        <v>750</v>
      </c>
      <c r="K1043" s="231">
        <f t="shared" si="16"/>
        <v>20</v>
      </c>
      <c r="L1043" s="231"/>
      <c r="M1043" s="231" t="s">
        <v>16</v>
      </c>
      <c r="N1043" s="231"/>
      <c r="O1043" s="231">
        <v>2023</v>
      </c>
      <c r="P1043" s="281"/>
      <c r="Q1043" s="231"/>
      <c r="R1043" s="231"/>
      <c r="S1043" s="231" t="s">
        <v>457</v>
      </c>
      <c r="T1043" s="231"/>
    </row>
    <row r="1044" spans="1:20" ht="14">
      <c r="A1044" s="231">
        <v>1043</v>
      </c>
      <c r="B1044" s="235" t="s">
        <v>52</v>
      </c>
      <c r="C1044" s="231" t="s">
        <v>10</v>
      </c>
      <c r="D1044" s="250" t="s">
        <v>2651</v>
      </c>
      <c r="E1044" s="239" t="s">
        <v>2646</v>
      </c>
      <c r="F1044" s="231"/>
      <c r="G1044" s="231">
        <v>48</v>
      </c>
      <c r="H1044" s="231" t="s">
        <v>3623</v>
      </c>
      <c r="I1044" s="281">
        <v>0</v>
      </c>
      <c r="J1044" s="249">
        <v>2000</v>
      </c>
      <c r="K1044" s="231" t="str">
        <f t="shared" si="16"/>
        <v>N/A</v>
      </c>
      <c r="L1044" s="231"/>
      <c r="M1044" s="231" t="s">
        <v>456</v>
      </c>
      <c r="N1044" s="231"/>
      <c r="O1044" s="231">
        <v>2023</v>
      </c>
      <c r="P1044" s="281"/>
      <c r="Q1044" s="231"/>
      <c r="R1044" s="231"/>
      <c r="S1044" s="231" t="s">
        <v>453</v>
      </c>
      <c r="T1044" s="231"/>
    </row>
    <row r="1045" spans="1:20" ht="14">
      <c r="A1045" s="231">
        <v>1044</v>
      </c>
      <c r="B1045" s="235" t="s">
        <v>55</v>
      </c>
      <c r="C1045" s="231" t="s">
        <v>10</v>
      </c>
      <c r="D1045" s="250" t="s">
        <v>2653</v>
      </c>
      <c r="E1045" s="239" t="s">
        <v>2648</v>
      </c>
      <c r="F1045" s="231"/>
      <c r="G1045" s="231">
        <v>48</v>
      </c>
      <c r="H1045" s="231" t="s">
        <v>4639</v>
      </c>
      <c r="I1045" s="281">
        <v>0</v>
      </c>
      <c r="J1045" s="249">
        <v>5400</v>
      </c>
      <c r="K1045" s="231">
        <f t="shared" si="16"/>
        <v>20</v>
      </c>
      <c r="L1045" s="231"/>
      <c r="M1045" s="299" t="s">
        <v>15</v>
      </c>
      <c r="N1045" s="231"/>
      <c r="O1045" s="231">
        <v>2023</v>
      </c>
      <c r="P1045" s="281"/>
      <c r="Q1045" s="231"/>
      <c r="R1045" s="231"/>
      <c r="S1045" s="231" t="s">
        <v>453</v>
      </c>
      <c r="T1045" s="231"/>
    </row>
    <row r="1046" spans="1:20" ht="14">
      <c r="A1046" s="231">
        <v>1045</v>
      </c>
      <c r="B1046" s="235" t="s">
        <v>52</v>
      </c>
      <c r="C1046" s="231" t="s">
        <v>10</v>
      </c>
      <c r="D1046" s="250" t="s">
        <v>2655</v>
      </c>
      <c r="E1046" s="239" t="s">
        <v>2650</v>
      </c>
      <c r="F1046" s="231"/>
      <c r="G1046" s="231">
        <v>48</v>
      </c>
      <c r="H1046" s="231" t="s">
        <v>2773</v>
      </c>
      <c r="I1046" s="281">
        <v>0</v>
      </c>
      <c r="J1046" s="249">
        <v>300</v>
      </c>
      <c r="K1046" s="231">
        <f t="shared" si="16"/>
        <v>20</v>
      </c>
      <c r="L1046" s="231"/>
      <c r="M1046" s="231" t="s">
        <v>16</v>
      </c>
      <c r="N1046" s="231"/>
      <c r="O1046" s="231">
        <v>2023</v>
      </c>
      <c r="P1046" s="281"/>
      <c r="Q1046" s="231"/>
      <c r="R1046" s="231"/>
      <c r="S1046" s="231" t="s">
        <v>453</v>
      </c>
      <c r="T1046" s="231"/>
    </row>
    <row r="1047" spans="1:20" ht="14">
      <c r="A1047" s="231">
        <v>1046</v>
      </c>
      <c r="B1047" s="235" t="s">
        <v>52</v>
      </c>
      <c r="C1047" s="231" t="s">
        <v>10</v>
      </c>
      <c r="D1047" s="250" t="s">
        <v>2657</v>
      </c>
      <c r="E1047" s="239" t="s">
        <v>2652</v>
      </c>
      <c r="F1047" s="231"/>
      <c r="G1047" s="231">
        <v>48</v>
      </c>
      <c r="H1047" s="231" t="s">
        <v>2770</v>
      </c>
      <c r="I1047" s="281">
        <v>0</v>
      </c>
      <c r="J1047" s="249">
        <v>382</v>
      </c>
      <c r="K1047" s="231">
        <f t="shared" si="16"/>
        <v>20</v>
      </c>
      <c r="L1047" s="231"/>
      <c r="M1047" s="231" t="s">
        <v>16</v>
      </c>
      <c r="N1047" s="231"/>
      <c r="O1047" s="231">
        <v>2023</v>
      </c>
      <c r="P1047" s="281"/>
      <c r="Q1047" s="231"/>
      <c r="R1047" s="231"/>
      <c r="S1047" s="231" t="s">
        <v>457</v>
      </c>
      <c r="T1047" s="231"/>
    </row>
    <row r="1048" spans="1:20" ht="14">
      <c r="A1048" s="231">
        <v>1047</v>
      </c>
      <c r="B1048" s="235" t="s">
        <v>49</v>
      </c>
      <c r="C1048" s="231" t="s">
        <v>10</v>
      </c>
      <c r="D1048" s="250" t="s">
        <v>2659</v>
      </c>
      <c r="E1048" s="239" t="s">
        <v>2654</v>
      </c>
      <c r="F1048" s="231"/>
      <c r="G1048" s="231">
        <v>48</v>
      </c>
      <c r="H1048" s="231" t="s">
        <v>452</v>
      </c>
      <c r="I1048" s="281">
        <v>0</v>
      </c>
      <c r="J1048" s="249">
        <v>200</v>
      </c>
      <c r="K1048" s="231">
        <f t="shared" si="16"/>
        <v>20</v>
      </c>
      <c r="L1048" s="231"/>
      <c r="M1048" s="231" t="s">
        <v>16</v>
      </c>
      <c r="N1048" s="231"/>
      <c r="O1048" s="231">
        <v>2023</v>
      </c>
      <c r="P1048" s="281"/>
      <c r="Q1048" s="231"/>
      <c r="R1048" s="231"/>
      <c r="S1048" s="231" t="s">
        <v>453</v>
      </c>
      <c r="T1048" s="231"/>
    </row>
    <row r="1049" spans="1:20" ht="14">
      <c r="A1049" s="231">
        <v>1048</v>
      </c>
      <c r="B1049" s="235" t="s">
        <v>52</v>
      </c>
      <c r="C1049" s="231" t="s">
        <v>10</v>
      </c>
      <c r="D1049" s="250" t="s">
        <v>2660</v>
      </c>
      <c r="E1049" s="237" t="s">
        <v>2656</v>
      </c>
      <c r="F1049" s="231"/>
      <c r="G1049" s="231">
        <v>2</v>
      </c>
      <c r="H1049" s="231" t="s">
        <v>2853</v>
      </c>
      <c r="I1049" s="281">
        <v>0</v>
      </c>
      <c r="J1049" s="249">
        <v>200</v>
      </c>
      <c r="K1049" s="231">
        <f t="shared" si="16"/>
        <v>10</v>
      </c>
      <c r="L1049" s="231"/>
      <c r="M1049" s="299" t="s">
        <v>15</v>
      </c>
      <c r="N1049" s="231"/>
      <c r="O1049" s="231">
        <v>2023</v>
      </c>
      <c r="P1049" s="281"/>
      <c r="Q1049" s="231"/>
      <c r="R1049" s="231"/>
      <c r="S1049" s="231" t="s">
        <v>453</v>
      </c>
      <c r="T1049" s="231"/>
    </row>
    <row r="1050" spans="1:20" ht="14">
      <c r="A1050" s="231">
        <v>1049</v>
      </c>
      <c r="B1050" s="235" t="s">
        <v>52</v>
      </c>
      <c r="C1050" s="231" t="s">
        <v>10</v>
      </c>
      <c r="D1050" s="250" t="s">
        <v>2661</v>
      </c>
      <c r="E1050" s="237" t="s">
        <v>2658</v>
      </c>
      <c r="F1050" s="231"/>
      <c r="G1050" s="231">
        <v>48</v>
      </c>
      <c r="H1050" s="231" t="s">
        <v>4588</v>
      </c>
      <c r="I1050" s="281">
        <v>0</v>
      </c>
      <c r="J1050" s="249">
        <v>520</v>
      </c>
      <c r="K1050" s="231">
        <f t="shared" si="16"/>
        <v>10</v>
      </c>
      <c r="L1050" s="231"/>
      <c r="M1050" s="299" t="s">
        <v>15</v>
      </c>
      <c r="N1050" s="231"/>
      <c r="O1050" s="231">
        <v>2023</v>
      </c>
      <c r="P1050" s="281"/>
      <c r="Q1050" s="231"/>
      <c r="R1050" s="231"/>
      <c r="S1050" s="231" t="s">
        <v>453</v>
      </c>
      <c r="T1050" s="231"/>
    </row>
    <row r="1051" spans="1:20" ht="14">
      <c r="A1051" s="231">
        <v>1050</v>
      </c>
      <c r="B1051" s="235" t="s">
        <v>52</v>
      </c>
      <c r="C1051" s="231" t="s">
        <v>10</v>
      </c>
      <c r="D1051" s="250" t="s">
        <v>2662</v>
      </c>
      <c r="E1051" s="239"/>
      <c r="F1051" s="231"/>
      <c r="G1051" s="231"/>
      <c r="H1051" s="231" t="s">
        <v>3542</v>
      </c>
      <c r="I1051" s="281">
        <v>0</v>
      </c>
      <c r="J1051" s="249">
        <v>200</v>
      </c>
      <c r="K1051" s="231">
        <f t="shared" si="16"/>
        <v>20</v>
      </c>
      <c r="L1051" s="231"/>
      <c r="M1051" s="231" t="s">
        <v>16</v>
      </c>
      <c r="N1051" s="231"/>
      <c r="O1051" s="231">
        <v>2023</v>
      </c>
      <c r="P1051" s="281"/>
      <c r="Q1051" s="231"/>
      <c r="R1051" s="231"/>
      <c r="S1051" s="231" t="s">
        <v>453</v>
      </c>
      <c r="T1051" s="231"/>
    </row>
    <row r="1052" spans="1:20" ht="14">
      <c r="A1052" s="231">
        <v>1051</v>
      </c>
      <c r="B1052" s="235" t="s">
        <v>52</v>
      </c>
      <c r="C1052" s="231" t="s">
        <v>10</v>
      </c>
      <c r="D1052" s="250" t="s">
        <v>2663</v>
      </c>
      <c r="E1052" s="239"/>
      <c r="F1052" s="231"/>
      <c r="G1052" s="231">
        <v>2</v>
      </c>
      <c r="H1052" s="231" t="s">
        <v>4609</v>
      </c>
      <c r="I1052" s="281">
        <v>0</v>
      </c>
      <c r="J1052" s="249">
        <v>15000</v>
      </c>
      <c r="K1052" s="231" t="str">
        <f t="shared" si="16"/>
        <v>N/A</v>
      </c>
      <c r="L1052" s="231"/>
      <c r="M1052" s="231" t="s">
        <v>456</v>
      </c>
      <c r="N1052" s="231"/>
      <c r="O1052" s="231">
        <v>2023</v>
      </c>
      <c r="P1052" s="281"/>
      <c r="Q1052" s="231"/>
      <c r="R1052" s="231"/>
      <c r="S1052" s="231" t="s">
        <v>453</v>
      </c>
      <c r="T1052" s="231"/>
    </row>
    <row r="1053" spans="1:20" ht="14">
      <c r="A1053" s="231">
        <v>1052</v>
      </c>
      <c r="B1053" s="235" t="s">
        <v>55</v>
      </c>
      <c r="C1053" s="231" t="s">
        <v>10</v>
      </c>
      <c r="D1053" s="250" t="s">
        <v>2664</v>
      </c>
      <c r="E1053" s="239"/>
      <c r="F1053" s="231"/>
      <c r="G1053" s="231">
        <v>48</v>
      </c>
      <c r="H1053" s="231" t="s">
        <v>2894</v>
      </c>
      <c r="I1053" s="281">
        <v>0</v>
      </c>
      <c r="J1053" s="249">
        <v>1200</v>
      </c>
      <c r="K1053" s="231">
        <f t="shared" si="16"/>
        <v>10</v>
      </c>
      <c r="L1053" s="231"/>
      <c r="M1053" s="299" t="s">
        <v>15</v>
      </c>
      <c r="N1053" s="231"/>
      <c r="O1053" s="231">
        <v>2023</v>
      </c>
      <c r="P1053" s="281"/>
      <c r="Q1053" s="231"/>
      <c r="R1053" s="231"/>
      <c r="S1053" s="231" t="s">
        <v>453</v>
      </c>
      <c r="T1053" s="231"/>
    </row>
    <row r="1054" spans="1:20" ht="14">
      <c r="A1054" s="231">
        <v>1053</v>
      </c>
      <c r="B1054" s="235" t="s">
        <v>52</v>
      </c>
      <c r="C1054" s="231" t="s">
        <v>10</v>
      </c>
      <c r="D1054" s="250" t="s">
        <v>2665</v>
      </c>
      <c r="E1054" s="239"/>
      <c r="F1054" s="231"/>
      <c r="G1054" s="231">
        <v>2</v>
      </c>
      <c r="H1054" s="231" t="s">
        <v>4580</v>
      </c>
      <c r="I1054" s="281">
        <v>0</v>
      </c>
      <c r="J1054" s="249">
        <v>600</v>
      </c>
      <c r="K1054" s="231">
        <f t="shared" si="16"/>
        <v>10</v>
      </c>
      <c r="L1054" s="231"/>
      <c r="M1054" s="299" t="s">
        <v>15</v>
      </c>
      <c r="N1054" s="231"/>
      <c r="O1054" s="231">
        <v>2023</v>
      </c>
      <c r="P1054" s="281"/>
      <c r="Q1054" s="231"/>
      <c r="R1054" s="231"/>
      <c r="S1054" s="231" t="s">
        <v>453</v>
      </c>
      <c r="T1054" s="231"/>
    </row>
    <row r="1055" spans="1:20" ht="14">
      <c r="A1055" s="231">
        <v>1054</v>
      </c>
      <c r="B1055" s="235" t="s">
        <v>52</v>
      </c>
      <c r="C1055" s="231" t="s">
        <v>10</v>
      </c>
      <c r="D1055" s="250" t="s">
        <v>2667</v>
      </c>
      <c r="E1055" s="239"/>
      <c r="F1055" s="231"/>
      <c r="G1055" s="231">
        <v>48</v>
      </c>
      <c r="H1055" s="231" t="s">
        <v>4254</v>
      </c>
      <c r="I1055" s="281">
        <v>0</v>
      </c>
      <c r="J1055" s="249">
        <v>800</v>
      </c>
      <c r="K1055" s="231">
        <f t="shared" si="16"/>
        <v>20</v>
      </c>
      <c r="L1055" s="231"/>
      <c r="M1055" s="231" t="s">
        <v>16</v>
      </c>
      <c r="N1055" s="231"/>
      <c r="O1055" s="231">
        <v>2023</v>
      </c>
      <c r="P1055" s="281"/>
      <c r="Q1055" s="231"/>
      <c r="R1055" s="231"/>
      <c r="S1055" s="231" t="s">
        <v>457</v>
      </c>
      <c r="T1055" s="231"/>
    </row>
    <row r="1056" spans="1:20" ht="14">
      <c r="A1056" s="231">
        <v>1055</v>
      </c>
      <c r="B1056" s="235" t="s">
        <v>52</v>
      </c>
      <c r="C1056" s="231" t="s">
        <v>10</v>
      </c>
      <c r="D1056" s="250" t="s">
        <v>2668</v>
      </c>
      <c r="E1056" s="239"/>
      <c r="F1056" s="231"/>
      <c r="G1056" s="231">
        <v>48</v>
      </c>
      <c r="H1056" s="231" t="s">
        <v>4265</v>
      </c>
      <c r="I1056" s="281">
        <v>0</v>
      </c>
      <c r="J1056" s="249">
        <v>500</v>
      </c>
      <c r="K1056" s="231">
        <f t="shared" si="16"/>
        <v>20</v>
      </c>
      <c r="L1056" s="231"/>
      <c r="M1056" s="231" t="s">
        <v>16</v>
      </c>
      <c r="N1056" s="231"/>
      <c r="O1056" s="231">
        <v>2023</v>
      </c>
      <c r="P1056" s="281"/>
      <c r="Q1056" s="231"/>
      <c r="R1056" s="231"/>
      <c r="S1056" s="231" t="s">
        <v>453</v>
      </c>
      <c r="T1056" s="231"/>
    </row>
    <row r="1057" spans="1:16381" ht="14">
      <c r="A1057" s="231">
        <v>1056</v>
      </c>
      <c r="B1057" s="235" t="s">
        <v>55</v>
      </c>
      <c r="C1057" s="231" t="s">
        <v>10</v>
      </c>
      <c r="D1057" s="250" t="s">
        <v>2670</v>
      </c>
      <c r="E1057" s="239" t="s">
        <v>2666</v>
      </c>
      <c r="F1057" s="231"/>
      <c r="G1057" s="231">
        <v>48</v>
      </c>
      <c r="H1057" s="231" t="s">
        <v>2894</v>
      </c>
      <c r="I1057" s="281">
        <v>0</v>
      </c>
      <c r="J1057" s="249">
        <v>3400</v>
      </c>
      <c r="K1057" s="231">
        <f t="shared" si="16"/>
        <v>20</v>
      </c>
      <c r="L1057" s="231"/>
      <c r="M1057" s="299" t="s">
        <v>15</v>
      </c>
      <c r="N1057" s="231"/>
      <c r="O1057" s="231">
        <v>2023</v>
      </c>
      <c r="P1057" s="281"/>
      <c r="Q1057" s="231"/>
      <c r="R1057" s="231"/>
      <c r="S1057" s="231" t="s">
        <v>457</v>
      </c>
      <c r="T1057" s="231"/>
    </row>
    <row r="1058" spans="1:16381" ht="14">
      <c r="A1058" s="231">
        <v>1057</v>
      </c>
      <c r="B1058" s="235" t="s">
        <v>52</v>
      </c>
      <c r="C1058" s="231" t="s">
        <v>10</v>
      </c>
      <c r="D1058" s="250" t="s">
        <v>2672</v>
      </c>
      <c r="E1058" s="239"/>
      <c r="F1058" s="231"/>
      <c r="G1058" s="231">
        <v>48</v>
      </c>
      <c r="H1058" s="231" t="s">
        <v>2763</v>
      </c>
      <c r="I1058" s="281">
        <v>0</v>
      </c>
      <c r="J1058" s="249">
        <v>60</v>
      </c>
      <c r="K1058" s="231">
        <f t="shared" si="16"/>
        <v>20</v>
      </c>
      <c r="L1058" s="231"/>
      <c r="M1058" s="231" t="s">
        <v>16</v>
      </c>
      <c r="N1058" s="231"/>
      <c r="O1058" s="231">
        <v>2023</v>
      </c>
      <c r="P1058" s="281"/>
      <c r="Q1058" s="231"/>
      <c r="R1058" s="231"/>
      <c r="S1058" s="231" t="s">
        <v>453</v>
      </c>
      <c r="T1058" s="231"/>
    </row>
    <row r="1059" spans="1:16381" ht="14">
      <c r="A1059" s="231">
        <v>1058</v>
      </c>
      <c r="B1059" s="235" t="s">
        <v>51</v>
      </c>
      <c r="C1059" s="231" t="s">
        <v>10</v>
      </c>
      <c r="D1059" s="250" t="s">
        <v>4598</v>
      </c>
      <c r="E1059" s="239" t="s">
        <v>2669</v>
      </c>
      <c r="F1059" s="231"/>
      <c r="G1059" s="231">
        <v>48</v>
      </c>
      <c r="H1059" s="231" t="s">
        <v>4596</v>
      </c>
      <c r="I1059" s="281">
        <v>0</v>
      </c>
      <c r="J1059" s="249">
        <v>800</v>
      </c>
      <c r="K1059" s="231">
        <f t="shared" si="16"/>
        <v>10</v>
      </c>
      <c r="L1059" s="231"/>
      <c r="M1059" s="281" t="s">
        <v>15</v>
      </c>
      <c r="N1059" s="231"/>
      <c r="O1059" s="231">
        <v>2023</v>
      </c>
      <c r="P1059" s="236"/>
      <c r="Q1059" s="231"/>
      <c r="R1059" s="231"/>
      <c r="S1059" s="231" t="s">
        <v>453</v>
      </c>
      <c r="T1059" s="231"/>
    </row>
    <row r="1060" spans="1:16381" ht="14">
      <c r="A1060" s="231">
        <v>1059</v>
      </c>
      <c r="B1060" s="235" t="s">
        <v>52</v>
      </c>
      <c r="C1060" s="231" t="s">
        <v>10</v>
      </c>
      <c r="D1060" s="250" t="s">
        <v>2675</v>
      </c>
      <c r="E1060" s="239" t="s">
        <v>2671</v>
      </c>
      <c r="F1060" s="231"/>
      <c r="G1060" s="231">
        <v>48</v>
      </c>
      <c r="H1060" s="231" t="s">
        <v>2765</v>
      </c>
      <c r="I1060" s="281">
        <v>0</v>
      </c>
      <c r="J1060" s="249">
        <v>300</v>
      </c>
      <c r="K1060" s="231">
        <f t="shared" si="16"/>
        <v>20</v>
      </c>
      <c r="L1060" s="231"/>
      <c r="M1060" s="231" t="s">
        <v>16</v>
      </c>
      <c r="N1060" s="231"/>
      <c r="O1060" s="231">
        <v>2023</v>
      </c>
      <c r="P1060" s="281"/>
      <c r="Q1060" s="231"/>
      <c r="R1060" s="231"/>
      <c r="S1060" s="231" t="s">
        <v>453</v>
      </c>
      <c r="T1060" s="231"/>
    </row>
    <row r="1061" spans="1:16381" ht="14">
      <c r="A1061" s="231">
        <v>1060</v>
      </c>
      <c r="B1061" s="235" t="s">
        <v>52</v>
      </c>
      <c r="C1061" s="231" t="s">
        <v>10</v>
      </c>
      <c r="D1061" s="250" t="s">
        <v>2676</v>
      </c>
      <c r="E1061" s="239" t="s">
        <v>2673</v>
      </c>
      <c r="F1061" s="231"/>
      <c r="G1061" s="231">
        <v>48</v>
      </c>
      <c r="H1061" s="231" t="s">
        <v>4262</v>
      </c>
      <c r="I1061" s="281">
        <v>0</v>
      </c>
      <c r="J1061" s="249">
        <v>400</v>
      </c>
      <c r="K1061" s="231">
        <f t="shared" si="16"/>
        <v>20</v>
      </c>
      <c r="L1061" s="231"/>
      <c r="M1061" s="231" t="s">
        <v>16</v>
      </c>
      <c r="N1061" s="231"/>
      <c r="O1061" s="231">
        <v>2023</v>
      </c>
      <c r="P1061" s="281"/>
      <c r="Q1061" s="231"/>
      <c r="R1061" s="231"/>
      <c r="S1061" s="231" t="s">
        <v>453</v>
      </c>
      <c r="T1061" s="231"/>
    </row>
    <row r="1062" spans="1:16381" s="147" customFormat="1" ht="14">
      <c r="A1062" s="231">
        <v>1061</v>
      </c>
      <c r="B1062" s="235" t="s">
        <v>51</v>
      </c>
      <c r="C1062" s="231" t="s">
        <v>10</v>
      </c>
      <c r="D1062" s="250" t="s">
        <v>2677</v>
      </c>
      <c r="E1062" s="231" t="s">
        <v>2674</v>
      </c>
      <c r="F1062" s="281"/>
      <c r="G1062" s="249">
        <v>48</v>
      </c>
      <c r="H1062" s="231" t="s">
        <v>148</v>
      </c>
      <c r="I1062" s="281">
        <v>0</v>
      </c>
      <c r="J1062" s="249">
        <v>500</v>
      </c>
      <c r="K1062" s="231">
        <f t="shared" si="16"/>
        <v>20</v>
      </c>
      <c r="L1062" s="231"/>
      <c r="M1062" s="231" t="s">
        <v>16</v>
      </c>
      <c r="N1062" s="231"/>
      <c r="O1062" s="231">
        <v>2023</v>
      </c>
      <c r="P1062" s="281"/>
      <c r="Q1062" s="236"/>
      <c r="R1062" s="90"/>
      <c r="S1062" s="90" t="s">
        <v>453</v>
      </c>
      <c r="T1062" s="90"/>
      <c r="U1062" s="90"/>
      <c r="V1062" s="90"/>
      <c r="W1062" s="90"/>
      <c r="X1062" s="90"/>
      <c r="Y1062" s="90"/>
      <c r="Z1062" s="90"/>
      <c r="AA1062" s="90"/>
      <c r="AB1062" s="90"/>
      <c r="AC1062" s="90"/>
      <c r="AD1062" s="90"/>
      <c r="AE1062" s="90"/>
      <c r="AF1062" s="90"/>
      <c r="AG1062" s="90"/>
      <c r="AH1062" s="90"/>
      <c r="AI1062" s="90"/>
      <c r="AJ1062" s="90"/>
      <c r="AK1062" s="90"/>
      <c r="AL1062" s="90"/>
      <c r="AM1062" s="90"/>
      <c r="AN1062" s="90"/>
      <c r="AO1062" s="90"/>
      <c r="AP1062" s="90"/>
      <c r="AQ1062" s="90"/>
      <c r="AR1062" s="90"/>
      <c r="AS1062" s="90"/>
      <c r="AT1062" s="90"/>
      <c r="AU1062" s="90"/>
      <c r="AV1062" s="90"/>
      <c r="AW1062" s="90"/>
      <c r="AX1062" s="90"/>
      <c r="AY1062" s="90"/>
      <c r="AZ1062" s="90"/>
      <c r="BA1062" s="90"/>
      <c r="BB1062" s="90"/>
      <c r="BC1062" s="90"/>
      <c r="BD1062" s="90"/>
      <c r="BE1062" s="90"/>
      <c r="BF1062" s="90"/>
      <c r="BG1062" s="90"/>
      <c r="BH1062" s="90"/>
      <c r="BI1062" s="90"/>
      <c r="BJ1062" s="90"/>
      <c r="BK1062" s="90"/>
      <c r="BL1062" s="90"/>
      <c r="BM1062" s="90"/>
      <c r="BN1062" s="90"/>
      <c r="BO1062" s="90"/>
      <c r="BP1062" s="90"/>
      <c r="BQ1062" s="90"/>
      <c r="BR1062" s="90"/>
      <c r="BS1062" s="90"/>
      <c r="BT1062" s="90"/>
      <c r="BU1062" s="90"/>
      <c r="BV1062" s="90"/>
      <c r="BW1062" s="90"/>
      <c r="BX1062" s="90"/>
      <c r="BY1062" s="90"/>
      <c r="BZ1062" s="90"/>
      <c r="CA1062" s="90"/>
      <c r="CB1062" s="90"/>
      <c r="CC1062" s="90"/>
      <c r="CD1062" s="90"/>
      <c r="CE1062" s="90"/>
      <c r="CF1062" s="90"/>
      <c r="CG1062" s="90"/>
      <c r="CH1062" s="90"/>
      <c r="CI1062" s="90"/>
      <c r="CJ1062" s="90"/>
      <c r="CK1062" s="90"/>
      <c r="CL1062" s="90"/>
      <c r="CM1062" s="90"/>
      <c r="CN1062" s="90"/>
      <c r="CO1062" s="90"/>
      <c r="CP1062" s="90"/>
      <c r="CQ1062" s="90"/>
      <c r="CR1062" s="90"/>
      <c r="CS1062" s="90"/>
      <c r="CT1062" s="90"/>
      <c r="CU1062" s="90"/>
      <c r="CV1062" s="90"/>
      <c r="CW1062" s="90"/>
      <c r="CX1062" s="90"/>
      <c r="CY1062" s="90"/>
      <c r="CZ1062" s="90"/>
      <c r="DA1062" s="90"/>
      <c r="DB1062" s="90"/>
      <c r="DC1062" s="90"/>
      <c r="DD1062" s="90"/>
      <c r="DE1062" s="90"/>
      <c r="DF1062" s="90"/>
      <c r="DG1062" s="90"/>
      <c r="DH1062" s="90"/>
      <c r="DI1062" s="90"/>
      <c r="DJ1062" s="90"/>
      <c r="DK1062" s="90"/>
      <c r="DL1062" s="90"/>
      <c r="DM1062" s="90"/>
      <c r="DN1062" s="90"/>
      <c r="DO1062" s="90"/>
      <c r="DP1062" s="90"/>
      <c r="DQ1062" s="90"/>
      <c r="DR1062" s="90"/>
      <c r="DS1062" s="90"/>
      <c r="DT1062" s="90"/>
      <c r="DU1062" s="90"/>
      <c r="DV1062" s="90"/>
      <c r="DW1062" s="90"/>
      <c r="DX1062" s="90"/>
      <c r="DY1062" s="90"/>
      <c r="DZ1062" s="90"/>
      <c r="EA1062" s="90"/>
      <c r="EB1062" s="90"/>
      <c r="EC1062" s="90"/>
      <c r="ED1062" s="90"/>
      <c r="EE1062" s="90"/>
      <c r="EF1062" s="90"/>
      <c r="EG1062" s="90"/>
      <c r="EH1062" s="90"/>
      <c r="EI1062" s="90"/>
      <c r="EJ1062" s="90"/>
      <c r="EK1062" s="90"/>
      <c r="EL1062" s="90"/>
      <c r="EM1062" s="90"/>
      <c r="EN1062" s="90"/>
      <c r="EO1062" s="90"/>
      <c r="EP1062" s="90"/>
      <c r="EQ1062" s="90"/>
      <c r="ER1062" s="90"/>
      <c r="ES1062" s="90"/>
      <c r="ET1062" s="90"/>
      <c r="EU1062" s="90"/>
      <c r="EV1062" s="90"/>
      <c r="EW1062" s="90"/>
      <c r="EX1062" s="90"/>
      <c r="EY1062" s="90"/>
      <c r="EZ1062" s="90"/>
      <c r="FA1062" s="90"/>
      <c r="FB1062" s="90"/>
      <c r="FC1062" s="90"/>
      <c r="FD1062" s="90"/>
      <c r="FE1062" s="90"/>
      <c r="FF1062" s="90"/>
      <c r="FG1062" s="90"/>
      <c r="FH1062" s="90"/>
      <c r="FI1062" s="90"/>
      <c r="FJ1062" s="90"/>
      <c r="FK1062" s="90"/>
      <c r="FL1062" s="90"/>
      <c r="FM1062" s="90"/>
      <c r="FN1062" s="90"/>
      <c r="FO1062" s="90"/>
      <c r="FP1062" s="90"/>
      <c r="FQ1062" s="90"/>
      <c r="FR1062" s="90"/>
      <c r="FS1062" s="90"/>
      <c r="FT1062" s="90"/>
      <c r="FU1062" s="90"/>
      <c r="FV1062" s="90"/>
      <c r="FW1062" s="90"/>
      <c r="FX1062" s="90"/>
      <c r="FY1062" s="90"/>
      <c r="FZ1062" s="90"/>
      <c r="GA1062" s="90"/>
      <c r="GB1062" s="90"/>
      <c r="GC1062" s="90"/>
      <c r="GD1062" s="90"/>
      <c r="GE1062" s="90"/>
      <c r="GF1062" s="90"/>
      <c r="GG1062" s="90"/>
      <c r="GH1062" s="90"/>
      <c r="GI1062" s="90"/>
      <c r="GJ1062" s="90"/>
      <c r="GK1062" s="90"/>
      <c r="GL1062" s="90"/>
      <c r="GM1062" s="90"/>
      <c r="GN1062" s="90"/>
      <c r="GO1062" s="90"/>
      <c r="GP1062" s="90"/>
      <c r="GQ1062" s="90"/>
      <c r="GR1062" s="90"/>
      <c r="GS1062" s="90"/>
      <c r="GT1062" s="90"/>
      <c r="GU1062" s="90"/>
      <c r="GV1062" s="90"/>
      <c r="GW1062" s="90"/>
      <c r="GX1062" s="90"/>
      <c r="GY1062" s="90"/>
      <c r="GZ1062" s="90"/>
      <c r="HA1062" s="90"/>
      <c r="HB1062" s="90"/>
      <c r="HC1062" s="90"/>
      <c r="HD1062" s="90"/>
      <c r="HE1062" s="90"/>
      <c r="HF1062" s="90"/>
      <c r="HG1062" s="90"/>
      <c r="HH1062" s="90"/>
      <c r="HI1062" s="90"/>
      <c r="HJ1062" s="90"/>
      <c r="HK1062" s="90"/>
      <c r="HL1062" s="90"/>
      <c r="HM1062" s="90"/>
      <c r="HN1062" s="90"/>
      <c r="HO1062" s="90"/>
      <c r="HP1062" s="90"/>
      <c r="HQ1062" s="90"/>
      <c r="HR1062" s="90"/>
      <c r="HS1062" s="90"/>
      <c r="HT1062" s="90"/>
      <c r="HU1062" s="90"/>
      <c r="HV1062" s="90"/>
      <c r="HW1062" s="90"/>
      <c r="HX1062" s="90"/>
      <c r="HY1062" s="90"/>
      <c r="HZ1062" s="90"/>
      <c r="IA1062" s="90"/>
      <c r="IB1062" s="90"/>
      <c r="IC1062" s="90"/>
      <c r="ID1062" s="90"/>
      <c r="IE1062" s="90"/>
      <c r="IF1062" s="90"/>
      <c r="IG1062" s="90"/>
      <c r="IH1062" s="90"/>
      <c r="II1062" s="90"/>
      <c r="IJ1062" s="90"/>
      <c r="IK1062" s="90"/>
      <c r="IL1062" s="90"/>
      <c r="IM1062" s="90"/>
      <c r="IN1062" s="90"/>
      <c r="IO1062" s="90"/>
      <c r="IP1062" s="90"/>
      <c r="IQ1062" s="90"/>
      <c r="IR1062" s="90"/>
      <c r="IS1062" s="90"/>
      <c r="IT1062" s="90"/>
      <c r="IU1062" s="90"/>
      <c r="IV1062" s="90"/>
      <c r="IW1062" s="90"/>
      <c r="IX1062" s="90"/>
      <c r="IY1062" s="90"/>
      <c r="IZ1062" s="90"/>
      <c r="JA1062" s="90"/>
      <c r="JB1062" s="90"/>
      <c r="JC1062" s="90"/>
      <c r="JD1062" s="90"/>
      <c r="JE1062" s="90"/>
      <c r="JF1062" s="90"/>
      <c r="JG1062" s="90"/>
      <c r="JH1062" s="90"/>
      <c r="JI1062" s="90"/>
      <c r="JJ1062" s="90"/>
      <c r="JK1062" s="90"/>
      <c r="JL1062" s="90"/>
      <c r="JM1062" s="90"/>
      <c r="JN1062" s="90"/>
      <c r="JO1062" s="90"/>
      <c r="JP1062" s="90"/>
      <c r="JQ1062" s="90"/>
      <c r="JR1062" s="90"/>
      <c r="JS1062" s="90"/>
      <c r="JT1062" s="90"/>
      <c r="JU1062" s="90"/>
      <c r="JV1062" s="90"/>
      <c r="JW1062" s="90"/>
      <c r="JX1062" s="90"/>
      <c r="JY1062" s="90"/>
      <c r="JZ1062" s="90"/>
      <c r="KA1062" s="90"/>
      <c r="KB1062" s="90"/>
      <c r="KC1062" s="90"/>
      <c r="KD1062" s="90"/>
      <c r="KE1062" s="90"/>
      <c r="KF1062" s="90"/>
      <c r="KG1062" s="90"/>
      <c r="KH1062" s="90"/>
      <c r="KI1062" s="90"/>
      <c r="KJ1062" s="90"/>
      <c r="KK1062" s="90"/>
      <c r="KL1062" s="90"/>
      <c r="KM1062" s="90"/>
      <c r="KN1062" s="90"/>
      <c r="KO1062" s="90"/>
      <c r="KP1062" s="90"/>
      <c r="KQ1062" s="90"/>
      <c r="KR1062" s="90"/>
      <c r="KS1062" s="90"/>
      <c r="KT1062" s="90"/>
      <c r="KU1062" s="90"/>
      <c r="KV1062" s="90"/>
      <c r="KW1062" s="90"/>
      <c r="KX1062" s="90"/>
      <c r="KY1062" s="90"/>
      <c r="KZ1062" s="90"/>
      <c r="LA1062" s="90"/>
      <c r="LB1062" s="90"/>
      <c r="LC1062" s="90"/>
      <c r="LD1062" s="90"/>
      <c r="LE1062" s="90"/>
      <c r="LF1062" s="90"/>
      <c r="LG1062" s="90"/>
      <c r="LH1062" s="90"/>
      <c r="LI1062" s="90"/>
      <c r="LJ1062" s="90"/>
      <c r="LK1062" s="90"/>
      <c r="LL1062" s="90"/>
      <c r="LM1062" s="90"/>
      <c r="LN1062" s="90"/>
      <c r="LO1062" s="90"/>
      <c r="LP1062" s="90"/>
      <c r="LQ1062" s="90"/>
      <c r="LR1062" s="90"/>
      <c r="LS1062" s="90"/>
      <c r="LT1062" s="90"/>
      <c r="LU1062" s="90"/>
      <c r="LV1062" s="90"/>
      <c r="LW1062" s="90"/>
      <c r="LX1062" s="90"/>
      <c r="LY1062" s="90"/>
      <c r="LZ1062" s="90"/>
      <c r="MA1062" s="90"/>
      <c r="MB1062" s="90"/>
      <c r="MC1062" s="90"/>
      <c r="MD1062" s="90"/>
      <c r="ME1062" s="90"/>
      <c r="MF1062" s="90"/>
      <c r="MG1062" s="90"/>
      <c r="MH1062" s="90"/>
      <c r="MI1062" s="90"/>
      <c r="MJ1062" s="90"/>
      <c r="MK1062" s="90"/>
      <c r="ML1062" s="90"/>
      <c r="MM1062" s="90"/>
      <c r="MN1062" s="90"/>
      <c r="MO1062" s="90"/>
      <c r="MP1062" s="90"/>
      <c r="MQ1062" s="90"/>
      <c r="MR1062" s="90"/>
      <c r="MS1062" s="90"/>
      <c r="MT1062" s="90"/>
      <c r="MU1062" s="90"/>
      <c r="MV1062" s="90"/>
      <c r="MW1062" s="90"/>
      <c r="MX1062" s="90"/>
      <c r="MY1062" s="90"/>
      <c r="MZ1062" s="90"/>
      <c r="NA1062" s="90"/>
      <c r="NB1062" s="90"/>
      <c r="NC1062" s="90"/>
      <c r="ND1062" s="90"/>
      <c r="NE1062" s="90"/>
      <c r="NF1062" s="90"/>
      <c r="NG1062" s="90"/>
      <c r="NH1062" s="90"/>
      <c r="NI1062" s="90"/>
      <c r="NJ1062" s="90"/>
      <c r="NK1062" s="90"/>
      <c r="NL1062" s="90"/>
      <c r="NM1062" s="90"/>
      <c r="NN1062" s="90"/>
      <c r="NO1062" s="90"/>
      <c r="NP1062" s="90"/>
      <c r="NQ1062" s="90"/>
      <c r="NR1062" s="90"/>
      <c r="NS1062" s="90"/>
      <c r="NT1062" s="90"/>
      <c r="NU1062" s="90"/>
      <c r="NV1062" s="90"/>
      <c r="NW1062" s="90"/>
      <c r="NX1062" s="90"/>
      <c r="NY1062" s="90"/>
      <c r="NZ1062" s="90"/>
      <c r="OA1062" s="90"/>
      <c r="OB1062" s="90"/>
      <c r="OC1062" s="90"/>
      <c r="OD1062" s="90"/>
      <c r="OE1062" s="90"/>
      <c r="OF1062" s="90"/>
      <c r="OG1062" s="90"/>
      <c r="OH1062" s="90"/>
      <c r="OI1062" s="90"/>
      <c r="OJ1062" s="90"/>
      <c r="OK1062" s="90"/>
      <c r="OL1062" s="90"/>
      <c r="OM1062" s="90"/>
      <c r="ON1062" s="90"/>
      <c r="OO1062" s="90"/>
      <c r="OP1062" s="90"/>
      <c r="OQ1062" s="90"/>
      <c r="OR1062" s="90"/>
      <c r="OS1062" s="90"/>
      <c r="OT1062" s="90"/>
      <c r="OU1062" s="90"/>
      <c r="OV1062" s="90"/>
      <c r="OW1062" s="90"/>
      <c r="OX1062" s="90"/>
      <c r="OY1062" s="90"/>
      <c r="OZ1062" s="90"/>
      <c r="PA1062" s="90"/>
      <c r="PB1062" s="90"/>
      <c r="PC1062" s="90"/>
      <c r="PD1062" s="90"/>
      <c r="PE1062" s="90"/>
      <c r="PF1062" s="90"/>
      <c r="PG1062" s="90"/>
      <c r="PH1062" s="90"/>
      <c r="PI1062" s="90"/>
      <c r="PJ1062" s="90"/>
      <c r="PK1062" s="90"/>
      <c r="PL1062" s="90"/>
      <c r="PM1062" s="90"/>
      <c r="PN1062" s="90"/>
      <c r="PO1062" s="90"/>
      <c r="PP1062" s="90"/>
      <c r="PQ1062" s="90"/>
      <c r="PR1062" s="90"/>
      <c r="PS1062" s="90"/>
      <c r="PT1062" s="90"/>
      <c r="PU1062" s="90"/>
      <c r="PV1062" s="90"/>
      <c r="PW1062" s="90"/>
      <c r="PX1062" s="90"/>
      <c r="PY1062" s="90"/>
      <c r="PZ1062" s="90"/>
      <c r="QA1062" s="90"/>
      <c r="QB1062" s="90"/>
      <c r="QC1062" s="90"/>
      <c r="QD1062" s="90"/>
      <c r="QE1062" s="90"/>
      <c r="QF1062" s="90"/>
      <c r="QG1062" s="90"/>
      <c r="QH1062" s="90"/>
      <c r="QI1062" s="90"/>
      <c r="QJ1062" s="90"/>
      <c r="QK1062" s="90"/>
      <c r="QL1062" s="90"/>
      <c r="QM1062" s="90"/>
      <c r="QN1062" s="90"/>
      <c r="QO1062" s="90"/>
      <c r="QP1062" s="90"/>
      <c r="QQ1062" s="90"/>
      <c r="QR1062" s="90"/>
      <c r="QS1062" s="90"/>
      <c r="QT1062" s="90"/>
      <c r="QU1062" s="90"/>
      <c r="QV1062" s="90"/>
      <c r="QW1062" s="90"/>
      <c r="QX1062" s="90"/>
      <c r="QY1062" s="90"/>
      <c r="QZ1062" s="90"/>
      <c r="RA1062" s="90"/>
      <c r="RB1062" s="90"/>
      <c r="RC1062" s="90"/>
      <c r="RD1062" s="90"/>
      <c r="RE1062" s="90"/>
      <c r="RF1062" s="90"/>
      <c r="RG1062" s="90"/>
      <c r="RH1062" s="90"/>
      <c r="RI1062" s="90"/>
      <c r="RJ1062" s="90"/>
      <c r="RK1062" s="90"/>
      <c r="RL1062" s="90"/>
      <c r="RM1062" s="90"/>
      <c r="RN1062" s="90"/>
      <c r="RO1062" s="90"/>
      <c r="RP1062" s="90"/>
      <c r="RQ1062" s="90"/>
      <c r="RR1062" s="90"/>
      <c r="RS1062" s="90"/>
      <c r="RT1062" s="90"/>
      <c r="RU1062" s="90"/>
      <c r="RV1062" s="90"/>
      <c r="RW1062" s="90"/>
      <c r="RX1062" s="90"/>
      <c r="RY1062" s="90"/>
      <c r="RZ1062" s="90"/>
      <c r="SA1062" s="90"/>
      <c r="SB1062" s="90"/>
      <c r="SC1062" s="90"/>
      <c r="SD1062" s="90"/>
      <c r="SE1062" s="90"/>
      <c r="SF1062" s="90"/>
      <c r="SG1062" s="90"/>
      <c r="SH1062" s="90"/>
      <c r="SI1062" s="90"/>
      <c r="SJ1062" s="90"/>
      <c r="SK1062" s="90"/>
      <c r="SL1062" s="90"/>
      <c r="SM1062" s="90"/>
      <c r="SN1062" s="90"/>
      <c r="SO1062" s="90"/>
      <c r="SP1062" s="90"/>
      <c r="SQ1062" s="90"/>
      <c r="SR1062" s="90"/>
      <c r="SS1062" s="90"/>
      <c r="ST1062" s="90"/>
      <c r="SU1062" s="90"/>
      <c r="SV1062" s="90"/>
      <c r="SW1062" s="90"/>
      <c r="SX1062" s="90"/>
      <c r="SY1062" s="90"/>
      <c r="SZ1062" s="90"/>
      <c r="TA1062" s="90"/>
      <c r="TB1062" s="90"/>
      <c r="TC1062" s="90"/>
      <c r="TD1062" s="90"/>
      <c r="TE1062" s="90"/>
      <c r="TF1062" s="90"/>
      <c r="TG1062" s="90"/>
      <c r="TH1062" s="90"/>
      <c r="TI1062" s="90"/>
      <c r="TJ1062" s="90"/>
      <c r="TK1062" s="90"/>
      <c r="TL1062" s="90"/>
      <c r="TM1062" s="90"/>
      <c r="TN1062" s="90"/>
      <c r="TO1062" s="90"/>
      <c r="TP1062" s="90"/>
      <c r="TQ1062" s="90"/>
      <c r="TR1062" s="90"/>
      <c r="TS1062" s="90"/>
      <c r="TT1062" s="90"/>
      <c r="TU1062" s="90"/>
      <c r="TV1062" s="90"/>
      <c r="TW1062" s="90"/>
      <c r="TX1062" s="90"/>
      <c r="TY1062" s="90"/>
      <c r="TZ1062" s="90"/>
      <c r="UA1062" s="90"/>
      <c r="UB1062" s="90"/>
      <c r="UC1062" s="90"/>
      <c r="UD1062" s="90"/>
      <c r="UE1062" s="90"/>
      <c r="UF1062" s="90"/>
      <c r="UG1062" s="90"/>
      <c r="UH1062" s="90"/>
      <c r="UI1062" s="90"/>
      <c r="UJ1062" s="90"/>
      <c r="UK1062" s="90"/>
      <c r="UL1062" s="90"/>
      <c r="UM1062" s="90"/>
      <c r="UN1062" s="90"/>
      <c r="UO1062" s="90"/>
      <c r="UP1062" s="90"/>
      <c r="UQ1062" s="90"/>
      <c r="UR1062" s="90"/>
      <c r="US1062" s="90"/>
      <c r="UT1062" s="90"/>
      <c r="UU1062" s="90"/>
      <c r="UV1062" s="90"/>
      <c r="UW1062" s="90"/>
      <c r="UX1062" s="90"/>
      <c r="UY1062" s="90"/>
      <c r="UZ1062" s="90"/>
      <c r="VA1062" s="90"/>
      <c r="VB1062" s="90"/>
      <c r="VC1062" s="90"/>
      <c r="VD1062" s="90"/>
      <c r="VE1062" s="90"/>
      <c r="VF1062" s="90"/>
      <c r="VG1062" s="90"/>
      <c r="VH1062" s="90"/>
      <c r="VI1062" s="90"/>
      <c r="VJ1062" s="90"/>
      <c r="VK1062" s="90"/>
      <c r="VL1062" s="90"/>
      <c r="VM1062" s="90"/>
      <c r="VN1062" s="90"/>
      <c r="VO1062" s="90"/>
      <c r="VP1062" s="90"/>
      <c r="VQ1062" s="90"/>
      <c r="VR1062" s="90"/>
      <c r="VS1062" s="90"/>
      <c r="VT1062" s="90"/>
      <c r="VU1062" s="90"/>
      <c r="VV1062" s="90"/>
      <c r="VW1062" s="90"/>
      <c r="VX1062" s="90"/>
      <c r="VY1062" s="90"/>
      <c r="VZ1062" s="90"/>
      <c r="WA1062" s="90"/>
      <c r="WB1062" s="90"/>
      <c r="WC1062" s="90"/>
      <c r="WD1062" s="90"/>
      <c r="WE1062" s="90"/>
      <c r="WF1062" s="90"/>
      <c r="WG1062" s="90"/>
      <c r="WH1062" s="90"/>
      <c r="WI1062" s="90"/>
      <c r="WJ1062" s="90"/>
      <c r="WK1062" s="90"/>
      <c r="WL1062" s="90"/>
      <c r="WM1062" s="90"/>
      <c r="WN1062" s="90"/>
      <c r="WO1062" s="90"/>
      <c r="WP1062" s="90"/>
      <c r="WQ1062" s="90"/>
      <c r="WR1062" s="90"/>
      <c r="WS1062" s="90"/>
      <c r="WT1062" s="90"/>
      <c r="WU1062" s="90"/>
      <c r="WV1062" s="90"/>
      <c r="WW1062" s="90"/>
      <c r="WX1062" s="90"/>
      <c r="WY1062" s="90"/>
      <c r="WZ1062" s="90"/>
      <c r="XA1062" s="90"/>
      <c r="XB1062" s="90"/>
      <c r="XC1062" s="90"/>
      <c r="XD1062" s="90"/>
      <c r="XE1062" s="90"/>
      <c r="XF1062" s="90"/>
      <c r="XG1062" s="90"/>
      <c r="XH1062" s="90"/>
      <c r="XI1062" s="90"/>
      <c r="XJ1062" s="90"/>
      <c r="XK1062" s="90"/>
      <c r="XL1062" s="90"/>
      <c r="XM1062" s="90"/>
      <c r="XN1062" s="90"/>
      <c r="XO1062" s="90"/>
      <c r="XP1062" s="90"/>
      <c r="XQ1062" s="90"/>
      <c r="XR1062" s="90"/>
      <c r="XS1062" s="90"/>
      <c r="XT1062" s="90"/>
      <c r="XU1062" s="90"/>
      <c r="XV1062" s="90"/>
      <c r="XW1062" s="90"/>
      <c r="XX1062" s="90"/>
      <c r="XY1062" s="90"/>
      <c r="XZ1062" s="90"/>
      <c r="YA1062" s="90"/>
      <c r="YB1062" s="90"/>
      <c r="YC1062" s="90"/>
      <c r="YD1062" s="90"/>
      <c r="YE1062" s="90"/>
      <c r="YF1062" s="90"/>
      <c r="YG1062" s="90"/>
      <c r="YH1062" s="90"/>
      <c r="YI1062" s="90"/>
      <c r="YJ1062" s="90"/>
      <c r="YK1062" s="90"/>
      <c r="YL1062" s="90"/>
      <c r="YM1062" s="90"/>
      <c r="YN1062" s="90"/>
      <c r="YO1062" s="90"/>
      <c r="YP1062" s="90"/>
      <c r="YQ1062" s="90"/>
      <c r="YR1062" s="90"/>
      <c r="YS1062" s="90"/>
      <c r="YT1062" s="90"/>
      <c r="YU1062" s="90"/>
      <c r="YV1062" s="90"/>
      <c r="YW1062" s="90"/>
      <c r="YX1062" s="90"/>
      <c r="YY1062" s="90"/>
      <c r="YZ1062" s="90"/>
      <c r="ZA1062" s="90"/>
      <c r="ZB1062" s="90"/>
      <c r="ZC1062" s="90"/>
      <c r="ZD1062" s="90"/>
      <c r="ZE1062" s="90"/>
      <c r="ZF1062" s="90"/>
      <c r="ZG1062" s="90"/>
      <c r="ZH1062" s="90"/>
      <c r="ZI1062" s="90"/>
      <c r="ZJ1062" s="90"/>
      <c r="ZK1062" s="90"/>
      <c r="ZL1062" s="90"/>
      <c r="ZM1062" s="90"/>
      <c r="ZN1062" s="90"/>
      <c r="ZO1062" s="90"/>
      <c r="ZP1062" s="90"/>
      <c r="ZQ1062" s="90"/>
      <c r="ZR1062" s="90"/>
      <c r="ZS1062" s="90"/>
      <c r="ZT1062" s="90"/>
      <c r="ZU1062" s="90"/>
      <c r="ZV1062" s="90"/>
      <c r="ZW1062" s="90"/>
      <c r="ZX1062" s="90"/>
      <c r="ZY1062" s="90"/>
      <c r="ZZ1062" s="90"/>
      <c r="AAA1062" s="90"/>
      <c r="AAB1062" s="90"/>
      <c r="AAC1062" s="90"/>
      <c r="AAD1062" s="90"/>
      <c r="AAE1062" s="90"/>
      <c r="AAF1062" s="90"/>
      <c r="AAG1062" s="90"/>
      <c r="AAH1062" s="90"/>
      <c r="AAI1062" s="90"/>
      <c r="AAJ1062" s="90"/>
      <c r="AAK1062" s="90"/>
      <c r="AAL1062" s="90"/>
      <c r="AAM1062" s="90"/>
      <c r="AAN1062" s="90"/>
      <c r="AAO1062" s="90"/>
      <c r="AAP1062" s="90"/>
      <c r="AAQ1062" s="90"/>
      <c r="AAR1062" s="90"/>
      <c r="AAS1062" s="90"/>
      <c r="AAT1062" s="90"/>
      <c r="AAU1062" s="90"/>
      <c r="AAV1062" s="90"/>
      <c r="AAW1062" s="90"/>
      <c r="AAX1062" s="90"/>
      <c r="AAY1062" s="90"/>
      <c r="AAZ1062" s="90"/>
      <c r="ABA1062" s="90"/>
      <c r="ABB1062" s="90"/>
      <c r="ABC1062" s="90"/>
      <c r="ABD1062" s="90"/>
      <c r="ABE1062" s="90"/>
      <c r="ABF1062" s="90"/>
      <c r="ABG1062" s="90"/>
      <c r="ABH1062" s="90"/>
      <c r="ABI1062" s="90"/>
      <c r="ABJ1062" s="90"/>
      <c r="ABK1062" s="90"/>
      <c r="ABL1062" s="90"/>
      <c r="ABM1062" s="90"/>
      <c r="ABN1062" s="90"/>
      <c r="ABO1062" s="90"/>
      <c r="ABP1062" s="90"/>
      <c r="ABQ1062" s="90"/>
      <c r="ABR1062" s="90"/>
      <c r="ABS1062" s="90"/>
      <c r="ABT1062" s="90"/>
      <c r="ABU1062" s="90"/>
      <c r="ABV1062" s="90"/>
      <c r="ABW1062" s="90"/>
      <c r="ABX1062" s="90"/>
      <c r="ABY1062" s="90"/>
      <c r="ABZ1062" s="90"/>
      <c r="ACA1062" s="90"/>
      <c r="ACB1062" s="90"/>
      <c r="ACC1062" s="90"/>
      <c r="ACD1062" s="90"/>
      <c r="ACE1062" s="90"/>
      <c r="ACF1062" s="90"/>
      <c r="ACG1062" s="90"/>
      <c r="ACH1062" s="90"/>
      <c r="ACI1062" s="90"/>
      <c r="ACJ1062" s="90"/>
      <c r="ACK1062" s="90"/>
      <c r="ACL1062" s="90"/>
      <c r="ACM1062" s="90"/>
      <c r="ACN1062" s="90"/>
      <c r="ACO1062" s="90"/>
      <c r="ACP1062" s="90"/>
      <c r="ACQ1062" s="90"/>
      <c r="ACR1062" s="90"/>
      <c r="ACS1062" s="90"/>
      <c r="ACT1062" s="90"/>
      <c r="ACU1062" s="90"/>
      <c r="ACV1062" s="90"/>
      <c r="ACW1062" s="90"/>
      <c r="ACX1062" s="90"/>
      <c r="ACY1062" s="90"/>
      <c r="ACZ1062" s="90"/>
      <c r="ADA1062" s="90"/>
      <c r="ADB1062" s="90"/>
      <c r="ADC1062" s="90"/>
      <c r="ADD1062" s="90"/>
      <c r="ADE1062" s="90"/>
      <c r="ADF1062" s="90"/>
      <c r="ADG1062" s="90"/>
      <c r="ADH1062" s="90"/>
      <c r="ADI1062" s="90"/>
      <c r="ADJ1062" s="90"/>
      <c r="ADK1062" s="90"/>
      <c r="ADL1062" s="90"/>
      <c r="ADM1062" s="90"/>
      <c r="ADN1062" s="90"/>
      <c r="ADO1062" s="90"/>
      <c r="ADP1062" s="90"/>
      <c r="ADQ1062" s="90"/>
      <c r="ADR1062" s="90"/>
      <c r="ADS1062" s="90"/>
      <c r="ADT1062" s="90"/>
      <c r="ADU1062" s="90"/>
      <c r="ADV1062" s="90"/>
      <c r="ADW1062" s="90"/>
      <c r="ADX1062" s="90"/>
      <c r="ADY1062" s="90"/>
      <c r="ADZ1062" s="90"/>
      <c r="AEA1062" s="90"/>
      <c r="AEB1062" s="90"/>
      <c r="AEC1062" s="90"/>
      <c r="AED1062" s="90"/>
      <c r="AEE1062" s="90"/>
      <c r="AEF1062" s="90"/>
      <c r="AEG1062" s="90"/>
      <c r="AEH1062" s="90"/>
      <c r="AEI1062" s="90"/>
      <c r="AEJ1062" s="90"/>
      <c r="AEK1062" s="90"/>
      <c r="AEL1062" s="90"/>
      <c r="AEM1062" s="90"/>
      <c r="AEN1062" s="90"/>
      <c r="AEO1062" s="90"/>
      <c r="AEP1062" s="90"/>
      <c r="AEQ1062" s="90"/>
      <c r="AER1062" s="90"/>
      <c r="AES1062" s="90"/>
      <c r="AET1062" s="90"/>
      <c r="AEU1062" s="90"/>
      <c r="AEV1062" s="90"/>
      <c r="AEW1062" s="90"/>
      <c r="AEX1062" s="90"/>
      <c r="AEY1062" s="90"/>
      <c r="AEZ1062" s="90"/>
      <c r="AFA1062" s="90"/>
      <c r="AFB1062" s="90"/>
      <c r="AFC1062" s="90"/>
      <c r="AFD1062" s="90"/>
      <c r="AFE1062" s="90"/>
      <c r="AFF1062" s="90"/>
      <c r="AFG1062" s="90"/>
      <c r="AFH1062" s="90"/>
      <c r="AFI1062" s="90"/>
      <c r="AFJ1062" s="90"/>
      <c r="AFK1062" s="90"/>
      <c r="AFL1062" s="90"/>
      <c r="AFM1062" s="90"/>
      <c r="AFN1062" s="90"/>
      <c r="AFO1062" s="90"/>
      <c r="AFP1062" s="90"/>
      <c r="AFQ1062" s="90"/>
      <c r="AFR1062" s="90"/>
      <c r="AFS1062" s="90"/>
      <c r="AFT1062" s="90"/>
      <c r="AFU1062" s="90"/>
      <c r="AFV1062" s="90"/>
      <c r="AFW1062" s="90"/>
      <c r="AFX1062" s="90"/>
      <c r="AFY1062" s="90"/>
      <c r="AFZ1062" s="90"/>
      <c r="AGA1062" s="90"/>
      <c r="AGB1062" s="90"/>
      <c r="AGC1062" s="90"/>
      <c r="AGD1062" s="90"/>
      <c r="AGE1062" s="90"/>
      <c r="AGF1062" s="90"/>
      <c r="AGG1062" s="90"/>
      <c r="AGH1062" s="90"/>
      <c r="AGI1062" s="90"/>
      <c r="AGJ1062" s="90"/>
      <c r="AGK1062" s="90"/>
      <c r="AGL1062" s="90"/>
      <c r="AGM1062" s="90"/>
      <c r="AGN1062" s="90"/>
      <c r="AGO1062" s="90"/>
      <c r="AGP1062" s="90"/>
      <c r="AGQ1062" s="90"/>
      <c r="AGR1062" s="90"/>
      <c r="AGS1062" s="90"/>
      <c r="AGT1062" s="90"/>
      <c r="AGU1062" s="90"/>
      <c r="AGV1062" s="90"/>
      <c r="AGW1062" s="90"/>
      <c r="AGX1062" s="90"/>
      <c r="AGY1062" s="90"/>
      <c r="AGZ1062" s="90"/>
      <c r="AHA1062" s="90"/>
      <c r="AHB1062" s="90"/>
      <c r="AHC1062" s="90"/>
      <c r="AHD1062" s="90"/>
      <c r="AHE1062" s="90"/>
      <c r="AHF1062" s="90"/>
      <c r="AHG1062" s="90"/>
      <c r="AHH1062" s="90"/>
      <c r="AHI1062" s="90"/>
      <c r="AHJ1062" s="90"/>
      <c r="AHK1062" s="90"/>
      <c r="AHL1062" s="90"/>
      <c r="AHM1062" s="90"/>
      <c r="AHN1062" s="90"/>
      <c r="AHO1062" s="90"/>
      <c r="AHP1062" s="90"/>
      <c r="AHQ1062" s="90"/>
      <c r="AHR1062" s="90"/>
      <c r="AHS1062" s="90"/>
      <c r="AHT1062" s="90"/>
      <c r="AHU1062" s="90"/>
      <c r="AHV1062" s="90"/>
      <c r="AHW1062" s="90"/>
      <c r="AHX1062" s="90"/>
      <c r="AHY1062" s="90"/>
      <c r="AHZ1062" s="90"/>
      <c r="AIA1062" s="90"/>
      <c r="AIB1062" s="90"/>
      <c r="AIC1062" s="90"/>
      <c r="AID1062" s="90"/>
      <c r="AIE1062" s="90"/>
      <c r="AIF1062" s="90"/>
      <c r="AIG1062" s="90"/>
      <c r="AIH1062" s="90"/>
      <c r="AII1062" s="90"/>
      <c r="AIJ1062" s="90"/>
      <c r="AIK1062" s="90"/>
      <c r="AIL1062" s="90"/>
      <c r="AIM1062" s="90"/>
      <c r="AIN1062" s="90"/>
      <c r="AIO1062" s="90"/>
      <c r="AIP1062" s="90"/>
      <c r="AIQ1062" s="90"/>
      <c r="AIR1062" s="90"/>
      <c r="AIS1062" s="90"/>
      <c r="AIT1062" s="90"/>
      <c r="AIU1062" s="90"/>
      <c r="AIV1062" s="90"/>
      <c r="AIW1062" s="90"/>
      <c r="AIX1062" s="90"/>
      <c r="AIY1062" s="90"/>
      <c r="AIZ1062" s="90"/>
      <c r="AJA1062" s="90"/>
      <c r="AJB1062" s="90"/>
      <c r="AJC1062" s="90"/>
      <c r="AJD1062" s="90"/>
      <c r="AJE1062" s="90"/>
      <c r="AJF1062" s="90"/>
      <c r="AJG1062" s="90"/>
      <c r="AJH1062" s="90"/>
      <c r="AJI1062" s="90"/>
      <c r="AJJ1062" s="90"/>
      <c r="AJK1062" s="90"/>
      <c r="AJL1062" s="90"/>
      <c r="AJM1062" s="90"/>
      <c r="AJN1062" s="90"/>
      <c r="AJO1062" s="90"/>
      <c r="AJP1062" s="90"/>
      <c r="AJQ1062" s="90"/>
      <c r="AJR1062" s="90"/>
      <c r="AJS1062" s="90"/>
      <c r="AJT1062" s="90"/>
      <c r="AJU1062" s="90"/>
      <c r="AJV1062" s="90"/>
      <c r="AJW1062" s="90"/>
      <c r="AJX1062" s="90"/>
      <c r="AJY1062" s="90"/>
      <c r="AJZ1062" s="90"/>
      <c r="AKA1062" s="90"/>
      <c r="AKB1062" s="90"/>
      <c r="AKC1062" s="90"/>
      <c r="AKD1062" s="90"/>
      <c r="AKE1062" s="90"/>
      <c r="AKF1062" s="90"/>
      <c r="AKG1062" s="90"/>
      <c r="AKH1062" s="90"/>
      <c r="AKI1062" s="90"/>
      <c r="AKJ1062" s="90"/>
      <c r="AKK1062" s="90"/>
      <c r="AKL1062" s="90"/>
      <c r="AKM1062" s="90"/>
      <c r="AKN1062" s="90"/>
      <c r="AKO1062" s="90"/>
      <c r="AKP1062" s="90"/>
      <c r="AKQ1062" s="90"/>
      <c r="AKR1062" s="90"/>
      <c r="AKS1062" s="90"/>
      <c r="AKT1062" s="90"/>
      <c r="AKU1062" s="90"/>
      <c r="AKV1062" s="90"/>
      <c r="AKW1062" s="90"/>
      <c r="AKX1062" s="90"/>
      <c r="AKY1062" s="90"/>
      <c r="AKZ1062" s="90"/>
      <c r="ALA1062" s="90"/>
      <c r="ALB1062" s="90"/>
      <c r="ALC1062" s="90"/>
      <c r="ALD1062" s="90"/>
      <c r="ALE1062" s="90"/>
      <c r="ALF1062" s="90"/>
      <c r="ALG1062" s="90"/>
      <c r="ALH1062" s="90"/>
      <c r="ALI1062" s="90"/>
      <c r="ALJ1062" s="90"/>
      <c r="ALK1062" s="90"/>
      <c r="ALL1062" s="90"/>
      <c r="ALM1062" s="90"/>
      <c r="ALN1062" s="90"/>
      <c r="ALO1062" s="90"/>
      <c r="ALP1062" s="90"/>
      <c r="ALQ1062" s="90"/>
      <c r="ALR1062" s="90"/>
      <c r="ALS1062" s="90"/>
      <c r="ALT1062" s="90"/>
      <c r="ALU1062" s="90"/>
      <c r="ALV1062" s="90"/>
      <c r="ALW1062" s="90"/>
      <c r="ALX1062" s="90"/>
      <c r="ALY1062" s="90"/>
      <c r="ALZ1062" s="90"/>
      <c r="AMA1062" s="90"/>
      <c r="AMB1062" s="90"/>
      <c r="AMC1062" s="90"/>
      <c r="AMD1062" s="90"/>
      <c r="AME1062" s="90"/>
      <c r="AMF1062" s="90"/>
      <c r="AMG1062" s="90"/>
      <c r="AMH1062" s="90"/>
      <c r="AMI1062" s="90"/>
      <c r="AMJ1062" s="90"/>
      <c r="AMK1062" s="90"/>
      <c r="AML1062" s="90"/>
      <c r="AMM1062" s="90"/>
      <c r="AMN1062" s="90"/>
      <c r="AMO1062" s="90"/>
      <c r="AMP1062" s="90"/>
      <c r="AMQ1062" s="90"/>
      <c r="AMR1062" s="90"/>
      <c r="AMS1062" s="90"/>
      <c r="AMT1062" s="90"/>
      <c r="AMU1062" s="90"/>
      <c r="AMV1062" s="90"/>
      <c r="AMW1062" s="90"/>
      <c r="AMX1062" s="90"/>
      <c r="AMY1062" s="90"/>
      <c r="AMZ1062" s="90"/>
      <c r="ANA1062" s="90"/>
      <c r="ANB1062" s="90"/>
      <c r="ANC1062" s="90"/>
      <c r="AND1062" s="90"/>
      <c r="ANE1062" s="90"/>
      <c r="ANF1062" s="90"/>
      <c r="ANG1062" s="90"/>
      <c r="ANH1062" s="90"/>
      <c r="ANI1062" s="90"/>
      <c r="ANJ1062" s="90"/>
      <c r="ANK1062" s="90"/>
      <c r="ANL1062" s="90"/>
      <c r="ANM1062" s="90"/>
      <c r="ANN1062" s="90"/>
      <c r="ANO1062" s="90"/>
      <c r="ANP1062" s="90"/>
      <c r="ANQ1062" s="90"/>
      <c r="ANR1062" s="90"/>
      <c r="ANS1062" s="90"/>
      <c r="ANT1062" s="90"/>
      <c r="ANU1062" s="90"/>
      <c r="ANV1062" s="90"/>
      <c r="ANW1062" s="90"/>
      <c r="ANX1062" s="90"/>
      <c r="ANY1062" s="90"/>
      <c r="ANZ1062" s="90"/>
      <c r="AOA1062" s="90"/>
      <c r="AOB1062" s="90"/>
      <c r="AOC1062" s="90"/>
      <c r="AOD1062" s="90"/>
      <c r="AOE1062" s="90"/>
      <c r="AOF1062" s="90"/>
      <c r="AOG1062" s="90"/>
      <c r="AOH1062" s="90"/>
      <c r="AOI1062" s="90"/>
      <c r="AOJ1062" s="90"/>
      <c r="AOK1062" s="90"/>
      <c r="AOL1062" s="90"/>
      <c r="AOM1062" s="90"/>
      <c r="AON1062" s="90"/>
      <c r="AOO1062" s="90"/>
      <c r="AOP1062" s="90"/>
      <c r="AOQ1062" s="90"/>
      <c r="AOR1062" s="90"/>
      <c r="AOS1062" s="90"/>
      <c r="AOT1062" s="90"/>
      <c r="AOU1062" s="90"/>
      <c r="AOV1062" s="90"/>
      <c r="AOW1062" s="90"/>
      <c r="AOX1062" s="90"/>
      <c r="AOY1062" s="90"/>
      <c r="AOZ1062" s="90"/>
      <c r="APA1062" s="90"/>
      <c r="APB1062" s="90"/>
      <c r="APC1062" s="90"/>
      <c r="APD1062" s="90"/>
      <c r="APE1062" s="90"/>
      <c r="APF1062" s="90"/>
      <c r="APG1062" s="90"/>
      <c r="APH1062" s="90"/>
      <c r="API1062" s="90"/>
      <c r="APJ1062" s="90"/>
      <c r="APK1062" s="90"/>
      <c r="APL1062" s="90"/>
      <c r="APM1062" s="90"/>
      <c r="APN1062" s="90"/>
      <c r="APO1062" s="90"/>
      <c r="APP1062" s="90"/>
      <c r="APQ1062" s="90"/>
      <c r="APR1062" s="90"/>
      <c r="APS1062" s="90"/>
      <c r="APT1062" s="90"/>
      <c r="APU1062" s="90"/>
      <c r="APV1062" s="90"/>
      <c r="APW1062" s="90"/>
      <c r="APX1062" s="90"/>
      <c r="APY1062" s="90"/>
      <c r="APZ1062" s="90"/>
      <c r="AQA1062" s="90"/>
      <c r="AQB1062" s="90"/>
      <c r="AQC1062" s="90"/>
      <c r="AQD1062" s="90"/>
      <c r="AQE1062" s="90"/>
      <c r="AQF1062" s="90"/>
      <c r="AQG1062" s="90"/>
      <c r="AQH1062" s="90"/>
      <c r="AQI1062" s="90"/>
      <c r="AQJ1062" s="90"/>
      <c r="AQK1062" s="90"/>
      <c r="AQL1062" s="90"/>
      <c r="AQM1062" s="90"/>
      <c r="AQN1062" s="90"/>
      <c r="AQO1062" s="90"/>
      <c r="AQP1062" s="90"/>
      <c r="AQQ1062" s="90"/>
      <c r="AQR1062" s="90"/>
      <c r="AQS1062" s="90"/>
      <c r="AQT1062" s="90"/>
      <c r="AQU1062" s="90"/>
      <c r="AQV1062" s="90"/>
      <c r="AQW1062" s="90"/>
      <c r="AQX1062" s="90"/>
      <c r="AQY1062" s="90"/>
      <c r="AQZ1062" s="90"/>
      <c r="ARA1062" s="90"/>
      <c r="ARB1062" s="90"/>
      <c r="ARC1062" s="90"/>
      <c r="ARD1062" s="90"/>
      <c r="ARE1062" s="90"/>
      <c r="ARF1062" s="90"/>
      <c r="ARG1062" s="90"/>
      <c r="ARH1062" s="90"/>
      <c r="ARI1062" s="90"/>
      <c r="ARJ1062" s="90"/>
      <c r="ARK1062" s="90"/>
      <c r="ARL1062" s="90"/>
      <c r="ARM1062" s="90"/>
      <c r="ARN1062" s="90"/>
      <c r="ARO1062" s="90"/>
      <c r="ARP1062" s="90"/>
      <c r="ARQ1062" s="90"/>
      <c r="ARR1062" s="90"/>
      <c r="ARS1062" s="90"/>
      <c r="ART1062" s="90"/>
      <c r="ARU1062" s="90"/>
      <c r="ARV1062" s="90"/>
      <c r="ARW1062" s="90"/>
      <c r="ARX1062" s="90"/>
      <c r="ARY1062" s="90"/>
      <c r="ARZ1062" s="90"/>
      <c r="ASA1062" s="90"/>
      <c r="ASB1062" s="90"/>
      <c r="ASC1062" s="90"/>
      <c r="ASD1062" s="90"/>
      <c r="ASE1062" s="90"/>
      <c r="ASF1062" s="90"/>
      <c r="ASG1062" s="90"/>
      <c r="ASH1062" s="90"/>
      <c r="ASI1062" s="90"/>
      <c r="ASJ1062" s="90"/>
      <c r="ASK1062" s="90"/>
      <c r="ASL1062" s="90"/>
      <c r="ASM1062" s="90"/>
      <c r="ASN1062" s="90"/>
      <c r="ASO1062" s="90"/>
      <c r="ASP1062" s="90"/>
      <c r="ASQ1062" s="90"/>
      <c r="ASR1062" s="90"/>
      <c r="ASS1062" s="90"/>
      <c r="AST1062" s="90"/>
      <c r="ASU1062" s="90"/>
      <c r="ASV1062" s="90"/>
      <c r="ASW1062" s="90"/>
      <c r="ASX1062" s="90"/>
      <c r="ASY1062" s="90"/>
      <c r="ASZ1062" s="90"/>
      <c r="ATA1062" s="90"/>
      <c r="ATB1062" s="90"/>
      <c r="ATC1062" s="90"/>
      <c r="ATD1062" s="90"/>
      <c r="ATE1062" s="90"/>
      <c r="ATF1062" s="90"/>
      <c r="ATG1062" s="90"/>
      <c r="ATH1062" s="90"/>
      <c r="ATI1062" s="90"/>
      <c r="ATJ1062" s="90"/>
      <c r="ATK1062" s="90"/>
      <c r="ATL1062" s="90"/>
      <c r="ATM1062" s="90"/>
      <c r="ATN1062" s="90"/>
      <c r="ATO1062" s="90"/>
      <c r="ATP1062" s="90"/>
      <c r="ATQ1062" s="90"/>
      <c r="ATR1062" s="90"/>
      <c r="ATS1062" s="90"/>
      <c r="ATT1062" s="90"/>
      <c r="ATU1062" s="90"/>
      <c r="ATV1062" s="90"/>
      <c r="ATW1062" s="90"/>
      <c r="ATX1062" s="90"/>
      <c r="ATY1062" s="90"/>
      <c r="ATZ1062" s="90"/>
      <c r="AUA1062" s="90"/>
      <c r="AUB1062" s="90"/>
      <c r="AUC1062" s="90"/>
      <c r="AUD1062" s="90"/>
      <c r="AUE1062" s="90"/>
      <c r="AUF1062" s="90"/>
      <c r="AUG1062" s="90"/>
      <c r="AUH1062" s="90"/>
      <c r="AUI1062" s="90"/>
      <c r="AUJ1062" s="90"/>
      <c r="AUK1062" s="90"/>
      <c r="AUL1062" s="90"/>
      <c r="AUM1062" s="90"/>
      <c r="AUN1062" s="90"/>
      <c r="AUO1062" s="90"/>
      <c r="AUP1062" s="90"/>
      <c r="AUQ1062" s="90"/>
      <c r="AUR1062" s="90"/>
      <c r="AUS1062" s="90"/>
      <c r="AUT1062" s="90"/>
      <c r="AUU1062" s="90"/>
      <c r="AUV1062" s="90"/>
      <c r="AUW1062" s="90"/>
      <c r="AUX1062" s="90"/>
      <c r="AUY1062" s="90"/>
      <c r="AUZ1062" s="90"/>
      <c r="AVA1062" s="90"/>
      <c r="AVB1062" s="90"/>
      <c r="AVC1062" s="90"/>
      <c r="AVD1062" s="90"/>
      <c r="AVE1062" s="90"/>
      <c r="AVF1062" s="90"/>
      <c r="AVG1062" s="90"/>
      <c r="AVH1062" s="90"/>
      <c r="AVI1062" s="90"/>
      <c r="AVJ1062" s="90"/>
      <c r="AVK1062" s="90"/>
      <c r="AVL1062" s="90"/>
      <c r="AVM1062" s="90"/>
      <c r="AVN1062" s="90"/>
      <c r="AVO1062" s="90"/>
      <c r="AVP1062" s="90"/>
      <c r="AVQ1062" s="90"/>
      <c r="AVR1062" s="90"/>
      <c r="AVS1062" s="90"/>
      <c r="AVT1062" s="90"/>
      <c r="AVU1062" s="90"/>
      <c r="AVV1062" s="90"/>
      <c r="AVW1062" s="90"/>
      <c r="AVX1062" s="90"/>
      <c r="AVY1062" s="90"/>
      <c r="AVZ1062" s="90"/>
      <c r="AWA1062" s="90"/>
      <c r="AWB1062" s="90"/>
      <c r="AWC1062" s="90"/>
      <c r="AWD1062" s="90"/>
      <c r="AWE1062" s="90"/>
      <c r="AWF1062" s="90"/>
      <c r="AWG1062" s="90"/>
      <c r="AWH1062" s="90"/>
      <c r="AWI1062" s="90"/>
      <c r="AWJ1062" s="90"/>
      <c r="AWK1062" s="90"/>
      <c r="AWL1062" s="90"/>
      <c r="AWM1062" s="90"/>
      <c r="AWN1062" s="90"/>
      <c r="AWO1062" s="90"/>
      <c r="AWP1062" s="90"/>
      <c r="AWQ1062" s="90"/>
      <c r="AWR1062" s="90"/>
      <c r="AWS1062" s="90"/>
      <c r="AWT1062" s="90"/>
      <c r="AWU1062" s="90"/>
      <c r="AWV1062" s="90"/>
      <c r="AWW1062" s="90"/>
      <c r="AWX1062" s="90"/>
      <c r="AWY1062" s="90"/>
      <c r="AWZ1062" s="90"/>
      <c r="AXA1062" s="90"/>
      <c r="AXB1062" s="90"/>
      <c r="AXC1062" s="90"/>
      <c r="AXD1062" s="90"/>
      <c r="AXE1062" s="90"/>
      <c r="AXF1062" s="90"/>
      <c r="AXG1062" s="90"/>
      <c r="AXH1062" s="90"/>
      <c r="AXI1062" s="90"/>
      <c r="AXJ1062" s="90"/>
      <c r="AXK1062" s="90"/>
      <c r="AXL1062" s="90"/>
      <c r="AXM1062" s="90"/>
      <c r="AXN1062" s="90"/>
      <c r="AXO1062" s="90"/>
      <c r="AXP1062" s="90"/>
      <c r="AXQ1062" s="90"/>
      <c r="AXR1062" s="90"/>
      <c r="AXS1062" s="90"/>
      <c r="AXT1062" s="90"/>
      <c r="AXU1062" s="90"/>
      <c r="AXV1062" s="90"/>
      <c r="AXW1062" s="90"/>
      <c r="AXX1062" s="90"/>
      <c r="AXY1062" s="90"/>
      <c r="AXZ1062" s="90"/>
      <c r="AYA1062" s="90"/>
      <c r="AYB1062" s="90"/>
      <c r="AYC1062" s="90"/>
      <c r="AYD1062" s="90"/>
      <c r="AYE1062" s="90"/>
      <c r="AYF1062" s="90"/>
      <c r="AYG1062" s="90"/>
      <c r="AYH1062" s="90"/>
      <c r="AYI1062" s="90"/>
      <c r="AYJ1062" s="90"/>
      <c r="AYK1062" s="90"/>
      <c r="AYL1062" s="90"/>
      <c r="AYM1062" s="90"/>
      <c r="AYN1062" s="90"/>
      <c r="AYO1062" s="90"/>
      <c r="AYP1062" s="90"/>
      <c r="AYQ1062" s="90"/>
      <c r="AYR1062" s="90"/>
      <c r="AYS1062" s="90"/>
      <c r="AYT1062" s="90"/>
      <c r="AYU1062" s="90"/>
      <c r="AYV1062" s="90"/>
      <c r="AYW1062" s="90"/>
      <c r="AYX1062" s="90"/>
      <c r="AYY1062" s="90"/>
      <c r="AYZ1062" s="90"/>
      <c r="AZA1062" s="90"/>
      <c r="AZB1062" s="90"/>
      <c r="AZC1062" s="90"/>
      <c r="AZD1062" s="90"/>
      <c r="AZE1062" s="90"/>
      <c r="AZF1062" s="90"/>
      <c r="AZG1062" s="90"/>
      <c r="AZH1062" s="90"/>
      <c r="AZI1062" s="90"/>
      <c r="AZJ1062" s="90"/>
      <c r="AZK1062" s="90"/>
      <c r="AZL1062" s="90"/>
      <c r="AZM1062" s="90"/>
      <c r="AZN1062" s="90"/>
      <c r="AZO1062" s="90"/>
      <c r="AZP1062" s="90"/>
      <c r="AZQ1062" s="90"/>
      <c r="AZR1062" s="90"/>
      <c r="AZS1062" s="90"/>
      <c r="AZT1062" s="90"/>
      <c r="AZU1062" s="90"/>
      <c r="AZV1062" s="90"/>
      <c r="AZW1062" s="90"/>
      <c r="AZX1062" s="90"/>
      <c r="AZY1062" s="90"/>
      <c r="AZZ1062" s="90"/>
      <c r="BAA1062" s="90"/>
      <c r="BAB1062" s="90"/>
      <c r="BAC1062" s="90"/>
      <c r="BAD1062" s="90"/>
      <c r="BAE1062" s="90"/>
      <c r="BAF1062" s="90"/>
      <c r="BAG1062" s="90"/>
      <c r="BAH1062" s="90"/>
      <c r="BAI1062" s="90"/>
      <c r="BAJ1062" s="90"/>
      <c r="BAK1062" s="90"/>
      <c r="BAL1062" s="90"/>
      <c r="BAM1062" s="90"/>
      <c r="BAN1062" s="90"/>
      <c r="BAO1062" s="90"/>
      <c r="BAP1062" s="90"/>
      <c r="BAQ1062" s="90"/>
      <c r="BAR1062" s="90"/>
      <c r="BAS1062" s="90"/>
      <c r="BAT1062" s="90"/>
      <c r="BAU1062" s="90"/>
      <c r="BAV1062" s="90"/>
      <c r="BAW1062" s="90"/>
      <c r="BAX1062" s="90"/>
      <c r="BAY1062" s="90"/>
      <c r="BAZ1062" s="90"/>
      <c r="BBA1062" s="90"/>
      <c r="BBB1062" s="90"/>
      <c r="BBC1062" s="90"/>
      <c r="BBD1062" s="90"/>
      <c r="BBE1062" s="90"/>
      <c r="BBF1062" s="90"/>
      <c r="BBG1062" s="90"/>
      <c r="BBH1062" s="90"/>
      <c r="BBI1062" s="90"/>
      <c r="BBJ1062" s="90"/>
      <c r="BBK1062" s="90"/>
      <c r="BBL1062" s="90"/>
      <c r="BBM1062" s="90"/>
      <c r="BBN1062" s="90"/>
      <c r="BBO1062" s="90"/>
      <c r="BBP1062" s="90"/>
      <c r="BBQ1062" s="90"/>
      <c r="BBR1062" s="90"/>
      <c r="BBS1062" s="90"/>
      <c r="BBT1062" s="90"/>
      <c r="BBU1062" s="90"/>
      <c r="BBV1062" s="90"/>
      <c r="BBW1062" s="90"/>
      <c r="BBX1062" s="90"/>
      <c r="BBY1062" s="90"/>
      <c r="BBZ1062" s="90"/>
      <c r="BCA1062" s="90"/>
      <c r="BCB1062" s="90"/>
      <c r="BCC1062" s="90"/>
      <c r="BCD1062" s="90"/>
      <c r="BCE1062" s="90"/>
      <c r="BCF1062" s="90"/>
      <c r="BCG1062" s="90"/>
      <c r="BCH1062" s="90"/>
      <c r="BCI1062" s="90"/>
      <c r="BCJ1062" s="90"/>
      <c r="BCK1062" s="90"/>
      <c r="BCL1062" s="90"/>
      <c r="BCM1062" s="90"/>
      <c r="BCN1062" s="90"/>
      <c r="BCO1062" s="90"/>
      <c r="BCP1062" s="90"/>
      <c r="BCQ1062" s="90"/>
      <c r="BCR1062" s="90"/>
      <c r="BCS1062" s="90"/>
      <c r="BCT1062" s="90"/>
      <c r="BCU1062" s="90"/>
      <c r="BCV1062" s="90"/>
      <c r="BCW1062" s="90"/>
      <c r="BCX1062" s="90"/>
      <c r="BCY1062" s="90"/>
      <c r="BCZ1062" s="90"/>
      <c r="BDA1062" s="90"/>
      <c r="BDB1062" s="90"/>
      <c r="BDC1062" s="90"/>
      <c r="BDD1062" s="90"/>
      <c r="BDE1062" s="90"/>
      <c r="BDF1062" s="90"/>
      <c r="BDG1062" s="90"/>
      <c r="BDH1062" s="90"/>
      <c r="BDI1062" s="90"/>
      <c r="BDJ1062" s="90"/>
      <c r="BDK1062" s="90"/>
      <c r="BDL1062" s="90"/>
      <c r="BDM1062" s="90"/>
      <c r="BDN1062" s="90"/>
      <c r="BDO1062" s="90"/>
      <c r="BDP1062" s="90"/>
      <c r="BDQ1062" s="90"/>
      <c r="BDR1062" s="90"/>
      <c r="BDS1062" s="90"/>
      <c r="BDT1062" s="90"/>
      <c r="BDU1062" s="90"/>
      <c r="BDV1062" s="90"/>
      <c r="BDW1062" s="90"/>
      <c r="BDX1062" s="90"/>
      <c r="BDY1062" s="90"/>
      <c r="BDZ1062" s="90"/>
      <c r="BEA1062" s="90"/>
      <c r="BEB1062" s="90"/>
      <c r="BEC1062" s="90"/>
      <c r="BED1062" s="90"/>
      <c r="BEE1062" s="90"/>
      <c r="BEF1062" s="90"/>
      <c r="BEG1062" s="90"/>
      <c r="BEH1062" s="90"/>
      <c r="BEI1062" s="90"/>
      <c r="BEJ1062" s="90"/>
      <c r="BEK1062" s="90"/>
      <c r="BEL1062" s="90"/>
      <c r="BEM1062" s="90"/>
      <c r="BEN1062" s="90"/>
      <c r="BEO1062" s="90"/>
      <c r="BEP1062" s="90"/>
      <c r="BEQ1062" s="90"/>
      <c r="BER1062" s="90"/>
      <c r="BES1062" s="90"/>
      <c r="BET1062" s="90"/>
      <c r="BEU1062" s="90"/>
      <c r="BEV1062" s="90"/>
      <c r="BEW1062" s="90"/>
      <c r="BEX1062" s="90"/>
      <c r="BEY1062" s="90"/>
      <c r="BEZ1062" s="90"/>
      <c r="BFA1062" s="90"/>
      <c r="BFB1062" s="90"/>
      <c r="BFC1062" s="90"/>
      <c r="BFD1062" s="90"/>
      <c r="BFE1062" s="90"/>
      <c r="BFF1062" s="90"/>
      <c r="BFG1062" s="90"/>
      <c r="BFH1062" s="90"/>
      <c r="BFI1062" s="90"/>
      <c r="BFJ1062" s="90"/>
      <c r="BFK1062" s="90"/>
      <c r="BFL1062" s="90"/>
      <c r="BFM1062" s="90"/>
      <c r="BFN1062" s="90"/>
      <c r="BFO1062" s="90"/>
      <c r="BFP1062" s="90"/>
      <c r="BFQ1062" s="90"/>
      <c r="BFR1062" s="90"/>
      <c r="BFS1062" s="90"/>
      <c r="BFT1062" s="90"/>
      <c r="BFU1062" s="90"/>
      <c r="BFV1062" s="90"/>
      <c r="BFW1062" s="90"/>
      <c r="BFX1062" s="90"/>
      <c r="BFY1062" s="90"/>
      <c r="BFZ1062" s="90"/>
      <c r="BGA1062" s="90"/>
      <c r="BGB1062" s="90"/>
      <c r="BGC1062" s="90"/>
      <c r="BGD1062" s="90"/>
      <c r="BGE1062" s="90"/>
      <c r="BGF1062" s="90"/>
      <c r="BGG1062" s="90"/>
      <c r="BGH1062" s="90"/>
      <c r="BGI1062" s="90"/>
      <c r="BGJ1062" s="90"/>
      <c r="BGK1062" s="90"/>
      <c r="BGL1062" s="90"/>
      <c r="BGM1062" s="90"/>
      <c r="BGN1062" s="90"/>
      <c r="BGO1062" s="90"/>
      <c r="BGP1062" s="90"/>
      <c r="BGQ1062" s="90"/>
      <c r="BGR1062" s="90"/>
      <c r="BGS1062" s="90"/>
      <c r="BGT1062" s="90"/>
      <c r="BGU1062" s="90"/>
      <c r="BGV1062" s="90"/>
      <c r="BGW1062" s="90"/>
      <c r="BGX1062" s="90"/>
      <c r="BGY1062" s="90"/>
      <c r="BGZ1062" s="90"/>
      <c r="BHA1062" s="90"/>
      <c r="BHB1062" s="90"/>
      <c r="BHC1062" s="90"/>
      <c r="BHD1062" s="90"/>
      <c r="BHE1062" s="90"/>
      <c r="BHF1062" s="90"/>
      <c r="BHG1062" s="90"/>
      <c r="BHH1062" s="90"/>
      <c r="BHI1062" s="90"/>
      <c r="BHJ1062" s="90"/>
      <c r="BHK1062" s="90"/>
      <c r="BHL1062" s="90"/>
      <c r="BHM1062" s="90"/>
      <c r="BHN1062" s="90"/>
      <c r="BHO1062" s="90"/>
      <c r="BHP1062" s="90"/>
      <c r="BHQ1062" s="90"/>
      <c r="BHR1062" s="90"/>
      <c r="BHS1062" s="90"/>
      <c r="BHT1062" s="90"/>
      <c r="BHU1062" s="90"/>
      <c r="BHV1062" s="90"/>
      <c r="BHW1062" s="90"/>
      <c r="BHX1062" s="90"/>
      <c r="BHY1062" s="90"/>
      <c r="BHZ1062" s="90"/>
      <c r="BIA1062" s="90"/>
      <c r="BIB1062" s="90"/>
      <c r="BIC1062" s="90"/>
      <c r="BID1062" s="90"/>
      <c r="BIE1062" s="90"/>
      <c r="BIF1062" s="90"/>
      <c r="BIG1062" s="90"/>
      <c r="BIH1062" s="90"/>
      <c r="BII1062" s="90"/>
      <c r="BIJ1062" s="90"/>
      <c r="BIK1062" s="90"/>
      <c r="BIL1062" s="90"/>
      <c r="BIM1062" s="90"/>
      <c r="BIN1062" s="90"/>
      <c r="BIO1062" s="90"/>
      <c r="BIP1062" s="90"/>
      <c r="BIQ1062" s="90"/>
      <c r="BIR1062" s="90"/>
      <c r="BIS1062" s="90"/>
      <c r="BIT1062" s="90"/>
      <c r="BIU1062" s="90"/>
      <c r="BIV1062" s="90"/>
      <c r="BIW1062" s="90"/>
      <c r="BIX1062" s="90"/>
      <c r="BIY1062" s="90"/>
      <c r="BIZ1062" s="90"/>
      <c r="BJA1062" s="90"/>
      <c r="BJB1062" s="90"/>
      <c r="BJC1062" s="90"/>
      <c r="BJD1062" s="90"/>
      <c r="BJE1062" s="90"/>
      <c r="BJF1062" s="90"/>
      <c r="BJG1062" s="90"/>
      <c r="BJH1062" s="90"/>
      <c r="BJI1062" s="90"/>
      <c r="BJJ1062" s="90"/>
      <c r="BJK1062" s="90"/>
      <c r="BJL1062" s="90"/>
      <c r="BJM1062" s="90"/>
      <c r="BJN1062" s="90"/>
      <c r="BJO1062" s="90"/>
      <c r="BJP1062" s="90"/>
      <c r="BJQ1062" s="90"/>
      <c r="BJR1062" s="90"/>
      <c r="BJS1062" s="90"/>
      <c r="BJT1062" s="90"/>
      <c r="BJU1062" s="90"/>
      <c r="BJV1062" s="90"/>
      <c r="BJW1062" s="90"/>
      <c r="BJX1062" s="90"/>
      <c r="BJY1062" s="90"/>
      <c r="BJZ1062" s="90"/>
      <c r="BKA1062" s="90"/>
      <c r="BKB1062" s="90"/>
      <c r="BKC1062" s="90"/>
      <c r="BKD1062" s="90"/>
      <c r="BKE1062" s="90"/>
      <c r="BKF1062" s="90"/>
      <c r="BKG1062" s="90"/>
      <c r="BKH1062" s="90"/>
      <c r="BKI1062" s="90"/>
      <c r="BKJ1062" s="90"/>
      <c r="BKK1062" s="90"/>
      <c r="BKL1062" s="90"/>
      <c r="BKM1062" s="90"/>
      <c r="BKN1062" s="90"/>
      <c r="BKO1062" s="90"/>
      <c r="BKP1062" s="90"/>
      <c r="BKQ1062" s="90"/>
      <c r="BKR1062" s="90"/>
      <c r="BKS1062" s="90"/>
      <c r="BKT1062" s="90"/>
      <c r="BKU1062" s="90"/>
      <c r="BKV1062" s="90"/>
      <c r="BKW1062" s="90"/>
      <c r="BKX1062" s="90"/>
      <c r="BKY1062" s="90"/>
      <c r="BKZ1062" s="90"/>
      <c r="BLA1062" s="90"/>
      <c r="BLB1062" s="90"/>
      <c r="BLC1062" s="90"/>
      <c r="BLD1062" s="90"/>
      <c r="BLE1062" s="90"/>
      <c r="BLF1062" s="90"/>
      <c r="BLG1062" s="90"/>
      <c r="BLH1062" s="90"/>
      <c r="BLI1062" s="90"/>
      <c r="BLJ1062" s="90"/>
      <c r="BLK1062" s="90"/>
      <c r="BLL1062" s="90"/>
      <c r="BLM1062" s="90"/>
      <c r="BLN1062" s="90"/>
      <c r="BLO1062" s="90"/>
      <c r="BLP1062" s="90"/>
      <c r="BLQ1062" s="90"/>
      <c r="BLR1062" s="90"/>
      <c r="BLS1062" s="90"/>
      <c r="BLT1062" s="90"/>
      <c r="BLU1062" s="90"/>
      <c r="BLV1062" s="90"/>
      <c r="BLW1062" s="90"/>
      <c r="BLX1062" s="90"/>
      <c r="BLY1062" s="90"/>
      <c r="BLZ1062" s="90"/>
      <c r="BMA1062" s="90"/>
      <c r="BMB1062" s="90"/>
      <c r="BMC1062" s="90"/>
      <c r="BMD1062" s="90"/>
      <c r="BME1062" s="90"/>
      <c r="BMF1062" s="90"/>
      <c r="BMG1062" s="90"/>
      <c r="BMH1062" s="90"/>
      <c r="BMI1062" s="90"/>
      <c r="BMJ1062" s="90"/>
      <c r="BMK1062" s="90"/>
      <c r="BML1062" s="90"/>
      <c r="BMM1062" s="90"/>
      <c r="BMN1062" s="90"/>
      <c r="BMO1062" s="90"/>
      <c r="BMP1062" s="90"/>
      <c r="BMQ1062" s="90"/>
      <c r="BMR1062" s="90"/>
      <c r="BMS1062" s="90"/>
      <c r="BMT1062" s="90"/>
      <c r="BMU1062" s="90"/>
      <c r="BMV1062" s="90"/>
      <c r="BMW1062" s="90"/>
      <c r="BMX1062" s="90"/>
      <c r="BMY1062" s="90"/>
      <c r="BMZ1062" s="90"/>
      <c r="BNA1062" s="90"/>
      <c r="BNB1062" s="90"/>
      <c r="BNC1062" s="90"/>
      <c r="BND1062" s="90"/>
      <c r="BNE1062" s="90"/>
      <c r="BNF1062" s="90"/>
      <c r="BNG1062" s="90"/>
      <c r="BNH1062" s="90"/>
      <c r="BNI1062" s="90"/>
      <c r="BNJ1062" s="90"/>
      <c r="BNK1062" s="90"/>
      <c r="BNL1062" s="90"/>
      <c r="BNM1062" s="90"/>
      <c r="BNN1062" s="90"/>
      <c r="BNO1062" s="90"/>
      <c r="BNP1062" s="90"/>
      <c r="BNQ1062" s="90"/>
      <c r="BNR1062" s="90"/>
      <c r="BNS1062" s="90"/>
      <c r="BNT1062" s="90"/>
      <c r="BNU1062" s="90"/>
      <c r="BNV1062" s="90"/>
      <c r="BNW1062" s="90"/>
      <c r="BNX1062" s="90"/>
      <c r="BNY1062" s="90"/>
      <c r="BNZ1062" s="90"/>
      <c r="BOA1062" s="90"/>
      <c r="BOB1062" s="90"/>
      <c r="BOC1062" s="90"/>
      <c r="BOD1062" s="90"/>
      <c r="BOE1062" s="90"/>
      <c r="BOF1062" s="90"/>
      <c r="BOG1062" s="90"/>
      <c r="BOH1062" s="90"/>
      <c r="BOI1062" s="90"/>
      <c r="BOJ1062" s="90"/>
      <c r="BOK1062" s="90"/>
      <c r="BOL1062" s="90"/>
      <c r="BOM1062" s="90"/>
      <c r="BON1062" s="90"/>
      <c r="BOO1062" s="90"/>
      <c r="BOP1062" s="90"/>
      <c r="BOQ1062" s="90"/>
      <c r="BOR1062" s="90"/>
      <c r="BOS1062" s="90"/>
      <c r="BOT1062" s="90"/>
      <c r="BOU1062" s="90"/>
      <c r="BOV1062" s="90"/>
      <c r="BOW1062" s="90"/>
      <c r="BOX1062" s="90"/>
      <c r="BOY1062" s="90"/>
      <c r="BOZ1062" s="90"/>
      <c r="BPA1062" s="90"/>
      <c r="BPB1062" s="90"/>
      <c r="BPC1062" s="90"/>
      <c r="BPD1062" s="90"/>
      <c r="BPE1062" s="90"/>
      <c r="BPF1062" s="90"/>
      <c r="BPG1062" s="90"/>
      <c r="BPH1062" s="90"/>
      <c r="BPI1062" s="90"/>
      <c r="BPJ1062" s="90"/>
      <c r="BPK1062" s="90"/>
      <c r="BPL1062" s="90"/>
      <c r="BPM1062" s="90"/>
      <c r="BPN1062" s="90"/>
      <c r="BPO1062" s="90"/>
      <c r="BPP1062" s="90"/>
      <c r="BPQ1062" s="90"/>
      <c r="BPR1062" s="90"/>
      <c r="BPS1062" s="90"/>
      <c r="BPT1062" s="90"/>
      <c r="BPU1062" s="90"/>
      <c r="BPV1062" s="90"/>
      <c r="BPW1062" s="90"/>
      <c r="BPX1062" s="90"/>
      <c r="BPY1062" s="90"/>
      <c r="BPZ1062" s="90"/>
      <c r="BQA1062" s="90"/>
      <c r="BQB1062" s="90"/>
      <c r="BQC1062" s="90"/>
      <c r="BQD1062" s="90"/>
      <c r="BQE1062" s="90"/>
      <c r="BQF1062" s="90"/>
      <c r="BQG1062" s="90"/>
      <c r="BQH1062" s="90"/>
      <c r="BQI1062" s="90"/>
      <c r="BQJ1062" s="90"/>
      <c r="BQK1062" s="90"/>
      <c r="BQL1062" s="90"/>
      <c r="BQM1062" s="90"/>
      <c r="BQN1062" s="90"/>
      <c r="BQO1062" s="90"/>
      <c r="BQP1062" s="90"/>
      <c r="BQQ1062" s="90"/>
      <c r="BQR1062" s="90"/>
      <c r="BQS1062" s="90"/>
      <c r="BQT1062" s="90"/>
      <c r="BQU1062" s="90"/>
      <c r="BQV1062" s="90"/>
      <c r="BQW1062" s="90"/>
      <c r="BQX1062" s="90"/>
      <c r="BQY1062" s="90"/>
      <c r="BQZ1062" s="90"/>
      <c r="BRA1062" s="90"/>
      <c r="BRB1062" s="90"/>
      <c r="BRC1062" s="90"/>
      <c r="BRD1062" s="90"/>
      <c r="BRE1062" s="90"/>
      <c r="BRF1062" s="90"/>
      <c r="BRG1062" s="90"/>
      <c r="BRH1062" s="90"/>
      <c r="BRI1062" s="90"/>
      <c r="BRJ1062" s="90"/>
      <c r="BRK1062" s="90"/>
      <c r="BRL1062" s="90"/>
      <c r="BRM1062" s="90"/>
      <c r="BRN1062" s="90"/>
      <c r="BRO1062" s="90"/>
      <c r="BRP1062" s="90"/>
      <c r="BRQ1062" s="90"/>
      <c r="BRR1062" s="90"/>
      <c r="BRS1062" s="90"/>
      <c r="BRT1062" s="90"/>
      <c r="BRU1062" s="90"/>
      <c r="BRV1062" s="90"/>
      <c r="BRW1062" s="90"/>
      <c r="BRX1062" s="90"/>
      <c r="BRY1062" s="90"/>
      <c r="BRZ1062" s="90"/>
      <c r="BSA1062" s="90"/>
      <c r="BSB1062" s="90"/>
      <c r="BSC1062" s="90"/>
      <c r="BSD1062" s="90"/>
      <c r="BSE1062" s="90"/>
      <c r="BSF1062" s="90"/>
      <c r="BSG1062" s="90"/>
      <c r="BSH1062" s="90"/>
      <c r="BSI1062" s="90"/>
      <c r="BSJ1062" s="90"/>
      <c r="BSK1062" s="90"/>
      <c r="BSL1062" s="90"/>
      <c r="BSM1062" s="90"/>
      <c r="BSN1062" s="90"/>
      <c r="BSO1062" s="90"/>
      <c r="BSP1062" s="90"/>
      <c r="BSQ1062" s="90"/>
      <c r="BSR1062" s="90"/>
      <c r="BSS1062" s="90"/>
      <c r="BST1062" s="90"/>
      <c r="BSU1062" s="90"/>
      <c r="BSV1062" s="90"/>
      <c r="BSW1062" s="90"/>
      <c r="BSX1062" s="90"/>
      <c r="BSY1062" s="90"/>
      <c r="BSZ1062" s="90"/>
      <c r="BTA1062" s="90"/>
      <c r="BTB1062" s="90"/>
      <c r="BTC1062" s="90"/>
      <c r="BTD1062" s="90"/>
      <c r="BTE1062" s="90"/>
      <c r="BTF1062" s="90"/>
      <c r="BTG1062" s="90"/>
      <c r="BTH1062" s="90"/>
      <c r="BTI1062" s="90"/>
      <c r="BTJ1062" s="90"/>
      <c r="BTK1062" s="90"/>
      <c r="BTL1062" s="90"/>
      <c r="BTM1062" s="90"/>
      <c r="BTN1062" s="90"/>
      <c r="BTO1062" s="90"/>
      <c r="BTP1062" s="90"/>
      <c r="BTQ1062" s="90"/>
      <c r="BTR1062" s="90"/>
      <c r="BTS1062" s="90"/>
      <c r="BTT1062" s="90"/>
      <c r="BTU1062" s="90"/>
      <c r="BTV1062" s="90"/>
      <c r="BTW1062" s="90"/>
      <c r="BTX1062" s="90"/>
      <c r="BTY1062" s="90"/>
      <c r="BTZ1062" s="90"/>
      <c r="BUA1062" s="90"/>
      <c r="BUB1062" s="90"/>
      <c r="BUC1062" s="90"/>
      <c r="BUD1062" s="90"/>
      <c r="BUE1062" s="90"/>
      <c r="BUF1062" s="90"/>
      <c r="BUG1062" s="90"/>
      <c r="BUH1062" s="90"/>
      <c r="BUI1062" s="90"/>
      <c r="BUJ1062" s="90"/>
      <c r="BUK1062" s="90"/>
      <c r="BUL1062" s="90"/>
      <c r="BUM1062" s="90"/>
      <c r="BUN1062" s="90"/>
      <c r="BUO1062" s="90"/>
      <c r="BUP1062" s="90"/>
      <c r="BUQ1062" s="90"/>
      <c r="BUR1062" s="90"/>
      <c r="BUS1062" s="90"/>
      <c r="BUT1062" s="90"/>
      <c r="BUU1062" s="90"/>
      <c r="BUV1062" s="90"/>
      <c r="BUW1062" s="90"/>
      <c r="BUX1062" s="90"/>
      <c r="BUY1062" s="90"/>
      <c r="BUZ1062" s="90"/>
      <c r="BVA1062" s="90"/>
      <c r="BVB1062" s="90"/>
      <c r="BVC1062" s="90"/>
      <c r="BVD1062" s="90"/>
      <c r="BVE1062" s="90"/>
      <c r="BVF1062" s="90"/>
      <c r="BVG1062" s="90"/>
      <c r="BVH1062" s="90"/>
      <c r="BVI1062" s="90"/>
      <c r="BVJ1062" s="90"/>
      <c r="BVK1062" s="90"/>
      <c r="BVL1062" s="90"/>
      <c r="BVM1062" s="90"/>
      <c r="BVN1062" s="90"/>
      <c r="BVO1062" s="90"/>
      <c r="BVP1062" s="90"/>
      <c r="BVQ1062" s="90"/>
      <c r="BVR1062" s="90"/>
      <c r="BVS1062" s="90"/>
      <c r="BVT1062" s="90"/>
      <c r="BVU1062" s="90"/>
      <c r="BVV1062" s="90"/>
      <c r="BVW1062" s="90"/>
      <c r="BVX1062" s="90"/>
      <c r="BVY1062" s="90"/>
      <c r="BVZ1062" s="90"/>
      <c r="BWA1062" s="90"/>
      <c r="BWB1062" s="90"/>
      <c r="BWC1062" s="90"/>
      <c r="BWD1062" s="90"/>
      <c r="BWE1062" s="90"/>
      <c r="BWF1062" s="90"/>
      <c r="BWG1062" s="90"/>
      <c r="BWH1062" s="90"/>
      <c r="BWI1062" s="90"/>
      <c r="BWJ1062" s="90"/>
      <c r="BWK1062" s="90"/>
      <c r="BWL1062" s="90"/>
      <c r="BWM1062" s="90"/>
      <c r="BWN1062" s="90"/>
      <c r="BWO1062" s="90"/>
      <c r="BWP1062" s="90"/>
      <c r="BWQ1062" s="90"/>
      <c r="BWR1062" s="90"/>
      <c r="BWS1062" s="90"/>
      <c r="BWT1062" s="90"/>
      <c r="BWU1062" s="90"/>
      <c r="BWV1062" s="90"/>
      <c r="BWW1062" s="90"/>
      <c r="BWX1062" s="90"/>
      <c r="BWY1062" s="90"/>
      <c r="BWZ1062" s="90"/>
      <c r="BXA1062" s="90"/>
      <c r="BXB1062" s="90"/>
      <c r="BXC1062" s="90"/>
      <c r="BXD1062" s="90"/>
      <c r="BXE1062" s="90"/>
      <c r="BXF1062" s="90"/>
      <c r="BXG1062" s="90"/>
      <c r="BXH1062" s="90"/>
      <c r="BXI1062" s="90"/>
      <c r="BXJ1062" s="90"/>
      <c r="BXK1062" s="90"/>
      <c r="BXL1062" s="90"/>
      <c r="BXM1062" s="90"/>
      <c r="BXN1062" s="90"/>
      <c r="BXO1062" s="90"/>
      <c r="BXP1062" s="90"/>
      <c r="BXQ1062" s="90"/>
      <c r="BXR1062" s="90"/>
      <c r="BXS1062" s="90"/>
      <c r="BXT1062" s="90"/>
      <c r="BXU1062" s="90"/>
      <c r="BXV1062" s="90"/>
      <c r="BXW1062" s="90"/>
      <c r="BXX1062" s="90"/>
      <c r="BXY1062" s="90"/>
      <c r="BXZ1062" s="90"/>
      <c r="BYA1062" s="90"/>
      <c r="BYB1062" s="90"/>
      <c r="BYC1062" s="90"/>
      <c r="BYD1062" s="90"/>
      <c r="BYE1062" s="90"/>
      <c r="BYF1062" s="90"/>
      <c r="BYG1062" s="90"/>
      <c r="BYH1062" s="90"/>
      <c r="BYI1062" s="90"/>
      <c r="BYJ1062" s="90"/>
      <c r="BYK1062" s="90"/>
      <c r="BYL1062" s="90"/>
      <c r="BYM1062" s="90"/>
      <c r="BYN1062" s="90"/>
      <c r="BYO1062" s="90"/>
      <c r="BYP1062" s="90"/>
      <c r="BYQ1062" s="90"/>
      <c r="BYR1062" s="90"/>
      <c r="BYS1062" s="90"/>
      <c r="BYT1062" s="90"/>
      <c r="BYU1062" s="90"/>
      <c r="BYV1062" s="90"/>
      <c r="BYW1062" s="90"/>
      <c r="BYX1062" s="90"/>
      <c r="BYY1062" s="90"/>
      <c r="BYZ1062" s="90"/>
      <c r="BZA1062" s="90"/>
      <c r="BZB1062" s="90"/>
      <c r="BZC1062" s="90"/>
      <c r="BZD1062" s="90"/>
      <c r="BZE1062" s="90"/>
      <c r="BZF1062" s="90"/>
      <c r="BZG1062" s="90"/>
      <c r="BZH1062" s="90"/>
      <c r="BZI1062" s="90"/>
      <c r="BZJ1062" s="90"/>
      <c r="BZK1062" s="90"/>
      <c r="BZL1062" s="90"/>
      <c r="BZM1062" s="90"/>
      <c r="BZN1062" s="90"/>
      <c r="BZO1062" s="90"/>
      <c r="BZP1062" s="90"/>
      <c r="BZQ1062" s="90"/>
      <c r="BZR1062" s="90"/>
      <c r="BZS1062" s="90"/>
      <c r="BZT1062" s="90"/>
      <c r="BZU1062" s="90"/>
      <c r="BZV1062" s="90"/>
      <c r="BZW1062" s="90"/>
      <c r="BZX1062" s="90"/>
      <c r="BZY1062" s="90"/>
      <c r="BZZ1062" s="90"/>
      <c r="CAA1062" s="90"/>
      <c r="CAB1062" s="90"/>
      <c r="CAC1062" s="90"/>
      <c r="CAD1062" s="90"/>
      <c r="CAE1062" s="90"/>
      <c r="CAF1062" s="90"/>
      <c r="CAG1062" s="90"/>
      <c r="CAH1062" s="90"/>
      <c r="CAI1062" s="90"/>
      <c r="CAJ1062" s="90"/>
      <c r="CAK1062" s="90"/>
      <c r="CAL1062" s="90"/>
      <c r="CAM1062" s="90"/>
      <c r="CAN1062" s="90"/>
      <c r="CAO1062" s="90"/>
      <c r="CAP1062" s="90"/>
      <c r="CAQ1062" s="90"/>
      <c r="CAR1062" s="90"/>
      <c r="CAS1062" s="90"/>
      <c r="CAT1062" s="90"/>
      <c r="CAU1062" s="90"/>
      <c r="CAV1062" s="90"/>
      <c r="CAW1062" s="90"/>
      <c r="CAX1062" s="90"/>
      <c r="CAY1062" s="90"/>
      <c r="CAZ1062" s="90"/>
      <c r="CBA1062" s="90"/>
      <c r="CBB1062" s="90"/>
      <c r="CBC1062" s="90"/>
      <c r="CBD1062" s="90"/>
      <c r="CBE1062" s="90"/>
      <c r="CBF1062" s="90"/>
      <c r="CBG1062" s="90"/>
      <c r="CBH1062" s="90"/>
      <c r="CBI1062" s="90"/>
      <c r="CBJ1062" s="90"/>
      <c r="CBK1062" s="90"/>
      <c r="CBL1062" s="90"/>
      <c r="CBM1062" s="90"/>
      <c r="CBN1062" s="90"/>
      <c r="CBO1062" s="90"/>
      <c r="CBP1062" s="90"/>
      <c r="CBQ1062" s="90"/>
      <c r="CBR1062" s="90"/>
      <c r="CBS1062" s="90"/>
      <c r="CBT1062" s="90"/>
      <c r="CBU1062" s="90"/>
      <c r="CBV1062" s="90"/>
      <c r="CBW1062" s="90"/>
      <c r="CBX1062" s="90"/>
      <c r="CBY1062" s="90"/>
      <c r="CBZ1062" s="90"/>
      <c r="CCA1062" s="90"/>
      <c r="CCB1062" s="90"/>
      <c r="CCC1062" s="90"/>
      <c r="CCD1062" s="90"/>
      <c r="CCE1062" s="90"/>
      <c r="CCF1062" s="90"/>
      <c r="CCG1062" s="90"/>
      <c r="CCH1062" s="90"/>
      <c r="CCI1062" s="90"/>
      <c r="CCJ1062" s="90"/>
      <c r="CCK1062" s="90"/>
      <c r="CCL1062" s="90"/>
      <c r="CCM1062" s="90"/>
      <c r="CCN1062" s="90"/>
      <c r="CCO1062" s="90"/>
      <c r="CCP1062" s="90"/>
      <c r="CCQ1062" s="90"/>
      <c r="CCR1062" s="90"/>
      <c r="CCS1062" s="90"/>
      <c r="CCT1062" s="90"/>
      <c r="CCU1062" s="90"/>
      <c r="CCV1062" s="90"/>
      <c r="CCW1062" s="90"/>
      <c r="CCX1062" s="90"/>
      <c r="CCY1062" s="90"/>
      <c r="CCZ1062" s="90"/>
      <c r="CDA1062" s="90"/>
      <c r="CDB1062" s="90"/>
      <c r="CDC1062" s="90"/>
      <c r="CDD1062" s="90"/>
      <c r="CDE1062" s="90"/>
      <c r="CDF1062" s="90"/>
      <c r="CDG1062" s="90"/>
      <c r="CDH1062" s="90"/>
      <c r="CDI1062" s="90"/>
      <c r="CDJ1062" s="90"/>
      <c r="CDK1062" s="90"/>
      <c r="CDL1062" s="90"/>
      <c r="CDM1062" s="90"/>
      <c r="CDN1062" s="90"/>
      <c r="CDO1062" s="90"/>
      <c r="CDP1062" s="90"/>
      <c r="CDQ1062" s="90"/>
      <c r="CDR1062" s="90"/>
      <c r="CDS1062" s="90"/>
      <c r="CDT1062" s="90"/>
      <c r="CDU1062" s="90"/>
      <c r="CDV1062" s="90"/>
      <c r="CDW1062" s="90"/>
      <c r="CDX1062" s="90"/>
      <c r="CDY1062" s="90"/>
      <c r="CDZ1062" s="90"/>
      <c r="CEA1062" s="90"/>
      <c r="CEB1062" s="90"/>
      <c r="CEC1062" s="90"/>
      <c r="CED1062" s="90"/>
      <c r="CEE1062" s="90"/>
      <c r="CEF1062" s="90"/>
      <c r="CEG1062" s="90"/>
      <c r="CEH1062" s="90"/>
      <c r="CEI1062" s="90"/>
      <c r="CEJ1062" s="90"/>
      <c r="CEK1062" s="90"/>
      <c r="CEL1062" s="90"/>
      <c r="CEM1062" s="90"/>
      <c r="CEN1062" s="90"/>
      <c r="CEO1062" s="90"/>
      <c r="CEP1062" s="90"/>
      <c r="CEQ1062" s="90"/>
      <c r="CER1062" s="90"/>
      <c r="CES1062" s="90"/>
      <c r="CET1062" s="90"/>
      <c r="CEU1062" s="90"/>
      <c r="CEV1062" s="90"/>
      <c r="CEW1062" s="90"/>
      <c r="CEX1062" s="90"/>
      <c r="CEY1062" s="90"/>
      <c r="CEZ1062" s="90"/>
      <c r="CFA1062" s="90"/>
      <c r="CFB1062" s="90"/>
      <c r="CFC1062" s="90"/>
      <c r="CFD1062" s="90"/>
      <c r="CFE1062" s="90"/>
      <c r="CFF1062" s="90"/>
      <c r="CFG1062" s="90"/>
      <c r="CFH1062" s="90"/>
      <c r="CFI1062" s="90"/>
      <c r="CFJ1062" s="90"/>
      <c r="CFK1062" s="90"/>
      <c r="CFL1062" s="90"/>
      <c r="CFM1062" s="90"/>
      <c r="CFN1062" s="90"/>
      <c r="CFO1062" s="90"/>
      <c r="CFP1062" s="90"/>
      <c r="CFQ1062" s="90"/>
      <c r="CFR1062" s="90"/>
      <c r="CFS1062" s="90"/>
      <c r="CFT1062" s="90"/>
      <c r="CFU1062" s="90"/>
      <c r="CFV1062" s="90"/>
      <c r="CFW1062" s="90"/>
      <c r="CFX1062" s="90"/>
      <c r="CFY1062" s="90"/>
      <c r="CFZ1062" s="90"/>
      <c r="CGA1062" s="90"/>
      <c r="CGB1062" s="90"/>
      <c r="CGC1062" s="90"/>
      <c r="CGD1062" s="90"/>
      <c r="CGE1062" s="90"/>
      <c r="CGF1062" s="90"/>
      <c r="CGG1062" s="90"/>
      <c r="CGH1062" s="90"/>
      <c r="CGI1062" s="90"/>
      <c r="CGJ1062" s="90"/>
      <c r="CGK1062" s="90"/>
      <c r="CGL1062" s="90"/>
      <c r="CGM1062" s="90"/>
      <c r="CGN1062" s="90"/>
      <c r="CGO1062" s="90"/>
      <c r="CGP1062" s="90"/>
      <c r="CGQ1062" s="90"/>
      <c r="CGR1062" s="90"/>
      <c r="CGS1062" s="90"/>
      <c r="CGT1062" s="90"/>
      <c r="CGU1062" s="90"/>
      <c r="CGV1062" s="90"/>
      <c r="CGW1062" s="90"/>
      <c r="CGX1062" s="90"/>
      <c r="CGY1062" s="90"/>
      <c r="CGZ1062" s="90"/>
      <c r="CHA1062" s="90"/>
      <c r="CHB1062" s="90"/>
      <c r="CHC1062" s="90"/>
      <c r="CHD1062" s="90"/>
      <c r="CHE1062" s="90"/>
      <c r="CHF1062" s="90"/>
      <c r="CHG1062" s="90"/>
      <c r="CHH1062" s="90"/>
      <c r="CHI1062" s="90"/>
      <c r="CHJ1062" s="90"/>
      <c r="CHK1062" s="90"/>
      <c r="CHL1062" s="90"/>
      <c r="CHM1062" s="90"/>
      <c r="CHN1062" s="90"/>
      <c r="CHO1062" s="90"/>
      <c r="CHP1062" s="90"/>
      <c r="CHQ1062" s="90"/>
      <c r="CHR1062" s="90"/>
      <c r="CHS1062" s="90"/>
      <c r="CHT1062" s="90"/>
      <c r="CHU1062" s="90"/>
      <c r="CHV1062" s="90"/>
      <c r="CHW1062" s="90"/>
      <c r="CHX1062" s="90"/>
      <c r="CHY1062" s="90"/>
      <c r="CHZ1062" s="90"/>
      <c r="CIA1062" s="90"/>
      <c r="CIB1062" s="90"/>
      <c r="CIC1062" s="90"/>
      <c r="CID1062" s="90"/>
      <c r="CIE1062" s="90"/>
      <c r="CIF1062" s="90"/>
      <c r="CIG1062" s="90"/>
      <c r="CIH1062" s="90"/>
      <c r="CII1062" s="90"/>
      <c r="CIJ1062" s="90"/>
      <c r="CIK1062" s="90"/>
      <c r="CIL1062" s="90"/>
      <c r="CIM1062" s="90"/>
      <c r="CIN1062" s="90"/>
      <c r="CIO1062" s="90"/>
      <c r="CIP1062" s="90"/>
      <c r="CIQ1062" s="90"/>
      <c r="CIR1062" s="90"/>
      <c r="CIS1062" s="90"/>
      <c r="CIT1062" s="90"/>
      <c r="CIU1062" s="90"/>
      <c r="CIV1062" s="90"/>
      <c r="CIW1062" s="90"/>
      <c r="CIX1062" s="90"/>
      <c r="CIY1062" s="90"/>
      <c r="CIZ1062" s="90"/>
      <c r="CJA1062" s="90"/>
      <c r="CJB1062" s="90"/>
      <c r="CJC1062" s="90"/>
      <c r="CJD1062" s="90"/>
      <c r="CJE1062" s="90"/>
      <c r="CJF1062" s="90"/>
      <c r="CJG1062" s="90"/>
      <c r="CJH1062" s="90"/>
      <c r="CJI1062" s="90"/>
      <c r="CJJ1062" s="90"/>
      <c r="CJK1062" s="90"/>
      <c r="CJL1062" s="90"/>
      <c r="CJM1062" s="90"/>
      <c r="CJN1062" s="90"/>
      <c r="CJO1062" s="90"/>
      <c r="CJP1062" s="90"/>
      <c r="CJQ1062" s="90"/>
      <c r="CJR1062" s="90"/>
      <c r="CJS1062" s="90"/>
      <c r="CJT1062" s="90"/>
      <c r="CJU1062" s="90"/>
      <c r="CJV1062" s="90"/>
      <c r="CJW1062" s="90"/>
      <c r="CJX1062" s="90"/>
      <c r="CJY1062" s="90"/>
      <c r="CJZ1062" s="90"/>
      <c r="CKA1062" s="90"/>
      <c r="CKB1062" s="90"/>
      <c r="CKC1062" s="90"/>
      <c r="CKD1062" s="90"/>
      <c r="CKE1062" s="90"/>
      <c r="CKF1062" s="90"/>
      <c r="CKG1062" s="90"/>
      <c r="CKH1062" s="90"/>
      <c r="CKI1062" s="90"/>
      <c r="CKJ1062" s="90"/>
      <c r="CKK1062" s="90"/>
      <c r="CKL1062" s="90"/>
      <c r="CKM1062" s="90"/>
      <c r="CKN1062" s="90"/>
      <c r="CKO1062" s="90"/>
      <c r="CKP1062" s="90"/>
      <c r="CKQ1062" s="90"/>
      <c r="CKR1062" s="90"/>
      <c r="CKS1062" s="90"/>
      <c r="CKT1062" s="90"/>
      <c r="CKU1062" s="90"/>
      <c r="CKV1062" s="90"/>
      <c r="CKW1062" s="90"/>
      <c r="CKX1062" s="90"/>
      <c r="CKY1062" s="90"/>
      <c r="CKZ1062" s="90"/>
      <c r="CLA1062" s="90"/>
      <c r="CLB1062" s="90"/>
      <c r="CLC1062" s="90"/>
      <c r="CLD1062" s="90"/>
      <c r="CLE1062" s="90"/>
      <c r="CLF1062" s="90"/>
      <c r="CLG1062" s="90"/>
      <c r="CLH1062" s="90"/>
      <c r="CLI1062" s="90"/>
      <c r="CLJ1062" s="90"/>
      <c r="CLK1062" s="90"/>
      <c r="CLL1062" s="90"/>
      <c r="CLM1062" s="90"/>
      <c r="CLN1062" s="90"/>
      <c r="CLO1062" s="90"/>
      <c r="CLP1062" s="90"/>
      <c r="CLQ1062" s="90"/>
      <c r="CLR1062" s="90"/>
      <c r="CLS1062" s="90"/>
      <c r="CLT1062" s="90"/>
      <c r="CLU1062" s="90"/>
      <c r="CLV1062" s="90"/>
      <c r="CLW1062" s="90"/>
      <c r="CLX1062" s="90"/>
      <c r="CLY1062" s="90"/>
      <c r="CLZ1062" s="90"/>
      <c r="CMA1062" s="90"/>
      <c r="CMB1062" s="90"/>
      <c r="CMC1062" s="90"/>
      <c r="CMD1062" s="90"/>
      <c r="CME1062" s="90"/>
      <c r="CMF1062" s="90"/>
      <c r="CMG1062" s="90"/>
      <c r="CMH1062" s="90"/>
      <c r="CMI1062" s="90"/>
      <c r="CMJ1062" s="90"/>
      <c r="CMK1062" s="90"/>
      <c r="CML1062" s="90"/>
      <c r="CMM1062" s="90"/>
      <c r="CMN1062" s="90"/>
      <c r="CMO1062" s="90"/>
      <c r="CMP1062" s="90"/>
      <c r="CMQ1062" s="90"/>
      <c r="CMR1062" s="90"/>
      <c r="CMS1062" s="90"/>
      <c r="CMT1062" s="90"/>
      <c r="CMU1062" s="90"/>
      <c r="CMV1062" s="90"/>
      <c r="CMW1062" s="90"/>
      <c r="CMX1062" s="90"/>
      <c r="CMY1062" s="90"/>
      <c r="CMZ1062" s="90"/>
      <c r="CNA1062" s="90"/>
      <c r="CNB1062" s="90"/>
      <c r="CNC1062" s="90"/>
      <c r="CND1062" s="90"/>
      <c r="CNE1062" s="90"/>
      <c r="CNF1062" s="90"/>
      <c r="CNG1062" s="90"/>
      <c r="CNH1062" s="90"/>
      <c r="CNI1062" s="90"/>
      <c r="CNJ1062" s="90"/>
      <c r="CNK1062" s="90"/>
      <c r="CNL1062" s="90"/>
      <c r="CNM1062" s="90"/>
      <c r="CNN1062" s="90"/>
      <c r="CNO1062" s="90"/>
      <c r="CNP1062" s="90"/>
      <c r="CNQ1062" s="90"/>
      <c r="CNR1062" s="90"/>
      <c r="CNS1062" s="90"/>
      <c r="CNT1062" s="90"/>
      <c r="CNU1062" s="90"/>
      <c r="CNV1062" s="90"/>
      <c r="CNW1062" s="90"/>
      <c r="CNX1062" s="90"/>
      <c r="CNY1062" s="90"/>
      <c r="CNZ1062" s="90"/>
      <c r="COA1062" s="90"/>
      <c r="COB1062" s="90"/>
      <c r="COC1062" s="90"/>
      <c r="COD1062" s="90"/>
      <c r="COE1062" s="90"/>
      <c r="COF1062" s="90"/>
      <c r="COG1062" s="90"/>
      <c r="COH1062" s="90"/>
      <c r="COI1062" s="90"/>
      <c r="COJ1062" s="90"/>
      <c r="COK1062" s="90"/>
      <c r="COL1062" s="90"/>
      <c r="COM1062" s="90"/>
      <c r="CON1062" s="90"/>
      <c r="COO1062" s="90"/>
      <c r="COP1062" s="90"/>
      <c r="COQ1062" s="90"/>
      <c r="COR1062" s="90"/>
      <c r="COS1062" s="90"/>
      <c r="COT1062" s="90"/>
      <c r="COU1062" s="90"/>
      <c r="COV1062" s="90"/>
      <c r="COW1062" s="90"/>
      <c r="COX1062" s="90"/>
      <c r="COY1062" s="90"/>
      <c r="COZ1062" s="90"/>
      <c r="CPA1062" s="90"/>
      <c r="CPB1062" s="90"/>
      <c r="CPC1062" s="90"/>
      <c r="CPD1062" s="90"/>
      <c r="CPE1062" s="90"/>
      <c r="CPF1062" s="90"/>
      <c r="CPG1062" s="90"/>
      <c r="CPH1062" s="90"/>
      <c r="CPI1062" s="90"/>
      <c r="CPJ1062" s="90"/>
      <c r="CPK1062" s="90"/>
      <c r="CPL1062" s="90"/>
      <c r="CPM1062" s="90"/>
      <c r="CPN1062" s="90"/>
      <c r="CPO1062" s="90"/>
      <c r="CPP1062" s="90"/>
      <c r="CPQ1062" s="90"/>
      <c r="CPR1062" s="90"/>
      <c r="CPS1062" s="90"/>
      <c r="CPT1062" s="90"/>
      <c r="CPU1062" s="90"/>
      <c r="CPV1062" s="90"/>
      <c r="CPW1062" s="90"/>
      <c r="CPX1062" s="90"/>
      <c r="CPY1062" s="90"/>
      <c r="CPZ1062" s="90"/>
      <c r="CQA1062" s="90"/>
      <c r="CQB1062" s="90"/>
      <c r="CQC1062" s="90"/>
      <c r="CQD1062" s="90"/>
      <c r="CQE1062" s="90"/>
      <c r="CQF1062" s="90"/>
      <c r="CQG1062" s="90"/>
      <c r="CQH1062" s="90"/>
      <c r="CQI1062" s="90"/>
      <c r="CQJ1062" s="90"/>
      <c r="CQK1062" s="90"/>
      <c r="CQL1062" s="90"/>
      <c r="CQM1062" s="90"/>
      <c r="CQN1062" s="90"/>
      <c r="CQO1062" s="90"/>
      <c r="CQP1062" s="90"/>
      <c r="CQQ1062" s="90"/>
      <c r="CQR1062" s="90"/>
      <c r="CQS1062" s="90"/>
      <c r="CQT1062" s="90"/>
      <c r="CQU1062" s="90"/>
      <c r="CQV1062" s="90"/>
      <c r="CQW1062" s="90"/>
      <c r="CQX1062" s="90"/>
      <c r="CQY1062" s="90"/>
      <c r="CQZ1062" s="90"/>
      <c r="CRA1062" s="90"/>
      <c r="CRB1062" s="90"/>
      <c r="CRC1062" s="90"/>
      <c r="CRD1062" s="90"/>
      <c r="CRE1062" s="90"/>
      <c r="CRF1062" s="90"/>
      <c r="CRG1062" s="90"/>
      <c r="CRH1062" s="90"/>
      <c r="CRI1062" s="90"/>
      <c r="CRJ1062" s="90"/>
      <c r="CRK1062" s="90"/>
      <c r="CRL1062" s="90"/>
      <c r="CRM1062" s="90"/>
      <c r="CRN1062" s="90"/>
      <c r="CRO1062" s="90"/>
      <c r="CRP1062" s="90"/>
      <c r="CRQ1062" s="90"/>
      <c r="CRR1062" s="90"/>
      <c r="CRS1062" s="90"/>
      <c r="CRT1062" s="90"/>
      <c r="CRU1062" s="90"/>
      <c r="CRV1062" s="90"/>
      <c r="CRW1062" s="90"/>
      <c r="CRX1062" s="90"/>
      <c r="CRY1062" s="90"/>
      <c r="CRZ1062" s="90"/>
      <c r="CSA1062" s="90"/>
      <c r="CSB1062" s="90"/>
      <c r="CSC1062" s="90"/>
      <c r="CSD1062" s="90"/>
      <c r="CSE1062" s="90"/>
      <c r="CSF1062" s="90"/>
      <c r="CSG1062" s="90"/>
      <c r="CSH1062" s="90"/>
      <c r="CSI1062" s="90"/>
      <c r="CSJ1062" s="90"/>
      <c r="CSK1062" s="90"/>
      <c r="CSL1062" s="90"/>
      <c r="CSM1062" s="90"/>
      <c r="CSN1062" s="90"/>
      <c r="CSO1062" s="90"/>
      <c r="CSP1062" s="90"/>
      <c r="CSQ1062" s="90"/>
      <c r="CSR1062" s="90"/>
      <c r="CSS1062" s="90"/>
      <c r="CST1062" s="90"/>
      <c r="CSU1062" s="90"/>
      <c r="CSV1062" s="90"/>
      <c r="CSW1062" s="90"/>
      <c r="CSX1062" s="90"/>
      <c r="CSY1062" s="90"/>
      <c r="CSZ1062" s="90"/>
      <c r="CTA1062" s="90"/>
      <c r="CTB1062" s="90"/>
      <c r="CTC1062" s="90"/>
      <c r="CTD1062" s="90"/>
      <c r="CTE1062" s="90"/>
      <c r="CTF1062" s="90"/>
      <c r="CTG1062" s="90"/>
      <c r="CTH1062" s="90"/>
      <c r="CTI1062" s="90"/>
      <c r="CTJ1062" s="90"/>
      <c r="CTK1062" s="90"/>
      <c r="CTL1062" s="90"/>
      <c r="CTM1062" s="90"/>
      <c r="CTN1062" s="90"/>
      <c r="CTO1062" s="90"/>
      <c r="CTP1062" s="90"/>
      <c r="CTQ1062" s="90"/>
      <c r="CTR1062" s="90"/>
      <c r="CTS1062" s="90"/>
      <c r="CTT1062" s="90"/>
      <c r="CTU1062" s="90"/>
      <c r="CTV1062" s="90"/>
      <c r="CTW1062" s="90"/>
      <c r="CTX1062" s="90"/>
      <c r="CTY1062" s="90"/>
      <c r="CTZ1062" s="90"/>
      <c r="CUA1062" s="90"/>
      <c r="CUB1062" s="90"/>
      <c r="CUC1062" s="90"/>
      <c r="CUD1062" s="90"/>
      <c r="CUE1062" s="90"/>
      <c r="CUF1062" s="90"/>
      <c r="CUG1062" s="90"/>
      <c r="CUH1062" s="90"/>
      <c r="CUI1062" s="90"/>
      <c r="CUJ1062" s="90"/>
      <c r="CUK1062" s="90"/>
      <c r="CUL1062" s="90"/>
      <c r="CUM1062" s="90"/>
      <c r="CUN1062" s="90"/>
      <c r="CUO1062" s="90"/>
      <c r="CUP1062" s="90"/>
      <c r="CUQ1062" s="90"/>
      <c r="CUR1062" s="90"/>
      <c r="CUS1062" s="90"/>
      <c r="CUT1062" s="90"/>
      <c r="CUU1062" s="90"/>
      <c r="CUV1062" s="90"/>
      <c r="CUW1062" s="90"/>
      <c r="CUX1062" s="90"/>
      <c r="CUY1062" s="90"/>
      <c r="CUZ1062" s="90"/>
      <c r="CVA1062" s="90"/>
      <c r="CVB1062" s="90"/>
      <c r="CVC1062" s="90"/>
      <c r="CVD1062" s="90"/>
      <c r="CVE1062" s="90"/>
      <c r="CVF1062" s="90"/>
      <c r="CVG1062" s="90"/>
      <c r="CVH1062" s="90"/>
      <c r="CVI1062" s="90"/>
      <c r="CVJ1062" s="90"/>
      <c r="CVK1062" s="90"/>
      <c r="CVL1062" s="90"/>
      <c r="CVM1062" s="90"/>
      <c r="CVN1062" s="90"/>
      <c r="CVO1062" s="90"/>
      <c r="CVP1062" s="90"/>
      <c r="CVQ1062" s="90"/>
      <c r="CVR1062" s="90"/>
      <c r="CVS1062" s="90"/>
      <c r="CVT1062" s="90"/>
      <c r="CVU1062" s="90"/>
      <c r="CVV1062" s="90"/>
      <c r="CVW1062" s="90"/>
      <c r="CVX1062" s="90"/>
      <c r="CVY1062" s="90"/>
      <c r="CVZ1062" s="90"/>
      <c r="CWA1062" s="90"/>
      <c r="CWB1062" s="90"/>
      <c r="CWC1062" s="90"/>
      <c r="CWD1062" s="90"/>
      <c r="CWE1062" s="90"/>
      <c r="CWF1062" s="90"/>
      <c r="CWG1062" s="90"/>
      <c r="CWH1062" s="90"/>
      <c r="CWI1062" s="90"/>
      <c r="CWJ1062" s="90"/>
      <c r="CWK1062" s="90"/>
      <c r="CWL1062" s="90"/>
      <c r="CWM1062" s="90"/>
      <c r="CWN1062" s="90"/>
      <c r="CWO1062" s="90"/>
      <c r="CWP1062" s="90"/>
      <c r="CWQ1062" s="90"/>
      <c r="CWR1062" s="90"/>
      <c r="CWS1062" s="90"/>
      <c r="CWT1062" s="90"/>
      <c r="CWU1062" s="90"/>
      <c r="CWV1062" s="90"/>
      <c r="CWW1062" s="90"/>
      <c r="CWX1062" s="90"/>
      <c r="CWY1062" s="90"/>
      <c r="CWZ1062" s="90"/>
      <c r="CXA1062" s="90"/>
      <c r="CXB1062" s="90"/>
      <c r="CXC1062" s="90"/>
      <c r="CXD1062" s="90"/>
      <c r="CXE1062" s="90"/>
      <c r="CXF1062" s="90"/>
      <c r="CXG1062" s="90"/>
      <c r="CXH1062" s="90"/>
      <c r="CXI1062" s="90"/>
      <c r="CXJ1062" s="90"/>
      <c r="CXK1062" s="90"/>
      <c r="CXL1062" s="90"/>
      <c r="CXM1062" s="90"/>
      <c r="CXN1062" s="90"/>
      <c r="CXO1062" s="90"/>
      <c r="CXP1062" s="90"/>
      <c r="CXQ1062" s="90"/>
      <c r="CXR1062" s="90"/>
      <c r="CXS1062" s="90"/>
      <c r="CXT1062" s="90"/>
      <c r="CXU1062" s="90"/>
      <c r="CXV1062" s="90"/>
      <c r="CXW1062" s="90"/>
      <c r="CXX1062" s="90"/>
      <c r="CXY1062" s="90"/>
      <c r="CXZ1062" s="90"/>
      <c r="CYA1062" s="90"/>
      <c r="CYB1062" s="90"/>
      <c r="CYC1062" s="90"/>
      <c r="CYD1062" s="90"/>
      <c r="CYE1062" s="90"/>
      <c r="CYF1062" s="90"/>
      <c r="CYG1062" s="90"/>
      <c r="CYH1062" s="90"/>
      <c r="CYI1062" s="90"/>
      <c r="CYJ1062" s="90"/>
      <c r="CYK1062" s="90"/>
      <c r="CYL1062" s="90"/>
      <c r="CYM1062" s="90"/>
      <c r="CYN1062" s="90"/>
      <c r="CYO1062" s="90"/>
      <c r="CYP1062" s="90"/>
      <c r="CYQ1062" s="90"/>
      <c r="CYR1062" s="90"/>
      <c r="CYS1062" s="90"/>
      <c r="CYT1062" s="90"/>
      <c r="CYU1062" s="90"/>
      <c r="CYV1062" s="90"/>
      <c r="CYW1062" s="90"/>
      <c r="CYX1062" s="90"/>
      <c r="CYY1062" s="90"/>
      <c r="CYZ1062" s="90"/>
      <c r="CZA1062" s="90"/>
      <c r="CZB1062" s="90"/>
      <c r="CZC1062" s="90"/>
      <c r="CZD1062" s="90"/>
      <c r="CZE1062" s="90"/>
      <c r="CZF1062" s="90"/>
      <c r="CZG1062" s="90"/>
      <c r="CZH1062" s="90"/>
      <c r="CZI1062" s="90"/>
      <c r="CZJ1062" s="90"/>
      <c r="CZK1062" s="90"/>
      <c r="CZL1062" s="90"/>
      <c r="CZM1062" s="90"/>
      <c r="CZN1062" s="90"/>
      <c r="CZO1062" s="90"/>
      <c r="CZP1062" s="90"/>
      <c r="CZQ1062" s="90"/>
      <c r="CZR1062" s="90"/>
      <c r="CZS1062" s="90"/>
      <c r="CZT1062" s="90"/>
      <c r="CZU1062" s="90"/>
      <c r="CZV1062" s="90"/>
      <c r="CZW1062" s="90"/>
      <c r="CZX1062" s="90"/>
      <c r="CZY1062" s="90"/>
      <c r="CZZ1062" s="90"/>
      <c r="DAA1062" s="90"/>
      <c r="DAB1062" s="90"/>
      <c r="DAC1062" s="90"/>
      <c r="DAD1062" s="90"/>
      <c r="DAE1062" s="90"/>
      <c r="DAF1062" s="90"/>
      <c r="DAG1062" s="90"/>
      <c r="DAH1062" s="90"/>
      <c r="DAI1062" s="90"/>
      <c r="DAJ1062" s="90"/>
      <c r="DAK1062" s="90"/>
      <c r="DAL1062" s="90"/>
      <c r="DAM1062" s="90"/>
      <c r="DAN1062" s="90"/>
      <c r="DAO1062" s="90"/>
      <c r="DAP1062" s="90"/>
      <c r="DAQ1062" s="90"/>
      <c r="DAR1062" s="90"/>
      <c r="DAS1062" s="90"/>
      <c r="DAT1062" s="90"/>
      <c r="DAU1062" s="90"/>
      <c r="DAV1062" s="90"/>
      <c r="DAW1062" s="90"/>
      <c r="DAX1062" s="90"/>
      <c r="DAY1062" s="90"/>
      <c r="DAZ1062" s="90"/>
      <c r="DBA1062" s="90"/>
      <c r="DBB1062" s="90"/>
      <c r="DBC1062" s="90"/>
      <c r="DBD1062" s="90"/>
      <c r="DBE1062" s="90"/>
      <c r="DBF1062" s="90"/>
      <c r="DBG1062" s="90"/>
      <c r="DBH1062" s="90"/>
      <c r="DBI1062" s="90"/>
      <c r="DBJ1062" s="90"/>
      <c r="DBK1062" s="90"/>
      <c r="DBL1062" s="90"/>
      <c r="DBM1062" s="90"/>
      <c r="DBN1062" s="90"/>
      <c r="DBO1062" s="90"/>
      <c r="DBP1062" s="90"/>
      <c r="DBQ1062" s="90"/>
      <c r="DBR1062" s="90"/>
      <c r="DBS1062" s="90"/>
      <c r="DBT1062" s="90"/>
      <c r="DBU1062" s="90"/>
      <c r="DBV1062" s="90"/>
      <c r="DBW1062" s="90"/>
      <c r="DBX1062" s="90"/>
      <c r="DBY1062" s="90"/>
      <c r="DBZ1062" s="90"/>
      <c r="DCA1062" s="90"/>
      <c r="DCB1062" s="90"/>
      <c r="DCC1062" s="90"/>
      <c r="DCD1062" s="90"/>
      <c r="DCE1062" s="90"/>
      <c r="DCF1062" s="90"/>
      <c r="DCG1062" s="90"/>
      <c r="DCH1062" s="90"/>
      <c r="DCI1062" s="90"/>
      <c r="DCJ1062" s="90"/>
      <c r="DCK1062" s="90"/>
      <c r="DCL1062" s="90"/>
      <c r="DCM1062" s="90"/>
      <c r="DCN1062" s="90"/>
      <c r="DCO1062" s="90"/>
      <c r="DCP1062" s="90"/>
      <c r="DCQ1062" s="90"/>
      <c r="DCR1062" s="90"/>
      <c r="DCS1062" s="90"/>
      <c r="DCT1062" s="90"/>
      <c r="DCU1062" s="90"/>
      <c r="DCV1062" s="90"/>
      <c r="DCW1062" s="90"/>
      <c r="DCX1062" s="90"/>
      <c r="DCY1062" s="90"/>
      <c r="DCZ1062" s="90"/>
      <c r="DDA1062" s="90"/>
      <c r="DDB1062" s="90"/>
      <c r="DDC1062" s="90"/>
      <c r="DDD1062" s="90"/>
      <c r="DDE1062" s="90"/>
      <c r="DDF1062" s="90"/>
      <c r="DDG1062" s="90"/>
      <c r="DDH1062" s="90"/>
      <c r="DDI1062" s="90"/>
      <c r="DDJ1062" s="90"/>
      <c r="DDK1062" s="90"/>
      <c r="DDL1062" s="90"/>
      <c r="DDM1062" s="90"/>
      <c r="DDN1062" s="90"/>
      <c r="DDO1062" s="90"/>
      <c r="DDP1062" s="90"/>
      <c r="DDQ1062" s="90"/>
      <c r="DDR1062" s="90"/>
      <c r="DDS1062" s="90"/>
      <c r="DDT1062" s="90"/>
      <c r="DDU1062" s="90"/>
      <c r="DDV1062" s="90"/>
      <c r="DDW1062" s="90"/>
      <c r="DDX1062" s="90"/>
      <c r="DDY1062" s="90"/>
      <c r="DDZ1062" s="90"/>
      <c r="DEA1062" s="90"/>
      <c r="DEB1062" s="90"/>
      <c r="DEC1062" s="90"/>
      <c r="DED1062" s="90"/>
      <c r="DEE1062" s="90"/>
      <c r="DEF1062" s="90"/>
      <c r="DEG1062" s="90"/>
      <c r="DEH1062" s="90"/>
      <c r="DEI1062" s="90"/>
      <c r="DEJ1062" s="90"/>
      <c r="DEK1062" s="90"/>
      <c r="DEL1062" s="90"/>
      <c r="DEM1062" s="90"/>
      <c r="DEN1062" s="90"/>
      <c r="DEO1062" s="90"/>
      <c r="DEP1062" s="90"/>
      <c r="DEQ1062" s="90"/>
      <c r="DER1062" s="90"/>
      <c r="DES1062" s="90"/>
      <c r="DET1062" s="90"/>
      <c r="DEU1062" s="90"/>
      <c r="DEV1062" s="90"/>
      <c r="DEW1062" s="90"/>
      <c r="DEX1062" s="90"/>
      <c r="DEY1062" s="90"/>
      <c r="DEZ1062" s="90"/>
      <c r="DFA1062" s="90"/>
      <c r="DFB1062" s="90"/>
      <c r="DFC1062" s="90"/>
      <c r="DFD1062" s="90"/>
      <c r="DFE1062" s="90"/>
      <c r="DFF1062" s="90"/>
      <c r="DFG1062" s="90"/>
      <c r="DFH1062" s="90"/>
      <c r="DFI1062" s="90"/>
      <c r="DFJ1062" s="90"/>
      <c r="DFK1062" s="90"/>
      <c r="DFL1062" s="90"/>
      <c r="DFM1062" s="90"/>
      <c r="DFN1062" s="90"/>
      <c r="DFO1062" s="90"/>
      <c r="DFP1062" s="90"/>
      <c r="DFQ1062" s="90"/>
      <c r="DFR1062" s="90"/>
      <c r="DFS1062" s="90"/>
      <c r="DFT1062" s="90"/>
      <c r="DFU1062" s="90"/>
      <c r="DFV1062" s="90"/>
      <c r="DFW1062" s="90"/>
      <c r="DFX1062" s="90"/>
      <c r="DFY1062" s="90"/>
      <c r="DFZ1062" s="90"/>
      <c r="DGA1062" s="90"/>
      <c r="DGB1062" s="90"/>
      <c r="DGC1062" s="90"/>
      <c r="DGD1062" s="90"/>
      <c r="DGE1062" s="90"/>
      <c r="DGF1062" s="90"/>
      <c r="DGG1062" s="90"/>
      <c r="DGH1062" s="90"/>
      <c r="DGI1062" s="90"/>
      <c r="DGJ1062" s="90"/>
      <c r="DGK1062" s="90"/>
      <c r="DGL1062" s="90"/>
      <c r="DGM1062" s="90"/>
      <c r="DGN1062" s="90"/>
      <c r="DGO1062" s="90"/>
      <c r="DGP1062" s="90"/>
      <c r="DGQ1062" s="90"/>
      <c r="DGR1062" s="90"/>
      <c r="DGS1062" s="90"/>
      <c r="DGT1062" s="90"/>
      <c r="DGU1062" s="90"/>
      <c r="DGV1062" s="90"/>
      <c r="DGW1062" s="90"/>
      <c r="DGX1062" s="90"/>
      <c r="DGY1062" s="90"/>
      <c r="DGZ1062" s="90"/>
      <c r="DHA1062" s="90"/>
      <c r="DHB1062" s="90"/>
      <c r="DHC1062" s="90"/>
      <c r="DHD1062" s="90"/>
      <c r="DHE1062" s="90"/>
      <c r="DHF1062" s="90"/>
      <c r="DHG1062" s="90"/>
      <c r="DHH1062" s="90"/>
      <c r="DHI1062" s="90"/>
      <c r="DHJ1062" s="90"/>
      <c r="DHK1062" s="90"/>
      <c r="DHL1062" s="90"/>
      <c r="DHM1062" s="90"/>
      <c r="DHN1062" s="90"/>
      <c r="DHO1062" s="90"/>
      <c r="DHP1062" s="90"/>
      <c r="DHQ1062" s="90"/>
      <c r="DHR1062" s="90"/>
      <c r="DHS1062" s="90"/>
      <c r="DHT1062" s="90"/>
      <c r="DHU1062" s="90"/>
      <c r="DHV1062" s="90"/>
      <c r="DHW1062" s="90"/>
      <c r="DHX1062" s="90"/>
      <c r="DHY1062" s="90"/>
      <c r="DHZ1062" s="90"/>
      <c r="DIA1062" s="90"/>
      <c r="DIB1062" s="90"/>
      <c r="DIC1062" s="90"/>
      <c r="DID1062" s="90"/>
      <c r="DIE1062" s="90"/>
      <c r="DIF1062" s="90"/>
      <c r="DIG1062" s="90"/>
      <c r="DIH1062" s="90"/>
      <c r="DII1062" s="90"/>
      <c r="DIJ1062" s="90"/>
      <c r="DIK1062" s="90"/>
      <c r="DIL1062" s="90"/>
      <c r="DIM1062" s="90"/>
      <c r="DIN1062" s="90"/>
      <c r="DIO1062" s="90"/>
      <c r="DIP1062" s="90"/>
      <c r="DIQ1062" s="90"/>
      <c r="DIR1062" s="90"/>
      <c r="DIS1062" s="90"/>
      <c r="DIT1062" s="90"/>
      <c r="DIU1062" s="90"/>
      <c r="DIV1062" s="90"/>
      <c r="DIW1062" s="90"/>
      <c r="DIX1062" s="90"/>
      <c r="DIY1062" s="90"/>
      <c r="DIZ1062" s="90"/>
      <c r="DJA1062" s="90"/>
      <c r="DJB1062" s="90"/>
      <c r="DJC1062" s="90"/>
      <c r="DJD1062" s="90"/>
      <c r="DJE1062" s="90"/>
      <c r="DJF1062" s="90"/>
      <c r="DJG1062" s="90"/>
      <c r="DJH1062" s="90"/>
      <c r="DJI1062" s="90"/>
      <c r="DJJ1062" s="90"/>
      <c r="DJK1062" s="90"/>
      <c r="DJL1062" s="90"/>
      <c r="DJM1062" s="90"/>
      <c r="DJN1062" s="90"/>
      <c r="DJO1062" s="90"/>
      <c r="DJP1062" s="90"/>
      <c r="DJQ1062" s="90"/>
      <c r="DJR1062" s="90"/>
      <c r="DJS1062" s="90"/>
      <c r="DJT1062" s="90"/>
      <c r="DJU1062" s="90"/>
      <c r="DJV1062" s="90"/>
      <c r="DJW1062" s="90"/>
      <c r="DJX1062" s="90"/>
      <c r="DJY1062" s="90"/>
      <c r="DJZ1062" s="90"/>
      <c r="DKA1062" s="90"/>
      <c r="DKB1062" s="90"/>
      <c r="DKC1062" s="90"/>
      <c r="DKD1062" s="90"/>
      <c r="DKE1062" s="90"/>
      <c r="DKF1062" s="90"/>
      <c r="DKG1062" s="90"/>
      <c r="DKH1062" s="90"/>
      <c r="DKI1062" s="90"/>
      <c r="DKJ1062" s="90"/>
      <c r="DKK1062" s="90"/>
      <c r="DKL1062" s="90"/>
      <c r="DKM1062" s="90"/>
      <c r="DKN1062" s="90"/>
      <c r="DKO1062" s="90"/>
      <c r="DKP1062" s="90"/>
      <c r="DKQ1062" s="90"/>
      <c r="DKR1062" s="90"/>
      <c r="DKS1062" s="90"/>
      <c r="DKT1062" s="90"/>
      <c r="DKU1062" s="90"/>
      <c r="DKV1062" s="90"/>
      <c r="DKW1062" s="90"/>
      <c r="DKX1062" s="90"/>
      <c r="DKY1062" s="90"/>
      <c r="DKZ1062" s="90"/>
      <c r="DLA1062" s="90"/>
      <c r="DLB1062" s="90"/>
      <c r="DLC1062" s="90"/>
      <c r="DLD1062" s="90"/>
      <c r="DLE1062" s="90"/>
      <c r="DLF1062" s="90"/>
      <c r="DLG1062" s="90"/>
      <c r="DLH1062" s="90"/>
      <c r="DLI1062" s="90"/>
      <c r="DLJ1062" s="90"/>
      <c r="DLK1062" s="90"/>
      <c r="DLL1062" s="90"/>
      <c r="DLM1062" s="90"/>
      <c r="DLN1062" s="90"/>
      <c r="DLO1062" s="90"/>
      <c r="DLP1062" s="90"/>
      <c r="DLQ1062" s="90"/>
      <c r="DLR1062" s="90"/>
      <c r="DLS1062" s="90"/>
      <c r="DLT1062" s="90"/>
      <c r="DLU1062" s="90"/>
      <c r="DLV1062" s="90"/>
      <c r="DLW1062" s="90"/>
      <c r="DLX1062" s="90"/>
      <c r="DLY1062" s="90"/>
      <c r="DLZ1062" s="90"/>
      <c r="DMA1062" s="90"/>
      <c r="DMB1062" s="90"/>
      <c r="DMC1062" s="90"/>
      <c r="DMD1062" s="90"/>
      <c r="DME1062" s="90"/>
      <c r="DMF1062" s="90"/>
      <c r="DMG1062" s="90"/>
      <c r="DMH1062" s="90"/>
      <c r="DMI1062" s="90"/>
      <c r="DMJ1062" s="90"/>
      <c r="DMK1062" s="90"/>
      <c r="DML1062" s="90"/>
      <c r="DMM1062" s="90"/>
      <c r="DMN1062" s="90"/>
      <c r="DMO1062" s="90"/>
      <c r="DMP1062" s="90"/>
      <c r="DMQ1062" s="90"/>
      <c r="DMR1062" s="90"/>
      <c r="DMS1062" s="90"/>
      <c r="DMT1062" s="90"/>
      <c r="DMU1062" s="90"/>
      <c r="DMV1062" s="90"/>
      <c r="DMW1062" s="90"/>
      <c r="DMX1062" s="90"/>
      <c r="DMY1062" s="90"/>
      <c r="DMZ1062" s="90"/>
      <c r="DNA1062" s="90"/>
      <c r="DNB1062" s="90"/>
      <c r="DNC1062" s="90"/>
      <c r="DND1062" s="90"/>
      <c r="DNE1062" s="90"/>
      <c r="DNF1062" s="90"/>
      <c r="DNG1062" s="90"/>
      <c r="DNH1062" s="90"/>
      <c r="DNI1062" s="90"/>
      <c r="DNJ1062" s="90"/>
      <c r="DNK1062" s="90"/>
      <c r="DNL1062" s="90"/>
      <c r="DNM1062" s="90"/>
      <c r="DNN1062" s="90"/>
      <c r="DNO1062" s="90"/>
      <c r="DNP1062" s="90"/>
      <c r="DNQ1062" s="90"/>
      <c r="DNR1062" s="90"/>
      <c r="DNS1062" s="90"/>
      <c r="DNT1062" s="90"/>
      <c r="DNU1062" s="90"/>
      <c r="DNV1062" s="90"/>
      <c r="DNW1062" s="90"/>
      <c r="DNX1062" s="90"/>
      <c r="DNY1062" s="90"/>
      <c r="DNZ1062" s="90"/>
      <c r="DOA1062" s="90"/>
      <c r="DOB1062" s="90"/>
      <c r="DOC1062" s="90"/>
      <c r="DOD1062" s="90"/>
      <c r="DOE1062" s="90"/>
      <c r="DOF1062" s="90"/>
      <c r="DOG1062" s="90"/>
      <c r="DOH1062" s="90"/>
      <c r="DOI1062" s="90"/>
      <c r="DOJ1062" s="90"/>
      <c r="DOK1062" s="90"/>
      <c r="DOL1062" s="90"/>
      <c r="DOM1062" s="90"/>
      <c r="DON1062" s="90"/>
      <c r="DOO1062" s="90"/>
      <c r="DOP1062" s="90"/>
      <c r="DOQ1062" s="90"/>
      <c r="DOR1062" s="90"/>
      <c r="DOS1062" s="90"/>
      <c r="DOT1062" s="90"/>
      <c r="DOU1062" s="90"/>
      <c r="DOV1062" s="90"/>
      <c r="DOW1062" s="90"/>
      <c r="DOX1062" s="90"/>
      <c r="DOY1062" s="90"/>
      <c r="DOZ1062" s="90"/>
      <c r="DPA1062" s="90"/>
      <c r="DPB1062" s="90"/>
      <c r="DPC1062" s="90"/>
      <c r="DPD1062" s="90"/>
      <c r="DPE1062" s="90"/>
      <c r="DPF1062" s="90"/>
      <c r="DPG1062" s="90"/>
      <c r="DPH1062" s="90"/>
      <c r="DPI1062" s="90"/>
      <c r="DPJ1062" s="90"/>
      <c r="DPK1062" s="90"/>
      <c r="DPL1062" s="90"/>
      <c r="DPM1062" s="90"/>
      <c r="DPN1062" s="90"/>
      <c r="DPO1062" s="90"/>
      <c r="DPP1062" s="90"/>
      <c r="DPQ1062" s="90"/>
      <c r="DPR1062" s="90"/>
      <c r="DPS1062" s="90"/>
      <c r="DPT1062" s="90"/>
      <c r="DPU1062" s="90"/>
      <c r="DPV1062" s="90"/>
      <c r="DPW1062" s="90"/>
      <c r="DPX1062" s="90"/>
      <c r="DPY1062" s="90"/>
      <c r="DPZ1062" s="90"/>
      <c r="DQA1062" s="90"/>
      <c r="DQB1062" s="90"/>
      <c r="DQC1062" s="90"/>
      <c r="DQD1062" s="90"/>
      <c r="DQE1062" s="90"/>
      <c r="DQF1062" s="90"/>
      <c r="DQG1062" s="90"/>
      <c r="DQH1062" s="90"/>
      <c r="DQI1062" s="90"/>
      <c r="DQJ1062" s="90"/>
      <c r="DQK1062" s="90"/>
      <c r="DQL1062" s="90"/>
      <c r="DQM1062" s="90"/>
      <c r="DQN1062" s="90"/>
      <c r="DQO1062" s="90"/>
      <c r="DQP1062" s="90"/>
      <c r="DQQ1062" s="90"/>
      <c r="DQR1062" s="90"/>
      <c r="DQS1062" s="90"/>
      <c r="DQT1062" s="90"/>
      <c r="DQU1062" s="90"/>
      <c r="DQV1062" s="90"/>
      <c r="DQW1062" s="90"/>
      <c r="DQX1062" s="90"/>
      <c r="DQY1062" s="90"/>
      <c r="DQZ1062" s="90"/>
      <c r="DRA1062" s="90"/>
      <c r="DRB1062" s="90"/>
      <c r="DRC1062" s="90"/>
      <c r="DRD1062" s="90"/>
      <c r="DRE1062" s="90"/>
      <c r="DRF1062" s="90"/>
      <c r="DRG1062" s="90"/>
      <c r="DRH1062" s="90"/>
      <c r="DRI1062" s="90"/>
      <c r="DRJ1062" s="90"/>
      <c r="DRK1062" s="90"/>
      <c r="DRL1062" s="90"/>
      <c r="DRM1062" s="90"/>
      <c r="DRN1062" s="90"/>
      <c r="DRO1062" s="90"/>
      <c r="DRP1062" s="90"/>
      <c r="DRQ1062" s="90"/>
      <c r="DRR1062" s="90"/>
      <c r="DRS1062" s="90"/>
      <c r="DRT1062" s="90"/>
      <c r="DRU1062" s="90"/>
      <c r="DRV1062" s="90"/>
      <c r="DRW1062" s="90"/>
      <c r="DRX1062" s="90"/>
      <c r="DRY1062" s="90"/>
      <c r="DRZ1062" s="90"/>
      <c r="DSA1062" s="90"/>
      <c r="DSB1062" s="90"/>
      <c r="DSC1062" s="90"/>
      <c r="DSD1062" s="90"/>
      <c r="DSE1062" s="90"/>
      <c r="DSF1062" s="90"/>
      <c r="DSG1062" s="90"/>
      <c r="DSH1062" s="90"/>
      <c r="DSI1062" s="90"/>
      <c r="DSJ1062" s="90"/>
      <c r="DSK1062" s="90"/>
      <c r="DSL1062" s="90"/>
      <c r="DSM1062" s="90"/>
      <c r="DSN1062" s="90"/>
      <c r="DSO1062" s="90"/>
      <c r="DSP1062" s="90"/>
      <c r="DSQ1062" s="90"/>
      <c r="DSR1062" s="90"/>
      <c r="DSS1062" s="90"/>
      <c r="DST1062" s="90"/>
      <c r="DSU1062" s="90"/>
      <c r="DSV1062" s="90"/>
      <c r="DSW1062" s="90"/>
      <c r="DSX1062" s="90"/>
      <c r="DSY1062" s="90"/>
      <c r="DSZ1062" s="90"/>
      <c r="DTA1062" s="90"/>
      <c r="DTB1062" s="90"/>
      <c r="DTC1062" s="90"/>
      <c r="DTD1062" s="90"/>
      <c r="DTE1062" s="90"/>
      <c r="DTF1062" s="90"/>
      <c r="DTG1062" s="90"/>
      <c r="DTH1062" s="90"/>
      <c r="DTI1062" s="90"/>
      <c r="DTJ1062" s="90"/>
      <c r="DTK1062" s="90"/>
      <c r="DTL1062" s="90"/>
      <c r="DTM1062" s="90"/>
      <c r="DTN1062" s="90"/>
      <c r="DTO1062" s="90"/>
      <c r="DTP1062" s="90"/>
      <c r="DTQ1062" s="90"/>
      <c r="DTR1062" s="90"/>
      <c r="DTS1062" s="90"/>
      <c r="DTT1062" s="90"/>
      <c r="DTU1062" s="90"/>
      <c r="DTV1062" s="90"/>
      <c r="DTW1062" s="90"/>
      <c r="DTX1062" s="90"/>
      <c r="DTY1062" s="90"/>
      <c r="DTZ1062" s="90"/>
      <c r="DUA1062" s="90"/>
      <c r="DUB1062" s="90"/>
      <c r="DUC1062" s="90"/>
      <c r="DUD1062" s="90"/>
      <c r="DUE1062" s="90"/>
      <c r="DUF1062" s="90"/>
      <c r="DUG1062" s="90"/>
      <c r="DUH1062" s="90"/>
      <c r="DUI1062" s="90"/>
      <c r="DUJ1062" s="90"/>
      <c r="DUK1062" s="90"/>
      <c r="DUL1062" s="90"/>
      <c r="DUM1062" s="90"/>
      <c r="DUN1062" s="90"/>
      <c r="DUO1062" s="90"/>
      <c r="DUP1062" s="90"/>
      <c r="DUQ1062" s="90"/>
      <c r="DUR1062" s="90"/>
      <c r="DUS1062" s="90"/>
      <c r="DUT1062" s="90"/>
      <c r="DUU1062" s="90"/>
      <c r="DUV1062" s="90"/>
      <c r="DUW1062" s="90"/>
      <c r="DUX1062" s="90"/>
      <c r="DUY1062" s="90"/>
      <c r="DUZ1062" s="90"/>
      <c r="DVA1062" s="90"/>
      <c r="DVB1062" s="90"/>
      <c r="DVC1062" s="90"/>
      <c r="DVD1062" s="90"/>
      <c r="DVE1062" s="90"/>
      <c r="DVF1062" s="90"/>
      <c r="DVG1062" s="90"/>
      <c r="DVH1062" s="90"/>
      <c r="DVI1062" s="90"/>
      <c r="DVJ1062" s="90"/>
      <c r="DVK1062" s="90"/>
      <c r="DVL1062" s="90"/>
      <c r="DVM1062" s="90"/>
      <c r="DVN1062" s="90"/>
      <c r="DVO1062" s="90"/>
      <c r="DVP1062" s="90"/>
      <c r="DVQ1062" s="90"/>
      <c r="DVR1062" s="90"/>
      <c r="DVS1062" s="90"/>
      <c r="DVT1062" s="90"/>
      <c r="DVU1062" s="90"/>
      <c r="DVV1062" s="90"/>
      <c r="DVW1062" s="90"/>
      <c r="DVX1062" s="90"/>
      <c r="DVY1062" s="90"/>
      <c r="DVZ1062" s="90"/>
      <c r="DWA1062" s="90"/>
      <c r="DWB1062" s="90"/>
      <c r="DWC1062" s="90"/>
      <c r="DWD1062" s="90"/>
      <c r="DWE1062" s="90"/>
      <c r="DWF1062" s="90"/>
      <c r="DWG1062" s="90"/>
      <c r="DWH1062" s="90"/>
      <c r="DWI1062" s="90"/>
      <c r="DWJ1062" s="90"/>
      <c r="DWK1062" s="90"/>
      <c r="DWL1062" s="90"/>
      <c r="DWM1062" s="90"/>
      <c r="DWN1062" s="90"/>
      <c r="DWO1062" s="90"/>
      <c r="DWP1062" s="90"/>
      <c r="DWQ1062" s="90"/>
      <c r="DWR1062" s="90"/>
      <c r="DWS1062" s="90"/>
      <c r="DWT1062" s="90"/>
      <c r="DWU1062" s="90"/>
      <c r="DWV1062" s="90"/>
      <c r="DWW1062" s="90"/>
      <c r="DWX1062" s="90"/>
      <c r="DWY1062" s="90"/>
      <c r="DWZ1062" s="90"/>
      <c r="DXA1062" s="90"/>
      <c r="DXB1062" s="90"/>
      <c r="DXC1062" s="90"/>
      <c r="DXD1062" s="90"/>
      <c r="DXE1062" s="90"/>
      <c r="DXF1062" s="90"/>
      <c r="DXG1062" s="90"/>
      <c r="DXH1062" s="90"/>
      <c r="DXI1062" s="90"/>
      <c r="DXJ1062" s="90"/>
      <c r="DXK1062" s="90"/>
      <c r="DXL1062" s="90"/>
      <c r="DXM1062" s="90"/>
      <c r="DXN1062" s="90"/>
      <c r="DXO1062" s="90"/>
      <c r="DXP1062" s="90"/>
      <c r="DXQ1062" s="90"/>
      <c r="DXR1062" s="90"/>
      <c r="DXS1062" s="90"/>
      <c r="DXT1062" s="90"/>
      <c r="DXU1062" s="90"/>
      <c r="DXV1062" s="90"/>
      <c r="DXW1062" s="90"/>
      <c r="DXX1062" s="90"/>
      <c r="DXY1062" s="90"/>
      <c r="DXZ1062" s="90"/>
      <c r="DYA1062" s="90"/>
      <c r="DYB1062" s="90"/>
      <c r="DYC1062" s="90"/>
      <c r="DYD1062" s="90"/>
      <c r="DYE1062" s="90"/>
      <c r="DYF1062" s="90"/>
      <c r="DYG1062" s="90"/>
      <c r="DYH1062" s="90"/>
      <c r="DYI1062" s="90"/>
      <c r="DYJ1062" s="90"/>
      <c r="DYK1062" s="90"/>
      <c r="DYL1062" s="90"/>
      <c r="DYM1062" s="90"/>
      <c r="DYN1062" s="90"/>
      <c r="DYO1062" s="90"/>
      <c r="DYP1062" s="90"/>
      <c r="DYQ1062" s="90"/>
      <c r="DYR1062" s="90"/>
      <c r="DYS1062" s="90"/>
      <c r="DYT1062" s="90"/>
      <c r="DYU1062" s="90"/>
      <c r="DYV1062" s="90"/>
      <c r="DYW1062" s="90"/>
      <c r="DYX1062" s="90"/>
      <c r="DYY1062" s="90"/>
      <c r="DYZ1062" s="90"/>
      <c r="DZA1062" s="90"/>
      <c r="DZB1062" s="90"/>
      <c r="DZC1062" s="90"/>
      <c r="DZD1062" s="90"/>
      <c r="DZE1062" s="90"/>
      <c r="DZF1062" s="90"/>
      <c r="DZG1062" s="90"/>
      <c r="DZH1062" s="90"/>
      <c r="DZI1062" s="90"/>
      <c r="DZJ1062" s="90"/>
      <c r="DZK1062" s="90"/>
      <c r="DZL1062" s="90"/>
      <c r="DZM1062" s="90"/>
      <c r="DZN1062" s="90"/>
      <c r="DZO1062" s="90"/>
      <c r="DZP1062" s="90"/>
      <c r="DZQ1062" s="90"/>
      <c r="DZR1062" s="90"/>
      <c r="DZS1062" s="90"/>
      <c r="DZT1062" s="90"/>
      <c r="DZU1062" s="90"/>
      <c r="DZV1062" s="90"/>
      <c r="DZW1062" s="90"/>
      <c r="DZX1062" s="90"/>
      <c r="DZY1062" s="90"/>
      <c r="DZZ1062" s="90"/>
      <c r="EAA1062" s="90"/>
      <c r="EAB1062" s="90"/>
      <c r="EAC1062" s="90"/>
      <c r="EAD1062" s="90"/>
      <c r="EAE1062" s="90"/>
      <c r="EAF1062" s="90"/>
      <c r="EAG1062" s="90"/>
      <c r="EAH1062" s="90"/>
      <c r="EAI1062" s="90"/>
      <c r="EAJ1062" s="90"/>
      <c r="EAK1062" s="90"/>
      <c r="EAL1062" s="90"/>
      <c r="EAM1062" s="90"/>
      <c r="EAN1062" s="90"/>
      <c r="EAO1062" s="90"/>
      <c r="EAP1062" s="90"/>
      <c r="EAQ1062" s="90"/>
      <c r="EAR1062" s="90"/>
      <c r="EAS1062" s="90"/>
      <c r="EAT1062" s="90"/>
      <c r="EAU1062" s="90"/>
      <c r="EAV1062" s="90"/>
      <c r="EAW1062" s="90"/>
      <c r="EAX1062" s="90"/>
      <c r="EAY1062" s="90"/>
      <c r="EAZ1062" s="90"/>
      <c r="EBA1062" s="90"/>
      <c r="EBB1062" s="90"/>
      <c r="EBC1062" s="90"/>
      <c r="EBD1062" s="90"/>
      <c r="EBE1062" s="90"/>
      <c r="EBF1062" s="90"/>
      <c r="EBG1062" s="90"/>
      <c r="EBH1062" s="90"/>
      <c r="EBI1062" s="90"/>
      <c r="EBJ1062" s="90"/>
      <c r="EBK1062" s="90"/>
      <c r="EBL1062" s="90"/>
      <c r="EBM1062" s="90"/>
      <c r="EBN1062" s="90"/>
      <c r="EBO1062" s="90"/>
      <c r="EBP1062" s="90"/>
      <c r="EBQ1062" s="90"/>
      <c r="EBR1062" s="90"/>
      <c r="EBS1062" s="90"/>
      <c r="EBT1062" s="90"/>
      <c r="EBU1062" s="90"/>
      <c r="EBV1062" s="90"/>
      <c r="EBW1062" s="90"/>
      <c r="EBX1062" s="90"/>
      <c r="EBY1062" s="90"/>
      <c r="EBZ1062" s="90"/>
      <c r="ECA1062" s="90"/>
      <c r="ECB1062" s="90"/>
      <c r="ECC1062" s="90"/>
      <c r="ECD1062" s="90"/>
      <c r="ECE1062" s="90"/>
      <c r="ECF1062" s="90"/>
      <c r="ECG1062" s="90"/>
      <c r="ECH1062" s="90"/>
      <c r="ECI1062" s="90"/>
      <c r="ECJ1062" s="90"/>
      <c r="ECK1062" s="90"/>
      <c r="ECL1062" s="90"/>
      <c r="ECM1062" s="90"/>
      <c r="ECN1062" s="90"/>
      <c r="ECO1062" s="90"/>
      <c r="ECP1062" s="90"/>
      <c r="ECQ1062" s="90"/>
      <c r="ECR1062" s="90"/>
      <c r="ECS1062" s="90"/>
      <c r="ECT1062" s="90"/>
      <c r="ECU1062" s="90"/>
      <c r="ECV1062" s="90"/>
      <c r="ECW1062" s="90"/>
      <c r="ECX1062" s="90"/>
      <c r="ECY1062" s="90"/>
      <c r="ECZ1062" s="90"/>
      <c r="EDA1062" s="90"/>
      <c r="EDB1062" s="90"/>
      <c r="EDC1062" s="90"/>
      <c r="EDD1062" s="90"/>
      <c r="EDE1062" s="90"/>
      <c r="EDF1062" s="90"/>
      <c r="EDG1062" s="90"/>
      <c r="EDH1062" s="90"/>
      <c r="EDI1062" s="90"/>
      <c r="EDJ1062" s="90"/>
      <c r="EDK1062" s="90"/>
      <c r="EDL1062" s="90"/>
      <c r="EDM1062" s="90"/>
      <c r="EDN1062" s="90"/>
      <c r="EDO1062" s="90"/>
      <c r="EDP1062" s="90"/>
      <c r="EDQ1062" s="90"/>
      <c r="EDR1062" s="90"/>
      <c r="EDS1062" s="90"/>
      <c r="EDT1062" s="90"/>
      <c r="EDU1062" s="90"/>
      <c r="EDV1062" s="90"/>
      <c r="EDW1062" s="90"/>
      <c r="EDX1062" s="90"/>
      <c r="EDY1062" s="90"/>
      <c r="EDZ1062" s="90"/>
      <c r="EEA1062" s="90"/>
      <c r="EEB1062" s="90"/>
      <c r="EEC1062" s="90"/>
      <c r="EED1062" s="90"/>
      <c r="EEE1062" s="90"/>
      <c r="EEF1062" s="90"/>
      <c r="EEG1062" s="90"/>
      <c r="EEH1062" s="90"/>
      <c r="EEI1062" s="90"/>
      <c r="EEJ1062" s="90"/>
      <c r="EEK1062" s="90"/>
      <c r="EEL1062" s="90"/>
      <c r="EEM1062" s="90"/>
      <c r="EEN1062" s="90"/>
      <c r="EEO1062" s="90"/>
      <c r="EEP1062" s="90"/>
      <c r="EEQ1062" s="90"/>
      <c r="EER1062" s="90"/>
      <c r="EES1062" s="90"/>
      <c r="EET1062" s="90"/>
      <c r="EEU1062" s="90"/>
      <c r="EEV1062" s="90"/>
      <c r="EEW1062" s="90"/>
      <c r="EEX1062" s="90"/>
      <c r="EEY1062" s="90"/>
      <c r="EEZ1062" s="90"/>
      <c r="EFA1062" s="90"/>
      <c r="EFB1062" s="90"/>
      <c r="EFC1062" s="90"/>
      <c r="EFD1062" s="90"/>
      <c r="EFE1062" s="90"/>
      <c r="EFF1062" s="90"/>
      <c r="EFG1062" s="90"/>
      <c r="EFH1062" s="90"/>
      <c r="EFI1062" s="90"/>
      <c r="EFJ1062" s="90"/>
      <c r="EFK1062" s="90"/>
      <c r="EFL1062" s="90"/>
      <c r="EFM1062" s="90"/>
      <c r="EFN1062" s="90"/>
      <c r="EFO1062" s="90"/>
      <c r="EFP1062" s="90"/>
      <c r="EFQ1062" s="90"/>
      <c r="EFR1062" s="90"/>
      <c r="EFS1062" s="90"/>
      <c r="EFT1062" s="90"/>
      <c r="EFU1062" s="90"/>
      <c r="EFV1062" s="90"/>
      <c r="EFW1062" s="90"/>
      <c r="EFX1062" s="90"/>
      <c r="EFY1062" s="90"/>
      <c r="EFZ1062" s="90"/>
      <c r="EGA1062" s="90"/>
      <c r="EGB1062" s="90"/>
      <c r="EGC1062" s="90"/>
      <c r="EGD1062" s="90"/>
      <c r="EGE1062" s="90"/>
      <c r="EGF1062" s="90"/>
      <c r="EGG1062" s="90"/>
      <c r="EGH1062" s="90"/>
      <c r="EGI1062" s="90"/>
      <c r="EGJ1062" s="90"/>
      <c r="EGK1062" s="90"/>
      <c r="EGL1062" s="90"/>
      <c r="EGM1062" s="90"/>
      <c r="EGN1062" s="90"/>
      <c r="EGO1062" s="90"/>
      <c r="EGP1062" s="90"/>
      <c r="EGQ1062" s="90"/>
      <c r="EGR1062" s="90"/>
      <c r="EGS1062" s="90"/>
      <c r="EGT1062" s="90"/>
      <c r="EGU1062" s="90"/>
      <c r="EGV1062" s="90"/>
      <c r="EGW1062" s="90"/>
      <c r="EGX1062" s="90"/>
      <c r="EGY1062" s="90"/>
      <c r="EGZ1062" s="90"/>
      <c r="EHA1062" s="90"/>
      <c r="EHB1062" s="90"/>
      <c r="EHC1062" s="90"/>
      <c r="EHD1062" s="90"/>
      <c r="EHE1062" s="90"/>
      <c r="EHF1062" s="90"/>
      <c r="EHG1062" s="90"/>
      <c r="EHH1062" s="90"/>
      <c r="EHI1062" s="90"/>
      <c r="EHJ1062" s="90"/>
      <c r="EHK1062" s="90"/>
      <c r="EHL1062" s="90"/>
      <c r="EHM1062" s="90"/>
      <c r="EHN1062" s="90"/>
      <c r="EHO1062" s="90"/>
      <c r="EHP1062" s="90"/>
      <c r="EHQ1062" s="90"/>
      <c r="EHR1062" s="90"/>
      <c r="EHS1062" s="90"/>
      <c r="EHT1062" s="90"/>
      <c r="EHU1062" s="90"/>
      <c r="EHV1062" s="90"/>
      <c r="EHW1062" s="90"/>
      <c r="EHX1062" s="90"/>
      <c r="EHY1062" s="90"/>
      <c r="EHZ1062" s="90"/>
      <c r="EIA1062" s="90"/>
      <c r="EIB1062" s="90"/>
      <c r="EIC1062" s="90"/>
      <c r="EID1062" s="90"/>
      <c r="EIE1062" s="90"/>
      <c r="EIF1062" s="90"/>
      <c r="EIG1062" s="90"/>
      <c r="EIH1062" s="90"/>
      <c r="EII1062" s="90"/>
      <c r="EIJ1062" s="90"/>
      <c r="EIK1062" s="90"/>
      <c r="EIL1062" s="90"/>
      <c r="EIM1062" s="90"/>
      <c r="EIN1062" s="90"/>
      <c r="EIO1062" s="90"/>
      <c r="EIP1062" s="90"/>
      <c r="EIQ1062" s="90"/>
      <c r="EIR1062" s="90"/>
      <c r="EIS1062" s="90"/>
      <c r="EIT1062" s="90"/>
      <c r="EIU1062" s="90"/>
      <c r="EIV1062" s="90"/>
      <c r="EIW1062" s="90"/>
      <c r="EIX1062" s="90"/>
      <c r="EIY1062" s="90"/>
      <c r="EIZ1062" s="90"/>
      <c r="EJA1062" s="90"/>
      <c r="EJB1062" s="90"/>
      <c r="EJC1062" s="90"/>
      <c r="EJD1062" s="90"/>
      <c r="EJE1062" s="90"/>
      <c r="EJF1062" s="90"/>
      <c r="EJG1062" s="90"/>
      <c r="EJH1062" s="90"/>
      <c r="EJI1062" s="90"/>
      <c r="EJJ1062" s="90"/>
      <c r="EJK1062" s="90"/>
      <c r="EJL1062" s="90"/>
      <c r="EJM1062" s="90"/>
      <c r="EJN1062" s="90"/>
      <c r="EJO1062" s="90"/>
      <c r="EJP1062" s="90"/>
      <c r="EJQ1062" s="90"/>
      <c r="EJR1062" s="90"/>
      <c r="EJS1062" s="90"/>
      <c r="EJT1062" s="90"/>
      <c r="EJU1062" s="90"/>
      <c r="EJV1062" s="90"/>
      <c r="EJW1062" s="90"/>
      <c r="EJX1062" s="90"/>
      <c r="EJY1062" s="90"/>
      <c r="EJZ1062" s="90"/>
      <c r="EKA1062" s="90"/>
      <c r="EKB1062" s="90"/>
      <c r="EKC1062" s="90"/>
      <c r="EKD1062" s="90"/>
      <c r="EKE1062" s="90"/>
      <c r="EKF1062" s="90"/>
      <c r="EKG1062" s="90"/>
      <c r="EKH1062" s="90"/>
      <c r="EKI1062" s="90"/>
      <c r="EKJ1062" s="90"/>
      <c r="EKK1062" s="90"/>
      <c r="EKL1062" s="90"/>
      <c r="EKM1062" s="90"/>
      <c r="EKN1062" s="90"/>
      <c r="EKO1062" s="90"/>
      <c r="EKP1062" s="90"/>
      <c r="EKQ1062" s="90"/>
      <c r="EKR1062" s="90"/>
      <c r="EKS1062" s="90"/>
      <c r="EKT1062" s="90"/>
      <c r="EKU1062" s="90"/>
      <c r="EKV1062" s="90"/>
      <c r="EKW1062" s="90"/>
      <c r="EKX1062" s="90"/>
      <c r="EKY1062" s="90"/>
      <c r="EKZ1062" s="90"/>
      <c r="ELA1062" s="90"/>
      <c r="ELB1062" s="90"/>
      <c r="ELC1062" s="90"/>
      <c r="ELD1062" s="90"/>
      <c r="ELE1062" s="90"/>
      <c r="ELF1062" s="90"/>
      <c r="ELG1062" s="90"/>
      <c r="ELH1062" s="90"/>
      <c r="ELI1062" s="90"/>
      <c r="ELJ1062" s="90"/>
      <c r="ELK1062" s="90"/>
      <c r="ELL1062" s="90"/>
      <c r="ELM1062" s="90"/>
      <c r="ELN1062" s="90"/>
      <c r="ELO1062" s="90"/>
      <c r="ELP1062" s="90"/>
      <c r="ELQ1062" s="90"/>
      <c r="ELR1062" s="90"/>
      <c r="ELS1062" s="90"/>
      <c r="ELT1062" s="90"/>
      <c r="ELU1062" s="90"/>
      <c r="ELV1062" s="90"/>
      <c r="ELW1062" s="90"/>
      <c r="ELX1062" s="90"/>
      <c r="ELY1062" s="90"/>
      <c r="ELZ1062" s="90"/>
      <c r="EMA1062" s="90"/>
      <c r="EMB1062" s="90"/>
      <c r="EMC1062" s="90"/>
      <c r="EMD1062" s="90"/>
      <c r="EME1062" s="90"/>
      <c r="EMF1062" s="90"/>
      <c r="EMG1062" s="90"/>
      <c r="EMH1062" s="90"/>
      <c r="EMI1062" s="90"/>
      <c r="EMJ1062" s="90"/>
      <c r="EMK1062" s="90"/>
      <c r="EML1062" s="90"/>
      <c r="EMM1062" s="90"/>
      <c r="EMN1062" s="90"/>
      <c r="EMO1062" s="90"/>
      <c r="EMP1062" s="90"/>
      <c r="EMQ1062" s="90"/>
      <c r="EMR1062" s="90"/>
      <c r="EMS1062" s="90"/>
      <c r="EMT1062" s="90"/>
      <c r="EMU1062" s="90"/>
      <c r="EMV1062" s="90"/>
      <c r="EMW1062" s="90"/>
      <c r="EMX1062" s="90"/>
      <c r="EMY1062" s="90"/>
      <c r="EMZ1062" s="90"/>
      <c r="ENA1062" s="90"/>
      <c r="ENB1062" s="90"/>
      <c r="ENC1062" s="90"/>
      <c r="END1062" s="90"/>
      <c r="ENE1062" s="90"/>
      <c r="ENF1062" s="90"/>
      <c r="ENG1062" s="90"/>
      <c r="ENH1062" s="90"/>
      <c r="ENI1062" s="90"/>
      <c r="ENJ1062" s="90"/>
      <c r="ENK1062" s="90"/>
      <c r="ENL1062" s="90"/>
      <c r="ENM1062" s="90"/>
      <c r="ENN1062" s="90"/>
      <c r="ENO1062" s="90"/>
      <c r="ENP1062" s="90"/>
      <c r="ENQ1062" s="90"/>
      <c r="ENR1062" s="90"/>
      <c r="ENS1062" s="90"/>
      <c r="ENT1062" s="90"/>
      <c r="ENU1062" s="90"/>
      <c r="ENV1062" s="90"/>
      <c r="ENW1062" s="90"/>
      <c r="ENX1062" s="90"/>
      <c r="ENY1062" s="90"/>
      <c r="ENZ1062" s="90"/>
      <c r="EOA1062" s="90"/>
      <c r="EOB1062" s="90"/>
      <c r="EOC1062" s="90"/>
      <c r="EOD1062" s="90"/>
      <c r="EOE1062" s="90"/>
      <c r="EOF1062" s="90"/>
      <c r="EOG1062" s="90"/>
      <c r="EOH1062" s="90"/>
      <c r="EOI1062" s="90"/>
      <c r="EOJ1062" s="90"/>
      <c r="EOK1062" s="90"/>
      <c r="EOL1062" s="90"/>
      <c r="EOM1062" s="90"/>
      <c r="EON1062" s="90"/>
      <c r="EOO1062" s="90"/>
      <c r="EOP1062" s="90"/>
      <c r="EOQ1062" s="90"/>
      <c r="EOR1062" s="90"/>
      <c r="EOS1062" s="90"/>
      <c r="EOT1062" s="90"/>
      <c r="EOU1062" s="90"/>
      <c r="EOV1062" s="90"/>
      <c r="EOW1062" s="90"/>
      <c r="EOX1062" s="90"/>
      <c r="EOY1062" s="90"/>
      <c r="EOZ1062" s="90"/>
      <c r="EPA1062" s="90"/>
      <c r="EPB1062" s="90"/>
      <c r="EPC1062" s="90"/>
      <c r="EPD1062" s="90"/>
      <c r="EPE1062" s="90"/>
      <c r="EPF1062" s="90"/>
      <c r="EPG1062" s="90"/>
      <c r="EPH1062" s="90"/>
      <c r="EPI1062" s="90"/>
      <c r="EPJ1062" s="90"/>
      <c r="EPK1062" s="90"/>
      <c r="EPL1062" s="90"/>
      <c r="EPM1062" s="90"/>
      <c r="EPN1062" s="90"/>
      <c r="EPO1062" s="90"/>
      <c r="EPP1062" s="90"/>
      <c r="EPQ1062" s="90"/>
      <c r="EPR1062" s="90"/>
      <c r="EPS1062" s="90"/>
      <c r="EPT1062" s="90"/>
      <c r="EPU1062" s="90"/>
      <c r="EPV1062" s="90"/>
      <c r="EPW1062" s="90"/>
      <c r="EPX1062" s="90"/>
      <c r="EPY1062" s="90"/>
      <c r="EPZ1062" s="90"/>
      <c r="EQA1062" s="90"/>
      <c r="EQB1062" s="90"/>
      <c r="EQC1062" s="90"/>
      <c r="EQD1062" s="90"/>
      <c r="EQE1062" s="90"/>
      <c r="EQF1062" s="90"/>
      <c r="EQG1062" s="90"/>
      <c r="EQH1062" s="90"/>
      <c r="EQI1062" s="90"/>
      <c r="EQJ1062" s="90"/>
      <c r="EQK1062" s="90"/>
      <c r="EQL1062" s="90"/>
      <c r="EQM1062" s="90"/>
      <c r="EQN1062" s="90"/>
      <c r="EQO1062" s="90"/>
      <c r="EQP1062" s="90"/>
      <c r="EQQ1062" s="90"/>
      <c r="EQR1062" s="90"/>
      <c r="EQS1062" s="90"/>
      <c r="EQT1062" s="90"/>
      <c r="EQU1062" s="90"/>
      <c r="EQV1062" s="90"/>
      <c r="EQW1062" s="90"/>
      <c r="EQX1062" s="90"/>
      <c r="EQY1062" s="90"/>
      <c r="EQZ1062" s="90"/>
      <c r="ERA1062" s="90"/>
      <c r="ERB1062" s="90"/>
      <c r="ERC1062" s="90"/>
      <c r="ERD1062" s="90"/>
      <c r="ERE1062" s="90"/>
      <c r="ERF1062" s="90"/>
      <c r="ERG1062" s="90"/>
      <c r="ERH1062" s="90"/>
      <c r="ERI1062" s="90"/>
      <c r="ERJ1062" s="90"/>
      <c r="ERK1062" s="90"/>
      <c r="ERL1062" s="90"/>
      <c r="ERM1062" s="90"/>
      <c r="ERN1062" s="90"/>
      <c r="ERO1062" s="90"/>
      <c r="ERP1062" s="90"/>
      <c r="ERQ1062" s="90"/>
      <c r="ERR1062" s="90"/>
      <c r="ERS1062" s="90"/>
      <c r="ERT1062" s="90"/>
      <c r="ERU1062" s="90"/>
      <c r="ERV1062" s="90"/>
      <c r="ERW1062" s="90"/>
      <c r="ERX1062" s="90"/>
      <c r="ERY1062" s="90"/>
      <c r="ERZ1062" s="90"/>
      <c r="ESA1062" s="90"/>
      <c r="ESB1062" s="90"/>
      <c r="ESC1062" s="90"/>
      <c r="ESD1062" s="90"/>
      <c r="ESE1062" s="90"/>
      <c r="ESF1062" s="90"/>
      <c r="ESG1062" s="90"/>
      <c r="ESH1062" s="90"/>
      <c r="ESI1062" s="90"/>
      <c r="ESJ1062" s="90"/>
      <c r="ESK1062" s="90"/>
      <c r="ESL1062" s="90"/>
      <c r="ESM1062" s="90"/>
      <c r="ESN1062" s="90"/>
      <c r="ESO1062" s="90"/>
      <c r="ESP1062" s="90"/>
      <c r="ESQ1062" s="90"/>
      <c r="ESR1062" s="90"/>
      <c r="ESS1062" s="90"/>
      <c r="EST1062" s="90"/>
      <c r="ESU1062" s="90"/>
      <c r="ESV1062" s="90"/>
      <c r="ESW1062" s="90"/>
      <c r="ESX1062" s="90"/>
      <c r="ESY1062" s="90"/>
      <c r="ESZ1062" s="90"/>
      <c r="ETA1062" s="90"/>
      <c r="ETB1062" s="90"/>
      <c r="ETC1062" s="90"/>
      <c r="ETD1062" s="90"/>
      <c r="ETE1062" s="90"/>
      <c r="ETF1062" s="90"/>
      <c r="ETG1062" s="90"/>
      <c r="ETH1062" s="90"/>
      <c r="ETI1062" s="90"/>
      <c r="ETJ1062" s="90"/>
      <c r="ETK1062" s="90"/>
      <c r="ETL1062" s="90"/>
      <c r="ETM1062" s="90"/>
      <c r="ETN1062" s="90"/>
      <c r="ETO1062" s="90"/>
      <c r="ETP1062" s="90"/>
      <c r="ETQ1062" s="90"/>
      <c r="ETR1062" s="90"/>
      <c r="ETS1062" s="90"/>
      <c r="ETT1062" s="90"/>
      <c r="ETU1062" s="90"/>
      <c r="ETV1062" s="90"/>
      <c r="ETW1062" s="90"/>
      <c r="ETX1062" s="90"/>
      <c r="ETY1062" s="90"/>
      <c r="ETZ1062" s="90"/>
      <c r="EUA1062" s="90"/>
      <c r="EUB1062" s="90"/>
      <c r="EUC1062" s="90"/>
      <c r="EUD1062" s="90"/>
      <c r="EUE1062" s="90"/>
      <c r="EUF1062" s="90"/>
      <c r="EUG1062" s="90"/>
      <c r="EUH1062" s="90"/>
      <c r="EUI1062" s="90"/>
      <c r="EUJ1062" s="90"/>
      <c r="EUK1062" s="90"/>
      <c r="EUL1062" s="90"/>
      <c r="EUM1062" s="90"/>
      <c r="EUN1062" s="90"/>
      <c r="EUO1062" s="90"/>
      <c r="EUP1062" s="90"/>
      <c r="EUQ1062" s="90"/>
      <c r="EUR1062" s="90"/>
      <c r="EUS1062" s="90"/>
      <c r="EUT1062" s="90"/>
      <c r="EUU1062" s="90"/>
      <c r="EUV1062" s="90"/>
      <c r="EUW1062" s="90"/>
      <c r="EUX1062" s="90"/>
      <c r="EUY1062" s="90"/>
      <c r="EUZ1062" s="90"/>
      <c r="EVA1062" s="90"/>
      <c r="EVB1062" s="90"/>
      <c r="EVC1062" s="90"/>
      <c r="EVD1062" s="90"/>
      <c r="EVE1062" s="90"/>
      <c r="EVF1062" s="90"/>
      <c r="EVG1062" s="90"/>
      <c r="EVH1062" s="90"/>
      <c r="EVI1062" s="90"/>
      <c r="EVJ1062" s="90"/>
      <c r="EVK1062" s="90"/>
      <c r="EVL1062" s="90"/>
      <c r="EVM1062" s="90"/>
      <c r="EVN1062" s="90"/>
      <c r="EVO1062" s="90"/>
      <c r="EVP1062" s="90"/>
      <c r="EVQ1062" s="90"/>
      <c r="EVR1062" s="90"/>
      <c r="EVS1062" s="90"/>
      <c r="EVT1062" s="90"/>
      <c r="EVU1062" s="90"/>
      <c r="EVV1062" s="90"/>
      <c r="EVW1062" s="90"/>
      <c r="EVX1062" s="90"/>
      <c r="EVY1062" s="90"/>
      <c r="EVZ1062" s="90"/>
      <c r="EWA1062" s="90"/>
      <c r="EWB1062" s="90"/>
      <c r="EWC1062" s="90"/>
      <c r="EWD1062" s="90"/>
      <c r="EWE1062" s="90"/>
      <c r="EWF1062" s="90"/>
      <c r="EWG1062" s="90"/>
      <c r="EWH1062" s="90"/>
      <c r="EWI1062" s="90"/>
      <c r="EWJ1062" s="90"/>
      <c r="EWK1062" s="90"/>
      <c r="EWL1062" s="90"/>
      <c r="EWM1062" s="90"/>
      <c r="EWN1062" s="90"/>
      <c r="EWO1062" s="90"/>
      <c r="EWP1062" s="90"/>
      <c r="EWQ1062" s="90"/>
      <c r="EWR1062" s="90"/>
      <c r="EWS1062" s="90"/>
      <c r="EWT1062" s="90"/>
      <c r="EWU1062" s="90"/>
      <c r="EWV1062" s="90"/>
      <c r="EWW1062" s="90"/>
      <c r="EWX1062" s="90"/>
      <c r="EWY1062" s="90"/>
      <c r="EWZ1062" s="90"/>
      <c r="EXA1062" s="90"/>
      <c r="EXB1062" s="90"/>
      <c r="EXC1062" s="90"/>
      <c r="EXD1062" s="90"/>
      <c r="EXE1062" s="90"/>
      <c r="EXF1062" s="90"/>
      <c r="EXG1062" s="90"/>
      <c r="EXH1062" s="90"/>
      <c r="EXI1062" s="90"/>
      <c r="EXJ1062" s="90"/>
      <c r="EXK1062" s="90"/>
      <c r="EXL1062" s="90"/>
      <c r="EXM1062" s="90"/>
      <c r="EXN1062" s="90"/>
      <c r="EXO1062" s="90"/>
      <c r="EXP1062" s="90"/>
      <c r="EXQ1062" s="90"/>
      <c r="EXR1062" s="90"/>
      <c r="EXS1062" s="90"/>
      <c r="EXT1062" s="90"/>
      <c r="EXU1062" s="90"/>
      <c r="EXV1062" s="90"/>
      <c r="EXW1062" s="90"/>
      <c r="EXX1062" s="90"/>
      <c r="EXY1062" s="90"/>
      <c r="EXZ1062" s="90"/>
      <c r="EYA1062" s="90"/>
      <c r="EYB1062" s="90"/>
      <c r="EYC1062" s="90"/>
      <c r="EYD1062" s="90"/>
      <c r="EYE1062" s="90"/>
      <c r="EYF1062" s="90"/>
      <c r="EYG1062" s="90"/>
      <c r="EYH1062" s="90"/>
      <c r="EYI1062" s="90"/>
      <c r="EYJ1062" s="90"/>
      <c r="EYK1062" s="90"/>
      <c r="EYL1062" s="90"/>
      <c r="EYM1062" s="90"/>
      <c r="EYN1062" s="90"/>
      <c r="EYO1062" s="90"/>
      <c r="EYP1062" s="90"/>
      <c r="EYQ1062" s="90"/>
      <c r="EYR1062" s="90"/>
      <c r="EYS1062" s="90"/>
      <c r="EYT1062" s="90"/>
      <c r="EYU1062" s="90"/>
      <c r="EYV1062" s="90"/>
      <c r="EYW1062" s="90"/>
      <c r="EYX1062" s="90"/>
      <c r="EYY1062" s="90"/>
      <c r="EYZ1062" s="90"/>
      <c r="EZA1062" s="90"/>
      <c r="EZB1062" s="90"/>
      <c r="EZC1062" s="90"/>
      <c r="EZD1062" s="90"/>
      <c r="EZE1062" s="90"/>
      <c r="EZF1062" s="90"/>
      <c r="EZG1062" s="90"/>
      <c r="EZH1062" s="90"/>
      <c r="EZI1062" s="90"/>
      <c r="EZJ1062" s="90"/>
      <c r="EZK1062" s="90"/>
      <c r="EZL1062" s="90"/>
      <c r="EZM1062" s="90"/>
      <c r="EZN1062" s="90"/>
      <c r="EZO1062" s="90"/>
      <c r="EZP1062" s="90"/>
      <c r="EZQ1062" s="90"/>
      <c r="EZR1062" s="90"/>
      <c r="EZS1062" s="90"/>
      <c r="EZT1062" s="90"/>
      <c r="EZU1062" s="90"/>
      <c r="EZV1062" s="90"/>
      <c r="EZW1062" s="90"/>
      <c r="EZX1062" s="90"/>
      <c r="EZY1062" s="90"/>
      <c r="EZZ1062" s="90"/>
      <c r="FAA1062" s="90"/>
      <c r="FAB1062" s="90"/>
      <c r="FAC1062" s="90"/>
      <c r="FAD1062" s="90"/>
      <c r="FAE1062" s="90"/>
      <c r="FAF1062" s="90"/>
      <c r="FAG1062" s="90"/>
      <c r="FAH1062" s="90"/>
      <c r="FAI1062" s="90"/>
      <c r="FAJ1062" s="90"/>
      <c r="FAK1062" s="90"/>
      <c r="FAL1062" s="90"/>
      <c r="FAM1062" s="90"/>
      <c r="FAN1062" s="90"/>
      <c r="FAO1062" s="90"/>
      <c r="FAP1062" s="90"/>
      <c r="FAQ1062" s="90"/>
      <c r="FAR1062" s="90"/>
      <c r="FAS1062" s="90"/>
      <c r="FAT1062" s="90"/>
      <c r="FAU1062" s="90"/>
      <c r="FAV1062" s="90"/>
      <c r="FAW1062" s="90"/>
      <c r="FAX1062" s="90"/>
      <c r="FAY1062" s="90"/>
      <c r="FAZ1062" s="90"/>
      <c r="FBA1062" s="90"/>
      <c r="FBB1062" s="90"/>
      <c r="FBC1062" s="90"/>
      <c r="FBD1062" s="90"/>
      <c r="FBE1062" s="90"/>
      <c r="FBF1062" s="90"/>
      <c r="FBG1062" s="90"/>
      <c r="FBH1062" s="90"/>
      <c r="FBI1062" s="90"/>
      <c r="FBJ1062" s="90"/>
      <c r="FBK1062" s="90"/>
      <c r="FBL1062" s="90"/>
      <c r="FBM1062" s="90"/>
      <c r="FBN1062" s="90"/>
      <c r="FBO1062" s="90"/>
      <c r="FBP1062" s="90"/>
      <c r="FBQ1062" s="90"/>
      <c r="FBR1062" s="90"/>
      <c r="FBS1062" s="90"/>
      <c r="FBT1062" s="90"/>
      <c r="FBU1062" s="90"/>
      <c r="FBV1062" s="90"/>
      <c r="FBW1062" s="90"/>
      <c r="FBX1062" s="90"/>
      <c r="FBY1062" s="90"/>
      <c r="FBZ1062" s="90"/>
      <c r="FCA1062" s="90"/>
      <c r="FCB1062" s="90"/>
      <c r="FCC1062" s="90"/>
      <c r="FCD1062" s="90"/>
      <c r="FCE1062" s="90"/>
      <c r="FCF1062" s="90"/>
      <c r="FCG1062" s="90"/>
      <c r="FCH1062" s="90"/>
      <c r="FCI1062" s="90"/>
      <c r="FCJ1062" s="90"/>
      <c r="FCK1062" s="90"/>
      <c r="FCL1062" s="90"/>
      <c r="FCM1062" s="90"/>
      <c r="FCN1062" s="90"/>
      <c r="FCO1062" s="90"/>
      <c r="FCP1062" s="90"/>
      <c r="FCQ1062" s="90"/>
      <c r="FCR1062" s="90"/>
      <c r="FCS1062" s="90"/>
      <c r="FCT1062" s="90"/>
      <c r="FCU1062" s="90"/>
      <c r="FCV1062" s="90"/>
      <c r="FCW1062" s="90"/>
      <c r="FCX1062" s="90"/>
      <c r="FCY1062" s="90"/>
      <c r="FCZ1062" s="90"/>
      <c r="FDA1062" s="90"/>
      <c r="FDB1062" s="90"/>
      <c r="FDC1062" s="90"/>
      <c r="FDD1062" s="90"/>
      <c r="FDE1062" s="90"/>
      <c r="FDF1062" s="90"/>
      <c r="FDG1062" s="90"/>
      <c r="FDH1062" s="90"/>
      <c r="FDI1062" s="90"/>
      <c r="FDJ1062" s="90"/>
      <c r="FDK1062" s="90"/>
      <c r="FDL1062" s="90"/>
      <c r="FDM1062" s="90"/>
      <c r="FDN1062" s="90"/>
      <c r="FDO1062" s="90"/>
      <c r="FDP1062" s="90"/>
      <c r="FDQ1062" s="90"/>
      <c r="FDR1062" s="90"/>
      <c r="FDS1062" s="90"/>
      <c r="FDT1062" s="90"/>
      <c r="FDU1062" s="90"/>
      <c r="FDV1062" s="90"/>
      <c r="FDW1062" s="90"/>
      <c r="FDX1062" s="90"/>
      <c r="FDY1062" s="90"/>
      <c r="FDZ1062" s="90"/>
      <c r="FEA1062" s="90"/>
      <c r="FEB1062" s="90"/>
      <c r="FEC1062" s="90"/>
      <c r="FED1062" s="90"/>
      <c r="FEE1062" s="90"/>
      <c r="FEF1062" s="90"/>
      <c r="FEG1062" s="90"/>
      <c r="FEH1062" s="90"/>
      <c r="FEI1062" s="90"/>
      <c r="FEJ1062" s="90"/>
      <c r="FEK1062" s="90"/>
      <c r="FEL1062" s="90"/>
      <c r="FEM1062" s="90"/>
      <c r="FEN1062" s="90"/>
      <c r="FEO1062" s="90"/>
      <c r="FEP1062" s="90"/>
      <c r="FEQ1062" s="90"/>
      <c r="FER1062" s="90"/>
      <c r="FES1062" s="90"/>
      <c r="FET1062" s="90"/>
      <c r="FEU1062" s="90"/>
      <c r="FEV1062" s="90"/>
      <c r="FEW1062" s="90"/>
      <c r="FEX1062" s="90"/>
      <c r="FEY1062" s="90"/>
      <c r="FEZ1062" s="90"/>
      <c r="FFA1062" s="90"/>
      <c r="FFB1062" s="90"/>
      <c r="FFC1062" s="90"/>
      <c r="FFD1062" s="90"/>
      <c r="FFE1062" s="90"/>
      <c r="FFF1062" s="90"/>
      <c r="FFG1062" s="90"/>
      <c r="FFH1062" s="90"/>
      <c r="FFI1062" s="90"/>
      <c r="FFJ1062" s="90"/>
      <c r="FFK1062" s="90"/>
      <c r="FFL1062" s="90"/>
      <c r="FFM1062" s="90"/>
      <c r="FFN1062" s="90"/>
      <c r="FFO1062" s="90"/>
      <c r="FFP1062" s="90"/>
      <c r="FFQ1062" s="90"/>
      <c r="FFR1062" s="90"/>
      <c r="FFS1062" s="90"/>
      <c r="FFT1062" s="90"/>
      <c r="FFU1062" s="90"/>
      <c r="FFV1062" s="90"/>
      <c r="FFW1062" s="90"/>
      <c r="FFX1062" s="90"/>
      <c r="FFY1062" s="90"/>
      <c r="FFZ1062" s="90"/>
      <c r="FGA1062" s="90"/>
      <c r="FGB1062" s="90"/>
      <c r="FGC1062" s="90"/>
      <c r="FGD1062" s="90"/>
      <c r="FGE1062" s="90"/>
      <c r="FGF1062" s="90"/>
      <c r="FGG1062" s="90"/>
      <c r="FGH1062" s="90"/>
      <c r="FGI1062" s="90"/>
      <c r="FGJ1062" s="90"/>
      <c r="FGK1062" s="90"/>
      <c r="FGL1062" s="90"/>
      <c r="FGM1062" s="90"/>
      <c r="FGN1062" s="90"/>
      <c r="FGO1062" s="90"/>
      <c r="FGP1062" s="90"/>
      <c r="FGQ1062" s="90"/>
      <c r="FGR1062" s="90"/>
      <c r="FGS1062" s="90"/>
      <c r="FGT1062" s="90"/>
      <c r="FGU1062" s="90"/>
      <c r="FGV1062" s="90"/>
      <c r="FGW1062" s="90"/>
      <c r="FGX1062" s="90"/>
      <c r="FGY1062" s="90"/>
      <c r="FGZ1062" s="90"/>
      <c r="FHA1062" s="90"/>
      <c r="FHB1062" s="90"/>
      <c r="FHC1062" s="90"/>
      <c r="FHD1062" s="90"/>
      <c r="FHE1062" s="90"/>
      <c r="FHF1062" s="90"/>
      <c r="FHG1062" s="90"/>
      <c r="FHH1062" s="90"/>
      <c r="FHI1062" s="90"/>
      <c r="FHJ1062" s="90"/>
      <c r="FHK1062" s="90"/>
      <c r="FHL1062" s="90"/>
      <c r="FHM1062" s="90"/>
      <c r="FHN1062" s="90"/>
      <c r="FHO1062" s="90"/>
      <c r="FHP1062" s="90"/>
      <c r="FHQ1062" s="90"/>
      <c r="FHR1062" s="90"/>
      <c r="FHS1062" s="90"/>
      <c r="FHT1062" s="90"/>
      <c r="FHU1062" s="90"/>
      <c r="FHV1062" s="90"/>
      <c r="FHW1062" s="90"/>
      <c r="FHX1062" s="90"/>
      <c r="FHY1062" s="90"/>
      <c r="FHZ1062" s="90"/>
      <c r="FIA1062" s="90"/>
      <c r="FIB1062" s="90"/>
      <c r="FIC1062" s="90"/>
      <c r="FID1062" s="90"/>
      <c r="FIE1062" s="90"/>
      <c r="FIF1062" s="90"/>
      <c r="FIG1062" s="90"/>
      <c r="FIH1062" s="90"/>
      <c r="FII1062" s="90"/>
      <c r="FIJ1062" s="90"/>
      <c r="FIK1062" s="90"/>
      <c r="FIL1062" s="90"/>
      <c r="FIM1062" s="90"/>
      <c r="FIN1062" s="90"/>
      <c r="FIO1062" s="90"/>
      <c r="FIP1062" s="90"/>
      <c r="FIQ1062" s="90"/>
      <c r="FIR1062" s="90"/>
      <c r="FIS1062" s="90"/>
      <c r="FIT1062" s="90"/>
      <c r="FIU1062" s="90"/>
      <c r="FIV1062" s="90"/>
      <c r="FIW1062" s="90"/>
      <c r="FIX1062" s="90"/>
      <c r="FIY1062" s="90"/>
      <c r="FIZ1062" s="90"/>
      <c r="FJA1062" s="90"/>
      <c r="FJB1062" s="90"/>
      <c r="FJC1062" s="90"/>
      <c r="FJD1062" s="90"/>
      <c r="FJE1062" s="90"/>
      <c r="FJF1062" s="90"/>
      <c r="FJG1062" s="90"/>
      <c r="FJH1062" s="90"/>
      <c r="FJI1062" s="90"/>
      <c r="FJJ1062" s="90"/>
      <c r="FJK1062" s="90"/>
      <c r="FJL1062" s="90"/>
      <c r="FJM1062" s="90"/>
      <c r="FJN1062" s="90"/>
      <c r="FJO1062" s="90"/>
      <c r="FJP1062" s="90"/>
      <c r="FJQ1062" s="90"/>
      <c r="FJR1062" s="90"/>
      <c r="FJS1062" s="90"/>
      <c r="FJT1062" s="90"/>
      <c r="FJU1062" s="90"/>
      <c r="FJV1062" s="90"/>
      <c r="FJW1062" s="90"/>
      <c r="FJX1062" s="90"/>
      <c r="FJY1062" s="90"/>
      <c r="FJZ1062" s="90"/>
      <c r="FKA1062" s="90"/>
      <c r="FKB1062" s="90"/>
      <c r="FKC1062" s="90"/>
      <c r="FKD1062" s="90"/>
      <c r="FKE1062" s="90"/>
      <c r="FKF1062" s="90"/>
      <c r="FKG1062" s="90"/>
      <c r="FKH1062" s="90"/>
      <c r="FKI1062" s="90"/>
      <c r="FKJ1062" s="90"/>
      <c r="FKK1062" s="90"/>
      <c r="FKL1062" s="90"/>
      <c r="FKM1062" s="90"/>
      <c r="FKN1062" s="90"/>
      <c r="FKO1062" s="90"/>
      <c r="FKP1062" s="90"/>
      <c r="FKQ1062" s="90"/>
      <c r="FKR1062" s="90"/>
      <c r="FKS1062" s="90"/>
      <c r="FKT1062" s="90"/>
      <c r="FKU1062" s="90"/>
      <c r="FKV1062" s="90"/>
      <c r="FKW1062" s="90"/>
      <c r="FKX1062" s="90"/>
      <c r="FKY1062" s="90"/>
      <c r="FKZ1062" s="90"/>
      <c r="FLA1062" s="90"/>
      <c r="FLB1062" s="90"/>
      <c r="FLC1062" s="90"/>
      <c r="FLD1062" s="90"/>
      <c r="FLE1062" s="90"/>
      <c r="FLF1062" s="90"/>
      <c r="FLG1062" s="90"/>
      <c r="FLH1062" s="90"/>
      <c r="FLI1062" s="90"/>
      <c r="FLJ1062" s="90"/>
      <c r="FLK1062" s="90"/>
      <c r="FLL1062" s="90"/>
      <c r="FLM1062" s="90"/>
      <c r="FLN1062" s="90"/>
      <c r="FLO1062" s="90"/>
      <c r="FLP1062" s="90"/>
      <c r="FLQ1062" s="90"/>
      <c r="FLR1062" s="90"/>
      <c r="FLS1062" s="90"/>
      <c r="FLT1062" s="90"/>
      <c r="FLU1062" s="90"/>
      <c r="FLV1062" s="90"/>
      <c r="FLW1062" s="90"/>
      <c r="FLX1062" s="90"/>
      <c r="FLY1062" s="90"/>
      <c r="FLZ1062" s="90"/>
      <c r="FMA1062" s="90"/>
      <c r="FMB1062" s="90"/>
      <c r="FMC1062" s="90"/>
      <c r="FMD1062" s="90"/>
      <c r="FME1062" s="90"/>
      <c r="FMF1062" s="90"/>
      <c r="FMG1062" s="90"/>
      <c r="FMH1062" s="90"/>
      <c r="FMI1062" s="90"/>
      <c r="FMJ1062" s="90"/>
      <c r="FMK1062" s="90"/>
      <c r="FML1062" s="90"/>
      <c r="FMM1062" s="90"/>
      <c r="FMN1062" s="90"/>
      <c r="FMO1062" s="90"/>
      <c r="FMP1062" s="90"/>
      <c r="FMQ1062" s="90"/>
      <c r="FMR1062" s="90"/>
      <c r="FMS1062" s="90"/>
      <c r="FMT1062" s="90"/>
      <c r="FMU1062" s="90"/>
      <c r="FMV1062" s="90"/>
      <c r="FMW1062" s="90"/>
      <c r="FMX1062" s="90"/>
      <c r="FMY1062" s="90"/>
      <c r="FMZ1062" s="90"/>
      <c r="FNA1062" s="90"/>
      <c r="FNB1062" s="90"/>
      <c r="FNC1062" s="90"/>
      <c r="FND1062" s="90"/>
      <c r="FNE1062" s="90"/>
      <c r="FNF1062" s="90"/>
      <c r="FNG1062" s="90"/>
      <c r="FNH1062" s="90"/>
      <c r="FNI1062" s="90"/>
      <c r="FNJ1062" s="90"/>
      <c r="FNK1062" s="90"/>
      <c r="FNL1062" s="90"/>
      <c r="FNM1062" s="90"/>
      <c r="FNN1062" s="90"/>
      <c r="FNO1062" s="90"/>
      <c r="FNP1062" s="90"/>
      <c r="FNQ1062" s="90"/>
      <c r="FNR1062" s="90"/>
      <c r="FNS1062" s="90"/>
      <c r="FNT1062" s="90"/>
      <c r="FNU1062" s="90"/>
      <c r="FNV1062" s="90"/>
      <c r="FNW1062" s="90"/>
      <c r="FNX1062" s="90"/>
      <c r="FNY1062" s="90"/>
      <c r="FNZ1062" s="90"/>
      <c r="FOA1062" s="90"/>
      <c r="FOB1062" s="90"/>
      <c r="FOC1062" s="90"/>
      <c r="FOD1062" s="90"/>
      <c r="FOE1062" s="90"/>
      <c r="FOF1062" s="90"/>
      <c r="FOG1062" s="90"/>
      <c r="FOH1062" s="90"/>
      <c r="FOI1062" s="90"/>
      <c r="FOJ1062" s="90"/>
      <c r="FOK1062" s="90"/>
      <c r="FOL1062" s="90"/>
      <c r="FOM1062" s="90"/>
      <c r="FON1062" s="90"/>
      <c r="FOO1062" s="90"/>
      <c r="FOP1062" s="90"/>
      <c r="FOQ1062" s="90"/>
      <c r="FOR1062" s="90"/>
      <c r="FOS1062" s="90"/>
      <c r="FOT1062" s="90"/>
      <c r="FOU1062" s="90"/>
      <c r="FOV1062" s="90"/>
      <c r="FOW1062" s="90"/>
      <c r="FOX1062" s="90"/>
      <c r="FOY1062" s="90"/>
      <c r="FOZ1062" s="90"/>
      <c r="FPA1062" s="90"/>
      <c r="FPB1062" s="90"/>
      <c r="FPC1062" s="90"/>
      <c r="FPD1062" s="90"/>
      <c r="FPE1062" s="90"/>
      <c r="FPF1062" s="90"/>
      <c r="FPG1062" s="90"/>
      <c r="FPH1062" s="90"/>
      <c r="FPI1062" s="90"/>
      <c r="FPJ1062" s="90"/>
      <c r="FPK1062" s="90"/>
      <c r="FPL1062" s="90"/>
      <c r="FPM1062" s="90"/>
      <c r="FPN1062" s="90"/>
      <c r="FPO1062" s="90"/>
      <c r="FPP1062" s="90"/>
      <c r="FPQ1062" s="90"/>
      <c r="FPR1062" s="90"/>
      <c r="FPS1062" s="90"/>
      <c r="FPT1062" s="90"/>
      <c r="FPU1062" s="90"/>
      <c r="FPV1062" s="90"/>
      <c r="FPW1062" s="90"/>
      <c r="FPX1062" s="90"/>
      <c r="FPY1062" s="90"/>
      <c r="FPZ1062" s="90"/>
      <c r="FQA1062" s="90"/>
      <c r="FQB1062" s="90"/>
      <c r="FQC1062" s="90"/>
      <c r="FQD1062" s="90"/>
      <c r="FQE1062" s="90"/>
      <c r="FQF1062" s="90"/>
      <c r="FQG1062" s="90"/>
      <c r="FQH1062" s="90"/>
      <c r="FQI1062" s="90"/>
      <c r="FQJ1062" s="90"/>
      <c r="FQK1062" s="90"/>
      <c r="FQL1062" s="90"/>
      <c r="FQM1062" s="90"/>
      <c r="FQN1062" s="90"/>
      <c r="FQO1062" s="90"/>
      <c r="FQP1062" s="90"/>
      <c r="FQQ1062" s="90"/>
      <c r="FQR1062" s="90"/>
      <c r="FQS1062" s="90"/>
      <c r="FQT1062" s="90"/>
      <c r="FQU1062" s="90"/>
      <c r="FQV1062" s="90"/>
      <c r="FQW1062" s="90"/>
      <c r="FQX1062" s="90"/>
      <c r="FQY1062" s="90"/>
      <c r="FQZ1062" s="90"/>
      <c r="FRA1062" s="90"/>
      <c r="FRB1062" s="90"/>
      <c r="FRC1062" s="90"/>
      <c r="FRD1062" s="90"/>
      <c r="FRE1062" s="90"/>
      <c r="FRF1062" s="90"/>
      <c r="FRG1062" s="90"/>
      <c r="FRH1062" s="90"/>
      <c r="FRI1062" s="90"/>
      <c r="FRJ1062" s="90"/>
      <c r="FRK1062" s="90"/>
      <c r="FRL1062" s="90"/>
      <c r="FRM1062" s="90"/>
      <c r="FRN1062" s="90"/>
      <c r="FRO1062" s="90"/>
      <c r="FRP1062" s="90"/>
      <c r="FRQ1062" s="90"/>
      <c r="FRR1062" s="90"/>
      <c r="FRS1062" s="90"/>
      <c r="FRT1062" s="90"/>
      <c r="FRU1062" s="90"/>
      <c r="FRV1062" s="90"/>
      <c r="FRW1062" s="90"/>
      <c r="FRX1062" s="90"/>
      <c r="FRY1062" s="90"/>
      <c r="FRZ1062" s="90"/>
      <c r="FSA1062" s="90"/>
      <c r="FSB1062" s="90"/>
      <c r="FSC1062" s="90"/>
      <c r="FSD1062" s="90"/>
      <c r="FSE1062" s="90"/>
      <c r="FSF1062" s="90"/>
      <c r="FSG1062" s="90"/>
      <c r="FSH1062" s="90"/>
      <c r="FSI1062" s="90"/>
      <c r="FSJ1062" s="90"/>
      <c r="FSK1062" s="90"/>
      <c r="FSL1062" s="90"/>
      <c r="FSM1062" s="90"/>
      <c r="FSN1062" s="90"/>
      <c r="FSO1062" s="90"/>
      <c r="FSP1062" s="90"/>
      <c r="FSQ1062" s="90"/>
      <c r="FSR1062" s="90"/>
      <c r="FSS1062" s="90"/>
      <c r="FST1062" s="90"/>
      <c r="FSU1062" s="90"/>
      <c r="FSV1062" s="90"/>
      <c r="FSW1062" s="90"/>
      <c r="FSX1062" s="90"/>
      <c r="FSY1062" s="90"/>
      <c r="FSZ1062" s="90"/>
      <c r="FTA1062" s="90"/>
      <c r="FTB1062" s="90"/>
      <c r="FTC1062" s="90"/>
      <c r="FTD1062" s="90"/>
      <c r="FTE1062" s="90"/>
      <c r="FTF1062" s="90"/>
      <c r="FTG1062" s="90"/>
      <c r="FTH1062" s="90"/>
      <c r="FTI1062" s="90"/>
      <c r="FTJ1062" s="90"/>
      <c r="FTK1062" s="90"/>
      <c r="FTL1062" s="90"/>
      <c r="FTM1062" s="90"/>
      <c r="FTN1062" s="90"/>
      <c r="FTO1062" s="90"/>
      <c r="FTP1062" s="90"/>
      <c r="FTQ1062" s="90"/>
      <c r="FTR1062" s="90"/>
      <c r="FTS1062" s="90"/>
      <c r="FTT1062" s="90"/>
      <c r="FTU1062" s="90"/>
      <c r="FTV1062" s="90"/>
      <c r="FTW1062" s="90"/>
      <c r="FTX1062" s="90"/>
      <c r="FTY1062" s="90"/>
      <c r="FTZ1062" s="90"/>
      <c r="FUA1062" s="90"/>
      <c r="FUB1062" s="90"/>
      <c r="FUC1062" s="90"/>
      <c r="FUD1062" s="90"/>
      <c r="FUE1062" s="90"/>
      <c r="FUF1062" s="90"/>
      <c r="FUG1062" s="90"/>
      <c r="FUH1062" s="90"/>
      <c r="FUI1062" s="90"/>
      <c r="FUJ1062" s="90"/>
      <c r="FUK1062" s="90"/>
      <c r="FUL1062" s="90"/>
      <c r="FUM1062" s="90"/>
      <c r="FUN1062" s="90"/>
      <c r="FUO1062" s="90"/>
      <c r="FUP1062" s="90"/>
      <c r="FUQ1062" s="90"/>
      <c r="FUR1062" s="90"/>
      <c r="FUS1062" s="90"/>
      <c r="FUT1062" s="90"/>
      <c r="FUU1062" s="90"/>
      <c r="FUV1062" s="90"/>
      <c r="FUW1062" s="90"/>
      <c r="FUX1062" s="90"/>
      <c r="FUY1062" s="90"/>
      <c r="FUZ1062" s="90"/>
      <c r="FVA1062" s="90"/>
      <c r="FVB1062" s="90"/>
      <c r="FVC1062" s="90"/>
      <c r="FVD1062" s="90"/>
      <c r="FVE1062" s="90"/>
      <c r="FVF1062" s="90"/>
      <c r="FVG1062" s="90"/>
      <c r="FVH1062" s="90"/>
      <c r="FVI1062" s="90"/>
      <c r="FVJ1062" s="90"/>
      <c r="FVK1062" s="90"/>
      <c r="FVL1062" s="90"/>
      <c r="FVM1062" s="90"/>
      <c r="FVN1062" s="90"/>
      <c r="FVO1062" s="90"/>
      <c r="FVP1062" s="90"/>
      <c r="FVQ1062" s="90"/>
      <c r="FVR1062" s="90"/>
      <c r="FVS1062" s="90"/>
      <c r="FVT1062" s="90"/>
      <c r="FVU1062" s="90"/>
      <c r="FVV1062" s="90"/>
      <c r="FVW1062" s="90"/>
      <c r="FVX1062" s="90"/>
      <c r="FVY1062" s="90"/>
      <c r="FVZ1062" s="90"/>
      <c r="FWA1062" s="90"/>
      <c r="FWB1062" s="90"/>
      <c r="FWC1062" s="90"/>
      <c r="FWD1062" s="90"/>
      <c r="FWE1062" s="90"/>
      <c r="FWF1062" s="90"/>
      <c r="FWG1062" s="90"/>
      <c r="FWH1062" s="90"/>
      <c r="FWI1062" s="90"/>
      <c r="FWJ1062" s="90"/>
      <c r="FWK1062" s="90"/>
      <c r="FWL1062" s="90"/>
      <c r="FWM1062" s="90"/>
      <c r="FWN1062" s="90"/>
      <c r="FWO1062" s="90"/>
      <c r="FWP1062" s="90"/>
      <c r="FWQ1062" s="90"/>
      <c r="FWR1062" s="90"/>
      <c r="FWS1062" s="90"/>
      <c r="FWT1062" s="90"/>
      <c r="FWU1062" s="90"/>
      <c r="FWV1062" s="90"/>
      <c r="FWW1062" s="90"/>
      <c r="FWX1062" s="90"/>
      <c r="FWY1062" s="90"/>
      <c r="FWZ1062" s="90"/>
      <c r="FXA1062" s="90"/>
      <c r="FXB1062" s="90"/>
      <c r="FXC1062" s="90"/>
      <c r="FXD1062" s="90"/>
      <c r="FXE1062" s="90"/>
      <c r="FXF1062" s="90"/>
      <c r="FXG1062" s="90"/>
      <c r="FXH1062" s="90"/>
      <c r="FXI1062" s="90"/>
      <c r="FXJ1062" s="90"/>
      <c r="FXK1062" s="90"/>
      <c r="FXL1062" s="90"/>
      <c r="FXM1062" s="90"/>
      <c r="FXN1062" s="90"/>
      <c r="FXO1062" s="90"/>
      <c r="FXP1062" s="90"/>
      <c r="FXQ1062" s="90"/>
      <c r="FXR1062" s="90"/>
      <c r="FXS1062" s="90"/>
      <c r="FXT1062" s="90"/>
      <c r="FXU1062" s="90"/>
      <c r="FXV1062" s="90"/>
      <c r="FXW1062" s="90"/>
      <c r="FXX1062" s="90"/>
      <c r="FXY1062" s="90"/>
      <c r="FXZ1062" s="90"/>
      <c r="FYA1062" s="90"/>
      <c r="FYB1062" s="90"/>
      <c r="FYC1062" s="90"/>
      <c r="FYD1062" s="90"/>
      <c r="FYE1062" s="90"/>
      <c r="FYF1062" s="90"/>
      <c r="FYG1062" s="90"/>
      <c r="FYH1062" s="90"/>
      <c r="FYI1062" s="90"/>
      <c r="FYJ1062" s="90"/>
      <c r="FYK1062" s="90"/>
      <c r="FYL1062" s="90"/>
      <c r="FYM1062" s="90"/>
      <c r="FYN1062" s="90"/>
      <c r="FYO1062" s="90"/>
      <c r="FYP1062" s="90"/>
      <c r="FYQ1062" s="90"/>
      <c r="FYR1062" s="90"/>
      <c r="FYS1062" s="90"/>
      <c r="FYT1062" s="90"/>
      <c r="FYU1062" s="90"/>
      <c r="FYV1062" s="90"/>
      <c r="FYW1062" s="90"/>
      <c r="FYX1062" s="90"/>
      <c r="FYY1062" s="90"/>
      <c r="FYZ1062" s="90"/>
      <c r="FZA1062" s="90"/>
      <c r="FZB1062" s="90"/>
      <c r="FZC1062" s="90"/>
      <c r="FZD1062" s="90"/>
      <c r="FZE1062" s="90"/>
      <c r="FZF1062" s="90"/>
      <c r="FZG1062" s="90"/>
      <c r="FZH1062" s="90"/>
      <c r="FZI1062" s="90"/>
      <c r="FZJ1062" s="90"/>
      <c r="FZK1062" s="90"/>
      <c r="FZL1062" s="90"/>
      <c r="FZM1062" s="90"/>
      <c r="FZN1062" s="90"/>
      <c r="FZO1062" s="90"/>
      <c r="FZP1062" s="90"/>
      <c r="FZQ1062" s="90"/>
      <c r="FZR1062" s="90"/>
      <c r="FZS1062" s="90"/>
      <c r="FZT1062" s="90"/>
      <c r="FZU1062" s="90"/>
      <c r="FZV1062" s="90"/>
      <c r="FZW1062" s="90"/>
      <c r="FZX1062" s="90"/>
      <c r="FZY1062" s="90"/>
      <c r="FZZ1062" s="90"/>
      <c r="GAA1062" s="90"/>
      <c r="GAB1062" s="90"/>
      <c r="GAC1062" s="90"/>
      <c r="GAD1062" s="90"/>
      <c r="GAE1062" s="90"/>
      <c r="GAF1062" s="90"/>
      <c r="GAG1062" s="90"/>
      <c r="GAH1062" s="90"/>
      <c r="GAI1062" s="90"/>
      <c r="GAJ1062" s="90"/>
      <c r="GAK1062" s="90"/>
      <c r="GAL1062" s="90"/>
      <c r="GAM1062" s="90"/>
      <c r="GAN1062" s="90"/>
      <c r="GAO1062" s="90"/>
      <c r="GAP1062" s="90"/>
      <c r="GAQ1062" s="90"/>
      <c r="GAR1062" s="90"/>
      <c r="GAS1062" s="90"/>
      <c r="GAT1062" s="90"/>
      <c r="GAU1062" s="90"/>
      <c r="GAV1062" s="90"/>
      <c r="GAW1062" s="90"/>
      <c r="GAX1062" s="90"/>
      <c r="GAY1062" s="90"/>
      <c r="GAZ1062" s="90"/>
      <c r="GBA1062" s="90"/>
      <c r="GBB1062" s="90"/>
      <c r="GBC1062" s="90"/>
      <c r="GBD1062" s="90"/>
      <c r="GBE1062" s="90"/>
      <c r="GBF1062" s="90"/>
      <c r="GBG1062" s="90"/>
      <c r="GBH1062" s="90"/>
      <c r="GBI1062" s="90"/>
      <c r="GBJ1062" s="90"/>
      <c r="GBK1062" s="90"/>
      <c r="GBL1062" s="90"/>
      <c r="GBM1062" s="90"/>
      <c r="GBN1062" s="90"/>
      <c r="GBO1062" s="90"/>
      <c r="GBP1062" s="90"/>
      <c r="GBQ1062" s="90"/>
      <c r="GBR1062" s="90"/>
      <c r="GBS1062" s="90"/>
      <c r="GBT1062" s="90"/>
      <c r="GBU1062" s="90"/>
      <c r="GBV1062" s="90"/>
      <c r="GBW1062" s="90"/>
      <c r="GBX1062" s="90"/>
      <c r="GBY1062" s="90"/>
      <c r="GBZ1062" s="90"/>
      <c r="GCA1062" s="90"/>
      <c r="GCB1062" s="90"/>
      <c r="GCC1062" s="90"/>
      <c r="GCD1062" s="90"/>
      <c r="GCE1062" s="90"/>
      <c r="GCF1062" s="90"/>
      <c r="GCG1062" s="90"/>
      <c r="GCH1062" s="90"/>
      <c r="GCI1062" s="90"/>
      <c r="GCJ1062" s="90"/>
      <c r="GCK1062" s="90"/>
      <c r="GCL1062" s="90"/>
      <c r="GCM1062" s="90"/>
      <c r="GCN1062" s="90"/>
      <c r="GCO1062" s="90"/>
      <c r="GCP1062" s="90"/>
      <c r="GCQ1062" s="90"/>
      <c r="GCR1062" s="90"/>
      <c r="GCS1062" s="90"/>
      <c r="GCT1062" s="90"/>
      <c r="GCU1062" s="90"/>
      <c r="GCV1062" s="90"/>
      <c r="GCW1062" s="90"/>
      <c r="GCX1062" s="90"/>
      <c r="GCY1062" s="90"/>
      <c r="GCZ1062" s="90"/>
      <c r="GDA1062" s="90"/>
      <c r="GDB1062" s="90"/>
      <c r="GDC1062" s="90"/>
      <c r="GDD1062" s="90"/>
      <c r="GDE1062" s="90"/>
      <c r="GDF1062" s="90"/>
      <c r="GDG1062" s="90"/>
      <c r="GDH1062" s="90"/>
      <c r="GDI1062" s="90"/>
      <c r="GDJ1062" s="90"/>
      <c r="GDK1062" s="90"/>
      <c r="GDL1062" s="90"/>
      <c r="GDM1062" s="90"/>
      <c r="GDN1062" s="90"/>
      <c r="GDO1062" s="90"/>
      <c r="GDP1062" s="90"/>
      <c r="GDQ1062" s="90"/>
      <c r="GDR1062" s="90"/>
      <c r="GDS1062" s="90"/>
      <c r="GDT1062" s="90"/>
      <c r="GDU1062" s="90"/>
      <c r="GDV1062" s="90"/>
      <c r="GDW1062" s="90"/>
      <c r="GDX1062" s="90"/>
      <c r="GDY1062" s="90"/>
      <c r="GDZ1062" s="90"/>
      <c r="GEA1062" s="90"/>
      <c r="GEB1062" s="90"/>
      <c r="GEC1062" s="90"/>
      <c r="GED1062" s="90"/>
      <c r="GEE1062" s="90"/>
      <c r="GEF1062" s="90"/>
      <c r="GEG1062" s="90"/>
      <c r="GEH1062" s="90"/>
      <c r="GEI1062" s="90"/>
      <c r="GEJ1062" s="90"/>
      <c r="GEK1062" s="90"/>
      <c r="GEL1062" s="90"/>
      <c r="GEM1062" s="90"/>
      <c r="GEN1062" s="90"/>
      <c r="GEO1062" s="90"/>
      <c r="GEP1062" s="90"/>
      <c r="GEQ1062" s="90"/>
      <c r="GER1062" s="90"/>
      <c r="GES1062" s="90"/>
      <c r="GET1062" s="90"/>
      <c r="GEU1062" s="90"/>
      <c r="GEV1062" s="90"/>
      <c r="GEW1062" s="90"/>
      <c r="GEX1062" s="90"/>
      <c r="GEY1062" s="90"/>
      <c r="GEZ1062" s="90"/>
      <c r="GFA1062" s="90"/>
      <c r="GFB1062" s="90"/>
      <c r="GFC1062" s="90"/>
      <c r="GFD1062" s="90"/>
      <c r="GFE1062" s="90"/>
      <c r="GFF1062" s="90"/>
      <c r="GFG1062" s="90"/>
      <c r="GFH1062" s="90"/>
      <c r="GFI1062" s="90"/>
      <c r="GFJ1062" s="90"/>
      <c r="GFK1062" s="90"/>
      <c r="GFL1062" s="90"/>
      <c r="GFM1062" s="90"/>
      <c r="GFN1062" s="90"/>
      <c r="GFO1062" s="90"/>
      <c r="GFP1062" s="90"/>
      <c r="GFQ1062" s="90"/>
      <c r="GFR1062" s="90"/>
      <c r="GFS1062" s="90"/>
      <c r="GFT1062" s="90"/>
      <c r="GFU1062" s="90"/>
      <c r="GFV1062" s="90"/>
      <c r="GFW1062" s="90"/>
      <c r="GFX1062" s="90"/>
      <c r="GFY1062" s="90"/>
      <c r="GFZ1062" s="90"/>
      <c r="GGA1062" s="90"/>
      <c r="GGB1062" s="90"/>
      <c r="GGC1062" s="90"/>
      <c r="GGD1062" s="90"/>
      <c r="GGE1062" s="90"/>
      <c r="GGF1062" s="90"/>
      <c r="GGG1062" s="90"/>
      <c r="GGH1062" s="90"/>
      <c r="GGI1062" s="90"/>
      <c r="GGJ1062" s="90"/>
      <c r="GGK1062" s="90"/>
      <c r="GGL1062" s="90"/>
      <c r="GGM1062" s="90"/>
      <c r="GGN1062" s="90"/>
      <c r="GGO1062" s="90"/>
      <c r="GGP1062" s="90"/>
      <c r="GGQ1062" s="90"/>
      <c r="GGR1062" s="90"/>
      <c r="GGS1062" s="90"/>
      <c r="GGT1062" s="90"/>
      <c r="GGU1062" s="90"/>
      <c r="GGV1062" s="90"/>
      <c r="GGW1062" s="90"/>
      <c r="GGX1062" s="90"/>
      <c r="GGY1062" s="90"/>
      <c r="GGZ1062" s="90"/>
      <c r="GHA1062" s="90"/>
      <c r="GHB1062" s="90"/>
      <c r="GHC1062" s="90"/>
      <c r="GHD1062" s="90"/>
      <c r="GHE1062" s="90"/>
      <c r="GHF1062" s="90"/>
      <c r="GHG1062" s="90"/>
      <c r="GHH1062" s="90"/>
      <c r="GHI1062" s="90"/>
      <c r="GHJ1062" s="90"/>
      <c r="GHK1062" s="90"/>
      <c r="GHL1062" s="90"/>
      <c r="GHM1062" s="90"/>
      <c r="GHN1062" s="90"/>
      <c r="GHO1062" s="90"/>
      <c r="GHP1062" s="90"/>
      <c r="GHQ1062" s="90"/>
      <c r="GHR1062" s="90"/>
      <c r="GHS1062" s="90"/>
      <c r="GHT1062" s="90"/>
      <c r="GHU1062" s="90"/>
      <c r="GHV1062" s="90"/>
      <c r="GHW1062" s="90"/>
      <c r="GHX1062" s="90"/>
      <c r="GHY1062" s="90"/>
      <c r="GHZ1062" s="90"/>
      <c r="GIA1062" s="90"/>
      <c r="GIB1062" s="90"/>
      <c r="GIC1062" s="90"/>
      <c r="GID1062" s="90"/>
      <c r="GIE1062" s="90"/>
      <c r="GIF1062" s="90"/>
      <c r="GIG1062" s="90"/>
      <c r="GIH1062" s="90"/>
      <c r="GII1062" s="90"/>
      <c r="GIJ1062" s="90"/>
      <c r="GIK1062" s="90"/>
      <c r="GIL1062" s="90"/>
      <c r="GIM1062" s="90"/>
      <c r="GIN1062" s="90"/>
      <c r="GIO1062" s="90"/>
      <c r="GIP1062" s="90"/>
      <c r="GIQ1062" s="90"/>
      <c r="GIR1062" s="90"/>
      <c r="GIS1062" s="90"/>
      <c r="GIT1062" s="90"/>
      <c r="GIU1062" s="90"/>
      <c r="GIV1062" s="90"/>
      <c r="GIW1062" s="90"/>
      <c r="GIX1062" s="90"/>
      <c r="GIY1062" s="90"/>
      <c r="GIZ1062" s="90"/>
      <c r="GJA1062" s="90"/>
      <c r="GJB1062" s="90"/>
      <c r="GJC1062" s="90"/>
      <c r="GJD1062" s="90"/>
      <c r="GJE1062" s="90"/>
      <c r="GJF1062" s="90"/>
      <c r="GJG1062" s="90"/>
      <c r="GJH1062" s="90"/>
      <c r="GJI1062" s="90"/>
      <c r="GJJ1062" s="90"/>
      <c r="GJK1062" s="90"/>
      <c r="GJL1062" s="90"/>
      <c r="GJM1062" s="90"/>
      <c r="GJN1062" s="90"/>
      <c r="GJO1062" s="90"/>
      <c r="GJP1062" s="90"/>
      <c r="GJQ1062" s="90"/>
      <c r="GJR1062" s="90"/>
      <c r="GJS1062" s="90"/>
      <c r="GJT1062" s="90"/>
      <c r="GJU1062" s="90"/>
      <c r="GJV1062" s="90"/>
      <c r="GJW1062" s="90"/>
      <c r="GJX1062" s="90"/>
      <c r="GJY1062" s="90"/>
      <c r="GJZ1062" s="90"/>
      <c r="GKA1062" s="90"/>
      <c r="GKB1062" s="90"/>
      <c r="GKC1062" s="90"/>
      <c r="GKD1062" s="90"/>
      <c r="GKE1062" s="90"/>
      <c r="GKF1062" s="90"/>
      <c r="GKG1062" s="90"/>
      <c r="GKH1062" s="90"/>
      <c r="GKI1062" s="90"/>
      <c r="GKJ1062" s="90"/>
      <c r="GKK1062" s="90"/>
      <c r="GKL1062" s="90"/>
      <c r="GKM1062" s="90"/>
      <c r="GKN1062" s="90"/>
      <c r="GKO1062" s="90"/>
      <c r="GKP1062" s="90"/>
      <c r="GKQ1062" s="90"/>
      <c r="GKR1062" s="90"/>
      <c r="GKS1062" s="90"/>
      <c r="GKT1062" s="90"/>
      <c r="GKU1062" s="90"/>
      <c r="GKV1062" s="90"/>
      <c r="GKW1062" s="90"/>
      <c r="GKX1062" s="90"/>
      <c r="GKY1062" s="90"/>
      <c r="GKZ1062" s="90"/>
      <c r="GLA1062" s="90"/>
      <c r="GLB1062" s="90"/>
      <c r="GLC1062" s="90"/>
      <c r="GLD1062" s="90"/>
      <c r="GLE1062" s="90"/>
      <c r="GLF1062" s="90"/>
      <c r="GLG1062" s="90"/>
      <c r="GLH1062" s="90"/>
      <c r="GLI1062" s="90"/>
      <c r="GLJ1062" s="90"/>
      <c r="GLK1062" s="90"/>
      <c r="GLL1062" s="90"/>
      <c r="GLM1062" s="90"/>
      <c r="GLN1062" s="90"/>
      <c r="GLO1062" s="90"/>
      <c r="GLP1062" s="90"/>
      <c r="GLQ1062" s="90"/>
      <c r="GLR1062" s="90"/>
      <c r="GLS1062" s="90"/>
      <c r="GLT1062" s="90"/>
      <c r="GLU1062" s="90"/>
      <c r="GLV1062" s="90"/>
      <c r="GLW1062" s="90"/>
      <c r="GLX1062" s="90"/>
      <c r="GLY1062" s="90"/>
      <c r="GLZ1062" s="90"/>
      <c r="GMA1062" s="90"/>
      <c r="GMB1062" s="90"/>
      <c r="GMC1062" s="90"/>
      <c r="GMD1062" s="90"/>
      <c r="GME1062" s="90"/>
      <c r="GMF1062" s="90"/>
      <c r="GMG1062" s="90"/>
      <c r="GMH1062" s="90"/>
      <c r="GMI1062" s="90"/>
      <c r="GMJ1062" s="90"/>
      <c r="GMK1062" s="90"/>
      <c r="GML1062" s="90"/>
      <c r="GMM1062" s="90"/>
      <c r="GMN1062" s="90"/>
      <c r="GMO1062" s="90"/>
      <c r="GMP1062" s="90"/>
      <c r="GMQ1062" s="90"/>
      <c r="GMR1062" s="90"/>
      <c r="GMS1062" s="90"/>
      <c r="GMT1062" s="90"/>
      <c r="GMU1062" s="90"/>
      <c r="GMV1062" s="90"/>
      <c r="GMW1062" s="90"/>
      <c r="GMX1062" s="90"/>
      <c r="GMY1062" s="90"/>
      <c r="GMZ1062" s="90"/>
      <c r="GNA1062" s="90"/>
      <c r="GNB1062" s="90"/>
      <c r="GNC1062" s="90"/>
      <c r="GND1062" s="90"/>
      <c r="GNE1062" s="90"/>
      <c r="GNF1062" s="90"/>
      <c r="GNG1062" s="90"/>
      <c r="GNH1062" s="90"/>
      <c r="GNI1062" s="90"/>
      <c r="GNJ1062" s="90"/>
      <c r="GNK1062" s="90"/>
      <c r="GNL1062" s="90"/>
      <c r="GNM1062" s="90"/>
      <c r="GNN1062" s="90"/>
      <c r="GNO1062" s="90"/>
      <c r="GNP1062" s="90"/>
      <c r="GNQ1062" s="90"/>
      <c r="GNR1062" s="90"/>
      <c r="GNS1062" s="90"/>
      <c r="GNT1062" s="90"/>
      <c r="GNU1062" s="90"/>
      <c r="GNV1062" s="90"/>
      <c r="GNW1062" s="90"/>
      <c r="GNX1062" s="90"/>
      <c r="GNY1062" s="90"/>
      <c r="GNZ1062" s="90"/>
      <c r="GOA1062" s="90"/>
      <c r="GOB1062" s="90"/>
      <c r="GOC1062" s="90"/>
      <c r="GOD1062" s="90"/>
      <c r="GOE1062" s="90"/>
      <c r="GOF1062" s="90"/>
      <c r="GOG1062" s="90"/>
      <c r="GOH1062" s="90"/>
      <c r="GOI1062" s="90"/>
      <c r="GOJ1062" s="90"/>
      <c r="GOK1062" s="90"/>
      <c r="GOL1062" s="90"/>
      <c r="GOM1062" s="90"/>
      <c r="GON1062" s="90"/>
      <c r="GOO1062" s="90"/>
      <c r="GOP1062" s="90"/>
      <c r="GOQ1062" s="90"/>
      <c r="GOR1062" s="90"/>
      <c r="GOS1062" s="90"/>
      <c r="GOT1062" s="90"/>
      <c r="GOU1062" s="90"/>
      <c r="GOV1062" s="90"/>
      <c r="GOW1062" s="90"/>
      <c r="GOX1062" s="90"/>
      <c r="GOY1062" s="90"/>
      <c r="GOZ1062" s="90"/>
      <c r="GPA1062" s="90"/>
      <c r="GPB1062" s="90"/>
      <c r="GPC1062" s="90"/>
      <c r="GPD1062" s="90"/>
      <c r="GPE1062" s="90"/>
      <c r="GPF1062" s="90"/>
      <c r="GPG1062" s="90"/>
      <c r="GPH1062" s="90"/>
      <c r="GPI1062" s="90"/>
      <c r="GPJ1062" s="90"/>
      <c r="GPK1062" s="90"/>
      <c r="GPL1062" s="90"/>
      <c r="GPM1062" s="90"/>
      <c r="GPN1062" s="90"/>
      <c r="GPO1062" s="90"/>
      <c r="GPP1062" s="90"/>
      <c r="GPQ1062" s="90"/>
      <c r="GPR1062" s="90"/>
      <c r="GPS1062" s="90"/>
      <c r="GPT1062" s="90"/>
      <c r="GPU1062" s="90"/>
      <c r="GPV1062" s="90"/>
      <c r="GPW1062" s="90"/>
      <c r="GPX1062" s="90"/>
      <c r="GPY1062" s="90"/>
      <c r="GPZ1062" s="90"/>
      <c r="GQA1062" s="90"/>
      <c r="GQB1062" s="90"/>
      <c r="GQC1062" s="90"/>
      <c r="GQD1062" s="90"/>
      <c r="GQE1062" s="90"/>
      <c r="GQF1062" s="90"/>
      <c r="GQG1062" s="90"/>
      <c r="GQH1062" s="90"/>
      <c r="GQI1062" s="90"/>
      <c r="GQJ1062" s="90"/>
      <c r="GQK1062" s="90"/>
      <c r="GQL1062" s="90"/>
      <c r="GQM1062" s="90"/>
      <c r="GQN1062" s="90"/>
      <c r="GQO1062" s="90"/>
      <c r="GQP1062" s="90"/>
      <c r="GQQ1062" s="90"/>
      <c r="GQR1062" s="90"/>
      <c r="GQS1062" s="90"/>
      <c r="GQT1062" s="90"/>
      <c r="GQU1062" s="90"/>
      <c r="GQV1062" s="90"/>
      <c r="GQW1062" s="90"/>
      <c r="GQX1062" s="90"/>
      <c r="GQY1062" s="90"/>
      <c r="GQZ1062" s="90"/>
      <c r="GRA1062" s="90"/>
      <c r="GRB1062" s="90"/>
      <c r="GRC1062" s="90"/>
      <c r="GRD1062" s="90"/>
      <c r="GRE1062" s="90"/>
      <c r="GRF1062" s="90"/>
      <c r="GRG1062" s="90"/>
      <c r="GRH1062" s="90"/>
      <c r="GRI1062" s="90"/>
      <c r="GRJ1062" s="90"/>
      <c r="GRK1062" s="90"/>
      <c r="GRL1062" s="90"/>
      <c r="GRM1062" s="90"/>
      <c r="GRN1062" s="90"/>
      <c r="GRO1062" s="90"/>
      <c r="GRP1062" s="90"/>
      <c r="GRQ1062" s="90"/>
      <c r="GRR1062" s="90"/>
      <c r="GRS1062" s="90"/>
      <c r="GRT1062" s="90"/>
      <c r="GRU1062" s="90"/>
      <c r="GRV1062" s="90"/>
      <c r="GRW1062" s="90"/>
      <c r="GRX1062" s="90"/>
      <c r="GRY1062" s="90"/>
      <c r="GRZ1062" s="90"/>
      <c r="GSA1062" s="90"/>
      <c r="GSB1062" s="90"/>
      <c r="GSC1062" s="90"/>
      <c r="GSD1062" s="90"/>
      <c r="GSE1062" s="90"/>
      <c r="GSF1062" s="90"/>
      <c r="GSG1062" s="90"/>
      <c r="GSH1062" s="90"/>
      <c r="GSI1062" s="90"/>
      <c r="GSJ1062" s="90"/>
      <c r="GSK1062" s="90"/>
      <c r="GSL1062" s="90"/>
      <c r="GSM1062" s="90"/>
      <c r="GSN1062" s="90"/>
      <c r="GSO1062" s="90"/>
      <c r="GSP1062" s="90"/>
      <c r="GSQ1062" s="90"/>
      <c r="GSR1062" s="90"/>
      <c r="GSS1062" s="90"/>
      <c r="GST1062" s="90"/>
      <c r="GSU1062" s="90"/>
      <c r="GSV1062" s="90"/>
      <c r="GSW1062" s="90"/>
      <c r="GSX1062" s="90"/>
      <c r="GSY1062" s="90"/>
      <c r="GSZ1062" s="90"/>
      <c r="GTA1062" s="90"/>
      <c r="GTB1062" s="90"/>
      <c r="GTC1062" s="90"/>
      <c r="GTD1062" s="90"/>
      <c r="GTE1062" s="90"/>
      <c r="GTF1062" s="90"/>
      <c r="GTG1062" s="90"/>
      <c r="GTH1062" s="90"/>
      <c r="GTI1062" s="90"/>
      <c r="GTJ1062" s="90"/>
      <c r="GTK1062" s="90"/>
      <c r="GTL1062" s="90"/>
      <c r="GTM1062" s="90"/>
      <c r="GTN1062" s="90"/>
      <c r="GTO1062" s="90"/>
      <c r="GTP1062" s="90"/>
      <c r="GTQ1062" s="90"/>
      <c r="GTR1062" s="90"/>
      <c r="GTS1062" s="90"/>
      <c r="GTT1062" s="90"/>
      <c r="GTU1062" s="90"/>
      <c r="GTV1062" s="90"/>
      <c r="GTW1062" s="90"/>
      <c r="GTX1062" s="90"/>
      <c r="GTY1062" s="90"/>
      <c r="GTZ1062" s="90"/>
      <c r="GUA1062" s="90"/>
      <c r="GUB1062" s="90"/>
      <c r="GUC1062" s="90"/>
      <c r="GUD1062" s="90"/>
      <c r="GUE1062" s="90"/>
      <c r="GUF1062" s="90"/>
      <c r="GUG1062" s="90"/>
      <c r="GUH1062" s="90"/>
      <c r="GUI1062" s="90"/>
      <c r="GUJ1062" s="90"/>
      <c r="GUK1062" s="90"/>
      <c r="GUL1062" s="90"/>
      <c r="GUM1062" s="90"/>
      <c r="GUN1062" s="90"/>
      <c r="GUO1062" s="90"/>
      <c r="GUP1062" s="90"/>
      <c r="GUQ1062" s="90"/>
      <c r="GUR1062" s="90"/>
      <c r="GUS1062" s="90"/>
      <c r="GUT1062" s="90"/>
      <c r="GUU1062" s="90"/>
      <c r="GUV1062" s="90"/>
      <c r="GUW1062" s="90"/>
      <c r="GUX1062" s="90"/>
      <c r="GUY1062" s="90"/>
      <c r="GUZ1062" s="90"/>
      <c r="GVA1062" s="90"/>
      <c r="GVB1062" s="90"/>
      <c r="GVC1062" s="90"/>
      <c r="GVD1062" s="90"/>
      <c r="GVE1062" s="90"/>
      <c r="GVF1062" s="90"/>
      <c r="GVG1062" s="90"/>
      <c r="GVH1062" s="90"/>
      <c r="GVI1062" s="90"/>
      <c r="GVJ1062" s="90"/>
      <c r="GVK1062" s="90"/>
      <c r="GVL1062" s="90"/>
      <c r="GVM1062" s="90"/>
      <c r="GVN1062" s="90"/>
      <c r="GVO1062" s="90"/>
      <c r="GVP1062" s="90"/>
      <c r="GVQ1062" s="90"/>
      <c r="GVR1062" s="90"/>
      <c r="GVS1062" s="90"/>
      <c r="GVT1062" s="90"/>
      <c r="GVU1062" s="90"/>
      <c r="GVV1062" s="90"/>
      <c r="GVW1062" s="90"/>
      <c r="GVX1062" s="90"/>
      <c r="GVY1062" s="90"/>
      <c r="GVZ1062" s="90"/>
      <c r="GWA1062" s="90"/>
      <c r="GWB1062" s="90"/>
      <c r="GWC1062" s="90"/>
      <c r="GWD1062" s="90"/>
      <c r="GWE1062" s="90"/>
      <c r="GWF1062" s="90"/>
      <c r="GWG1062" s="90"/>
      <c r="GWH1062" s="90"/>
      <c r="GWI1062" s="90"/>
      <c r="GWJ1062" s="90"/>
      <c r="GWK1062" s="90"/>
      <c r="GWL1062" s="90"/>
      <c r="GWM1062" s="90"/>
      <c r="GWN1062" s="90"/>
      <c r="GWO1062" s="90"/>
      <c r="GWP1062" s="90"/>
      <c r="GWQ1062" s="90"/>
      <c r="GWR1062" s="90"/>
      <c r="GWS1062" s="90"/>
      <c r="GWT1062" s="90"/>
      <c r="GWU1062" s="90"/>
      <c r="GWV1062" s="90"/>
      <c r="GWW1062" s="90"/>
      <c r="GWX1062" s="90"/>
      <c r="GWY1062" s="90"/>
      <c r="GWZ1062" s="90"/>
      <c r="GXA1062" s="90"/>
      <c r="GXB1062" s="90"/>
      <c r="GXC1062" s="90"/>
      <c r="GXD1062" s="90"/>
      <c r="GXE1062" s="90"/>
      <c r="GXF1062" s="90"/>
      <c r="GXG1062" s="90"/>
      <c r="GXH1062" s="90"/>
      <c r="GXI1062" s="90"/>
      <c r="GXJ1062" s="90"/>
      <c r="GXK1062" s="90"/>
      <c r="GXL1062" s="90"/>
      <c r="GXM1062" s="90"/>
      <c r="GXN1062" s="90"/>
      <c r="GXO1062" s="90"/>
      <c r="GXP1062" s="90"/>
      <c r="GXQ1062" s="90"/>
      <c r="GXR1062" s="90"/>
      <c r="GXS1062" s="90"/>
      <c r="GXT1062" s="90"/>
      <c r="GXU1062" s="90"/>
      <c r="GXV1062" s="90"/>
      <c r="GXW1062" s="90"/>
      <c r="GXX1062" s="90"/>
      <c r="GXY1062" s="90"/>
      <c r="GXZ1062" s="90"/>
      <c r="GYA1062" s="90"/>
      <c r="GYB1062" s="90"/>
      <c r="GYC1062" s="90"/>
      <c r="GYD1062" s="90"/>
      <c r="GYE1062" s="90"/>
      <c r="GYF1062" s="90"/>
      <c r="GYG1062" s="90"/>
      <c r="GYH1062" s="90"/>
      <c r="GYI1062" s="90"/>
      <c r="GYJ1062" s="90"/>
      <c r="GYK1062" s="90"/>
      <c r="GYL1062" s="90"/>
      <c r="GYM1062" s="90"/>
      <c r="GYN1062" s="90"/>
      <c r="GYO1062" s="90"/>
      <c r="GYP1062" s="90"/>
      <c r="GYQ1062" s="90"/>
      <c r="GYR1062" s="90"/>
      <c r="GYS1062" s="90"/>
      <c r="GYT1062" s="90"/>
      <c r="GYU1062" s="90"/>
      <c r="GYV1062" s="90"/>
      <c r="GYW1062" s="90"/>
      <c r="GYX1062" s="90"/>
      <c r="GYY1062" s="90"/>
      <c r="GYZ1062" s="90"/>
      <c r="GZA1062" s="90"/>
      <c r="GZB1062" s="90"/>
      <c r="GZC1062" s="90"/>
      <c r="GZD1062" s="90"/>
      <c r="GZE1062" s="90"/>
      <c r="GZF1062" s="90"/>
      <c r="GZG1062" s="90"/>
      <c r="GZH1062" s="90"/>
      <c r="GZI1062" s="90"/>
      <c r="GZJ1062" s="90"/>
      <c r="GZK1062" s="90"/>
      <c r="GZL1062" s="90"/>
      <c r="GZM1062" s="90"/>
      <c r="GZN1062" s="90"/>
      <c r="GZO1062" s="90"/>
      <c r="GZP1062" s="90"/>
      <c r="GZQ1062" s="90"/>
      <c r="GZR1062" s="90"/>
      <c r="GZS1062" s="90"/>
      <c r="GZT1062" s="90"/>
      <c r="GZU1062" s="90"/>
      <c r="GZV1062" s="90"/>
      <c r="GZW1062" s="90"/>
      <c r="GZX1062" s="90"/>
      <c r="GZY1062" s="90"/>
      <c r="GZZ1062" s="90"/>
      <c r="HAA1062" s="90"/>
      <c r="HAB1062" s="90"/>
      <c r="HAC1062" s="90"/>
      <c r="HAD1062" s="90"/>
      <c r="HAE1062" s="90"/>
      <c r="HAF1062" s="90"/>
      <c r="HAG1062" s="90"/>
      <c r="HAH1062" s="90"/>
      <c r="HAI1062" s="90"/>
      <c r="HAJ1062" s="90"/>
      <c r="HAK1062" s="90"/>
      <c r="HAL1062" s="90"/>
      <c r="HAM1062" s="90"/>
      <c r="HAN1062" s="90"/>
      <c r="HAO1062" s="90"/>
      <c r="HAP1062" s="90"/>
      <c r="HAQ1062" s="90"/>
      <c r="HAR1062" s="90"/>
      <c r="HAS1062" s="90"/>
      <c r="HAT1062" s="90"/>
      <c r="HAU1062" s="90"/>
      <c r="HAV1062" s="90"/>
      <c r="HAW1062" s="90"/>
      <c r="HAX1062" s="90"/>
      <c r="HAY1062" s="90"/>
      <c r="HAZ1062" s="90"/>
      <c r="HBA1062" s="90"/>
      <c r="HBB1062" s="90"/>
      <c r="HBC1062" s="90"/>
      <c r="HBD1062" s="90"/>
      <c r="HBE1062" s="90"/>
      <c r="HBF1062" s="90"/>
      <c r="HBG1062" s="90"/>
      <c r="HBH1062" s="90"/>
      <c r="HBI1062" s="90"/>
      <c r="HBJ1062" s="90"/>
      <c r="HBK1062" s="90"/>
      <c r="HBL1062" s="90"/>
      <c r="HBM1062" s="90"/>
      <c r="HBN1062" s="90"/>
      <c r="HBO1062" s="90"/>
      <c r="HBP1062" s="90"/>
      <c r="HBQ1062" s="90"/>
      <c r="HBR1062" s="90"/>
      <c r="HBS1062" s="90"/>
      <c r="HBT1062" s="90"/>
      <c r="HBU1062" s="90"/>
      <c r="HBV1062" s="90"/>
      <c r="HBW1062" s="90"/>
      <c r="HBX1062" s="90"/>
      <c r="HBY1062" s="90"/>
      <c r="HBZ1062" s="90"/>
      <c r="HCA1062" s="90"/>
      <c r="HCB1062" s="90"/>
      <c r="HCC1062" s="90"/>
      <c r="HCD1062" s="90"/>
      <c r="HCE1062" s="90"/>
      <c r="HCF1062" s="90"/>
      <c r="HCG1062" s="90"/>
      <c r="HCH1062" s="90"/>
      <c r="HCI1062" s="90"/>
      <c r="HCJ1062" s="90"/>
      <c r="HCK1062" s="90"/>
      <c r="HCL1062" s="90"/>
      <c r="HCM1062" s="90"/>
      <c r="HCN1062" s="90"/>
      <c r="HCO1062" s="90"/>
      <c r="HCP1062" s="90"/>
      <c r="HCQ1062" s="90"/>
      <c r="HCR1062" s="90"/>
      <c r="HCS1062" s="90"/>
      <c r="HCT1062" s="90"/>
      <c r="HCU1062" s="90"/>
      <c r="HCV1062" s="90"/>
      <c r="HCW1062" s="90"/>
      <c r="HCX1062" s="90"/>
      <c r="HCY1062" s="90"/>
      <c r="HCZ1062" s="90"/>
      <c r="HDA1062" s="90"/>
      <c r="HDB1062" s="90"/>
      <c r="HDC1062" s="90"/>
      <c r="HDD1062" s="90"/>
      <c r="HDE1062" s="90"/>
      <c r="HDF1062" s="90"/>
      <c r="HDG1062" s="90"/>
      <c r="HDH1062" s="90"/>
      <c r="HDI1062" s="90"/>
      <c r="HDJ1062" s="90"/>
      <c r="HDK1062" s="90"/>
      <c r="HDL1062" s="90"/>
      <c r="HDM1062" s="90"/>
      <c r="HDN1062" s="90"/>
      <c r="HDO1062" s="90"/>
      <c r="HDP1062" s="90"/>
      <c r="HDQ1062" s="90"/>
      <c r="HDR1062" s="90"/>
      <c r="HDS1062" s="90"/>
      <c r="HDT1062" s="90"/>
      <c r="HDU1062" s="90"/>
      <c r="HDV1062" s="90"/>
      <c r="HDW1062" s="90"/>
      <c r="HDX1062" s="90"/>
      <c r="HDY1062" s="90"/>
      <c r="HDZ1062" s="90"/>
      <c r="HEA1062" s="90"/>
      <c r="HEB1062" s="90"/>
      <c r="HEC1062" s="90"/>
      <c r="HED1062" s="90"/>
      <c r="HEE1062" s="90"/>
      <c r="HEF1062" s="90"/>
      <c r="HEG1062" s="90"/>
      <c r="HEH1062" s="90"/>
      <c r="HEI1062" s="90"/>
      <c r="HEJ1062" s="90"/>
      <c r="HEK1062" s="90"/>
      <c r="HEL1062" s="90"/>
      <c r="HEM1062" s="90"/>
      <c r="HEN1062" s="90"/>
      <c r="HEO1062" s="90"/>
      <c r="HEP1062" s="90"/>
      <c r="HEQ1062" s="90"/>
      <c r="HER1062" s="90"/>
      <c r="HES1062" s="90"/>
      <c r="HET1062" s="90"/>
      <c r="HEU1062" s="90"/>
      <c r="HEV1062" s="90"/>
      <c r="HEW1062" s="90"/>
      <c r="HEX1062" s="90"/>
      <c r="HEY1062" s="90"/>
      <c r="HEZ1062" s="90"/>
      <c r="HFA1062" s="90"/>
      <c r="HFB1062" s="90"/>
      <c r="HFC1062" s="90"/>
      <c r="HFD1062" s="90"/>
      <c r="HFE1062" s="90"/>
      <c r="HFF1062" s="90"/>
      <c r="HFG1062" s="90"/>
      <c r="HFH1062" s="90"/>
      <c r="HFI1062" s="90"/>
      <c r="HFJ1062" s="90"/>
      <c r="HFK1062" s="90"/>
      <c r="HFL1062" s="90"/>
      <c r="HFM1062" s="90"/>
      <c r="HFN1062" s="90"/>
      <c r="HFO1062" s="90"/>
      <c r="HFP1062" s="90"/>
      <c r="HFQ1062" s="90"/>
      <c r="HFR1062" s="90"/>
      <c r="HFS1062" s="90"/>
      <c r="HFT1062" s="90"/>
      <c r="HFU1062" s="90"/>
      <c r="HFV1062" s="90"/>
      <c r="HFW1062" s="90"/>
      <c r="HFX1062" s="90"/>
      <c r="HFY1062" s="90"/>
      <c r="HFZ1062" s="90"/>
      <c r="HGA1062" s="90"/>
      <c r="HGB1062" s="90"/>
      <c r="HGC1062" s="90"/>
      <c r="HGD1062" s="90"/>
      <c r="HGE1062" s="90"/>
      <c r="HGF1062" s="90"/>
      <c r="HGG1062" s="90"/>
      <c r="HGH1062" s="90"/>
      <c r="HGI1062" s="90"/>
      <c r="HGJ1062" s="90"/>
      <c r="HGK1062" s="90"/>
      <c r="HGL1062" s="90"/>
      <c r="HGM1062" s="90"/>
      <c r="HGN1062" s="90"/>
      <c r="HGO1062" s="90"/>
      <c r="HGP1062" s="90"/>
      <c r="HGQ1062" s="90"/>
      <c r="HGR1062" s="90"/>
      <c r="HGS1062" s="90"/>
      <c r="HGT1062" s="90"/>
      <c r="HGU1062" s="90"/>
      <c r="HGV1062" s="90"/>
      <c r="HGW1062" s="90"/>
      <c r="HGX1062" s="90"/>
      <c r="HGY1062" s="90"/>
      <c r="HGZ1062" s="90"/>
      <c r="HHA1062" s="90"/>
      <c r="HHB1062" s="90"/>
      <c r="HHC1062" s="90"/>
      <c r="HHD1062" s="90"/>
      <c r="HHE1062" s="90"/>
      <c r="HHF1062" s="90"/>
      <c r="HHG1062" s="90"/>
      <c r="HHH1062" s="90"/>
      <c r="HHI1062" s="90"/>
      <c r="HHJ1062" s="90"/>
      <c r="HHK1062" s="90"/>
      <c r="HHL1062" s="90"/>
      <c r="HHM1062" s="90"/>
      <c r="HHN1062" s="90"/>
      <c r="HHO1062" s="90"/>
      <c r="HHP1062" s="90"/>
      <c r="HHQ1062" s="90"/>
      <c r="HHR1062" s="90"/>
      <c r="HHS1062" s="90"/>
      <c r="HHT1062" s="90"/>
      <c r="HHU1062" s="90"/>
      <c r="HHV1062" s="90"/>
      <c r="HHW1062" s="90"/>
      <c r="HHX1062" s="90"/>
      <c r="HHY1062" s="90"/>
      <c r="HHZ1062" s="90"/>
      <c r="HIA1062" s="90"/>
      <c r="HIB1062" s="90"/>
      <c r="HIC1062" s="90"/>
      <c r="HID1062" s="90"/>
      <c r="HIE1062" s="90"/>
      <c r="HIF1062" s="90"/>
      <c r="HIG1062" s="90"/>
      <c r="HIH1062" s="90"/>
      <c r="HII1062" s="90"/>
      <c r="HIJ1062" s="90"/>
      <c r="HIK1062" s="90"/>
      <c r="HIL1062" s="90"/>
      <c r="HIM1062" s="90"/>
      <c r="HIN1062" s="90"/>
      <c r="HIO1062" s="90"/>
      <c r="HIP1062" s="90"/>
      <c r="HIQ1062" s="90"/>
      <c r="HIR1062" s="90"/>
      <c r="HIS1062" s="90"/>
      <c r="HIT1062" s="90"/>
      <c r="HIU1062" s="90"/>
      <c r="HIV1062" s="90"/>
      <c r="HIW1062" s="90"/>
      <c r="HIX1062" s="90"/>
      <c r="HIY1062" s="90"/>
      <c r="HIZ1062" s="90"/>
      <c r="HJA1062" s="90"/>
      <c r="HJB1062" s="90"/>
      <c r="HJC1062" s="90"/>
      <c r="HJD1062" s="90"/>
      <c r="HJE1062" s="90"/>
      <c r="HJF1062" s="90"/>
      <c r="HJG1062" s="90"/>
      <c r="HJH1062" s="90"/>
      <c r="HJI1062" s="90"/>
      <c r="HJJ1062" s="90"/>
      <c r="HJK1062" s="90"/>
      <c r="HJL1062" s="90"/>
      <c r="HJM1062" s="90"/>
      <c r="HJN1062" s="90"/>
      <c r="HJO1062" s="90"/>
      <c r="HJP1062" s="90"/>
      <c r="HJQ1062" s="90"/>
      <c r="HJR1062" s="90"/>
      <c r="HJS1062" s="90"/>
      <c r="HJT1062" s="90"/>
      <c r="HJU1062" s="90"/>
      <c r="HJV1062" s="90"/>
      <c r="HJW1062" s="90"/>
      <c r="HJX1062" s="90"/>
      <c r="HJY1062" s="90"/>
      <c r="HJZ1062" s="90"/>
      <c r="HKA1062" s="90"/>
      <c r="HKB1062" s="90"/>
      <c r="HKC1062" s="90"/>
      <c r="HKD1062" s="90"/>
      <c r="HKE1062" s="90"/>
      <c r="HKF1062" s="90"/>
      <c r="HKG1062" s="90"/>
      <c r="HKH1062" s="90"/>
      <c r="HKI1062" s="90"/>
      <c r="HKJ1062" s="90"/>
      <c r="HKK1062" s="90"/>
      <c r="HKL1062" s="90"/>
      <c r="HKM1062" s="90"/>
      <c r="HKN1062" s="90"/>
      <c r="HKO1062" s="90"/>
      <c r="HKP1062" s="90"/>
      <c r="HKQ1062" s="90"/>
      <c r="HKR1062" s="90"/>
      <c r="HKS1062" s="90"/>
      <c r="HKT1062" s="90"/>
      <c r="HKU1062" s="90"/>
      <c r="HKV1062" s="90"/>
      <c r="HKW1062" s="90"/>
      <c r="HKX1062" s="90"/>
      <c r="HKY1062" s="90"/>
      <c r="HKZ1062" s="90"/>
      <c r="HLA1062" s="90"/>
      <c r="HLB1062" s="90"/>
      <c r="HLC1062" s="90"/>
      <c r="HLD1062" s="90"/>
      <c r="HLE1062" s="90"/>
      <c r="HLF1062" s="90"/>
      <c r="HLG1062" s="90"/>
      <c r="HLH1062" s="90"/>
      <c r="HLI1062" s="90"/>
      <c r="HLJ1062" s="90"/>
      <c r="HLK1062" s="90"/>
      <c r="HLL1062" s="90"/>
      <c r="HLM1062" s="90"/>
      <c r="HLN1062" s="90"/>
      <c r="HLO1062" s="90"/>
      <c r="HLP1062" s="90"/>
      <c r="HLQ1062" s="90"/>
      <c r="HLR1062" s="90"/>
      <c r="HLS1062" s="90"/>
      <c r="HLT1062" s="90"/>
      <c r="HLU1062" s="90"/>
      <c r="HLV1062" s="90"/>
      <c r="HLW1062" s="90"/>
      <c r="HLX1062" s="90"/>
      <c r="HLY1062" s="90"/>
      <c r="HLZ1062" s="90"/>
      <c r="HMA1062" s="90"/>
      <c r="HMB1062" s="90"/>
      <c r="HMC1062" s="90"/>
      <c r="HMD1062" s="90"/>
      <c r="HME1062" s="90"/>
      <c r="HMF1062" s="90"/>
      <c r="HMG1062" s="90"/>
      <c r="HMH1062" s="90"/>
      <c r="HMI1062" s="90"/>
      <c r="HMJ1062" s="90"/>
      <c r="HMK1062" s="90"/>
      <c r="HML1062" s="90"/>
      <c r="HMM1062" s="90"/>
      <c r="HMN1062" s="90"/>
      <c r="HMO1062" s="90"/>
      <c r="HMP1062" s="90"/>
      <c r="HMQ1062" s="90"/>
      <c r="HMR1062" s="90"/>
      <c r="HMS1062" s="90"/>
      <c r="HMT1062" s="90"/>
      <c r="HMU1062" s="90"/>
      <c r="HMV1062" s="90"/>
      <c r="HMW1062" s="90"/>
      <c r="HMX1062" s="90"/>
      <c r="HMY1062" s="90"/>
      <c r="HMZ1062" s="90"/>
      <c r="HNA1062" s="90"/>
      <c r="HNB1062" s="90"/>
      <c r="HNC1062" s="90"/>
      <c r="HND1062" s="90"/>
      <c r="HNE1062" s="90"/>
      <c r="HNF1062" s="90"/>
      <c r="HNG1062" s="90"/>
      <c r="HNH1062" s="90"/>
      <c r="HNI1062" s="90"/>
      <c r="HNJ1062" s="90"/>
      <c r="HNK1062" s="90"/>
      <c r="HNL1062" s="90"/>
      <c r="HNM1062" s="90"/>
      <c r="HNN1062" s="90"/>
      <c r="HNO1062" s="90"/>
      <c r="HNP1062" s="90"/>
      <c r="HNQ1062" s="90"/>
      <c r="HNR1062" s="90"/>
      <c r="HNS1062" s="90"/>
      <c r="HNT1062" s="90"/>
      <c r="HNU1062" s="90"/>
      <c r="HNV1062" s="90"/>
      <c r="HNW1062" s="90"/>
      <c r="HNX1062" s="90"/>
      <c r="HNY1062" s="90"/>
      <c r="HNZ1062" s="90"/>
      <c r="HOA1062" s="90"/>
      <c r="HOB1062" s="90"/>
      <c r="HOC1062" s="90"/>
      <c r="HOD1062" s="90"/>
      <c r="HOE1062" s="90"/>
      <c r="HOF1062" s="90"/>
      <c r="HOG1062" s="90"/>
      <c r="HOH1062" s="90"/>
      <c r="HOI1062" s="90"/>
      <c r="HOJ1062" s="90"/>
      <c r="HOK1062" s="90"/>
      <c r="HOL1062" s="90"/>
      <c r="HOM1062" s="90"/>
      <c r="HON1062" s="90"/>
      <c r="HOO1062" s="90"/>
      <c r="HOP1062" s="90"/>
      <c r="HOQ1062" s="90"/>
      <c r="HOR1062" s="90"/>
      <c r="HOS1062" s="90"/>
      <c r="HOT1062" s="90"/>
      <c r="HOU1062" s="90"/>
      <c r="HOV1062" s="90"/>
      <c r="HOW1062" s="90"/>
      <c r="HOX1062" s="90"/>
      <c r="HOY1062" s="90"/>
      <c r="HOZ1062" s="90"/>
      <c r="HPA1062" s="90"/>
      <c r="HPB1062" s="90"/>
      <c r="HPC1062" s="90"/>
      <c r="HPD1062" s="90"/>
      <c r="HPE1062" s="90"/>
      <c r="HPF1062" s="90"/>
      <c r="HPG1062" s="90"/>
      <c r="HPH1062" s="90"/>
      <c r="HPI1062" s="90"/>
      <c r="HPJ1062" s="90"/>
      <c r="HPK1062" s="90"/>
      <c r="HPL1062" s="90"/>
      <c r="HPM1062" s="90"/>
      <c r="HPN1062" s="90"/>
      <c r="HPO1062" s="90"/>
      <c r="HPP1062" s="90"/>
      <c r="HPQ1062" s="90"/>
      <c r="HPR1062" s="90"/>
      <c r="HPS1062" s="90"/>
      <c r="HPT1062" s="90"/>
      <c r="HPU1062" s="90"/>
      <c r="HPV1062" s="90"/>
      <c r="HPW1062" s="90"/>
      <c r="HPX1062" s="90"/>
      <c r="HPY1062" s="90"/>
      <c r="HPZ1062" s="90"/>
      <c r="HQA1062" s="90"/>
      <c r="HQB1062" s="90"/>
      <c r="HQC1062" s="90"/>
      <c r="HQD1062" s="90"/>
      <c r="HQE1062" s="90"/>
      <c r="HQF1062" s="90"/>
      <c r="HQG1062" s="90"/>
      <c r="HQH1062" s="90"/>
      <c r="HQI1062" s="90"/>
      <c r="HQJ1062" s="90"/>
      <c r="HQK1062" s="90"/>
      <c r="HQL1062" s="90"/>
      <c r="HQM1062" s="90"/>
      <c r="HQN1062" s="90"/>
      <c r="HQO1062" s="90"/>
      <c r="HQP1062" s="90"/>
      <c r="HQQ1062" s="90"/>
      <c r="HQR1062" s="90"/>
      <c r="HQS1062" s="90"/>
      <c r="HQT1062" s="90"/>
      <c r="HQU1062" s="90"/>
      <c r="HQV1062" s="90"/>
      <c r="HQW1062" s="90"/>
      <c r="HQX1062" s="90"/>
      <c r="HQY1062" s="90"/>
      <c r="HQZ1062" s="90"/>
      <c r="HRA1062" s="90"/>
      <c r="HRB1062" s="90"/>
      <c r="HRC1062" s="90"/>
      <c r="HRD1062" s="90"/>
      <c r="HRE1062" s="90"/>
      <c r="HRF1062" s="90"/>
      <c r="HRG1062" s="90"/>
      <c r="HRH1062" s="90"/>
      <c r="HRI1062" s="90"/>
      <c r="HRJ1062" s="90"/>
      <c r="HRK1062" s="90"/>
      <c r="HRL1062" s="90"/>
      <c r="HRM1062" s="90"/>
      <c r="HRN1062" s="90"/>
      <c r="HRO1062" s="90"/>
      <c r="HRP1062" s="90"/>
      <c r="HRQ1062" s="90"/>
      <c r="HRR1062" s="90"/>
      <c r="HRS1062" s="90"/>
      <c r="HRT1062" s="90"/>
      <c r="HRU1062" s="90"/>
      <c r="HRV1062" s="90"/>
      <c r="HRW1062" s="90"/>
      <c r="HRX1062" s="90"/>
      <c r="HRY1062" s="90"/>
      <c r="HRZ1062" s="90"/>
      <c r="HSA1062" s="90"/>
      <c r="HSB1062" s="90"/>
      <c r="HSC1062" s="90"/>
      <c r="HSD1062" s="90"/>
      <c r="HSE1062" s="90"/>
      <c r="HSF1062" s="90"/>
      <c r="HSG1062" s="90"/>
      <c r="HSH1062" s="90"/>
      <c r="HSI1062" s="90"/>
      <c r="HSJ1062" s="90"/>
      <c r="HSK1062" s="90"/>
      <c r="HSL1062" s="90"/>
      <c r="HSM1062" s="90"/>
      <c r="HSN1062" s="90"/>
      <c r="HSO1062" s="90"/>
      <c r="HSP1062" s="90"/>
      <c r="HSQ1062" s="90"/>
      <c r="HSR1062" s="90"/>
      <c r="HSS1062" s="90"/>
      <c r="HST1062" s="90"/>
      <c r="HSU1062" s="90"/>
      <c r="HSV1062" s="90"/>
      <c r="HSW1062" s="90"/>
      <c r="HSX1062" s="90"/>
      <c r="HSY1062" s="90"/>
      <c r="HSZ1062" s="90"/>
      <c r="HTA1062" s="90"/>
      <c r="HTB1062" s="90"/>
      <c r="HTC1062" s="90"/>
      <c r="HTD1062" s="90"/>
      <c r="HTE1062" s="90"/>
      <c r="HTF1062" s="90"/>
      <c r="HTG1062" s="90"/>
      <c r="HTH1062" s="90"/>
      <c r="HTI1062" s="90"/>
      <c r="HTJ1062" s="90"/>
      <c r="HTK1062" s="90"/>
      <c r="HTL1062" s="90"/>
      <c r="HTM1062" s="90"/>
      <c r="HTN1062" s="90"/>
      <c r="HTO1062" s="90"/>
      <c r="HTP1062" s="90"/>
      <c r="HTQ1062" s="90"/>
      <c r="HTR1062" s="90"/>
      <c r="HTS1062" s="90"/>
      <c r="HTT1062" s="90"/>
      <c r="HTU1062" s="90"/>
      <c r="HTV1062" s="90"/>
      <c r="HTW1062" s="90"/>
      <c r="HTX1062" s="90"/>
      <c r="HTY1062" s="90"/>
      <c r="HTZ1062" s="90"/>
      <c r="HUA1062" s="90"/>
      <c r="HUB1062" s="90"/>
      <c r="HUC1062" s="90"/>
      <c r="HUD1062" s="90"/>
      <c r="HUE1062" s="90"/>
      <c r="HUF1062" s="90"/>
      <c r="HUG1062" s="90"/>
      <c r="HUH1062" s="90"/>
      <c r="HUI1062" s="90"/>
      <c r="HUJ1062" s="90"/>
      <c r="HUK1062" s="90"/>
      <c r="HUL1062" s="90"/>
      <c r="HUM1062" s="90"/>
      <c r="HUN1062" s="90"/>
      <c r="HUO1062" s="90"/>
      <c r="HUP1062" s="90"/>
      <c r="HUQ1062" s="90"/>
      <c r="HUR1062" s="90"/>
      <c r="HUS1062" s="90"/>
      <c r="HUT1062" s="90"/>
      <c r="HUU1062" s="90"/>
      <c r="HUV1062" s="90"/>
      <c r="HUW1062" s="90"/>
      <c r="HUX1062" s="90"/>
      <c r="HUY1062" s="90"/>
      <c r="HUZ1062" s="90"/>
      <c r="HVA1062" s="90"/>
      <c r="HVB1062" s="90"/>
      <c r="HVC1062" s="90"/>
      <c r="HVD1062" s="90"/>
      <c r="HVE1062" s="90"/>
      <c r="HVF1062" s="90"/>
      <c r="HVG1062" s="90"/>
      <c r="HVH1062" s="90"/>
      <c r="HVI1062" s="90"/>
      <c r="HVJ1062" s="90"/>
      <c r="HVK1062" s="90"/>
      <c r="HVL1062" s="90"/>
      <c r="HVM1062" s="90"/>
      <c r="HVN1062" s="90"/>
      <c r="HVO1062" s="90"/>
      <c r="HVP1062" s="90"/>
      <c r="HVQ1062" s="90"/>
      <c r="HVR1062" s="90"/>
      <c r="HVS1062" s="90"/>
      <c r="HVT1062" s="90"/>
      <c r="HVU1062" s="90"/>
      <c r="HVV1062" s="90"/>
      <c r="HVW1062" s="90"/>
      <c r="HVX1062" s="90"/>
      <c r="HVY1062" s="90"/>
      <c r="HVZ1062" s="90"/>
      <c r="HWA1062" s="90"/>
      <c r="HWB1062" s="90"/>
      <c r="HWC1062" s="90"/>
      <c r="HWD1062" s="90"/>
      <c r="HWE1062" s="90"/>
      <c r="HWF1062" s="90"/>
      <c r="HWG1062" s="90"/>
      <c r="HWH1062" s="90"/>
      <c r="HWI1062" s="90"/>
      <c r="HWJ1062" s="90"/>
      <c r="HWK1062" s="90"/>
      <c r="HWL1062" s="90"/>
      <c r="HWM1062" s="90"/>
      <c r="HWN1062" s="90"/>
      <c r="HWO1062" s="90"/>
      <c r="HWP1062" s="90"/>
      <c r="HWQ1062" s="90"/>
      <c r="HWR1062" s="90"/>
      <c r="HWS1062" s="90"/>
      <c r="HWT1062" s="90"/>
      <c r="HWU1062" s="90"/>
      <c r="HWV1062" s="90"/>
      <c r="HWW1062" s="90"/>
      <c r="HWX1062" s="90"/>
      <c r="HWY1062" s="90"/>
      <c r="HWZ1062" s="90"/>
      <c r="HXA1062" s="90"/>
      <c r="HXB1062" s="90"/>
      <c r="HXC1062" s="90"/>
      <c r="HXD1062" s="90"/>
      <c r="HXE1062" s="90"/>
      <c r="HXF1062" s="90"/>
      <c r="HXG1062" s="90"/>
      <c r="HXH1062" s="90"/>
      <c r="HXI1062" s="90"/>
      <c r="HXJ1062" s="90"/>
      <c r="HXK1062" s="90"/>
      <c r="HXL1062" s="90"/>
      <c r="HXM1062" s="90"/>
      <c r="HXN1062" s="90"/>
      <c r="HXO1062" s="90"/>
      <c r="HXP1062" s="90"/>
      <c r="HXQ1062" s="90"/>
      <c r="HXR1062" s="90"/>
      <c r="HXS1062" s="90"/>
      <c r="HXT1062" s="90"/>
      <c r="HXU1062" s="90"/>
      <c r="HXV1062" s="90"/>
      <c r="HXW1062" s="90"/>
      <c r="HXX1062" s="90"/>
      <c r="HXY1062" s="90"/>
      <c r="HXZ1062" s="90"/>
      <c r="HYA1062" s="90"/>
      <c r="HYB1062" s="90"/>
      <c r="HYC1062" s="90"/>
      <c r="HYD1062" s="90"/>
      <c r="HYE1062" s="90"/>
      <c r="HYF1062" s="90"/>
      <c r="HYG1062" s="90"/>
      <c r="HYH1062" s="90"/>
      <c r="HYI1062" s="90"/>
      <c r="HYJ1062" s="90"/>
      <c r="HYK1062" s="90"/>
      <c r="HYL1062" s="90"/>
      <c r="HYM1062" s="90"/>
      <c r="HYN1062" s="90"/>
      <c r="HYO1062" s="90"/>
      <c r="HYP1062" s="90"/>
      <c r="HYQ1062" s="90"/>
      <c r="HYR1062" s="90"/>
      <c r="HYS1062" s="90"/>
      <c r="HYT1062" s="90"/>
      <c r="HYU1062" s="90"/>
      <c r="HYV1062" s="90"/>
      <c r="HYW1062" s="90"/>
      <c r="HYX1062" s="90"/>
      <c r="HYY1062" s="90"/>
      <c r="HYZ1062" s="90"/>
      <c r="HZA1062" s="90"/>
      <c r="HZB1062" s="90"/>
      <c r="HZC1062" s="90"/>
      <c r="HZD1062" s="90"/>
      <c r="HZE1062" s="90"/>
      <c r="HZF1062" s="90"/>
      <c r="HZG1062" s="90"/>
      <c r="HZH1062" s="90"/>
      <c r="HZI1062" s="90"/>
      <c r="HZJ1062" s="90"/>
      <c r="HZK1062" s="90"/>
      <c r="HZL1062" s="90"/>
      <c r="HZM1062" s="90"/>
      <c r="HZN1062" s="90"/>
      <c r="HZO1062" s="90"/>
      <c r="HZP1062" s="90"/>
      <c r="HZQ1062" s="90"/>
      <c r="HZR1062" s="90"/>
      <c r="HZS1062" s="90"/>
      <c r="HZT1062" s="90"/>
      <c r="HZU1062" s="90"/>
      <c r="HZV1062" s="90"/>
      <c r="HZW1062" s="90"/>
      <c r="HZX1062" s="90"/>
      <c r="HZY1062" s="90"/>
      <c r="HZZ1062" s="90"/>
      <c r="IAA1062" s="90"/>
      <c r="IAB1062" s="90"/>
      <c r="IAC1062" s="90"/>
      <c r="IAD1062" s="90"/>
      <c r="IAE1062" s="90"/>
      <c r="IAF1062" s="90"/>
      <c r="IAG1062" s="90"/>
      <c r="IAH1062" s="90"/>
      <c r="IAI1062" s="90"/>
      <c r="IAJ1062" s="90"/>
      <c r="IAK1062" s="90"/>
      <c r="IAL1062" s="90"/>
      <c r="IAM1062" s="90"/>
      <c r="IAN1062" s="90"/>
      <c r="IAO1062" s="90"/>
      <c r="IAP1062" s="90"/>
      <c r="IAQ1062" s="90"/>
      <c r="IAR1062" s="90"/>
      <c r="IAS1062" s="90"/>
      <c r="IAT1062" s="90"/>
      <c r="IAU1062" s="90"/>
      <c r="IAV1062" s="90"/>
      <c r="IAW1062" s="90"/>
      <c r="IAX1062" s="90"/>
      <c r="IAY1062" s="90"/>
      <c r="IAZ1062" s="90"/>
      <c r="IBA1062" s="90"/>
      <c r="IBB1062" s="90"/>
      <c r="IBC1062" s="90"/>
      <c r="IBD1062" s="90"/>
      <c r="IBE1062" s="90"/>
      <c r="IBF1062" s="90"/>
      <c r="IBG1062" s="90"/>
      <c r="IBH1062" s="90"/>
      <c r="IBI1062" s="90"/>
      <c r="IBJ1062" s="90"/>
      <c r="IBK1062" s="90"/>
      <c r="IBL1062" s="90"/>
      <c r="IBM1062" s="90"/>
      <c r="IBN1062" s="90"/>
      <c r="IBO1062" s="90"/>
      <c r="IBP1062" s="90"/>
      <c r="IBQ1062" s="90"/>
      <c r="IBR1062" s="90"/>
      <c r="IBS1062" s="90"/>
      <c r="IBT1062" s="90"/>
      <c r="IBU1062" s="90"/>
      <c r="IBV1062" s="90"/>
      <c r="IBW1062" s="90"/>
      <c r="IBX1062" s="90"/>
      <c r="IBY1062" s="90"/>
      <c r="IBZ1062" s="90"/>
      <c r="ICA1062" s="90"/>
      <c r="ICB1062" s="90"/>
      <c r="ICC1062" s="90"/>
      <c r="ICD1062" s="90"/>
      <c r="ICE1062" s="90"/>
      <c r="ICF1062" s="90"/>
      <c r="ICG1062" s="90"/>
      <c r="ICH1062" s="90"/>
      <c r="ICI1062" s="90"/>
      <c r="ICJ1062" s="90"/>
      <c r="ICK1062" s="90"/>
      <c r="ICL1062" s="90"/>
      <c r="ICM1062" s="90"/>
      <c r="ICN1062" s="90"/>
      <c r="ICO1062" s="90"/>
      <c r="ICP1062" s="90"/>
      <c r="ICQ1062" s="90"/>
      <c r="ICR1062" s="90"/>
      <c r="ICS1062" s="90"/>
      <c r="ICT1062" s="90"/>
      <c r="ICU1062" s="90"/>
      <c r="ICV1062" s="90"/>
      <c r="ICW1062" s="90"/>
      <c r="ICX1062" s="90"/>
      <c r="ICY1062" s="90"/>
      <c r="ICZ1062" s="90"/>
      <c r="IDA1062" s="90"/>
      <c r="IDB1062" s="90"/>
      <c r="IDC1062" s="90"/>
      <c r="IDD1062" s="90"/>
      <c r="IDE1062" s="90"/>
      <c r="IDF1062" s="90"/>
      <c r="IDG1062" s="90"/>
      <c r="IDH1062" s="90"/>
      <c r="IDI1062" s="90"/>
      <c r="IDJ1062" s="90"/>
      <c r="IDK1062" s="90"/>
      <c r="IDL1062" s="90"/>
      <c r="IDM1062" s="90"/>
      <c r="IDN1062" s="90"/>
      <c r="IDO1062" s="90"/>
      <c r="IDP1062" s="90"/>
      <c r="IDQ1062" s="90"/>
      <c r="IDR1062" s="90"/>
      <c r="IDS1062" s="90"/>
      <c r="IDT1062" s="90"/>
      <c r="IDU1062" s="90"/>
      <c r="IDV1062" s="90"/>
      <c r="IDW1062" s="90"/>
      <c r="IDX1062" s="90"/>
      <c r="IDY1062" s="90"/>
      <c r="IDZ1062" s="90"/>
      <c r="IEA1062" s="90"/>
      <c r="IEB1062" s="90"/>
      <c r="IEC1062" s="90"/>
      <c r="IED1062" s="90"/>
      <c r="IEE1062" s="90"/>
      <c r="IEF1062" s="90"/>
      <c r="IEG1062" s="90"/>
      <c r="IEH1062" s="90"/>
      <c r="IEI1062" s="90"/>
      <c r="IEJ1062" s="90"/>
      <c r="IEK1062" s="90"/>
      <c r="IEL1062" s="90"/>
      <c r="IEM1062" s="90"/>
      <c r="IEN1062" s="90"/>
      <c r="IEO1062" s="90"/>
      <c r="IEP1062" s="90"/>
      <c r="IEQ1062" s="90"/>
      <c r="IER1062" s="90"/>
      <c r="IES1062" s="90"/>
      <c r="IET1062" s="90"/>
      <c r="IEU1062" s="90"/>
      <c r="IEV1062" s="90"/>
      <c r="IEW1062" s="90"/>
      <c r="IEX1062" s="90"/>
      <c r="IEY1062" s="90"/>
      <c r="IEZ1062" s="90"/>
      <c r="IFA1062" s="90"/>
      <c r="IFB1062" s="90"/>
      <c r="IFC1062" s="90"/>
      <c r="IFD1062" s="90"/>
      <c r="IFE1062" s="90"/>
      <c r="IFF1062" s="90"/>
      <c r="IFG1062" s="90"/>
      <c r="IFH1062" s="90"/>
      <c r="IFI1062" s="90"/>
      <c r="IFJ1062" s="90"/>
      <c r="IFK1062" s="90"/>
      <c r="IFL1062" s="90"/>
      <c r="IFM1062" s="90"/>
      <c r="IFN1062" s="90"/>
      <c r="IFO1062" s="90"/>
      <c r="IFP1062" s="90"/>
      <c r="IFQ1062" s="90"/>
      <c r="IFR1062" s="90"/>
      <c r="IFS1062" s="90"/>
      <c r="IFT1062" s="90"/>
      <c r="IFU1062" s="90"/>
      <c r="IFV1062" s="90"/>
      <c r="IFW1062" s="90"/>
      <c r="IFX1062" s="90"/>
      <c r="IFY1062" s="90"/>
      <c r="IFZ1062" s="90"/>
      <c r="IGA1062" s="90"/>
      <c r="IGB1062" s="90"/>
      <c r="IGC1062" s="90"/>
      <c r="IGD1062" s="90"/>
      <c r="IGE1062" s="90"/>
      <c r="IGF1062" s="90"/>
      <c r="IGG1062" s="90"/>
      <c r="IGH1062" s="90"/>
      <c r="IGI1062" s="90"/>
      <c r="IGJ1062" s="90"/>
      <c r="IGK1062" s="90"/>
      <c r="IGL1062" s="90"/>
      <c r="IGM1062" s="90"/>
      <c r="IGN1062" s="90"/>
      <c r="IGO1062" s="90"/>
      <c r="IGP1062" s="90"/>
      <c r="IGQ1062" s="90"/>
      <c r="IGR1062" s="90"/>
      <c r="IGS1062" s="90"/>
      <c r="IGT1062" s="90"/>
      <c r="IGU1062" s="90"/>
      <c r="IGV1062" s="90"/>
      <c r="IGW1062" s="90"/>
      <c r="IGX1062" s="90"/>
      <c r="IGY1062" s="90"/>
      <c r="IGZ1062" s="90"/>
      <c r="IHA1062" s="90"/>
      <c r="IHB1062" s="90"/>
      <c r="IHC1062" s="90"/>
      <c r="IHD1062" s="90"/>
      <c r="IHE1062" s="90"/>
      <c r="IHF1062" s="90"/>
      <c r="IHG1062" s="90"/>
      <c r="IHH1062" s="90"/>
      <c r="IHI1062" s="90"/>
      <c r="IHJ1062" s="90"/>
      <c r="IHK1062" s="90"/>
      <c r="IHL1062" s="90"/>
      <c r="IHM1062" s="90"/>
      <c r="IHN1062" s="90"/>
      <c r="IHO1062" s="90"/>
      <c r="IHP1062" s="90"/>
      <c r="IHQ1062" s="90"/>
      <c r="IHR1062" s="90"/>
      <c r="IHS1062" s="90"/>
      <c r="IHT1062" s="90"/>
      <c r="IHU1062" s="90"/>
      <c r="IHV1062" s="90"/>
      <c r="IHW1062" s="90"/>
      <c r="IHX1062" s="90"/>
      <c r="IHY1062" s="90"/>
      <c r="IHZ1062" s="90"/>
      <c r="IIA1062" s="90"/>
      <c r="IIB1062" s="90"/>
      <c r="IIC1062" s="90"/>
      <c r="IID1062" s="90"/>
      <c r="IIE1062" s="90"/>
      <c r="IIF1062" s="90"/>
      <c r="IIG1062" s="90"/>
      <c r="IIH1062" s="90"/>
      <c r="III1062" s="90"/>
      <c r="IIJ1062" s="90"/>
      <c r="IIK1062" s="90"/>
      <c r="IIL1062" s="90"/>
      <c r="IIM1062" s="90"/>
      <c r="IIN1062" s="90"/>
      <c r="IIO1062" s="90"/>
      <c r="IIP1062" s="90"/>
      <c r="IIQ1062" s="90"/>
      <c r="IIR1062" s="90"/>
      <c r="IIS1062" s="90"/>
      <c r="IIT1062" s="90"/>
      <c r="IIU1062" s="90"/>
      <c r="IIV1062" s="90"/>
      <c r="IIW1062" s="90"/>
      <c r="IIX1062" s="90"/>
      <c r="IIY1062" s="90"/>
      <c r="IIZ1062" s="90"/>
      <c r="IJA1062" s="90"/>
      <c r="IJB1062" s="90"/>
      <c r="IJC1062" s="90"/>
      <c r="IJD1062" s="90"/>
      <c r="IJE1062" s="90"/>
      <c r="IJF1062" s="90"/>
      <c r="IJG1062" s="90"/>
      <c r="IJH1062" s="90"/>
      <c r="IJI1062" s="90"/>
      <c r="IJJ1062" s="90"/>
      <c r="IJK1062" s="90"/>
      <c r="IJL1062" s="90"/>
      <c r="IJM1062" s="90"/>
      <c r="IJN1062" s="90"/>
      <c r="IJO1062" s="90"/>
      <c r="IJP1062" s="90"/>
      <c r="IJQ1062" s="90"/>
      <c r="IJR1062" s="90"/>
      <c r="IJS1062" s="90"/>
      <c r="IJT1062" s="90"/>
      <c r="IJU1062" s="90"/>
      <c r="IJV1062" s="90"/>
      <c r="IJW1062" s="90"/>
      <c r="IJX1062" s="90"/>
      <c r="IJY1062" s="90"/>
      <c r="IJZ1062" s="90"/>
      <c r="IKA1062" s="90"/>
      <c r="IKB1062" s="90"/>
      <c r="IKC1062" s="90"/>
      <c r="IKD1062" s="90"/>
      <c r="IKE1062" s="90"/>
      <c r="IKF1062" s="90"/>
      <c r="IKG1062" s="90"/>
      <c r="IKH1062" s="90"/>
      <c r="IKI1062" s="90"/>
      <c r="IKJ1062" s="90"/>
      <c r="IKK1062" s="90"/>
      <c r="IKL1062" s="90"/>
      <c r="IKM1062" s="90"/>
      <c r="IKN1062" s="90"/>
      <c r="IKO1062" s="90"/>
      <c r="IKP1062" s="90"/>
      <c r="IKQ1062" s="90"/>
      <c r="IKR1062" s="90"/>
      <c r="IKS1062" s="90"/>
      <c r="IKT1062" s="90"/>
      <c r="IKU1062" s="90"/>
      <c r="IKV1062" s="90"/>
      <c r="IKW1062" s="90"/>
      <c r="IKX1062" s="90"/>
      <c r="IKY1062" s="90"/>
      <c r="IKZ1062" s="90"/>
      <c r="ILA1062" s="90"/>
      <c r="ILB1062" s="90"/>
      <c r="ILC1062" s="90"/>
      <c r="ILD1062" s="90"/>
      <c r="ILE1062" s="90"/>
      <c r="ILF1062" s="90"/>
      <c r="ILG1062" s="90"/>
      <c r="ILH1062" s="90"/>
      <c r="ILI1062" s="90"/>
      <c r="ILJ1062" s="90"/>
      <c r="ILK1062" s="90"/>
      <c r="ILL1062" s="90"/>
      <c r="ILM1062" s="90"/>
      <c r="ILN1062" s="90"/>
      <c r="ILO1062" s="90"/>
      <c r="ILP1062" s="90"/>
      <c r="ILQ1062" s="90"/>
      <c r="ILR1062" s="90"/>
      <c r="ILS1062" s="90"/>
      <c r="ILT1062" s="90"/>
      <c r="ILU1062" s="90"/>
      <c r="ILV1062" s="90"/>
      <c r="ILW1062" s="90"/>
      <c r="ILX1062" s="90"/>
      <c r="ILY1062" s="90"/>
      <c r="ILZ1062" s="90"/>
      <c r="IMA1062" s="90"/>
      <c r="IMB1062" s="90"/>
      <c r="IMC1062" s="90"/>
      <c r="IMD1062" s="90"/>
      <c r="IME1062" s="90"/>
      <c r="IMF1062" s="90"/>
      <c r="IMG1062" s="90"/>
      <c r="IMH1062" s="90"/>
      <c r="IMI1062" s="90"/>
      <c r="IMJ1062" s="90"/>
      <c r="IMK1062" s="90"/>
      <c r="IML1062" s="90"/>
      <c r="IMM1062" s="90"/>
      <c r="IMN1062" s="90"/>
      <c r="IMO1062" s="90"/>
      <c r="IMP1062" s="90"/>
      <c r="IMQ1062" s="90"/>
      <c r="IMR1062" s="90"/>
      <c r="IMS1062" s="90"/>
      <c r="IMT1062" s="90"/>
      <c r="IMU1062" s="90"/>
      <c r="IMV1062" s="90"/>
      <c r="IMW1062" s="90"/>
      <c r="IMX1062" s="90"/>
      <c r="IMY1062" s="90"/>
      <c r="IMZ1062" s="90"/>
      <c r="INA1062" s="90"/>
      <c r="INB1062" s="90"/>
      <c r="INC1062" s="90"/>
      <c r="IND1062" s="90"/>
      <c r="INE1062" s="90"/>
      <c r="INF1062" s="90"/>
      <c r="ING1062" s="90"/>
      <c r="INH1062" s="90"/>
      <c r="INI1062" s="90"/>
      <c r="INJ1062" s="90"/>
      <c r="INK1062" s="90"/>
      <c r="INL1062" s="90"/>
      <c r="INM1062" s="90"/>
      <c r="INN1062" s="90"/>
      <c r="INO1062" s="90"/>
      <c r="INP1062" s="90"/>
      <c r="INQ1062" s="90"/>
      <c r="INR1062" s="90"/>
      <c r="INS1062" s="90"/>
      <c r="INT1062" s="90"/>
      <c r="INU1062" s="90"/>
      <c r="INV1062" s="90"/>
      <c r="INW1062" s="90"/>
      <c r="INX1062" s="90"/>
      <c r="INY1062" s="90"/>
      <c r="INZ1062" s="90"/>
      <c r="IOA1062" s="90"/>
      <c r="IOB1062" s="90"/>
      <c r="IOC1062" s="90"/>
      <c r="IOD1062" s="90"/>
      <c r="IOE1062" s="90"/>
      <c r="IOF1062" s="90"/>
      <c r="IOG1062" s="90"/>
      <c r="IOH1062" s="90"/>
      <c r="IOI1062" s="90"/>
      <c r="IOJ1062" s="90"/>
      <c r="IOK1062" s="90"/>
      <c r="IOL1062" s="90"/>
      <c r="IOM1062" s="90"/>
      <c r="ION1062" s="90"/>
      <c r="IOO1062" s="90"/>
      <c r="IOP1062" s="90"/>
      <c r="IOQ1062" s="90"/>
      <c r="IOR1062" s="90"/>
      <c r="IOS1062" s="90"/>
      <c r="IOT1062" s="90"/>
      <c r="IOU1062" s="90"/>
      <c r="IOV1062" s="90"/>
      <c r="IOW1062" s="90"/>
      <c r="IOX1062" s="90"/>
      <c r="IOY1062" s="90"/>
      <c r="IOZ1062" s="90"/>
      <c r="IPA1062" s="90"/>
      <c r="IPB1062" s="90"/>
      <c r="IPC1062" s="90"/>
      <c r="IPD1062" s="90"/>
      <c r="IPE1062" s="90"/>
      <c r="IPF1062" s="90"/>
      <c r="IPG1062" s="90"/>
      <c r="IPH1062" s="90"/>
      <c r="IPI1062" s="90"/>
      <c r="IPJ1062" s="90"/>
      <c r="IPK1062" s="90"/>
      <c r="IPL1062" s="90"/>
      <c r="IPM1062" s="90"/>
      <c r="IPN1062" s="90"/>
      <c r="IPO1062" s="90"/>
      <c r="IPP1062" s="90"/>
      <c r="IPQ1062" s="90"/>
      <c r="IPR1062" s="90"/>
      <c r="IPS1062" s="90"/>
      <c r="IPT1062" s="90"/>
      <c r="IPU1062" s="90"/>
      <c r="IPV1062" s="90"/>
      <c r="IPW1062" s="90"/>
      <c r="IPX1062" s="90"/>
      <c r="IPY1062" s="90"/>
      <c r="IPZ1062" s="90"/>
      <c r="IQA1062" s="90"/>
      <c r="IQB1062" s="90"/>
      <c r="IQC1062" s="90"/>
      <c r="IQD1062" s="90"/>
      <c r="IQE1062" s="90"/>
      <c r="IQF1062" s="90"/>
      <c r="IQG1062" s="90"/>
      <c r="IQH1062" s="90"/>
      <c r="IQI1062" s="90"/>
      <c r="IQJ1062" s="90"/>
      <c r="IQK1062" s="90"/>
      <c r="IQL1062" s="90"/>
      <c r="IQM1062" s="90"/>
      <c r="IQN1062" s="90"/>
      <c r="IQO1062" s="90"/>
      <c r="IQP1062" s="90"/>
      <c r="IQQ1062" s="90"/>
      <c r="IQR1062" s="90"/>
      <c r="IQS1062" s="90"/>
      <c r="IQT1062" s="90"/>
      <c r="IQU1062" s="90"/>
      <c r="IQV1062" s="90"/>
      <c r="IQW1062" s="90"/>
      <c r="IQX1062" s="90"/>
      <c r="IQY1062" s="90"/>
      <c r="IQZ1062" s="90"/>
      <c r="IRA1062" s="90"/>
      <c r="IRB1062" s="90"/>
      <c r="IRC1062" s="90"/>
      <c r="IRD1062" s="90"/>
      <c r="IRE1062" s="90"/>
      <c r="IRF1062" s="90"/>
      <c r="IRG1062" s="90"/>
      <c r="IRH1062" s="90"/>
      <c r="IRI1062" s="90"/>
      <c r="IRJ1062" s="90"/>
      <c r="IRK1062" s="90"/>
      <c r="IRL1062" s="90"/>
      <c r="IRM1062" s="90"/>
      <c r="IRN1062" s="90"/>
      <c r="IRO1062" s="90"/>
      <c r="IRP1062" s="90"/>
      <c r="IRQ1062" s="90"/>
      <c r="IRR1062" s="90"/>
      <c r="IRS1062" s="90"/>
      <c r="IRT1062" s="90"/>
      <c r="IRU1062" s="90"/>
      <c r="IRV1062" s="90"/>
      <c r="IRW1062" s="90"/>
      <c r="IRX1062" s="90"/>
      <c r="IRY1062" s="90"/>
      <c r="IRZ1062" s="90"/>
      <c r="ISA1062" s="90"/>
      <c r="ISB1062" s="90"/>
      <c r="ISC1062" s="90"/>
      <c r="ISD1062" s="90"/>
      <c r="ISE1062" s="90"/>
      <c r="ISF1062" s="90"/>
      <c r="ISG1062" s="90"/>
      <c r="ISH1062" s="90"/>
      <c r="ISI1062" s="90"/>
      <c r="ISJ1062" s="90"/>
      <c r="ISK1062" s="90"/>
      <c r="ISL1062" s="90"/>
      <c r="ISM1062" s="90"/>
      <c r="ISN1062" s="90"/>
      <c r="ISO1062" s="90"/>
      <c r="ISP1062" s="90"/>
      <c r="ISQ1062" s="90"/>
      <c r="ISR1062" s="90"/>
      <c r="ISS1062" s="90"/>
      <c r="IST1062" s="90"/>
      <c r="ISU1062" s="90"/>
      <c r="ISV1062" s="90"/>
      <c r="ISW1062" s="90"/>
      <c r="ISX1062" s="90"/>
      <c r="ISY1062" s="90"/>
      <c r="ISZ1062" s="90"/>
      <c r="ITA1062" s="90"/>
      <c r="ITB1062" s="90"/>
      <c r="ITC1062" s="90"/>
      <c r="ITD1062" s="90"/>
      <c r="ITE1062" s="90"/>
      <c r="ITF1062" s="90"/>
      <c r="ITG1062" s="90"/>
      <c r="ITH1062" s="90"/>
      <c r="ITI1062" s="90"/>
      <c r="ITJ1062" s="90"/>
      <c r="ITK1062" s="90"/>
      <c r="ITL1062" s="90"/>
      <c r="ITM1062" s="90"/>
      <c r="ITN1062" s="90"/>
      <c r="ITO1062" s="90"/>
      <c r="ITP1062" s="90"/>
      <c r="ITQ1062" s="90"/>
      <c r="ITR1062" s="90"/>
      <c r="ITS1062" s="90"/>
      <c r="ITT1062" s="90"/>
      <c r="ITU1062" s="90"/>
      <c r="ITV1062" s="90"/>
      <c r="ITW1062" s="90"/>
      <c r="ITX1062" s="90"/>
      <c r="ITY1062" s="90"/>
      <c r="ITZ1062" s="90"/>
      <c r="IUA1062" s="90"/>
      <c r="IUB1062" s="90"/>
      <c r="IUC1062" s="90"/>
      <c r="IUD1062" s="90"/>
      <c r="IUE1062" s="90"/>
      <c r="IUF1062" s="90"/>
      <c r="IUG1062" s="90"/>
      <c r="IUH1062" s="90"/>
      <c r="IUI1062" s="90"/>
      <c r="IUJ1062" s="90"/>
      <c r="IUK1062" s="90"/>
      <c r="IUL1062" s="90"/>
      <c r="IUM1062" s="90"/>
      <c r="IUN1062" s="90"/>
      <c r="IUO1062" s="90"/>
      <c r="IUP1062" s="90"/>
      <c r="IUQ1062" s="90"/>
      <c r="IUR1062" s="90"/>
      <c r="IUS1062" s="90"/>
      <c r="IUT1062" s="90"/>
      <c r="IUU1062" s="90"/>
      <c r="IUV1062" s="90"/>
      <c r="IUW1062" s="90"/>
      <c r="IUX1062" s="90"/>
      <c r="IUY1062" s="90"/>
      <c r="IUZ1062" s="90"/>
      <c r="IVA1062" s="90"/>
      <c r="IVB1062" s="90"/>
      <c r="IVC1062" s="90"/>
      <c r="IVD1062" s="90"/>
      <c r="IVE1062" s="90"/>
      <c r="IVF1062" s="90"/>
      <c r="IVG1062" s="90"/>
      <c r="IVH1062" s="90"/>
      <c r="IVI1062" s="90"/>
      <c r="IVJ1062" s="90"/>
      <c r="IVK1062" s="90"/>
      <c r="IVL1062" s="90"/>
      <c r="IVM1062" s="90"/>
      <c r="IVN1062" s="90"/>
      <c r="IVO1062" s="90"/>
      <c r="IVP1062" s="90"/>
      <c r="IVQ1062" s="90"/>
      <c r="IVR1062" s="90"/>
      <c r="IVS1062" s="90"/>
      <c r="IVT1062" s="90"/>
      <c r="IVU1062" s="90"/>
      <c r="IVV1062" s="90"/>
      <c r="IVW1062" s="90"/>
      <c r="IVX1062" s="90"/>
      <c r="IVY1062" s="90"/>
      <c r="IVZ1062" s="90"/>
      <c r="IWA1062" s="90"/>
      <c r="IWB1062" s="90"/>
      <c r="IWC1062" s="90"/>
      <c r="IWD1062" s="90"/>
      <c r="IWE1062" s="90"/>
      <c r="IWF1062" s="90"/>
      <c r="IWG1062" s="90"/>
      <c r="IWH1062" s="90"/>
      <c r="IWI1062" s="90"/>
      <c r="IWJ1062" s="90"/>
      <c r="IWK1062" s="90"/>
      <c r="IWL1062" s="90"/>
      <c r="IWM1062" s="90"/>
      <c r="IWN1062" s="90"/>
      <c r="IWO1062" s="90"/>
      <c r="IWP1062" s="90"/>
      <c r="IWQ1062" s="90"/>
      <c r="IWR1062" s="90"/>
      <c r="IWS1062" s="90"/>
      <c r="IWT1062" s="90"/>
      <c r="IWU1062" s="90"/>
      <c r="IWV1062" s="90"/>
      <c r="IWW1062" s="90"/>
      <c r="IWX1062" s="90"/>
      <c r="IWY1062" s="90"/>
      <c r="IWZ1062" s="90"/>
      <c r="IXA1062" s="90"/>
      <c r="IXB1062" s="90"/>
      <c r="IXC1062" s="90"/>
      <c r="IXD1062" s="90"/>
      <c r="IXE1062" s="90"/>
      <c r="IXF1062" s="90"/>
      <c r="IXG1062" s="90"/>
      <c r="IXH1062" s="90"/>
      <c r="IXI1062" s="90"/>
      <c r="IXJ1062" s="90"/>
      <c r="IXK1062" s="90"/>
      <c r="IXL1062" s="90"/>
      <c r="IXM1062" s="90"/>
      <c r="IXN1062" s="90"/>
      <c r="IXO1062" s="90"/>
      <c r="IXP1062" s="90"/>
      <c r="IXQ1062" s="90"/>
      <c r="IXR1062" s="90"/>
      <c r="IXS1062" s="90"/>
      <c r="IXT1062" s="90"/>
      <c r="IXU1062" s="90"/>
      <c r="IXV1062" s="90"/>
      <c r="IXW1062" s="90"/>
      <c r="IXX1062" s="90"/>
      <c r="IXY1062" s="90"/>
      <c r="IXZ1062" s="90"/>
      <c r="IYA1062" s="90"/>
      <c r="IYB1062" s="90"/>
      <c r="IYC1062" s="90"/>
      <c r="IYD1062" s="90"/>
      <c r="IYE1062" s="90"/>
      <c r="IYF1062" s="90"/>
      <c r="IYG1062" s="90"/>
      <c r="IYH1062" s="90"/>
      <c r="IYI1062" s="90"/>
      <c r="IYJ1062" s="90"/>
      <c r="IYK1062" s="90"/>
      <c r="IYL1062" s="90"/>
      <c r="IYM1062" s="90"/>
      <c r="IYN1062" s="90"/>
      <c r="IYO1062" s="90"/>
      <c r="IYP1062" s="90"/>
      <c r="IYQ1062" s="90"/>
      <c r="IYR1062" s="90"/>
      <c r="IYS1062" s="90"/>
      <c r="IYT1062" s="90"/>
      <c r="IYU1062" s="90"/>
      <c r="IYV1062" s="90"/>
      <c r="IYW1062" s="90"/>
      <c r="IYX1062" s="90"/>
      <c r="IYY1062" s="90"/>
      <c r="IYZ1062" s="90"/>
      <c r="IZA1062" s="90"/>
      <c r="IZB1062" s="90"/>
      <c r="IZC1062" s="90"/>
      <c r="IZD1062" s="90"/>
      <c r="IZE1062" s="90"/>
      <c r="IZF1062" s="90"/>
      <c r="IZG1062" s="90"/>
      <c r="IZH1062" s="90"/>
      <c r="IZI1062" s="90"/>
      <c r="IZJ1062" s="90"/>
      <c r="IZK1062" s="90"/>
      <c r="IZL1062" s="90"/>
      <c r="IZM1062" s="90"/>
      <c r="IZN1062" s="90"/>
      <c r="IZO1062" s="90"/>
      <c r="IZP1062" s="90"/>
      <c r="IZQ1062" s="90"/>
      <c r="IZR1062" s="90"/>
      <c r="IZS1062" s="90"/>
      <c r="IZT1062" s="90"/>
      <c r="IZU1062" s="90"/>
      <c r="IZV1062" s="90"/>
      <c r="IZW1062" s="90"/>
      <c r="IZX1062" s="90"/>
      <c r="IZY1062" s="90"/>
      <c r="IZZ1062" s="90"/>
      <c r="JAA1062" s="90"/>
      <c r="JAB1062" s="90"/>
      <c r="JAC1062" s="90"/>
      <c r="JAD1062" s="90"/>
      <c r="JAE1062" s="90"/>
      <c r="JAF1062" s="90"/>
      <c r="JAG1062" s="90"/>
      <c r="JAH1062" s="90"/>
      <c r="JAI1062" s="90"/>
      <c r="JAJ1062" s="90"/>
      <c r="JAK1062" s="90"/>
      <c r="JAL1062" s="90"/>
      <c r="JAM1062" s="90"/>
      <c r="JAN1062" s="90"/>
      <c r="JAO1062" s="90"/>
      <c r="JAP1062" s="90"/>
      <c r="JAQ1062" s="90"/>
      <c r="JAR1062" s="90"/>
      <c r="JAS1062" s="90"/>
      <c r="JAT1062" s="90"/>
      <c r="JAU1062" s="90"/>
      <c r="JAV1062" s="90"/>
      <c r="JAW1062" s="90"/>
      <c r="JAX1062" s="90"/>
      <c r="JAY1062" s="90"/>
      <c r="JAZ1062" s="90"/>
      <c r="JBA1062" s="90"/>
      <c r="JBB1062" s="90"/>
      <c r="JBC1062" s="90"/>
      <c r="JBD1062" s="90"/>
      <c r="JBE1062" s="90"/>
      <c r="JBF1062" s="90"/>
      <c r="JBG1062" s="90"/>
      <c r="JBH1062" s="90"/>
      <c r="JBI1062" s="90"/>
      <c r="JBJ1062" s="90"/>
      <c r="JBK1062" s="90"/>
      <c r="JBL1062" s="90"/>
      <c r="JBM1062" s="90"/>
      <c r="JBN1062" s="90"/>
      <c r="JBO1062" s="90"/>
      <c r="JBP1062" s="90"/>
      <c r="JBQ1062" s="90"/>
      <c r="JBR1062" s="90"/>
      <c r="JBS1062" s="90"/>
      <c r="JBT1062" s="90"/>
      <c r="JBU1062" s="90"/>
      <c r="JBV1062" s="90"/>
      <c r="JBW1062" s="90"/>
      <c r="JBX1062" s="90"/>
      <c r="JBY1062" s="90"/>
      <c r="JBZ1062" s="90"/>
      <c r="JCA1062" s="90"/>
      <c r="JCB1062" s="90"/>
      <c r="JCC1062" s="90"/>
      <c r="JCD1062" s="90"/>
      <c r="JCE1062" s="90"/>
      <c r="JCF1062" s="90"/>
      <c r="JCG1062" s="90"/>
      <c r="JCH1062" s="90"/>
      <c r="JCI1062" s="90"/>
      <c r="JCJ1062" s="90"/>
      <c r="JCK1062" s="90"/>
      <c r="JCL1062" s="90"/>
      <c r="JCM1062" s="90"/>
      <c r="JCN1062" s="90"/>
      <c r="JCO1062" s="90"/>
      <c r="JCP1062" s="90"/>
      <c r="JCQ1062" s="90"/>
      <c r="JCR1062" s="90"/>
      <c r="JCS1062" s="90"/>
      <c r="JCT1062" s="90"/>
      <c r="JCU1062" s="90"/>
      <c r="JCV1062" s="90"/>
      <c r="JCW1062" s="90"/>
      <c r="JCX1062" s="90"/>
      <c r="JCY1062" s="90"/>
      <c r="JCZ1062" s="90"/>
      <c r="JDA1062" s="90"/>
      <c r="JDB1062" s="90"/>
      <c r="JDC1062" s="90"/>
      <c r="JDD1062" s="90"/>
      <c r="JDE1062" s="90"/>
      <c r="JDF1062" s="90"/>
      <c r="JDG1062" s="90"/>
      <c r="JDH1062" s="90"/>
      <c r="JDI1062" s="90"/>
      <c r="JDJ1062" s="90"/>
      <c r="JDK1062" s="90"/>
      <c r="JDL1062" s="90"/>
      <c r="JDM1062" s="90"/>
      <c r="JDN1062" s="90"/>
      <c r="JDO1062" s="90"/>
      <c r="JDP1062" s="90"/>
      <c r="JDQ1062" s="90"/>
      <c r="JDR1062" s="90"/>
      <c r="JDS1062" s="90"/>
      <c r="JDT1062" s="90"/>
      <c r="JDU1062" s="90"/>
      <c r="JDV1062" s="90"/>
      <c r="JDW1062" s="90"/>
      <c r="JDX1062" s="90"/>
      <c r="JDY1062" s="90"/>
      <c r="JDZ1062" s="90"/>
      <c r="JEA1062" s="90"/>
      <c r="JEB1062" s="90"/>
      <c r="JEC1062" s="90"/>
      <c r="JED1062" s="90"/>
      <c r="JEE1062" s="90"/>
      <c r="JEF1062" s="90"/>
      <c r="JEG1062" s="90"/>
      <c r="JEH1062" s="90"/>
      <c r="JEI1062" s="90"/>
      <c r="JEJ1062" s="90"/>
      <c r="JEK1062" s="90"/>
      <c r="JEL1062" s="90"/>
      <c r="JEM1062" s="90"/>
      <c r="JEN1062" s="90"/>
      <c r="JEO1062" s="90"/>
      <c r="JEP1062" s="90"/>
      <c r="JEQ1062" s="90"/>
      <c r="JER1062" s="90"/>
      <c r="JES1062" s="90"/>
      <c r="JET1062" s="90"/>
      <c r="JEU1062" s="90"/>
      <c r="JEV1062" s="90"/>
      <c r="JEW1062" s="90"/>
      <c r="JEX1062" s="90"/>
      <c r="JEY1062" s="90"/>
      <c r="JEZ1062" s="90"/>
      <c r="JFA1062" s="90"/>
      <c r="JFB1062" s="90"/>
      <c r="JFC1062" s="90"/>
      <c r="JFD1062" s="90"/>
      <c r="JFE1062" s="90"/>
      <c r="JFF1062" s="90"/>
      <c r="JFG1062" s="90"/>
      <c r="JFH1062" s="90"/>
      <c r="JFI1062" s="90"/>
      <c r="JFJ1062" s="90"/>
      <c r="JFK1062" s="90"/>
      <c r="JFL1062" s="90"/>
      <c r="JFM1062" s="90"/>
      <c r="JFN1062" s="90"/>
      <c r="JFO1062" s="90"/>
      <c r="JFP1062" s="90"/>
      <c r="JFQ1062" s="90"/>
      <c r="JFR1062" s="90"/>
      <c r="JFS1062" s="90"/>
      <c r="JFT1062" s="90"/>
      <c r="JFU1062" s="90"/>
      <c r="JFV1062" s="90"/>
      <c r="JFW1062" s="90"/>
      <c r="JFX1062" s="90"/>
      <c r="JFY1062" s="90"/>
      <c r="JFZ1062" s="90"/>
      <c r="JGA1062" s="90"/>
      <c r="JGB1062" s="90"/>
      <c r="JGC1062" s="90"/>
      <c r="JGD1062" s="90"/>
      <c r="JGE1062" s="90"/>
      <c r="JGF1062" s="90"/>
      <c r="JGG1062" s="90"/>
      <c r="JGH1062" s="90"/>
      <c r="JGI1062" s="90"/>
      <c r="JGJ1062" s="90"/>
      <c r="JGK1062" s="90"/>
      <c r="JGL1062" s="90"/>
      <c r="JGM1062" s="90"/>
      <c r="JGN1062" s="90"/>
      <c r="JGO1062" s="90"/>
      <c r="JGP1062" s="90"/>
      <c r="JGQ1062" s="90"/>
      <c r="JGR1062" s="90"/>
      <c r="JGS1062" s="90"/>
      <c r="JGT1062" s="90"/>
      <c r="JGU1062" s="90"/>
      <c r="JGV1062" s="90"/>
      <c r="JGW1062" s="90"/>
      <c r="JGX1062" s="90"/>
      <c r="JGY1062" s="90"/>
      <c r="JGZ1062" s="90"/>
      <c r="JHA1062" s="90"/>
      <c r="JHB1062" s="90"/>
      <c r="JHC1062" s="90"/>
      <c r="JHD1062" s="90"/>
      <c r="JHE1062" s="90"/>
      <c r="JHF1062" s="90"/>
      <c r="JHG1062" s="90"/>
      <c r="JHH1062" s="90"/>
      <c r="JHI1062" s="90"/>
      <c r="JHJ1062" s="90"/>
      <c r="JHK1062" s="90"/>
      <c r="JHL1062" s="90"/>
      <c r="JHM1062" s="90"/>
      <c r="JHN1062" s="90"/>
      <c r="JHO1062" s="90"/>
      <c r="JHP1062" s="90"/>
      <c r="JHQ1062" s="90"/>
      <c r="JHR1062" s="90"/>
      <c r="JHS1062" s="90"/>
      <c r="JHT1062" s="90"/>
      <c r="JHU1062" s="90"/>
      <c r="JHV1062" s="90"/>
      <c r="JHW1062" s="90"/>
      <c r="JHX1062" s="90"/>
      <c r="JHY1062" s="90"/>
      <c r="JHZ1062" s="90"/>
      <c r="JIA1062" s="90"/>
      <c r="JIB1062" s="90"/>
      <c r="JIC1062" s="90"/>
      <c r="JID1062" s="90"/>
      <c r="JIE1062" s="90"/>
      <c r="JIF1062" s="90"/>
      <c r="JIG1062" s="90"/>
      <c r="JIH1062" s="90"/>
      <c r="JII1062" s="90"/>
      <c r="JIJ1062" s="90"/>
      <c r="JIK1062" s="90"/>
      <c r="JIL1062" s="90"/>
      <c r="JIM1062" s="90"/>
      <c r="JIN1062" s="90"/>
      <c r="JIO1062" s="90"/>
      <c r="JIP1062" s="90"/>
      <c r="JIQ1062" s="90"/>
      <c r="JIR1062" s="90"/>
      <c r="JIS1062" s="90"/>
      <c r="JIT1062" s="90"/>
      <c r="JIU1062" s="90"/>
      <c r="JIV1062" s="90"/>
      <c r="JIW1062" s="90"/>
      <c r="JIX1062" s="90"/>
      <c r="JIY1062" s="90"/>
      <c r="JIZ1062" s="90"/>
      <c r="JJA1062" s="90"/>
      <c r="JJB1062" s="90"/>
      <c r="JJC1062" s="90"/>
      <c r="JJD1062" s="90"/>
      <c r="JJE1062" s="90"/>
      <c r="JJF1062" s="90"/>
      <c r="JJG1062" s="90"/>
      <c r="JJH1062" s="90"/>
      <c r="JJI1062" s="90"/>
      <c r="JJJ1062" s="90"/>
      <c r="JJK1062" s="90"/>
      <c r="JJL1062" s="90"/>
      <c r="JJM1062" s="90"/>
      <c r="JJN1062" s="90"/>
      <c r="JJO1062" s="90"/>
      <c r="JJP1062" s="90"/>
      <c r="JJQ1062" s="90"/>
      <c r="JJR1062" s="90"/>
      <c r="JJS1062" s="90"/>
      <c r="JJT1062" s="90"/>
      <c r="JJU1062" s="90"/>
      <c r="JJV1062" s="90"/>
      <c r="JJW1062" s="90"/>
      <c r="JJX1062" s="90"/>
      <c r="JJY1062" s="90"/>
      <c r="JJZ1062" s="90"/>
      <c r="JKA1062" s="90"/>
      <c r="JKB1062" s="90"/>
      <c r="JKC1062" s="90"/>
      <c r="JKD1062" s="90"/>
      <c r="JKE1062" s="90"/>
      <c r="JKF1062" s="90"/>
      <c r="JKG1062" s="90"/>
      <c r="JKH1062" s="90"/>
      <c r="JKI1062" s="90"/>
      <c r="JKJ1062" s="90"/>
      <c r="JKK1062" s="90"/>
      <c r="JKL1062" s="90"/>
      <c r="JKM1062" s="90"/>
      <c r="JKN1062" s="90"/>
      <c r="JKO1062" s="90"/>
      <c r="JKP1062" s="90"/>
      <c r="JKQ1062" s="90"/>
      <c r="JKR1062" s="90"/>
      <c r="JKS1062" s="90"/>
      <c r="JKT1062" s="90"/>
      <c r="JKU1062" s="90"/>
      <c r="JKV1062" s="90"/>
      <c r="JKW1062" s="90"/>
      <c r="JKX1062" s="90"/>
      <c r="JKY1062" s="90"/>
      <c r="JKZ1062" s="90"/>
      <c r="JLA1062" s="90"/>
      <c r="JLB1062" s="90"/>
      <c r="JLC1062" s="90"/>
      <c r="JLD1062" s="90"/>
      <c r="JLE1062" s="90"/>
      <c r="JLF1062" s="90"/>
      <c r="JLG1062" s="90"/>
      <c r="JLH1062" s="90"/>
      <c r="JLI1062" s="90"/>
      <c r="JLJ1062" s="90"/>
      <c r="JLK1062" s="90"/>
      <c r="JLL1062" s="90"/>
      <c r="JLM1062" s="90"/>
      <c r="JLN1062" s="90"/>
      <c r="JLO1062" s="90"/>
      <c r="JLP1062" s="90"/>
      <c r="JLQ1062" s="90"/>
      <c r="JLR1062" s="90"/>
      <c r="JLS1062" s="90"/>
      <c r="JLT1062" s="90"/>
      <c r="JLU1062" s="90"/>
      <c r="JLV1062" s="90"/>
      <c r="JLW1062" s="90"/>
      <c r="JLX1062" s="90"/>
      <c r="JLY1062" s="90"/>
      <c r="JLZ1062" s="90"/>
      <c r="JMA1062" s="90"/>
      <c r="JMB1062" s="90"/>
      <c r="JMC1062" s="90"/>
      <c r="JMD1062" s="90"/>
      <c r="JME1062" s="90"/>
      <c r="JMF1062" s="90"/>
      <c r="JMG1062" s="90"/>
      <c r="JMH1062" s="90"/>
      <c r="JMI1062" s="90"/>
      <c r="JMJ1062" s="90"/>
      <c r="JMK1062" s="90"/>
      <c r="JML1062" s="90"/>
      <c r="JMM1062" s="90"/>
      <c r="JMN1062" s="90"/>
      <c r="JMO1062" s="90"/>
      <c r="JMP1062" s="90"/>
      <c r="JMQ1062" s="90"/>
      <c r="JMR1062" s="90"/>
      <c r="JMS1062" s="90"/>
      <c r="JMT1062" s="90"/>
      <c r="JMU1062" s="90"/>
      <c r="JMV1062" s="90"/>
      <c r="JMW1062" s="90"/>
      <c r="JMX1062" s="90"/>
      <c r="JMY1062" s="90"/>
      <c r="JMZ1062" s="90"/>
      <c r="JNA1062" s="90"/>
      <c r="JNB1062" s="90"/>
      <c r="JNC1062" s="90"/>
      <c r="JND1062" s="90"/>
      <c r="JNE1062" s="90"/>
      <c r="JNF1062" s="90"/>
      <c r="JNG1062" s="90"/>
      <c r="JNH1062" s="90"/>
      <c r="JNI1062" s="90"/>
      <c r="JNJ1062" s="90"/>
      <c r="JNK1062" s="90"/>
      <c r="JNL1062" s="90"/>
      <c r="JNM1062" s="90"/>
      <c r="JNN1062" s="90"/>
      <c r="JNO1062" s="90"/>
      <c r="JNP1062" s="90"/>
      <c r="JNQ1062" s="90"/>
      <c r="JNR1062" s="90"/>
      <c r="JNS1062" s="90"/>
      <c r="JNT1062" s="90"/>
      <c r="JNU1062" s="90"/>
      <c r="JNV1062" s="90"/>
      <c r="JNW1062" s="90"/>
      <c r="JNX1062" s="90"/>
      <c r="JNY1062" s="90"/>
      <c r="JNZ1062" s="90"/>
      <c r="JOA1062" s="90"/>
      <c r="JOB1062" s="90"/>
      <c r="JOC1062" s="90"/>
      <c r="JOD1062" s="90"/>
      <c r="JOE1062" s="90"/>
      <c r="JOF1062" s="90"/>
      <c r="JOG1062" s="90"/>
      <c r="JOH1062" s="90"/>
      <c r="JOI1062" s="90"/>
      <c r="JOJ1062" s="90"/>
      <c r="JOK1062" s="90"/>
      <c r="JOL1062" s="90"/>
      <c r="JOM1062" s="90"/>
      <c r="JON1062" s="90"/>
      <c r="JOO1062" s="90"/>
      <c r="JOP1062" s="90"/>
      <c r="JOQ1062" s="90"/>
      <c r="JOR1062" s="90"/>
      <c r="JOS1062" s="90"/>
      <c r="JOT1062" s="90"/>
      <c r="JOU1062" s="90"/>
      <c r="JOV1062" s="90"/>
      <c r="JOW1062" s="90"/>
      <c r="JOX1062" s="90"/>
      <c r="JOY1062" s="90"/>
      <c r="JOZ1062" s="90"/>
      <c r="JPA1062" s="90"/>
      <c r="JPB1062" s="90"/>
      <c r="JPC1062" s="90"/>
      <c r="JPD1062" s="90"/>
      <c r="JPE1062" s="90"/>
      <c r="JPF1062" s="90"/>
      <c r="JPG1062" s="90"/>
      <c r="JPH1062" s="90"/>
      <c r="JPI1062" s="90"/>
      <c r="JPJ1062" s="90"/>
      <c r="JPK1062" s="90"/>
      <c r="JPL1062" s="90"/>
      <c r="JPM1062" s="90"/>
      <c r="JPN1062" s="90"/>
      <c r="JPO1062" s="90"/>
      <c r="JPP1062" s="90"/>
      <c r="JPQ1062" s="90"/>
      <c r="JPR1062" s="90"/>
      <c r="JPS1062" s="90"/>
      <c r="JPT1062" s="90"/>
      <c r="JPU1062" s="90"/>
      <c r="JPV1062" s="90"/>
      <c r="JPW1062" s="90"/>
      <c r="JPX1062" s="90"/>
      <c r="JPY1062" s="90"/>
      <c r="JPZ1062" s="90"/>
      <c r="JQA1062" s="90"/>
      <c r="JQB1062" s="90"/>
      <c r="JQC1062" s="90"/>
      <c r="JQD1062" s="90"/>
      <c r="JQE1062" s="90"/>
      <c r="JQF1062" s="90"/>
      <c r="JQG1062" s="90"/>
      <c r="JQH1062" s="90"/>
      <c r="JQI1062" s="90"/>
      <c r="JQJ1062" s="90"/>
      <c r="JQK1062" s="90"/>
      <c r="JQL1062" s="90"/>
      <c r="JQM1062" s="90"/>
      <c r="JQN1062" s="90"/>
      <c r="JQO1062" s="90"/>
      <c r="JQP1062" s="90"/>
      <c r="JQQ1062" s="90"/>
      <c r="JQR1062" s="90"/>
      <c r="JQS1062" s="90"/>
      <c r="JQT1062" s="90"/>
      <c r="JQU1062" s="90"/>
      <c r="JQV1062" s="90"/>
      <c r="JQW1062" s="90"/>
      <c r="JQX1062" s="90"/>
      <c r="JQY1062" s="90"/>
      <c r="JQZ1062" s="90"/>
      <c r="JRA1062" s="90"/>
      <c r="JRB1062" s="90"/>
      <c r="JRC1062" s="90"/>
      <c r="JRD1062" s="90"/>
      <c r="JRE1062" s="90"/>
      <c r="JRF1062" s="90"/>
      <c r="JRG1062" s="90"/>
      <c r="JRH1062" s="90"/>
      <c r="JRI1062" s="90"/>
      <c r="JRJ1062" s="90"/>
      <c r="JRK1062" s="90"/>
      <c r="JRL1062" s="90"/>
      <c r="JRM1062" s="90"/>
      <c r="JRN1062" s="90"/>
      <c r="JRO1062" s="90"/>
      <c r="JRP1062" s="90"/>
      <c r="JRQ1062" s="90"/>
      <c r="JRR1062" s="90"/>
      <c r="JRS1062" s="90"/>
      <c r="JRT1062" s="90"/>
      <c r="JRU1062" s="90"/>
      <c r="JRV1062" s="90"/>
      <c r="JRW1062" s="90"/>
      <c r="JRX1062" s="90"/>
      <c r="JRY1062" s="90"/>
      <c r="JRZ1062" s="90"/>
      <c r="JSA1062" s="90"/>
      <c r="JSB1062" s="90"/>
      <c r="JSC1062" s="90"/>
      <c r="JSD1062" s="90"/>
      <c r="JSE1062" s="90"/>
      <c r="JSF1062" s="90"/>
      <c r="JSG1062" s="90"/>
      <c r="JSH1062" s="90"/>
      <c r="JSI1062" s="90"/>
      <c r="JSJ1062" s="90"/>
      <c r="JSK1062" s="90"/>
      <c r="JSL1062" s="90"/>
      <c r="JSM1062" s="90"/>
      <c r="JSN1062" s="90"/>
      <c r="JSO1062" s="90"/>
      <c r="JSP1062" s="90"/>
      <c r="JSQ1062" s="90"/>
      <c r="JSR1062" s="90"/>
      <c r="JSS1062" s="90"/>
      <c r="JST1062" s="90"/>
      <c r="JSU1062" s="90"/>
      <c r="JSV1062" s="90"/>
      <c r="JSW1062" s="90"/>
      <c r="JSX1062" s="90"/>
      <c r="JSY1062" s="90"/>
      <c r="JSZ1062" s="90"/>
      <c r="JTA1062" s="90"/>
      <c r="JTB1062" s="90"/>
      <c r="JTC1062" s="90"/>
      <c r="JTD1062" s="90"/>
      <c r="JTE1062" s="90"/>
      <c r="JTF1062" s="90"/>
      <c r="JTG1062" s="90"/>
      <c r="JTH1062" s="90"/>
      <c r="JTI1062" s="90"/>
      <c r="JTJ1062" s="90"/>
      <c r="JTK1062" s="90"/>
      <c r="JTL1062" s="90"/>
      <c r="JTM1062" s="90"/>
      <c r="JTN1062" s="90"/>
      <c r="JTO1062" s="90"/>
      <c r="JTP1062" s="90"/>
      <c r="JTQ1062" s="90"/>
      <c r="JTR1062" s="90"/>
      <c r="JTS1062" s="90"/>
      <c r="JTT1062" s="90"/>
      <c r="JTU1062" s="90"/>
      <c r="JTV1062" s="90"/>
      <c r="JTW1062" s="90"/>
      <c r="JTX1062" s="90"/>
      <c r="JTY1062" s="90"/>
      <c r="JTZ1062" s="90"/>
      <c r="JUA1062" s="90"/>
      <c r="JUB1062" s="90"/>
      <c r="JUC1062" s="90"/>
      <c r="JUD1062" s="90"/>
      <c r="JUE1062" s="90"/>
      <c r="JUF1062" s="90"/>
      <c r="JUG1062" s="90"/>
      <c r="JUH1062" s="90"/>
      <c r="JUI1062" s="90"/>
      <c r="JUJ1062" s="90"/>
      <c r="JUK1062" s="90"/>
      <c r="JUL1062" s="90"/>
      <c r="JUM1062" s="90"/>
      <c r="JUN1062" s="90"/>
      <c r="JUO1062" s="90"/>
      <c r="JUP1062" s="90"/>
      <c r="JUQ1062" s="90"/>
      <c r="JUR1062" s="90"/>
      <c r="JUS1062" s="90"/>
      <c r="JUT1062" s="90"/>
      <c r="JUU1062" s="90"/>
      <c r="JUV1062" s="90"/>
      <c r="JUW1062" s="90"/>
      <c r="JUX1062" s="90"/>
      <c r="JUY1062" s="90"/>
      <c r="JUZ1062" s="90"/>
      <c r="JVA1062" s="90"/>
      <c r="JVB1062" s="90"/>
      <c r="JVC1062" s="90"/>
      <c r="JVD1062" s="90"/>
      <c r="JVE1062" s="90"/>
      <c r="JVF1062" s="90"/>
      <c r="JVG1062" s="90"/>
      <c r="JVH1062" s="90"/>
      <c r="JVI1062" s="90"/>
      <c r="JVJ1062" s="90"/>
      <c r="JVK1062" s="90"/>
      <c r="JVL1062" s="90"/>
      <c r="JVM1062" s="90"/>
      <c r="JVN1062" s="90"/>
      <c r="JVO1062" s="90"/>
      <c r="JVP1062" s="90"/>
      <c r="JVQ1062" s="90"/>
      <c r="JVR1062" s="90"/>
      <c r="JVS1062" s="90"/>
      <c r="JVT1062" s="90"/>
      <c r="JVU1062" s="90"/>
      <c r="JVV1062" s="90"/>
      <c r="JVW1062" s="90"/>
      <c r="JVX1062" s="90"/>
      <c r="JVY1062" s="90"/>
      <c r="JVZ1062" s="90"/>
      <c r="JWA1062" s="90"/>
      <c r="JWB1062" s="90"/>
      <c r="JWC1062" s="90"/>
      <c r="JWD1062" s="90"/>
      <c r="JWE1062" s="90"/>
      <c r="JWF1062" s="90"/>
      <c r="JWG1062" s="90"/>
      <c r="JWH1062" s="90"/>
      <c r="JWI1062" s="90"/>
      <c r="JWJ1062" s="90"/>
      <c r="JWK1062" s="90"/>
      <c r="JWL1062" s="90"/>
      <c r="JWM1062" s="90"/>
      <c r="JWN1062" s="90"/>
      <c r="JWO1062" s="90"/>
      <c r="JWP1062" s="90"/>
      <c r="JWQ1062" s="90"/>
      <c r="JWR1062" s="90"/>
      <c r="JWS1062" s="90"/>
      <c r="JWT1062" s="90"/>
      <c r="JWU1062" s="90"/>
      <c r="JWV1062" s="90"/>
      <c r="JWW1062" s="90"/>
      <c r="JWX1062" s="90"/>
      <c r="JWY1062" s="90"/>
      <c r="JWZ1062" s="90"/>
      <c r="JXA1062" s="90"/>
      <c r="JXB1062" s="90"/>
      <c r="JXC1062" s="90"/>
      <c r="JXD1062" s="90"/>
      <c r="JXE1062" s="90"/>
      <c r="JXF1062" s="90"/>
      <c r="JXG1062" s="90"/>
      <c r="JXH1062" s="90"/>
      <c r="JXI1062" s="90"/>
      <c r="JXJ1062" s="90"/>
      <c r="JXK1062" s="90"/>
      <c r="JXL1062" s="90"/>
      <c r="JXM1062" s="90"/>
      <c r="JXN1062" s="90"/>
      <c r="JXO1062" s="90"/>
      <c r="JXP1062" s="90"/>
      <c r="JXQ1062" s="90"/>
      <c r="JXR1062" s="90"/>
      <c r="JXS1062" s="90"/>
      <c r="JXT1062" s="90"/>
      <c r="JXU1062" s="90"/>
      <c r="JXV1062" s="90"/>
      <c r="JXW1062" s="90"/>
      <c r="JXX1062" s="90"/>
      <c r="JXY1062" s="90"/>
      <c r="JXZ1062" s="90"/>
      <c r="JYA1062" s="90"/>
      <c r="JYB1062" s="90"/>
      <c r="JYC1062" s="90"/>
      <c r="JYD1062" s="90"/>
      <c r="JYE1062" s="90"/>
      <c r="JYF1062" s="90"/>
      <c r="JYG1062" s="90"/>
      <c r="JYH1062" s="90"/>
      <c r="JYI1062" s="90"/>
      <c r="JYJ1062" s="90"/>
      <c r="JYK1062" s="90"/>
      <c r="JYL1062" s="90"/>
      <c r="JYM1062" s="90"/>
      <c r="JYN1062" s="90"/>
      <c r="JYO1062" s="90"/>
      <c r="JYP1062" s="90"/>
      <c r="JYQ1062" s="90"/>
      <c r="JYR1062" s="90"/>
      <c r="JYS1062" s="90"/>
      <c r="JYT1062" s="90"/>
      <c r="JYU1062" s="90"/>
      <c r="JYV1062" s="90"/>
      <c r="JYW1062" s="90"/>
      <c r="JYX1062" s="90"/>
      <c r="JYY1062" s="90"/>
      <c r="JYZ1062" s="90"/>
      <c r="JZA1062" s="90"/>
      <c r="JZB1062" s="90"/>
      <c r="JZC1062" s="90"/>
      <c r="JZD1062" s="90"/>
      <c r="JZE1062" s="90"/>
      <c r="JZF1062" s="90"/>
      <c r="JZG1062" s="90"/>
      <c r="JZH1062" s="90"/>
      <c r="JZI1062" s="90"/>
      <c r="JZJ1062" s="90"/>
      <c r="JZK1062" s="90"/>
      <c r="JZL1062" s="90"/>
      <c r="JZM1062" s="90"/>
      <c r="JZN1062" s="90"/>
      <c r="JZO1062" s="90"/>
      <c r="JZP1062" s="90"/>
      <c r="JZQ1062" s="90"/>
      <c r="JZR1062" s="90"/>
      <c r="JZS1062" s="90"/>
      <c r="JZT1062" s="90"/>
      <c r="JZU1062" s="90"/>
      <c r="JZV1062" s="90"/>
      <c r="JZW1062" s="90"/>
      <c r="JZX1062" s="90"/>
      <c r="JZY1062" s="90"/>
      <c r="JZZ1062" s="90"/>
      <c r="KAA1062" s="90"/>
      <c r="KAB1062" s="90"/>
      <c r="KAC1062" s="90"/>
      <c r="KAD1062" s="90"/>
      <c r="KAE1062" s="90"/>
      <c r="KAF1062" s="90"/>
      <c r="KAG1062" s="90"/>
      <c r="KAH1062" s="90"/>
      <c r="KAI1062" s="90"/>
      <c r="KAJ1062" s="90"/>
      <c r="KAK1062" s="90"/>
      <c r="KAL1062" s="90"/>
      <c r="KAM1062" s="90"/>
      <c r="KAN1062" s="90"/>
      <c r="KAO1062" s="90"/>
      <c r="KAP1062" s="90"/>
      <c r="KAQ1062" s="90"/>
      <c r="KAR1062" s="90"/>
      <c r="KAS1062" s="90"/>
      <c r="KAT1062" s="90"/>
      <c r="KAU1062" s="90"/>
      <c r="KAV1062" s="90"/>
      <c r="KAW1062" s="90"/>
      <c r="KAX1062" s="90"/>
      <c r="KAY1062" s="90"/>
      <c r="KAZ1062" s="90"/>
      <c r="KBA1062" s="90"/>
      <c r="KBB1062" s="90"/>
      <c r="KBC1062" s="90"/>
      <c r="KBD1062" s="90"/>
      <c r="KBE1062" s="90"/>
      <c r="KBF1062" s="90"/>
      <c r="KBG1062" s="90"/>
      <c r="KBH1062" s="90"/>
      <c r="KBI1062" s="90"/>
      <c r="KBJ1062" s="90"/>
      <c r="KBK1062" s="90"/>
      <c r="KBL1062" s="90"/>
      <c r="KBM1062" s="90"/>
      <c r="KBN1062" s="90"/>
      <c r="KBO1062" s="90"/>
      <c r="KBP1062" s="90"/>
      <c r="KBQ1062" s="90"/>
      <c r="KBR1062" s="90"/>
      <c r="KBS1062" s="90"/>
      <c r="KBT1062" s="90"/>
      <c r="KBU1062" s="90"/>
      <c r="KBV1062" s="90"/>
      <c r="KBW1062" s="90"/>
      <c r="KBX1062" s="90"/>
      <c r="KBY1062" s="90"/>
      <c r="KBZ1062" s="90"/>
      <c r="KCA1062" s="90"/>
      <c r="KCB1062" s="90"/>
      <c r="KCC1062" s="90"/>
      <c r="KCD1062" s="90"/>
      <c r="KCE1062" s="90"/>
      <c r="KCF1062" s="90"/>
      <c r="KCG1062" s="90"/>
      <c r="KCH1062" s="90"/>
      <c r="KCI1062" s="90"/>
      <c r="KCJ1062" s="90"/>
      <c r="KCK1062" s="90"/>
      <c r="KCL1062" s="90"/>
      <c r="KCM1062" s="90"/>
      <c r="KCN1062" s="90"/>
      <c r="KCO1062" s="90"/>
      <c r="KCP1062" s="90"/>
      <c r="KCQ1062" s="90"/>
      <c r="KCR1062" s="90"/>
      <c r="KCS1062" s="90"/>
      <c r="KCT1062" s="90"/>
      <c r="KCU1062" s="90"/>
      <c r="KCV1062" s="90"/>
      <c r="KCW1062" s="90"/>
      <c r="KCX1062" s="90"/>
      <c r="KCY1062" s="90"/>
      <c r="KCZ1062" s="90"/>
      <c r="KDA1062" s="90"/>
      <c r="KDB1062" s="90"/>
      <c r="KDC1062" s="90"/>
      <c r="KDD1062" s="90"/>
      <c r="KDE1062" s="90"/>
      <c r="KDF1062" s="90"/>
      <c r="KDG1062" s="90"/>
      <c r="KDH1062" s="90"/>
      <c r="KDI1062" s="90"/>
      <c r="KDJ1062" s="90"/>
      <c r="KDK1062" s="90"/>
      <c r="KDL1062" s="90"/>
      <c r="KDM1062" s="90"/>
      <c r="KDN1062" s="90"/>
      <c r="KDO1062" s="90"/>
      <c r="KDP1062" s="90"/>
      <c r="KDQ1062" s="90"/>
      <c r="KDR1062" s="90"/>
      <c r="KDS1062" s="90"/>
      <c r="KDT1062" s="90"/>
      <c r="KDU1062" s="90"/>
      <c r="KDV1062" s="90"/>
      <c r="KDW1062" s="90"/>
      <c r="KDX1062" s="90"/>
      <c r="KDY1062" s="90"/>
      <c r="KDZ1062" s="90"/>
      <c r="KEA1062" s="90"/>
      <c r="KEB1062" s="90"/>
      <c r="KEC1062" s="90"/>
      <c r="KED1062" s="90"/>
      <c r="KEE1062" s="90"/>
      <c r="KEF1062" s="90"/>
      <c r="KEG1062" s="90"/>
      <c r="KEH1062" s="90"/>
      <c r="KEI1062" s="90"/>
      <c r="KEJ1062" s="90"/>
      <c r="KEK1062" s="90"/>
      <c r="KEL1062" s="90"/>
      <c r="KEM1062" s="90"/>
      <c r="KEN1062" s="90"/>
      <c r="KEO1062" s="90"/>
      <c r="KEP1062" s="90"/>
      <c r="KEQ1062" s="90"/>
      <c r="KER1062" s="90"/>
      <c r="KES1062" s="90"/>
      <c r="KET1062" s="90"/>
      <c r="KEU1062" s="90"/>
      <c r="KEV1062" s="90"/>
      <c r="KEW1062" s="90"/>
      <c r="KEX1062" s="90"/>
      <c r="KEY1062" s="90"/>
      <c r="KEZ1062" s="90"/>
      <c r="KFA1062" s="90"/>
      <c r="KFB1062" s="90"/>
      <c r="KFC1062" s="90"/>
      <c r="KFD1062" s="90"/>
      <c r="KFE1062" s="90"/>
      <c r="KFF1062" s="90"/>
      <c r="KFG1062" s="90"/>
      <c r="KFH1062" s="90"/>
      <c r="KFI1062" s="90"/>
      <c r="KFJ1062" s="90"/>
      <c r="KFK1062" s="90"/>
      <c r="KFL1062" s="90"/>
      <c r="KFM1062" s="90"/>
      <c r="KFN1062" s="90"/>
      <c r="KFO1062" s="90"/>
      <c r="KFP1062" s="90"/>
      <c r="KFQ1062" s="90"/>
      <c r="KFR1062" s="90"/>
      <c r="KFS1062" s="90"/>
      <c r="KFT1062" s="90"/>
      <c r="KFU1062" s="90"/>
      <c r="KFV1062" s="90"/>
      <c r="KFW1062" s="90"/>
      <c r="KFX1062" s="90"/>
      <c r="KFY1062" s="90"/>
      <c r="KFZ1062" s="90"/>
      <c r="KGA1062" s="90"/>
      <c r="KGB1062" s="90"/>
      <c r="KGC1062" s="90"/>
      <c r="KGD1062" s="90"/>
      <c r="KGE1062" s="90"/>
      <c r="KGF1062" s="90"/>
      <c r="KGG1062" s="90"/>
      <c r="KGH1062" s="90"/>
      <c r="KGI1062" s="90"/>
      <c r="KGJ1062" s="90"/>
      <c r="KGK1062" s="90"/>
      <c r="KGL1062" s="90"/>
      <c r="KGM1062" s="90"/>
      <c r="KGN1062" s="90"/>
      <c r="KGO1062" s="90"/>
      <c r="KGP1062" s="90"/>
      <c r="KGQ1062" s="90"/>
      <c r="KGR1062" s="90"/>
      <c r="KGS1062" s="90"/>
      <c r="KGT1062" s="90"/>
      <c r="KGU1062" s="90"/>
      <c r="KGV1062" s="90"/>
      <c r="KGW1062" s="90"/>
      <c r="KGX1062" s="90"/>
      <c r="KGY1062" s="90"/>
      <c r="KGZ1062" s="90"/>
      <c r="KHA1062" s="90"/>
      <c r="KHB1062" s="90"/>
      <c r="KHC1062" s="90"/>
      <c r="KHD1062" s="90"/>
      <c r="KHE1062" s="90"/>
      <c r="KHF1062" s="90"/>
      <c r="KHG1062" s="90"/>
      <c r="KHH1062" s="90"/>
      <c r="KHI1062" s="90"/>
      <c r="KHJ1062" s="90"/>
      <c r="KHK1062" s="90"/>
      <c r="KHL1062" s="90"/>
      <c r="KHM1062" s="90"/>
      <c r="KHN1062" s="90"/>
      <c r="KHO1062" s="90"/>
      <c r="KHP1062" s="90"/>
      <c r="KHQ1062" s="90"/>
      <c r="KHR1062" s="90"/>
      <c r="KHS1062" s="90"/>
      <c r="KHT1062" s="90"/>
      <c r="KHU1062" s="90"/>
      <c r="KHV1062" s="90"/>
      <c r="KHW1062" s="90"/>
      <c r="KHX1062" s="90"/>
      <c r="KHY1062" s="90"/>
      <c r="KHZ1062" s="90"/>
      <c r="KIA1062" s="90"/>
      <c r="KIB1062" s="90"/>
      <c r="KIC1062" s="90"/>
      <c r="KID1062" s="90"/>
      <c r="KIE1062" s="90"/>
      <c r="KIF1062" s="90"/>
      <c r="KIG1062" s="90"/>
      <c r="KIH1062" s="90"/>
      <c r="KII1062" s="90"/>
      <c r="KIJ1062" s="90"/>
      <c r="KIK1062" s="90"/>
      <c r="KIL1062" s="90"/>
      <c r="KIM1062" s="90"/>
      <c r="KIN1062" s="90"/>
      <c r="KIO1062" s="90"/>
      <c r="KIP1062" s="90"/>
      <c r="KIQ1062" s="90"/>
      <c r="KIR1062" s="90"/>
      <c r="KIS1062" s="90"/>
      <c r="KIT1062" s="90"/>
      <c r="KIU1062" s="90"/>
      <c r="KIV1062" s="90"/>
      <c r="KIW1062" s="90"/>
      <c r="KIX1062" s="90"/>
      <c r="KIY1062" s="90"/>
      <c r="KIZ1062" s="90"/>
      <c r="KJA1062" s="90"/>
      <c r="KJB1062" s="90"/>
      <c r="KJC1062" s="90"/>
      <c r="KJD1062" s="90"/>
      <c r="KJE1062" s="90"/>
      <c r="KJF1062" s="90"/>
      <c r="KJG1062" s="90"/>
      <c r="KJH1062" s="90"/>
      <c r="KJI1062" s="90"/>
      <c r="KJJ1062" s="90"/>
      <c r="KJK1062" s="90"/>
      <c r="KJL1062" s="90"/>
      <c r="KJM1062" s="90"/>
      <c r="KJN1062" s="90"/>
      <c r="KJO1062" s="90"/>
      <c r="KJP1062" s="90"/>
      <c r="KJQ1062" s="90"/>
      <c r="KJR1062" s="90"/>
      <c r="KJS1062" s="90"/>
      <c r="KJT1062" s="90"/>
      <c r="KJU1062" s="90"/>
      <c r="KJV1062" s="90"/>
      <c r="KJW1062" s="90"/>
      <c r="KJX1062" s="90"/>
      <c r="KJY1062" s="90"/>
      <c r="KJZ1062" s="90"/>
      <c r="KKA1062" s="90"/>
      <c r="KKB1062" s="90"/>
      <c r="KKC1062" s="90"/>
      <c r="KKD1062" s="90"/>
      <c r="KKE1062" s="90"/>
      <c r="KKF1062" s="90"/>
      <c r="KKG1062" s="90"/>
      <c r="KKH1062" s="90"/>
      <c r="KKI1062" s="90"/>
      <c r="KKJ1062" s="90"/>
      <c r="KKK1062" s="90"/>
      <c r="KKL1062" s="90"/>
      <c r="KKM1062" s="90"/>
      <c r="KKN1062" s="90"/>
      <c r="KKO1062" s="90"/>
      <c r="KKP1062" s="90"/>
      <c r="KKQ1062" s="90"/>
      <c r="KKR1062" s="90"/>
      <c r="KKS1062" s="90"/>
      <c r="KKT1062" s="90"/>
      <c r="KKU1062" s="90"/>
      <c r="KKV1062" s="90"/>
      <c r="KKW1062" s="90"/>
      <c r="KKX1062" s="90"/>
      <c r="KKY1062" s="90"/>
      <c r="KKZ1062" s="90"/>
      <c r="KLA1062" s="90"/>
      <c r="KLB1062" s="90"/>
      <c r="KLC1062" s="90"/>
      <c r="KLD1062" s="90"/>
      <c r="KLE1062" s="90"/>
      <c r="KLF1062" s="90"/>
      <c r="KLG1062" s="90"/>
      <c r="KLH1062" s="90"/>
      <c r="KLI1062" s="90"/>
      <c r="KLJ1062" s="90"/>
      <c r="KLK1062" s="90"/>
      <c r="KLL1062" s="90"/>
      <c r="KLM1062" s="90"/>
      <c r="KLN1062" s="90"/>
      <c r="KLO1062" s="90"/>
      <c r="KLP1062" s="90"/>
      <c r="KLQ1062" s="90"/>
      <c r="KLR1062" s="90"/>
      <c r="KLS1062" s="90"/>
      <c r="KLT1062" s="90"/>
      <c r="KLU1062" s="90"/>
      <c r="KLV1062" s="90"/>
      <c r="KLW1062" s="90"/>
      <c r="KLX1062" s="90"/>
      <c r="KLY1062" s="90"/>
      <c r="KLZ1062" s="90"/>
      <c r="KMA1062" s="90"/>
      <c r="KMB1062" s="90"/>
      <c r="KMC1062" s="90"/>
      <c r="KMD1062" s="90"/>
      <c r="KME1062" s="90"/>
      <c r="KMF1062" s="90"/>
      <c r="KMG1062" s="90"/>
      <c r="KMH1062" s="90"/>
      <c r="KMI1062" s="90"/>
      <c r="KMJ1062" s="90"/>
      <c r="KMK1062" s="90"/>
      <c r="KML1062" s="90"/>
      <c r="KMM1062" s="90"/>
      <c r="KMN1062" s="90"/>
      <c r="KMO1062" s="90"/>
      <c r="KMP1062" s="90"/>
      <c r="KMQ1062" s="90"/>
      <c r="KMR1062" s="90"/>
      <c r="KMS1062" s="90"/>
      <c r="KMT1062" s="90"/>
      <c r="KMU1062" s="90"/>
      <c r="KMV1062" s="90"/>
      <c r="KMW1062" s="90"/>
      <c r="KMX1062" s="90"/>
      <c r="KMY1062" s="90"/>
      <c r="KMZ1062" s="90"/>
      <c r="KNA1062" s="90"/>
      <c r="KNB1062" s="90"/>
      <c r="KNC1062" s="90"/>
      <c r="KND1062" s="90"/>
      <c r="KNE1062" s="90"/>
      <c r="KNF1062" s="90"/>
      <c r="KNG1062" s="90"/>
      <c r="KNH1062" s="90"/>
      <c r="KNI1062" s="90"/>
      <c r="KNJ1062" s="90"/>
      <c r="KNK1062" s="90"/>
      <c r="KNL1062" s="90"/>
      <c r="KNM1062" s="90"/>
      <c r="KNN1062" s="90"/>
      <c r="KNO1062" s="90"/>
      <c r="KNP1062" s="90"/>
      <c r="KNQ1062" s="90"/>
      <c r="KNR1062" s="90"/>
      <c r="KNS1062" s="90"/>
      <c r="KNT1062" s="90"/>
      <c r="KNU1062" s="90"/>
      <c r="KNV1062" s="90"/>
      <c r="KNW1062" s="90"/>
      <c r="KNX1062" s="90"/>
      <c r="KNY1062" s="90"/>
      <c r="KNZ1062" s="90"/>
      <c r="KOA1062" s="90"/>
      <c r="KOB1062" s="90"/>
      <c r="KOC1062" s="90"/>
      <c r="KOD1062" s="90"/>
      <c r="KOE1062" s="90"/>
      <c r="KOF1062" s="90"/>
      <c r="KOG1062" s="90"/>
      <c r="KOH1062" s="90"/>
      <c r="KOI1062" s="90"/>
      <c r="KOJ1062" s="90"/>
      <c r="KOK1062" s="90"/>
      <c r="KOL1062" s="90"/>
      <c r="KOM1062" s="90"/>
      <c r="KON1062" s="90"/>
      <c r="KOO1062" s="90"/>
      <c r="KOP1062" s="90"/>
      <c r="KOQ1062" s="90"/>
      <c r="KOR1062" s="90"/>
      <c r="KOS1062" s="90"/>
      <c r="KOT1062" s="90"/>
      <c r="KOU1062" s="90"/>
      <c r="KOV1062" s="90"/>
      <c r="KOW1062" s="90"/>
      <c r="KOX1062" s="90"/>
      <c r="KOY1062" s="90"/>
      <c r="KOZ1062" s="90"/>
      <c r="KPA1062" s="90"/>
      <c r="KPB1062" s="90"/>
      <c r="KPC1062" s="90"/>
      <c r="KPD1062" s="90"/>
      <c r="KPE1062" s="90"/>
      <c r="KPF1062" s="90"/>
      <c r="KPG1062" s="90"/>
      <c r="KPH1062" s="90"/>
      <c r="KPI1062" s="90"/>
      <c r="KPJ1062" s="90"/>
      <c r="KPK1062" s="90"/>
      <c r="KPL1062" s="90"/>
      <c r="KPM1062" s="90"/>
      <c r="KPN1062" s="90"/>
      <c r="KPO1062" s="90"/>
      <c r="KPP1062" s="90"/>
      <c r="KPQ1062" s="90"/>
      <c r="KPR1062" s="90"/>
      <c r="KPS1062" s="90"/>
      <c r="KPT1062" s="90"/>
      <c r="KPU1062" s="90"/>
      <c r="KPV1062" s="90"/>
      <c r="KPW1062" s="90"/>
      <c r="KPX1062" s="90"/>
      <c r="KPY1062" s="90"/>
      <c r="KPZ1062" s="90"/>
      <c r="KQA1062" s="90"/>
      <c r="KQB1062" s="90"/>
      <c r="KQC1062" s="90"/>
      <c r="KQD1062" s="90"/>
      <c r="KQE1062" s="90"/>
      <c r="KQF1062" s="90"/>
      <c r="KQG1062" s="90"/>
      <c r="KQH1062" s="90"/>
      <c r="KQI1062" s="90"/>
      <c r="KQJ1062" s="90"/>
      <c r="KQK1062" s="90"/>
      <c r="KQL1062" s="90"/>
      <c r="KQM1062" s="90"/>
      <c r="KQN1062" s="90"/>
      <c r="KQO1062" s="90"/>
      <c r="KQP1062" s="90"/>
      <c r="KQQ1062" s="90"/>
      <c r="KQR1062" s="90"/>
      <c r="KQS1062" s="90"/>
      <c r="KQT1062" s="90"/>
      <c r="KQU1062" s="90"/>
      <c r="KQV1062" s="90"/>
      <c r="KQW1062" s="90"/>
      <c r="KQX1062" s="90"/>
      <c r="KQY1062" s="90"/>
      <c r="KQZ1062" s="90"/>
      <c r="KRA1062" s="90"/>
      <c r="KRB1062" s="90"/>
      <c r="KRC1062" s="90"/>
      <c r="KRD1062" s="90"/>
      <c r="KRE1062" s="90"/>
      <c r="KRF1062" s="90"/>
      <c r="KRG1062" s="90"/>
      <c r="KRH1062" s="90"/>
      <c r="KRI1062" s="90"/>
      <c r="KRJ1062" s="90"/>
      <c r="KRK1062" s="90"/>
      <c r="KRL1062" s="90"/>
      <c r="KRM1062" s="90"/>
      <c r="KRN1062" s="90"/>
      <c r="KRO1062" s="90"/>
      <c r="KRP1062" s="90"/>
      <c r="KRQ1062" s="90"/>
      <c r="KRR1062" s="90"/>
      <c r="KRS1062" s="90"/>
      <c r="KRT1062" s="90"/>
      <c r="KRU1062" s="90"/>
      <c r="KRV1062" s="90"/>
      <c r="KRW1062" s="90"/>
      <c r="KRX1062" s="90"/>
      <c r="KRY1062" s="90"/>
      <c r="KRZ1062" s="90"/>
      <c r="KSA1062" s="90"/>
      <c r="KSB1062" s="90"/>
      <c r="KSC1062" s="90"/>
      <c r="KSD1062" s="90"/>
      <c r="KSE1062" s="90"/>
      <c r="KSF1062" s="90"/>
      <c r="KSG1062" s="90"/>
      <c r="KSH1062" s="90"/>
      <c r="KSI1062" s="90"/>
      <c r="KSJ1062" s="90"/>
      <c r="KSK1062" s="90"/>
      <c r="KSL1062" s="90"/>
      <c r="KSM1062" s="90"/>
      <c r="KSN1062" s="90"/>
      <c r="KSO1062" s="90"/>
      <c r="KSP1062" s="90"/>
      <c r="KSQ1062" s="90"/>
      <c r="KSR1062" s="90"/>
      <c r="KSS1062" s="90"/>
      <c r="KST1062" s="90"/>
      <c r="KSU1062" s="90"/>
      <c r="KSV1062" s="90"/>
      <c r="KSW1062" s="90"/>
      <c r="KSX1062" s="90"/>
      <c r="KSY1062" s="90"/>
      <c r="KSZ1062" s="90"/>
      <c r="KTA1062" s="90"/>
      <c r="KTB1062" s="90"/>
      <c r="KTC1062" s="90"/>
      <c r="KTD1062" s="90"/>
      <c r="KTE1062" s="90"/>
      <c r="KTF1062" s="90"/>
      <c r="KTG1062" s="90"/>
      <c r="KTH1062" s="90"/>
      <c r="KTI1062" s="90"/>
      <c r="KTJ1062" s="90"/>
      <c r="KTK1062" s="90"/>
      <c r="KTL1062" s="90"/>
      <c r="KTM1062" s="90"/>
      <c r="KTN1062" s="90"/>
      <c r="KTO1062" s="90"/>
      <c r="KTP1062" s="90"/>
      <c r="KTQ1062" s="90"/>
      <c r="KTR1062" s="90"/>
      <c r="KTS1062" s="90"/>
      <c r="KTT1062" s="90"/>
      <c r="KTU1062" s="90"/>
      <c r="KTV1062" s="90"/>
      <c r="KTW1062" s="90"/>
      <c r="KTX1062" s="90"/>
      <c r="KTY1062" s="90"/>
      <c r="KTZ1062" s="90"/>
      <c r="KUA1062" s="90"/>
      <c r="KUB1062" s="90"/>
      <c r="KUC1062" s="90"/>
      <c r="KUD1062" s="90"/>
      <c r="KUE1062" s="90"/>
      <c r="KUF1062" s="90"/>
      <c r="KUG1062" s="90"/>
      <c r="KUH1062" s="90"/>
      <c r="KUI1062" s="90"/>
      <c r="KUJ1062" s="90"/>
      <c r="KUK1062" s="90"/>
      <c r="KUL1062" s="90"/>
      <c r="KUM1062" s="90"/>
      <c r="KUN1062" s="90"/>
      <c r="KUO1062" s="90"/>
      <c r="KUP1062" s="90"/>
      <c r="KUQ1062" s="90"/>
      <c r="KUR1062" s="90"/>
      <c r="KUS1062" s="90"/>
      <c r="KUT1062" s="90"/>
      <c r="KUU1062" s="90"/>
      <c r="KUV1062" s="90"/>
      <c r="KUW1062" s="90"/>
      <c r="KUX1062" s="90"/>
      <c r="KUY1062" s="90"/>
      <c r="KUZ1062" s="90"/>
      <c r="KVA1062" s="90"/>
      <c r="KVB1062" s="90"/>
      <c r="KVC1062" s="90"/>
      <c r="KVD1062" s="90"/>
      <c r="KVE1062" s="90"/>
      <c r="KVF1062" s="90"/>
      <c r="KVG1062" s="90"/>
      <c r="KVH1062" s="90"/>
      <c r="KVI1062" s="90"/>
      <c r="KVJ1062" s="90"/>
      <c r="KVK1062" s="90"/>
      <c r="KVL1062" s="90"/>
      <c r="KVM1062" s="90"/>
      <c r="KVN1062" s="90"/>
      <c r="KVO1062" s="90"/>
      <c r="KVP1062" s="90"/>
      <c r="KVQ1062" s="90"/>
      <c r="KVR1062" s="90"/>
      <c r="KVS1062" s="90"/>
      <c r="KVT1062" s="90"/>
      <c r="KVU1062" s="90"/>
      <c r="KVV1062" s="90"/>
      <c r="KVW1062" s="90"/>
      <c r="KVX1062" s="90"/>
      <c r="KVY1062" s="90"/>
      <c r="KVZ1062" s="90"/>
      <c r="KWA1062" s="90"/>
      <c r="KWB1062" s="90"/>
      <c r="KWC1062" s="90"/>
      <c r="KWD1062" s="90"/>
      <c r="KWE1062" s="90"/>
      <c r="KWF1062" s="90"/>
      <c r="KWG1062" s="90"/>
      <c r="KWH1062" s="90"/>
      <c r="KWI1062" s="90"/>
      <c r="KWJ1062" s="90"/>
      <c r="KWK1062" s="90"/>
      <c r="KWL1062" s="90"/>
      <c r="KWM1062" s="90"/>
      <c r="KWN1062" s="90"/>
      <c r="KWO1062" s="90"/>
      <c r="KWP1062" s="90"/>
      <c r="KWQ1062" s="90"/>
      <c r="KWR1062" s="90"/>
      <c r="KWS1062" s="90"/>
      <c r="KWT1062" s="90"/>
      <c r="KWU1062" s="90"/>
      <c r="KWV1062" s="90"/>
      <c r="KWW1062" s="90"/>
      <c r="KWX1062" s="90"/>
      <c r="KWY1062" s="90"/>
      <c r="KWZ1062" s="90"/>
      <c r="KXA1062" s="90"/>
      <c r="KXB1062" s="90"/>
      <c r="KXC1062" s="90"/>
      <c r="KXD1062" s="90"/>
      <c r="KXE1062" s="90"/>
      <c r="KXF1062" s="90"/>
      <c r="KXG1062" s="90"/>
      <c r="KXH1062" s="90"/>
      <c r="KXI1062" s="90"/>
      <c r="KXJ1062" s="90"/>
      <c r="KXK1062" s="90"/>
      <c r="KXL1062" s="90"/>
      <c r="KXM1062" s="90"/>
      <c r="KXN1062" s="90"/>
      <c r="KXO1062" s="90"/>
      <c r="KXP1062" s="90"/>
      <c r="KXQ1062" s="90"/>
      <c r="KXR1062" s="90"/>
      <c r="KXS1062" s="90"/>
      <c r="KXT1062" s="90"/>
      <c r="KXU1062" s="90"/>
      <c r="KXV1062" s="90"/>
      <c r="KXW1062" s="90"/>
      <c r="KXX1062" s="90"/>
      <c r="KXY1062" s="90"/>
      <c r="KXZ1062" s="90"/>
      <c r="KYA1062" s="90"/>
      <c r="KYB1062" s="90"/>
      <c r="KYC1062" s="90"/>
      <c r="KYD1062" s="90"/>
      <c r="KYE1062" s="90"/>
      <c r="KYF1062" s="90"/>
      <c r="KYG1062" s="90"/>
      <c r="KYH1062" s="90"/>
      <c r="KYI1062" s="90"/>
      <c r="KYJ1062" s="90"/>
      <c r="KYK1062" s="90"/>
      <c r="KYL1062" s="90"/>
      <c r="KYM1062" s="90"/>
      <c r="KYN1062" s="90"/>
      <c r="KYO1062" s="90"/>
      <c r="KYP1062" s="90"/>
      <c r="KYQ1062" s="90"/>
      <c r="KYR1062" s="90"/>
      <c r="KYS1062" s="90"/>
      <c r="KYT1062" s="90"/>
      <c r="KYU1062" s="90"/>
      <c r="KYV1062" s="90"/>
      <c r="KYW1062" s="90"/>
      <c r="KYX1062" s="90"/>
      <c r="KYY1062" s="90"/>
      <c r="KYZ1062" s="90"/>
      <c r="KZA1062" s="90"/>
      <c r="KZB1062" s="90"/>
      <c r="KZC1062" s="90"/>
      <c r="KZD1062" s="90"/>
      <c r="KZE1062" s="90"/>
      <c r="KZF1062" s="90"/>
      <c r="KZG1062" s="90"/>
      <c r="KZH1062" s="90"/>
      <c r="KZI1062" s="90"/>
      <c r="KZJ1062" s="90"/>
      <c r="KZK1062" s="90"/>
      <c r="KZL1062" s="90"/>
      <c r="KZM1062" s="90"/>
      <c r="KZN1062" s="90"/>
      <c r="KZO1062" s="90"/>
      <c r="KZP1062" s="90"/>
      <c r="KZQ1062" s="90"/>
      <c r="KZR1062" s="90"/>
      <c r="KZS1062" s="90"/>
      <c r="KZT1062" s="90"/>
      <c r="KZU1062" s="90"/>
      <c r="KZV1062" s="90"/>
      <c r="KZW1062" s="90"/>
      <c r="KZX1062" s="90"/>
      <c r="KZY1062" s="90"/>
      <c r="KZZ1062" s="90"/>
      <c r="LAA1062" s="90"/>
      <c r="LAB1062" s="90"/>
      <c r="LAC1062" s="90"/>
      <c r="LAD1062" s="90"/>
      <c r="LAE1062" s="90"/>
      <c r="LAF1062" s="90"/>
      <c r="LAG1062" s="90"/>
      <c r="LAH1062" s="90"/>
      <c r="LAI1062" s="90"/>
      <c r="LAJ1062" s="90"/>
      <c r="LAK1062" s="90"/>
      <c r="LAL1062" s="90"/>
      <c r="LAM1062" s="90"/>
      <c r="LAN1062" s="90"/>
      <c r="LAO1062" s="90"/>
      <c r="LAP1062" s="90"/>
      <c r="LAQ1062" s="90"/>
      <c r="LAR1062" s="90"/>
      <c r="LAS1062" s="90"/>
      <c r="LAT1062" s="90"/>
      <c r="LAU1062" s="90"/>
      <c r="LAV1062" s="90"/>
      <c r="LAW1062" s="90"/>
      <c r="LAX1062" s="90"/>
      <c r="LAY1062" s="90"/>
      <c r="LAZ1062" s="90"/>
      <c r="LBA1062" s="90"/>
      <c r="LBB1062" s="90"/>
      <c r="LBC1062" s="90"/>
      <c r="LBD1062" s="90"/>
      <c r="LBE1062" s="90"/>
      <c r="LBF1062" s="90"/>
      <c r="LBG1062" s="90"/>
      <c r="LBH1062" s="90"/>
      <c r="LBI1062" s="90"/>
      <c r="LBJ1062" s="90"/>
      <c r="LBK1062" s="90"/>
      <c r="LBL1062" s="90"/>
      <c r="LBM1062" s="90"/>
      <c r="LBN1062" s="90"/>
      <c r="LBO1062" s="90"/>
      <c r="LBP1062" s="90"/>
      <c r="LBQ1062" s="90"/>
      <c r="LBR1062" s="90"/>
      <c r="LBS1062" s="90"/>
      <c r="LBT1062" s="90"/>
      <c r="LBU1062" s="90"/>
      <c r="LBV1062" s="90"/>
      <c r="LBW1062" s="90"/>
      <c r="LBX1062" s="90"/>
      <c r="LBY1062" s="90"/>
      <c r="LBZ1062" s="90"/>
      <c r="LCA1062" s="90"/>
      <c r="LCB1062" s="90"/>
      <c r="LCC1062" s="90"/>
      <c r="LCD1062" s="90"/>
      <c r="LCE1062" s="90"/>
      <c r="LCF1062" s="90"/>
      <c r="LCG1062" s="90"/>
      <c r="LCH1062" s="90"/>
      <c r="LCI1062" s="90"/>
      <c r="LCJ1062" s="90"/>
      <c r="LCK1062" s="90"/>
      <c r="LCL1062" s="90"/>
      <c r="LCM1062" s="90"/>
      <c r="LCN1062" s="90"/>
      <c r="LCO1062" s="90"/>
      <c r="LCP1062" s="90"/>
      <c r="LCQ1062" s="90"/>
      <c r="LCR1062" s="90"/>
      <c r="LCS1062" s="90"/>
      <c r="LCT1062" s="90"/>
      <c r="LCU1062" s="90"/>
      <c r="LCV1062" s="90"/>
      <c r="LCW1062" s="90"/>
      <c r="LCX1062" s="90"/>
      <c r="LCY1062" s="90"/>
      <c r="LCZ1062" s="90"/>
      <c r="LDA1062" s="90"/>
      <c r="LDB1062" s="90"/>
      <c r="LDC1062" s="90"/>
      <c r="LDD1062" s="90"/>
      <c r="LDE1062" s="90"/>
      <c r="LDF1062" s="90"/>
      <c r="LDG1062" s="90"/>
      <c r="LDH1062" s="90"/>
      <c r="LDI1062" s="90"/>
      <c r="LDJ1062" s="90"/>
      <c r="LDK1062" s="90"/>
      <c r="LDL1062" s="90"/>
      <c r="LDM1062" s="90"/>
      <c r="LDN1062" s="90"/>
      <c r="LDO1062" s="90"/>
      <c r="LDP1062" s="90"/>
      <c r="LDQ1062" s="90"/>
      <c r="LDR1062" s="90"/>
      <c r="LDS1062" s="90"/>
      <c r="LDT1062" s="90"/>
      <c r="LDU1062" s="90"/>
      <c r="LDV1062" s="90"/>
      <c r="LDW1062" s="90"/>
      <c r="LDX1062" s="90"/>
      <c r="LDY1062" s="90"/>
      <c r="LDZ1062" s="90"/>
      <c r="LEA1062" s="90"/>
      <c r="LEB1062" s="90"/>
      <c r="LEC1062" s="90"/>
      <c r="LED1062" s="90"/>
      <c r="LEE1062" s="90"/>
      <c r="LEF1062" s="90"/>
      <c r="LEG1062" s="90"/>
      <c r="LEH1062" s="90"/>
      <c r="LEI1062" s="90"/>
      <c r="LEJ1062" s="90"/>
      <c r="LEK1062" s="90"/>
      <c r="LEL1062" s="90"/>
      <c r="LEM1062" s="90"/>
      <c r="LEN1062" s="90"/>
      <c r="LEO1062" s="90"/>
      <c r="LEP1062" s="90"/>
      <c r="LEQ1062" s="90"/>
      <c r="LER1062" s="90"/>
      <c r="LES1062" s="90"/>
      <c r="LET1062" s="90"/>
      <c r="LEU1062" s="90"/>
      <c r="LEV1062" s="90"/>
      <c r="LEW1062" s="90"/>
      <c r="LEX1062" s="90"/>
      <c r="LEY1062" s="90"/>
      <c r="LEZ1062" s="90"/>
      <c r="LFA1062" s="90"/>
      <c r="LFB1062" s="90"/>
      <c r="LFC1062" s="90"/>
      <c r="LFD1062" s="90"/>
      <c r="LFE1062" s="90"/>
      <c r="LFF1062" s="90"/>
      <c r="LFG1062" s="90"/>
      <c r="LFH1062" s="90"/>
      <c r="LFI1062" s="90"/>
      <c r="LFJ1062" s="90"/>
      <c r="LFK1062" s="90"/>
      <c r="LFL1062" s="90"/>
      <c r="LFM1062" s="90"/>
      <c r="LFN1062" s="90"/>
      <c r="LFO1062" s="90"/>
      <c r="LFP1062" s="90"/>
      <c r="LFQ1062" s="90"/>
      <c r="LFR1062" s="90"/>
      <c r="LFS1062" s="90"/>
      <c r="LFT1062" s="90"/>
      <c r="LFU1062" s="90"/>
      <c r="LFV1062" s="90"/>
      <c r="LFW1062" s="90"/>
      <c r="LFX1062" s="90"/>
      <c r="LFY1062" s="90"/>
      <c r="LFZ1062" s="90"/>
      <c r="LGA1062" s="90"/>
      <c r="LGB1062" s="90"/>
      <c r="LGC1062" s="90"/>
      <c r="LGD1062" s="90"/>
      <c r="LGE1062" s="90"/>
      <c r="LGF1062" s="90"/>
      <c r="LGG1062" s="90"/>
      <c r="LGH1062" s="90"/>
      <c r="LGI1062" s="90"/>
      <c r="LGJ1062" s="90"/>
      <c r="LGK1062" s="90"/>
      <c r="LGL1062" s="90"/>
      <c r="LGM1062" s="90"/>
      <c r="LGN1062" s="90"/>
      <c r="LGO1062" s="90"/>
      <c r="LGP1062" s="90"/>
      <c r="LGQ1062" s="90"/>
      <c r="LGR1062" s="90"/>
      <c r="LGS1062" s="90"/>
      <c r="LGT1062" s="90"/>
      <c r="LGU1062" s="90"/>
      <c r="LGV1062" s="90"/>
      <c r="LGW1062" s="90"/>
      <c r="LGX1062" s="90"/>
      <c r="LGY1062" s="90"/>
      <c r="LGZ1062" s="90"/>
      <c r="LHA1062" s="90"/>
      <c r="LHB1062" s="90"/>
      <c r="LHC1062" s="90"/>
      <c r="LHD1062" s="90"/>
      <c r="LHE1062" s="90"/>
      <c r="LHF1062" s="90"/>
      <c r="LHG1062" s="90"/>
      <c r="LHH1062" s="90"/>
      <c r="LHI1062" s="90"/>
      <c r="LHJ1062" s="90"/>
      <c r="LHK1062" s="90"/>
      <c r="LHL1062" s="90"/>
      <c r="LHM1062" s="90"/>
      <c r="LHN1062" s="90"/>
      <c r="LHO1062" s="90"/>
      <c r="LHP1062" s="90"/>
      <c r="LHQ1062" s="90"/>
      <c r="LHR1062" s="90"/>
      <c r="LHS1062" s="90"/>
      <c r="LHT1062" s="90"/>
      <c r="LHU1062" s="90"/>
      <c r="LHV1062" s="90"/>
      <c r="LHW1062" s="90"/>
      <c r="LHX1062" s="90"/>
      <c r="LHY1062" s="90"/>
      <c r="LHZ1062" s="90"/>
      <c r="LIA1062" s="90"/>
      <c r="LIB1062" s="90"/>
      <c r="LIC1062" s="90"/>
      <c r="LID1062" s="90"/>
      <c r="LIE1062" s="90"/>
      <c r="LIF1062" s="90"/>
      <c r="LIG1062" s="90"/>
      <c r="LIH1062" s="90"/>
      <c r="LII1062" s="90"/>
      <c r="LIJ1062" s="90"/>
      <c r="LIK1062" s="90"/>
      <c r="LIL1062" s="90"/>
      <c r="LIM1062" s="90"/>
      <c r="LIN1062" s="90"/>
      <c r="LIO1062" s="90"/>
      <c r="LIP1062" s="90"/>
      <c r="LIQ1062" s="90"/>
      <c r="LIR1062" s="90"/>
      <c r="LIS1062" s="90"/>
      <c r="LIT1062" s="90"/>
      <c r="LIU1062" s="90"/>
      <c r="LIV1062" s="90"/>
      <c r="LIW1062" s="90"/>
      <c r="LIX1062" s="90"/>
      <c r="LIY1062" s="90"/>
      <c r="LIZ1062" s="90"/>
      <c r="LJA1062" s="90"/>
      <c r="LJB1062" s="90"/>
      <c r="LJC1062" s="90"/>
      <c r="LJD1062" s="90"/>
      <c r="LJE1062" s="90"/>
      <c r="LJF1062" s="90"/>
      <c r="LJG1062" s="90"/>
      <c r="LJH1062" s="90"/>
      <c r="LJI1062" s="90"/>
      <c r="LJJ1062" s="90"/>
      <c r="LJK1062" s="90"/>
      <c r="LJL1062" s="90"/>
      <c r="LJM1062" s="90"/>
      <c r="LJN1062" s="90"/>
      <c r="LJO1062" s="90"/>
      <c r="LJP1062" s="90"/>
      <c r="LJQ1062" s="90"/>
      <c r="LJR1062" s="90"/>
      <c r="LJS1062" s="90"/>
      <c r="LJT1062" s="90"/>
      <c r="LJU1062" s="90"/>
      <c r="LJV1062" s="90"/>
      <c r="LJW1062" s="90"/>
      <c r="LJX1062" s="90"/>
      <c r="LJY1062" s="90"/>
      <c r="LJZ1062" s="90"/>
      <c r="LKA1062" s="90"/>
      <c r="LKB1062" s="90"/>
      <c r="LKC1062" s="90"/>
      <c r="LKD1062" s="90"/>
      <c r="LKE1062" s="90"/>
      <c r="LKF1062" s="90"/>
      <c r="LKG1062" s="90"/>
      <c r="LKH1062" s="90"/>
      <c r="LKI1062" s="90"/>
      <c r="LKJ1062" s="90"/>
      <c r="LKK1062" s="90"/>
      <c r="LKL1062" s="90"/>
      <c r="LKM1062" s="90"/>
      <c r="LKN1062" s="90"/>
      <c r="LKO1062" s="90"/>
      <c r="LKP1062" s="90"/>
      <c r="LKQ1062" s="90"/>
      <c r="LKR1062" s="90"/>
      <c r="LKS1062" s="90"/>
      <c r="LKT1062" s="90"/>
      <c r="LKU1062" s="90"/>
      <c r="LKV1062" s="90"/>
      <c r="LKW1062" s="90"/>
      <c r="LKX1062" s="90"/>
      <c r="LKY1062" s="90"/>
      <c r="LKZ1062" s="90"/>
      <c r="LLA1062" s="90"/>
      <c r="LLB1062" s="90"/>
      <c r="LLC1062" s="90"/>
      <c r="LLD1062" s="90"/>
      <c r="LLE1062" s="90"/>
      <c r="LLF1062" s="90"/>
      <c r="LLG1062" s="90"/>
      <c r="LLH1062" s="90"/>
      <c r="LLI1062" s="90"/>
      <c r="LLJ1062" s="90"/>
      <c r="LLK1062" s="90"/>
      <c r="LLL1062" s="90"/>
      <c r="LLM1062" s="90"/>
      <c r="LLN1062" s="90"/>
      <c r="LLO1062" s="90"/>
      <c r="LLP1062" s="90"/>
      <c r="LLQ1062" s="90"/>
      <c r="LLR1062" s="90"/>
      <c r="LLS1062" s="90"/>
      <c r="LLT1062" s="90"/>
      <c r="LLU1062" s="90"/>
      <c r="LLV1062" s="90"/>
      <c r="LLW1062" s="90"/>
      <c r="LLX1062" s="90"/>
      <c r="LLY1062" s="90"/>
      <c r="LLZ1062" s="90"/>
      <c r="LMA1062" s="90"/>
      <c r="LMB1062" s="90"/>
      <c r="LMC1062" s="90"/>
      <c r="LMD1062" s="90"/>
      <c r="LME1062" s="90"/>
      <c r="LMF1062" s="90"/>
      <c r="LMG1062" s="90"/>
      <c r="LMH1062" s="90"/>
      <c r="LMI1062" s="90"/>
      <c r="LMJ1062" s="90"/>
      <c r="LMK1062" s="90"/>
      <c r="LML1062" s="90"/>
      <c r="LMM1062" s="90"/>
      <c r="LMN1062" s="90"/>
      <c r="LMO1062" s="90"/>
      <c r="LMP1062" s="90"/>
      <c r="LMQ1062" s="90"/>
      <c r="LMR1062" s="90"/>
      <c r="LMS1062" s="90"/>
      <c r="LMT1062" s="90"/>
      <c r="LMU1062" s="90"/>
      <c r="LMV1062" s="90"/>
      <c r="LMW1062" s="90"/>
      <c r="LMX1062" s="90"/>
      <c r="LMY1062" s="90"/>
      <c r="LMZ1062" s="90"/>
      <c r="LNA1062" s="90"/>
      <c r="LNB1062" s="90"/>
      <c r="LNC1062" s="90"/>
      <c r="LND1062" s="90"/>
      <c r="LNE1062" s="90"/>
      <c r="LNF1062" s="90"/>
      <c r="LNG1062" s="90"/>
      <c r="LNH1062" s="90"/>
      <c r="LNI1062" s="90"/>
      <c r="LNJ1062" s="90"/>
      <c r="LNK1062" s="90"/>
      <c r="LNL1062" s="90"/>
      <c r="LNM1062" s="90"/>
      <c r="LNN1062" s="90"/>
      <c r="LNO1062" s="90"/>
      <c r="LNP1062" s="90"/>
      <c r="LNQ1062" s="90"/>
      <c r="LNR1062" s="90"/>
      <c r="LNS1062" s="90"/>
      <c r="LNT1062" s="90"/>
      <c r="LNU1062" s="90"/>
      <c r="LNV1062" s="90"/>
      <c r="LNW1062" s="90"/>
      <c r="LNX1062" s="90"/>
      <c r="LNY1062" s="90"/>
      <c r="LNZ1062" s="90"/>
      <c r="LOA1062" s="90"/>
      <c r="LOB1062" s="90"/>
      <c r="LOC1062" s="90"/>
      <c r="LOD1062" s="90"/>
      <c r="LOE1062" s="90"/>
      <c r="LOF1062" s="90"/>
      <c r="LOG1062" s="90"/>
      <c r="LOH1062" s="90"/>
      <c r="LOI1062" s="90"/>
      <c r="LOJ1062" s="90"/>
      <c r="LOK1062" s="90"/>
      <c r="LOL1062" s="90"/>
      <c r="LOM1062" s="90"/>
      <c r="LON1062" s="90"/>
      <c r="LOO1062" s="90"/>
      <c r="LOP1062" s="90"/>
      <c r="LOQ1062" s="90"/>
      <c r="LOR1062" s="90"/>
      <c r="LOS1062" s="90"/>
      <c r="LOT1062" s="90"/>
      <c r="LOU1062" s="90"/>
      <c r="LOV1062" s="90"/>
      <c r="LOW1062" s="90"/>
      <c r="LOX1062" s="90"/>
      <c r="LOY1062" s="90"/>
      <c r="LOZ1062" s="90"/>
      <c r="LPA1062" s="90"/>
      <c r="LPB1062" s="90"/>
      <c r="LPC1062" s="90"/>
      <c r="LPD1062" s="90"/>
      <c r="LPE1062" s="90"/>
      <c r="LPF1062" s="90"/>
      <c r="LPG1062" s="90"/>
      <c r="LPH1062" s="90"/>
      <c r="LPI1062" s="90"/>
      <c r="LPJ1062" s="90"/>
      <c r="LPK1062" s="90"/>
      <c r="LPL1062" s="90"/>
      <c r="LPM1062" s="90"/>
      <c r="LPN1062" s="90"/>
      <c r="LPO1062" s="90"/>
      <c r="LPP1062" s="90"/>
      <c r="LPQ1062" s="90"/>
      <c r="LPR1062" s="90"/>
      <c r="LPS1062" s="90"/>
      <c r="LPT1062" s="90"/>
      <c r="LPU1062" s="90"/>
      <c r="LPV1062" s="90"/>
      <c r="LPW1062" s="90"/>
      <c r="LPX1062" s="90"/>
      <c r="LPY1062" s="90"/>
      <c r="LPZ1062" s="90"/>
      <c r="LQA1062" s="90"/>
      <c r="LQB1062" s="90"/>
      <c r="LQC1062" s="90"/>
      <c r="LQD1062" s="90"/>
      <c r="LQE1062" s="90"/>
      <c r="LQF1062" s="90"/>
      <c r="LQG1062" s="90"/>
      <c r="LQH1062" s="90"/>
      <c r="LQI1062" s="90"/>
      <c r="LQJ1062" s="90"/>
      <c r="LQK1062" s="90"/>
      <c r="LQL1062" s="90"/>
      <c r="LQM1062" s="90"/>
      <c r="LQN1062" s="90"/>
      <c r="LQO1062" s="90"/>
      <c r="LQP1062" s="90"/>
      <c r="LQQ1062" s="90"/>
      <c r="LQR1062" s="90"/>
      <c r="LQS1062" s="90"/>
      <c r="LQT1062" s="90"/>
      <c r="LQU1062" s="90"/>
      <c r="LQV1062" s="90"/>
      <c r="LQW1062" s="90"/>
      <c r="LQX1062" s="90"/>
      <c r="LQY1062" s="90"/>
      <c r="LQZ1062" s="90"/>
      <c r="LRA1062" s="90"/>
      <c r="LRB1062" s="90"/>
      <c r="LRC1062" s="90"/>
      <c r="LRD1062" s="90"/>
      <c r="LRE1062" s="90"/>
      <c r="LRF1062" s="90"/>
      <c r="LRG1062" s="90"/>
      <c r="LRH1062" s="90"/>
      <c r="LRI1062" s="90"/>
      <c r="LRJ1062" s="90"/>
      <c r="LRK1062" s="90"/>
      <c r="LRL1062" s="90"/>
      <c r="LRM1062" s="90"/>
      <c r="LRN1062" s="90"/>
      <c r="LRO1062" s="90"/>
      <c r="LRP1062" s="90"/>
      <c r="LRQ1062" s="90"/>
      <c r="LRR1062" s="90"/>
      <c r="LRS1062" s="90"/>
      <c r="LRT1062" s="90"/>
      <c r="LRU1062" s="90"/>
      <c r="LRV1062" s="90"/>
      <c r="LRW1062" s="90"/>
      <c r="LRX1062" s="90"/>
      <c r="LRY1062" s="90"/>
      <c r="LRZ1062" s="90"/>
      <c r="LSA1062" s="90"/>
      <c r="LSB1062" s="90"/>
      <c r="LSC1062" s="90"/>
      <c r="LSD1062" s="90"/>
      <c r="LSE1062" s="90"/>
      <c r="LSF1062" s="90"/>
      <c r="LSG1062" s="90"/>
      <c r="LSH1062" s="90"/>
      <c r="LSI1062" s="90"/>
      <c r="LSJ1062" s="90"/>
      <c r="LSK1062" s="90"/>
      <c r="LSL1062" s="90"/>
      <c r="LSM1062" s="90"/>
      <c r="LSN1062" s="90"/>
      <c r="LSO1062" s="90"/>
      <c r="LSP1062" s="90"/>
      <c r="LSQ1062" s="90"/>
      <c r="LSR1062" s="90"/>
      <c r="LSS1062" s="90"/>
      <c r="LST1062" s="90"/>
      <c r="LSU1062" s="90"/>
      <c r="LSV1062" s="90"/>
      <c r="LSW1062" s="90"/>
      <c r="LSX1062" s="90"/>
      <c r="LSY1062" s="90"/>
      <c r="LSZ1062" s="90"/>
      <c r="LTA1062" s="90"/>
      <c r="LTB1062" s="90"/>
      <c r="LTC1062" s="90"/>
      <c r="LTD1062" s="90"/>
      <c r="LTE1062" s="90"/>
      <c r="LTF1062" s="90"/>
      <c r="LTG1062" s="90"/>
      <c r="LTH1062" s="90"/>
      <c r="LTI1062" s="90"/>
      <c r="LTJ1062" s="90"/>
      <c r="LTK1062" s="90"/>
      <c r="LTL1062" s="90"/>
      <c r="LTM1062" s="90"/>
      <c r="LTN1062" s="90"/>
      <c r="LTO1062" s="90"/>
      <c r="LTP1062" s="90"/>
      <c r="LTQ1062" s="90"/>
      <c r="LTR1062" s="90"/>
      <c r="LTS1062" s="90"/>
      <c r="LTT1062" s="90"/>
      <c r="LTU1062" s="90"/>
      <c r="LTV1062" s="90"/>
      <c r="LTW1062" s="90"/>
      <c r="LTX1062" s="90"/>
      <c r="LTY1062" s="90"/>
      <c r="LTZ1062" s="90"/>
      <c r="LUA1062" s="90"/>
      <c r="LUB1062" s="90"/>
      <c r="LUC1062" s="90"/>
      <c r="LUD1062" s="90"/>
      <c r="LUE1062" s="90"/>
      <c r="LUF1062" s="90"/>
      <c r="LUG1062" s="90"/>
      <c r="LUH1062" s="90"/>
      <c r="LUI1062" s="90"/>
      <c r="LUJ1062" s="90"/>
      <c r="LUK1062" s="90"/>
      <c r="LUL1062" s="90"/>
      <c r="LUM1062" s="90"/>
      <c r="LUN1062" s="90"/>
      <c r="LUO1062" s="90"/>
      <c r="LUP1062" s="90"/>
      <c r="LUQ1062" s="90"/>
      <c r="LUR1062" s="90"/>
      <c r="LUS1062" s="90"/>
      <c r="LUT1062" s="90"/>
      <c r="LUU1062" s="90"/>
      <c r="LUV1062" s="90"/>
      <c r="LUW1062" s="90"/>
      <c r="LUX1062" s="90"/>
      <c r="LUY1062" s="90"/>
      <c r="LUZ1062" s="90"/>
      <c r="LVA1062" s="90"/>
      <c r="LVB1062" s="90"/>
      <c r="LVC1062" s="90"/>
      <c r="LVD1062" s="90"/>
      <c r="LVE1062" s="90"/>
      <c r="LVF1062" s="90"/>
      <c r="LVG1062" s="90"/>
      <c r="LVH1062" s="90"/>
      <c r="LVI1062" s="90"/>
      <c r="LVJ1062" s="90"/>
      <c r="LVK1062" s="90"/>
      <c r="LVL1062" s="90"/>
      <c r="LVM1062" s="90"/>
      <c r="LVN1062" s="90"/>
      <c r="LVO1062" s="90"/>
      <c r="LVP1062" s="90"/>
      <c r="LVQ1062" s="90"/>
      <c r="LVR1062" s="90"/>
      <c r="LVS1062" s="90"/>
      <c r="LVT1062" s="90"/>
      <c r="LVU1062" s="90"/>
      <c r="LVV1062" s="90"/>
      <c r="LVW1062" s="90"/>
      <c r="LVX1062" s="90"/>
      <c r="LVY1062" s="90"/>
      <c r="LVZ1062" s="90"/>
      <c r="LWA1062" s="90"/>
      <c r="LWB1062" s="90"/>
      <c r="LWC1062" s="90"/>
      <c r="LWD1062" s="90"/>
      <c r="LWE1062" s="90"/>
      <c r="LWF1062" s="90"/>
      <c r="LWG1062" s="90"/>
      <c r="LWH1062" s="90"/>
      <c r="LWI1062" s="90"/>
      <c r="LWJ1062" s="90"/>
      <c r="LWK1062" s="90"/>
      <c r="LWL1062" s="90"/>
      <c r="LWM1062" s="90"/>
      <c r="LWN1062" s="90"/>
      <c r="LWO1062" s="90"/>
      <c r="LWP1062" s="90"/>
      <c r="LWQ1062" s="90"/>
      <c r="LWR1062" s="90"/>
      <c r="LWS1062" s="90"/>
      <c r="LWT1062" s="90"/>
      <c r="LWU1062" s="90"/>
      <c r="LWV1062" s="90"/>
      <c r="LWW1062" s="90"/>
      <c r="LWX1062" s="90"/>
      <c r="LWY1062" s="90"/>
      <c r="LWZ1062" s="90"/>
      <c r="LXA1062" s="90"/>
      <c r="LXB1062" s="90"/>
      <c r="LXC1062" s="90"/>
      <c r="LXD1062" s="90"/>
      <c r="LXE1062" s="90"/>
      <c r="LXF1062" s="90"/>
      <c r="LXG1062" s="90"/>
      <c r="LXH1062" s="90"/>
      <c r="LXI1062" s="90"/>
      <c r="LXJ1062" s="90"/>
      <c r="LXK1062" s="90"/>
      <c r="LXL1062" s="90"/>
      <c r="LXM1062" s="90"/>
      <c r="LXN1062" s="90"/>
      <c r="LXO1062" s="90"/>
      <c r="LXP1062" s="90"/>
      <c r="LXQ1062" s="90"/>
      <c r="LXR1062" s="90"/>
      <c r="LXS1062" s="90"/>
      <c r="LXT1062" s="90"/>
      <c r="LXU1062" s="90"/>
      <c r="LXV1062" s="90"/>
      <c r="LXW1062" s="90"/>
      <c r="LXX1062" s="90"/>
      <c r="LXY1062" s="90"/>
      <c r="LXZ1062" s="90"/>
      <c r="LYA1062" s="90"/>
      <c r="LYB1062" s="90"/>
      <c r="LYC1062" s="90"/>
      <c r="LYD1062" s="90"/>
      <c r="LYE1062" s="90"/>
      <c r="LYF1062" s="90"/>
      <c r="LYG1062" s="90"/>
      <c r="LYH1062" s="90"/>
      <c r="LYI1062" s="90"/>
      <c r="LYJ1062" s="90"/>
      <c r="LYK1062" s="90"/>
      <c r="LYL1062" s="90"/>
      <c r="LYM1062" s="90"/>
      <c r="LYN1062" s="90"/>
      <c r="LYO1062" s="90"/>
      <c r="LYP1062" s="90"/>
      <c r="LYQ1062" s="90"/>
      <c r="LYR1062" s="90"/>
      <c r="LYS1062" s="90"/>
      <c r="LYT1062" s="90"/>
      <c r="LYU1062" s="90"/>
      <c r="LYV1062" s="90"/>
      <c r="LYW1062" s="90"/>
      <c r="LYX1062" s="90"/>
      <c r="LYY1062" s="90"/>
      <c r="LYZ1062" s="90"/>
      <c r="LZA1062" s="90"/>
      <c r="LZB1062" s="90"/>
      <c r="LZC1062" s="90"/>
      <c r="LZD1062" s="90"/>
      <c r="LZE1062" s="90"/>
      <c r="LZF1062" s="90"/>
      <c r="LZG1062" s="90"/>
      <c r="LZH1062" s="90"/>
      <c r="LZI1062" s="90"/>
      <c r="LZJ1062" s="90"/>
      <c r="LZK1062" s="90"/>
      <c r="LZL1062" s="90"/>
      <c r="LZM1062" s="90"/>
      <c r="LZN1062" s="90"/>
      <c r="LZO1062" s="90"/>
      <c r="LZP1062" s="90"/>
      <c r="LZQ1062" s="90"/>
      <c r="LZR1062" s="90"/>
      <c r="LZS1062" s="90"/>
      <c r="LZT1062" s="90"/>
      <c r="LZU1062" s="90"/>
      <c r="LZV1062" s="90"/>
      <c r="LZW1062" s="90"/>
      <c r="LZX1062" s="90"/>
      <c r="LZY1062" s="90"/>
      <c r="LZZ1062" s="90"/>
      <c r="MAA1062" s="90"/>
      <c r="MAB1062" s="90"/>
      <c r="MAC1062" s="90"/>
      <c r="MAD1062" s="90"/>
      <c r="MAE1062" s="90"/>
      <c r="MAF1062" s="90"/>
      <c r="MAG1062" s="90"/>
      <c r="MAH1062" s="90"/>
      <c r="MAI1062" s="90"/>
      <c r="MAJ1062" s="90"/>
      <c r="MAK1062" s="90"/>
      <c r="MAL1062" s="90"/>
      <c r="MAM1062" s="90"/>
      <c r="MAN1062" s="90"/>
      <c r="MAO1062" s="90"/>
      <c r="MAP1062" s="90"/>
      <c r="MAQ1062" s="90"/>
      <c r="MAR1062" s="90"/>
      <c r="MAS1062" s="90"/>
      <c r="MAT1062" s="90"/>
      <c r="MAU1062" s="90"/>
      <c r="MAV1062" s="90"/>
      <c r="MAW1062" s="90"/>
      <c r="MAX1062" s="90"/>
      <c r="MAY1062" s="90"/>
      <c r="MAZ1062" s="90"/>
      <c r="MBA1062" s="90"/>
      <c r="MBB1062" s="90"/>
      <c r="MBC1062" s="90"/>
      <c r="MBD1062" s="90"/>
      <c r="MBE1062" s="90"/>
      <c r="MBF1062" s="90"/>
      <c r="MBG1062" s="90"/>
      <c r="MBH1062" s="90"/>
      <c r="MBI1062" s="90"/>
      <c r="MBJ1062" s="90"/>
      <c r="MBK1062" s="90"/>
      <c r="MBL1062" s="90"/>
      <c r="MBM1062" s="90"/>
      <c r="MBN1062" s="90"/>
      <c r="MBO1062" s="90"/>
      <c r="MBP1062" s="90"/>
      <c r="MBQ1062" s="90"/>
      <c r="MBR1062" s="90"/>
      <c r="MBS1062" s="90"/>
      <c r="MBT1062" s="90"/>
      <c r="MBU1062" s="90"/>
      <c r="MBV1062" s="90"/>
      <c r="MBW1062" s="90"/>
      <c r="MBX1062" s="90"/>
      <c r="MBY1062" s="90"/>
      <c r="MBZ1062" s="90"/>
      <c r="MCA1062" s="90"/>
      <c r="MCB1062" s="90"/>
      <c r="MCC1062" s="90"/>
      <c r="MCD1062" s="90"/>
      <c r="MCE1062" s="90"/>
      <c r="MCF1062" s="90"/>
      <c r="MCG1062" s="90"/>
      <c r="MCH1062" s="90"/>
      <c r="MCI1062" s="90"/>
      <c r="MCJ1062" s="90"/>
      <c r="MCK1062" s="90"/>
      <c r="MCL1062" s="90"/>
      <c r="MCM1062" s="90"/>
      <c r="MCN1062" s="90"/>
      <c r="MCO1062" s="90"/>
      <c r="MCP1062" s="90"/>
      <c r="MCQ1062" s="90"/>
      <c r="MCR1062" s="90"/>
      <c r="MCS1062" s="90"/>
      <c r="MCT1062" s="90"/>
      <c r="MCU1062" s="90"/>
      <c r="MCV1062" s="90"/>
      <c r="MCW1062" s="90"/>
      <c r="MCX1062" s="90"/>
      <c r="MCY1062" s="90"/>
      <c r="MCZ1062" s="90"/>
      <c r="MDA1062" s="90"/>
      <c r="MDB1062" s="90"/>
      <c r="MDC1062" s="90"/>
      <c r="MDD1062" s="90"/>
      <c r="MDE1062" s="90"/>
      <c r="MDF1062" s="90"/>
      <c r="MDG1062" s="90"/>
      <c r="MDH1062" s="90"/>
      <c r="MDI1062" s="90"/>
      <c r="MDJ1062" s="90"/>
      <c r="MDK1062" s="90"/>
      <c r="MDL1062" s="90"/>
      <c r="MDM1062" s="90"/>
      <c r="MDN1062" s="90"/>
      <c r="MDO1062" s="90"/>
      <c r="MDP1062" s="90"/>
      <c r="MDQ1062" s="90"/>
      <c r="MDR1062" s="90"/>
      <c r="MDS1062" s="90"/>
      <c r="MDT1062" s="90"/>
      <c r="MDU1062" s="90"/>
      <c r="MDV1062" s="90"/>
      <c r="MDW1062" s="90"/>
      <c r="MDX1062" s="90"/>
      <c r="MDY1062" s="90"/>
      <c r="MDZ1062" s="90"/>
      <c r="MEA1062" s="90"/>
      <c r="MEB1062" s="90"/>
      <c r="MEC1062" s="90"/>
      <c r="MED1062" s="90"/>
      <c r="MEE1062" s="90"/>
      <c r="MEF1062" s="90"/>
      <c r="MEG1062" s="90"/>
      <c r="MEH1062" s="90"/>
      <c r="MEI1062" s="90"/>
      <c r="MEJ1062" s="90"/>
      <c r="MEK1062" s="90"/>
      <c r="MEL1062" s="90"/>
      <c r="MEM1062" s="90"/>
      <c r="MEN1062" s="90"/>
      <c r="MEO1062" s="90"/>
      <c r="MEP1062" s="90"/>
      <c r="MEQ1062" s="90"/>
      <c r="MER1062" s="90"/>
      <c r="MES1062" s="90"/>
      <c r="MET1062" s="90"/>
      <c r="MEU1062" s="90"/>
      <c r="MEV1062" s="90"/>
      <c r="MEW1062" s="90"/>
      <c r="MEX1062" s="90"/>
      <c r="MEY1062" s="90"/>
      <c r="MEZ1062" s="90"/>
      <c r="MFA1062" s="90"/>
      <c r="MFB1062" s="90"/>
      <c r="MFC1062" s="90"/>
      <c r="MFD1062" s="90"/>
      <c r="MFE1062" s="90"/>
      <c r="MFF1062" s="90"/>
      <c r="MFG1062" s="90"/>
      <c r="MFH1062" s="90"/>
      <c r="MFI1062" s="90"/>
      <c r="MFJ1062" s="90"/>
      <c r="MFK1062" s="90"/>
      <c r="MFL1062" s="90"/>
      <c r="MFM1062" s="90"/>
      <c r="MFN1062" s="90"/>
      <c r="MFO1062" s="90"/>
      <c r="MFP1062" s="90"/>
      <c r="MFQ1062" s="90"/>
      <c r="MFR1062" s="90"/>
      <c r="MFS1062" s="90"/>
      <c r="MFT1062" s="90"/>
      <c r="MFU1062" s="90"/>
      <c r="MFV1062" s="90"/>
      <c r="MFW1062" s="90"/>
      <c r="MFX1062" s="90"/>
      <c r="MFY1062" s="90"/>
      <c r="MFZ1062" s="90"/>
      <c r="MGA1062" s="90"/>
      <c r="MGB1062" s="90"/>
      <c r="MGC1062" s="90"/>
      <c r="MGD1062" s="90"/>
      <c r="MGE1062" s="90"/>
      <c r="MGF1062" s="90"/>
      <c r="MGG1062" s="90"/>
      <c r="MGH1062" s="90"/>
      <c r="MGI1062" s="90"/>
      <c r="MGJ1062" s="90"/>
      <c r="MGK1062" s="90"/>
      <c r="MGL1062" s="90"/>
      <c r="MGM1062" s="90"/>
      <c r="MGN1062" s="90"/>
      <c r="MGO1062" s="90"/>
      <c r="MGP1062" s="90"/>
      <c r="MGQ1062" s="90"/>
      <c r="MGR1062" s="90"/>
      <c r="MGS1062" s="90"/>
      <c r="MGT1062" s="90"/>
      <c r="MGU1062" s="90"/>
      <c r="MGV1062" s="90"/>
      <c r="MGW1062" s="90"/>
      <c r="MGX1062" s="90"/>
      <c r="MGY1062" s="90"/>
      <c r="MGZ1062" s="90"/>
      <c r="MHA1062" s="90"/>
      <c r="MHB1062" s="90"/>
      <c r="MHC1062" s="90"/>
      <c r="MHD1062" s="90"/>
      <c r="MHE1062" s="90"/>
      <c r="MHF1062" s="90"/>
      <c r="MHG1062" s="90"/>
      <c r="MHH1062" s="90"/>
      <c r="MHI1062" s="90"/>
      <c r="MHJ1062" s="90"/>
      <c r="MHK1062" s="90"/>
      <c r="MHL1062" s="90"/>
      <c r="MHM1062" s="90"/>
      <c r="MHN1062" s="90"/>
      <c r="MHO1062" s="90"/>
      <c r="MHP1062" s="90"/>
      <c r="MHQ1062" s="90"/>
      <c r="MHR1062" s="90"/>
      <c r="MHS1062" s="90"/>
      <c r="MHT1062" s="90"/>
      <c r="MHU1062" s="90"/>
      <c r="MHV1062" s="90"/>
      <c r="MHW1062" s="90"/>
      <c r="MHX1062" s="90"/>
      <c r="MHY1062" s="90"/>
      <c r="MHZ1062" s="90"/>
      <c r="MIA1062" s="90"/>
      <c r="MIB1062" s="90"/>
      <c r="MIC1062" s="90"/>
      <c r="MID1062" s="90"/>
      <c r="MIE1062" s="90"/>
      <c r="MIF1062" s="90"/>
      <c r="MIG1062" s="90"/>
      <c r="MIH1062" s="90"/>
      <c r="MII1062" s="90"/>
      <c r="MIJ1062" s="90"/>
      <c r="MIK1062" s="90"/>
      <c r="MIL1062" s="90"/>
      <c r="MIM1062" s="90"/>
      <c r="MIN1062" s="90"/>
      <c r="MIO1062" s="90"/>
      <c r="MIP1062" s="90"/>
      <c r="MIQ1062" s="90"/>
      <c r="MIR1062" s="90"/>
      <c r="MIS1062" s="90"/>
      <c r="MIT1062" s="90"/>
      <c r="MIU1062" s="90"/>
      <c r="MIV1062" s="90"/>
      <c r="MIW1062" s="90"/>
      <c r="MIX1062" s="90"/>
      <c r="MIY1062" s="90"/>
      <c r="MIZ1062" s="90"/>
      <c r="MJA1062" s="90"/>
      <c r="MJB1062" s="90"/>
      <c r="MJC1062" s="90"/>
      <c r="MJD1062" s="90"/>
      <c r="MJE1062" s="90"/>
      <c r="MJF1062" s="90"/>
      <c r="MJG1062" s="90"/>
      <c r="MJH1062" s="90"/>
      <c r="MJI1062" s="90"/>
      <c r="MJJ1062" s="90"/>
      <c r="MJK1062" s="90"/>
      <c r="MJL1062" s="90"/>
      <c r="MJM1062" s="90"/>
      <c r="MJN1062" s="90"/>
      <c r="MJO1062" s="90"/>
      <c r="MJP1062" s="90"/>
      <c r="MJQ1062" s="90"/>
      <c r="MJR1062" s="90"/>
      <c r="MJS1062" s="90"/>
      <c r="MJT1062" s="90"/>
      <c r="MJU1062" s="90"/>
      <c r="MJV1062" s="90"/>
      <c r="MJW1062" s="90"/>
      <c r="MJX1062" s="90"/>
      <c r="MJY1062" s="90"/>
      <c r="MJZ1062" s="90"/>
      <c r="MKA1062" s="90"/>
      <c r="MKB1062" s="90"/>
      <c r="MKC1062" s="90"/>
      <c r="MKD1062" s="90"/>
      <c r="MKE1062" s="90"/>
      <c r="MKF1062" s="90"/>
      <c r="MKG1062" s="90"/>
      <c r="MKH1062" s="90"/>
      <c r="MKI1062" s="90"/>
      <c r="MKJ1062" s="90"/>
      <c r="MKK1062" s="90"/>
      <c r="MKL1062" s="90"/>
      <c r="MKM1062" s="90"/>
      <c r="MKN1062" s="90"/>
      <c r="MKO1062" s="90"/>
      <c r="MKP1062" s="90"/>
      <c r="MKQ1062" s="90"/>
      <c r="MKR1062" s="90"/>
      <c r="MKS1062" s="90"/>
      <c r="MKT1062" s="90"/>
      <c r="MKU1062" s="90"/>
      <c r="MKV1062" s="90"/>
      <c r="MKW1062" s="90"/>
      <c r="MKX1062" s="90"/>
      <c r="MKY1062" s="90"/>
      <c r="MKZ1062" s="90"/>
      <c r="MLA1062" s="90"/>
      <c r="MLB1062" s="90"/>
      <c r="MLC1062" s="90"/>
      <c r="MLD1062" s="90"/>
      <c r="MLE1062" s="90"/>
      <c r="MLF1062" s="90"/>
      <c r="MLG1062" s="90"/>
      <c r="MLH1062" s="90"/>
      <c r="MLI1062" s="90"/>
      <c r="MLJ1062" s="90"/>
      <c r="MLK1062" s="90"/>
      <c r="MLL1062" s="90"/>
      <c r="MLM1062" s="90"/>
      <c r="MLN1062" s="90"/>
      <c r="MLO1062" s="90"/>
      <c r="MLP1062" s="90"/>
      <c r="MLQ1062" s="90"/>
      <c r="MLR1062" s="90"/>
      <c r="MLS1062" s="90"/>
      <c r="MLT1062" s="90"/>
      <c r="MLU1062" s="90"/>
      <c r="MLV1062" s="90"/>
      <c r="MLW1062" s="90"/>
      <c r="MLX1062" s="90"/>
      <c r="MLY1062" s="90"/>
      <c r="MLZ1062" s="90"/>
      <c r="MMA1062" s="90"/>
      <c r="MMB1062" s="90"/>
      <c r="MMC1062" s="90"/>
      <c r="MMD1062" s="90"/>
      <c r="MME1062" s="90"/>
      <c r="MMF1062" s="90"/>
      <c r="MMG1062" s="90"/>
      <c r="MMH1062" s="90"/>
      <c r="MMI1062" s="90"/>
      <c r="MMJ1062" s="90"/>
      <c r="MMK1062" s="90"/>
      <c r="MML1062" s="90"/>
      <c r="MMM1062" s="90"/>
      <c r="MMN1062" s="90"/>
      <c r="MMO1062" s="90"/>
      <c r="MMP1062" s="90"/>
      <c r="MMQ1062" s="90"/>
      <c r="MMR1062" s="90"/>
      <c r="MMS1062" s="90"/>
      <c r="MMT1062" s="90"/>
      <c r="MMU1062" s="90"/>
      <c r="MMV1062" s="90"/>
      <c r="MMW1062" s="90"/>
      <c r="MMX1062" s="90"/>
      <c r="MMY1062" s="90"/>
      <c r="MMZ1062" s="90"/>
      <c r="MNA1062" s="90"/>
      <c r="MNB1062" s="90"/>
      <c r="MNC1062" s="90"/>
      <c r="MND1062" s="90"/>
      <c r="MNE1062" s="90"/>
      <c r="MNF1062" s="90"/>
      <c r="MNG1062" s="90"/>
      <c r="MNH1062" s="90"/>
      <c r="MNI1062" s="90"/>
      <c r="MNJ1062" s="90"/>
      <c r="MNK1062" s="90"/>
      <c r="MNL1062" s="90"/>
      <c r="MNM1062" s="90"/>
      <c r="MNN1062" s="90"/>
      <c r="MNO1062" s="90"/>
      <c r="MNP1062" s="90"/>
      <c r="MNQ1062" s="90"/>
      <c r="MNR1062" s="90"/>
      <c r="MNS1062" s="90"/>
      <c r="MNT1062" s="90"/>
      <c r="MNU1062" s="90"/>
      <c r="MNV1062" s="90"/>
      <c r="MNW1062" s="90"/>
      <c r="MNX1062" s="90"/>
      <c r="MNY1062" s="90"/>
      <c r="MNZ1062" s="90"/>
      <c r="MOA1062" s="90"/>
      <c r="MOB1062" s="90"/>
      <c r="MOC1062" s="90"/>
      <c r="MOD1062" s="90"/>
      <c r="MOE1062" s="90"/>
      <c r="MOF1062" s="90"/>
      <c r="MOG1062" s="90"/>
      <c r="MOH1062" s="90"/>
      <c r="MOI1062" s="90"/>
      <c r="MOJ1062" s="90"/>
      <c r="MOK1062" s="90"/>
      <c r="MOL1062" s="90"/>
      <c r="MOM1062" s="90"/>
      <c r="MON1062" s="90"/>
      <c r="MOO1062" s="90"/>
      <c r="MOP1062" s="90"/>
      <c r="MOQ1062" s="90"/>
      <c r="MOR1062" s="90"/>
      <c r="MOS1062" s="90"/>
      <c r="MOT1062" s="90"/>
      <c r="MOU1062" s="90"/>
      <c r="MOV1062" s="90"/>
      <c r="MOW1062" s="90"/>
      <c r="MOX1062" s="90"/>
      <c r="MOY1062" s="90"/>
      <c r="MOZ1062" s="90"/>
      <c r="MPA1062" s="90"/>
      <c r="MPB1062" s="90"/>
      <c r="MPC1062" s="90"/>
      <c r="MPD1062" s="90"/>
      <c r="MPE1062" s="90"/>
      <c r="MPF1062" s="90"/>
      <c r="MPG1062" s="90"/>
      <c r="MPH1062" s="90"/>
      <c r="MPI1062" s="90"/>
      <c r="MPJ1062" s="90"/>
      <c r="MPK1062" s="90"/>
      <c r="MPL1062" s="90"/>
      <c r="MPM1062" s="90"/>
      <c r="MPN1062" s="90"/>
      <c r="MPO1062" s="90"/>
      <c r="MPP1062" s="90"/>
      <c r="MPQ1062" s="90"/>
      <c r="MPR1062" s="90"/>
      <c r="MPS1062" s="90"/>
      <c r="MPT1062" s="90"/>
      <c r="MPU1062" s="90"/>
      <c r="MPV1062" s="90"/>
      <c r="MPW1062" s="90"/>
      <c r="MPX1062" s="90"/>
      <c r="MPY1062" s="90"/>
      <c r="MPZ1062" s="90"/>
      <c r="MQA1062" s="90"/>
      <c r="MQB1062" s="90"/>
      <c r="MQC1062" s="90"/>
      <c r="MQD1062" s="90"/>
      <c r="MQE1062" s="90"/>
      <c r="MQF1062" s="90"/>
      <c r="MQG1062" s="90"/>
      <c r="MQH1062" s="90"/>
      <c r="MQI1062" s="90"/>
      <c r="MQJ1062" s="90"/>
      <c r="MQK1062" s="90"/>
      <c r="MQL1062" s="90"/>
      <c r="MQM1062" s="90"/>
      <c r="MQN1062" s="90"/>
      <c r="MQO1062" s="90"/>
      <c r="MQP1062" s="90"/>
      <c r="MQQ1062" s="90"/>
      <c r="MQR1062" s="90"/>
      <c r="MQS1062" s="90"/>
      <c r="MQT1062" s="90"/>
      <c r="MQU1062" s="90"/>
      <c r="MQV1062" s="90"/>
      <c r="MQW1062" s="90"/>
      <c r="MQX1062" s="90"/>
      <c r="MQY1062" s="90"/>
      <c r="MQZ1062" s="90"/>
      <c r="MRA1062" s="90"/>
      <c r="MRB1062" s="90"/>
      <c r="MRC1062" s="90"/>
      <c r="MRD1062" s="90"/>
      <c r="MRE1062" s="90"/>
      <c r="MRF1062" s="90"/>
      <c r="MRG1062" s="90"/>
      <c r="MRH1062" s="90"/>
      <c r="MRI1062" s="90"/>
      <c r="MRJ1062" s="90"/>
      <c r="MRK1062" s="90"/>
      <c r="MRL1062" s="90"/>
      <c r="MRM1062" s="90"/>
      <c r="MRN1062" s="90"/>
      <c r="MRO1062" s="90"/>
      <c r="MRP1062" s="90"/>
      <c r="MRQ1062" s="90"/>
      <c r="MRR1062" s="90"/>
      <c r="MRS1062" s="90"/>
      <c r="MRT1062" s="90"/>
      <c r="MRU1062" s="90"/>
      <c r="MRV1062" s="90"/>
      <c r="MRW1062" s="90"/>
      <c r="MRX1062" s="90"/>
      <c r="MRY1062" s="90"/>
      <c r="MRZ1062" s="90"/>
      <c r="MSA1062" s="90"/>
      <c r="MSB1062" s="90"/>
      <c r="MSC1062" s="90"/>
      <c r="MSD1062" s="90"/>
      <c r="MSE1062" s="90"/>
      <c r="MSF1062" s="90"/>
      <c r="MSG1062" s="90"/>
      <c r="MSH1062" s="90"/>
      <c r="MSI1062" s="90"/>
      <c r="MSJ1062" s="90"/>
      <c r="MSK1062" s="90"/>
      <c r="MSL1062" s="90"/>
      <c r="MSM1062" s="90"/>
      <c r="MSN1062" s="90"/>
      <c r="MSO1062" s="90"/>
      <c r="MSP1062" s="90"/>
      <c r="MSQ1062" s="90"/>
      <c r="MSR1062" s="90"/>
      <c r="MSS1062" s="90"/>
      <c r="MST1062" s="90"/>
      <c r="MSU1062" s="90"/>
      <c r="MSV1062" s="90"/>
      <c r="MSW1062" s="90"/>
      <c r="MSX1062" s="90"/>
      <c r="MSY1062" s="90"/>
      <c r="MSZ1062" s="90"/>
      <c r="MTA1062" s="90"/>
      <c r="MTB1062" s="90"/>
      <c r="MTC1062" s="90"/>
      <c r="MTD1062" s="90"/>
      <c r="MTE1062" s="90"/>
      <c r="MTF1062" s="90"/>
      <c r="MTG1062" s="90"/>
      <c r="MTH1062" s="90"/>
      <c r="MTI1062" s="90"/>
      <c r="MTJ1062" s="90"/>
      <c r="MTK1062" s="90"/>
      <c r="MTL1062" s="90"/>
      <c r="MTM1062" s="90"/>
      <c r="MTN1062" s="90"/>
      <c r="MTO1062" s="90"/>
      <c r="MTP1062" s="90"/>
      <c r="MTQ1062" s="90"/>
      <c r="MTR1062" s="90"/>
      <c r="MTS1062" s="90"/>
      <c r="MTT1062" s="90"/>
      <c r="MTU1062" s="90"/>
      <c r="MTV1062" s="90"/>
      <c r="MTW1062" s="90"/>
      <c r="MTX1062" s="90"/>
      <c r="MTY1062" s="90"/>
      <c r="MTZ1062" s="90"/>
      <c r="MUA1062" s="90"/>
      <c r="MUB1062" s="90"/>
      <c r="MUC1062" s="90"/>
      <c r="MUD1062" s="90"/>
      <c r="MUE1062" s="90"/>
      <c r="MUF1062" s="90"/>
      <c r="MUG1062" s="90"/>
      <c r="MUH1062" s="90"/>
      <c r="MUI1062" s="90"/>
      <c r="MUJ1062" s="90"/>
      <c r="MUK1062" s="90"/>
      <c r="MUL1062" s="90"/>
      <c r="MUM1062" s="90"/>
      <c r="MUN1062" s="90"/>
      <c r="MUO1062" s="90"/>
      <c r="MUP1062" s="90"/>
      <c r="MUQ1062" s="90"/>
      <c r="MUR1062" s="90"/>
      <c r="MUS1062" s="90"/>
      <c r="MUT1062" s="90"/>
      <c r="MUU1062" s="90"/>
      <c r="MUV1062" s="90"/>
      <c r="MUW1062" s="90"/>
      <c r="MUX1062" s="90"/>
      <c r="MUY1062" s="90"/>
      <c r="MUZ1062" s="90"/>
      <c r="MVA1062" s="90"/>
      <c r="MVB1062" s="90"/>
      <c r="MVC1062" s="90"/>
      <c r="MVD1062" s="90"/>
      <c r="MVE1062" s="90"/>
      <c r="MVF1062" s="90"/>
      <c r="MVG1062" s="90"/>
      <c r="MVH1062" s="90"/>
      <c r="MVI1062" s="90"/>
      <c r="MVJ1062" s="90"/>
      <c r="MVK1062" s="90"/>
      <c r="MVL1062" s="90"/>
      <c r="MVM1062" s="90"/>
      <c r="MVN1062" s="90"/>
      <c r="MVO1062" s="90"/>
      <c r="MVP1062" s="90"/>
      <c r="MVQ1062" s="90"/>
      <c r="MVR1062" s="90"/>
      <c r="MVS1062" s="90"/>
      <c r="MVT1062" s="90"/>
      <c r="MVU1062" s="90"/>
      <c r="MVV1062" s="90"/>
      <c r="MVW1062" s="90"/>
      <c r="MVX1062" s="90"/>
      <c r="MVY1062" s="90"/>
      <c r="MVZ1062" s="90"/>
      <c r="MWA1062" s="90"/>
      <c r="MWB1062" s="90"/>
      <c r="MWC1062" s="90"/>
      <c r="MWD1062" s="90"/>
      <c r="MWE1062" s="90"/>
      <c r="MWF1062" s="90"/>
      <c r="MWG1062" s="90"/>
      <c r="MWH1062" s="90"/>
      <c r="MWI1062" s="90"/>
      <c r="MWJ1062" s="90"/>
      <c r="MWK1062" s="90"/>
      <c r="MWL1062" s="90"/>
      <c r="MWM1062" s="90"/>
      <c r="MWN1062" s="90"/>
      <c r="MWO1062" s="90"/>
      <c r="MWP1062" s="90"/>
      <c r="MWQ1062" s="90"/>
      <c r="MWR1062" s="90"/>
      <c r="MWS1062" s="90"/>
      <c r="MWT1062" s="90"/>
      <c r="MWU1062" s="90"/>
      <c r="MWV1062" s="90"/>
      <c r="MWW1062" s="90"/>
      <c r="MWX1062" s="90"/>
      <c r="MWY1062" s="90"/>
      <c r="MWZ1062" s="90"/>
      <c r="MXA1062" s="90"/>
      <c r="MXB1062" s="90"/>
      <c r="MXC1062" s="90"/>
      <c r="MXD1062" s="90"/>
      <c r="MXE1062" s="90"/>
      <c r="MXF1062" s="90"/>
      <c r="MXG1062" s="90"/>
      <c r="MXH1062" s="90"/>
      <c r="MXI1062" s="90"/>
      <c r="MXJ1062" s="90"/>
      <c r="MXK1062" s="90"/>
      <c r="MXL1062" s="90"/>
      <c r="MXM1062" s="90"/>
      <c r="MXN1062" s="90"/>
      <c r="MXO1062" s="90"/>
      <c r="MXP1062" s="90"/>
      <c r="MXQ1062" s="90"/>
      <c r="MXR1062" s="90"/>
      <c r="MXS1062" s="90"/>
      <c r="MXT1062" s="90"/>
      <c r="MXU1062" s="90"/>
      <c r="MXV1062" s="90"/>
      <c r="MXW1062" s="90"/>
      <c r="MXX1062" s="90"/>
      <c r="MXY1062" s="90"/>
      <c r="MXZ1062" s="90"/>
      <c r="MYA1062" s="90"/>
      <c r="MYB1062" s="90"/>
      <c r="MYC1062" s="90"/>
      <c r="MYD1062" s="90"/>
      <c r="MYE1062" s="90"/>
      <c r="MYF1062" s="90"/>
      <c r="MYG1062" s="90"/>
      <c r="MYH1062" s="90"/>
      <c r="MYI1062" s="90"/>
      <c r="MYJ1062" s="90"/>
      <c r="MYK1062" s="90"/>
      <c r="MYL1062" s="90"/>
      <c r="MYM1062" s="90"/>
      <c r="MYN1062" s="90"/>
      <c r="MYO1062" s="90"/>
      <c r="MYP1062" s="90"/>
      <c r="MYQ1062" s="90"/>
      <c r="MYR1062" s="90"/>
      <c r="MYS1062" s="90"/>
      <c r="MYT1062" s="90"/>
      <c r="MYU1062" s="90"/>
      <c r="MYV1062" s="90"/>
      <c r="MYW1062" s="90"/>
      <c r="MYX1062" s="90"/>
      <c r="MYY1062" s="90"/>
      <c r="MYZ1062" s="90"/>
      <c r="MZA1062" s="90"/>
      <c r="MZB1062" s="90"/>
      <c r="MZC1062" s="90"/>
      <c r="MZD1062" s="90"/>
      <c r="MZE1062" s="90"/>
      <c r="MZF1062" s="90"/>
      <c r="MZG1062" s="90"/>
      <c r="MZH1062" s="90"/>
      <c r="MZI1062" s="90"/>
      <c r="MZJ1062" s="90"/>
      <c r="MZK1062" s="90"/>
      <c r="MZL1062" s="90"/>
      <c r="MZM1062" s="90"/>
      <c r="MZN1062" s="90"/>
      <c r="MZO1062" s="90"/>
      <c r="MZP1062" s="90"/>
      <c r="MZQ1062" s="90"/>
      <c r="MZR1062" s="90"/>
      <c r="MZS1062" s="90"/>
      <c r="MZT1062" s="90"/>
      <c r="MZU1062" s="90"/>
      <c r="MZV1062" s="90"/>
      <c r="MZW1062" s="90"/>
      <c r="MZX1062" s="90"/>
      <c r="MZY1062" s="90"/>
      <c r="MZZ1062" s="90"/>
      <c r="NAA1062" s="90"/>
      <c r="NAB1062" s="90"/>
      <c r="NAC1062" s="90"/>
      <c r="NAD1062" s="90"/>
      <c r="NAE1062" s="90"/>
      <c r="NAF1062" s="90"/>
      <c r="NAG1062" s="90"/>
      <c r="NAH1062" s="90"/>
      <c r="NAI1062" s="90"/>
      <c r="NAJ1062" s="90"/>
      <c r="NAK1062" s="90"/>
      <c r="NAL1062" s="90"/>
      <c r="NAM1062" s="90"/>
      <c r="NAN1062" s="90"/>
      <c r="NAO1062" s="90"/>
      <c r="NAP1062" s="90"/>
      <c r="NAQ1062" s="90"/>
      <c r="NAR1062" s="90"/>
      <c r="NAS1062" s="90"/>
      <c r="NAT1062" s="90"/>
      <c r="NAU1062" s="90"/>
      <c r="NAV1062" s="90"/>
      <c r="NAW1062" s="90"/>
      <c r="NAX1062" s="90"/>
      <c r="NAY1062" s="90"/>
      <c r="NAZ1062" s="90"/>
      <c r="NBA1062" s="90"/>
      <c r="NBB1062" s="90"/>
      <c r="NBC1062" s="90"/>
      <c r="NBD1062" s="90"/>
      <c r="NBE1062" s="90"/>
      <c r="NBF1062" s="90"/>
      <c r="NBG1062" s="90"/>
      <c r="NBH1062" s="90"/>
      <c r="NBI1062" s="90"/>
      <c r="NBJ1062" s="90"/>
      <c r="NBK1062" s="90"/>
      <c r="NBL1062" s="90"/>
      <c r="NBM1062" s="90"/>
      <c r="NBN1062" s="90"/>
      <c r="NBO1062" s="90"/>
      <c r="NBP1062" s="90"/>
      <c r="NBQ1062" s="90"/>
      <c r="NBR1062" s="90"/>
      <c r="NBS1062" s="90"/>
      <c r="NBT1062" s="90"/>
      <c r="NBU1062" s="90"/>
      <c r="NBV1062" s="90"/>
      <c r="NBW1062" s="90"/>
      <c r="NBX1062" s="90"/>
      <c r="NBY1062" s="90"/>
      <c r="NBZ1062" s="90"/>
      <c r="NCA1062" s="90"/>
      <c r="NCB1062" s="90"/>
      <c r="NCC1062" s="90"/>
      <c r="NCD1062" s="90"/>
      <c r="NCE1062" s="90"/>
      <c r="NCF1062" s="90"/>
      <c r="NCG1062" s="90"/>
      <c r="NCH1062" s="90"/>
      <c r="NCI1062" s="90"/>
      <c r="NCJ1062" s="90"/>
      <c r="NCK1062" s="90"/>
      <c r="NCL1062" s="90"/>
      <c r="NCM1062" s="90"/>
      <c r="NCN1062" s="90"/>
      <c r="NCO1062" s="90"/>
      <c r="NCP1062" s="90"/>
      <c r="NCQ1062" s="90"/>
      <c r="NCR1062" s="90"/>
      <c r="NCS1062" s="90"/>
      <c r="NCT1062" s="90"/>
      <c r="NCU1062" s="90"/>
      <c r="NCV1062" s="90"/>
      <c r="NCW1062" s="90"/>
      <c r="NCX1062" s="90"/>
      <c r="NCY1062" s="90"/>
      <c r="NCZ1062" s="90"/>
      <c r="NDA1062" s="90"/>
      <c r="NDB1062" s="90"/>
      <c r="NDC1062" s="90"/>
      <c r="NDD1062" s="90"/>
      <c r="NDE1062" s="90"/>
      <c r="NDF1062" s="90"/>
      <c r="NDG1062" s="90"/>
      <c r="NDH1062" s="90"/>
      <c r="NDI1062" s="90"/>
      <c r="NDJ1062" s="90"/>
      <c r="NDK1062" s="90"/>
      <c r="NDL1062" s="90"/>
      <c r="NDM1062" s="90"/>
      <c r="NDN1062" s="90"/>
      <c r="NDO1062" s="90"/>
      <c r="NDP1062" s="90"/>
      <c r="NDQ1062" s="90"/>
      <c r="NDR1062" s="90"/>
      <c r="NDS1062" s="90"/>
      <c r="NDT1062" s="90"/>
      <c r="NDU1062" s="90"/>
      <c r="NDV1062" s="90"/>
      <c r="NDW1062" s="90"/>
      <c r="NDX1062" s="90"/>
      <c r="NDY1062" s="90"/>
      <c r="NDZ1062" s="90"/>
      <c r="NEA1062" s="90"/>
      <c r="NEB1062" s="90"/>
      <c r="NEC1062" s="90"/>
      <c r="NED1062" s="90"/>
      <c r="NEE1062" s="90"/>
      <c r="NEF1062" s="90"/>
      <c r="NEG1062" s="90"/>
      <c r="NEH1062" s="90"/>
      <c r="NEI1062" s="90"/>
      <c r="NEJ1062" s="90"/>
      <c r="NEK1062" s="90"/>
      <c r="NEL1062" s="90"/>
      <c r="NEM1062" s="90"/>
      <c r="NEN1062" s="90"/>
      <c r="NEO1062" s="90"/>
      <c r="NEP1062" s="90"/>
      <c r="NEQ1062" s="90"/>
      <c r="NER1062" s="90"/>
      <c r="NES1062" s="90"/>
      <c r="NET1062" s="90"/>
      <c r="NEU1062" s="90"/>
      <c r="NEV1062" s="90"/>
      <c r="NEW1062" s="90"/>
      <c r="NEX1062" s="90"/>
      <c r="NEY1062" s="90"/>
      <c r="NEZ1062" s="90"/>
      <c r="NFA1062" s="90"/>
      <c r="NFB1062" s="90"/>
      <c r="NFC1062" s="90"/>
      <c r="NFD1062" s="90"/>
      <c r="NFE1062" s="90"/>
      <c r="NFF1062" s="90"/>
      <c r="NFG1062" s="90"/>
      <c r="NFH1062" s="90"/>
      <c r="NFI1062" s="90"/>
      <c r="NFJ1062" s="90"/>
      <c r="NFK1062" s="90"/>
      <c r="NFL1062" s="90"/>
      <c r="NFM1062" s="90"/>
      <c r="NFN1062" s="90"/>
      <c r="NFO1062" s="90"/>
      <c r="NFP1062" s="90"/>
      <c r="NFQ1062" s="90"/>
      <c r="NFR1062" s="90"/>
      <c r="NFS1062" s="90"/>
      <c r="NFT1062" s="90"/>
      <c r="NFU1062" s="90"/>
      <c r="NFV1062" s="90"/>
      <c r="NFW1062" s="90"/>
      <c r="NFX1062" s="90"/>
      <c r="NFY1062" s="90"/>
      <c r="NFZ1062" s="90"/>
      <c r="NGA1062" s="90"/>
      <c r="NGB1062" s="90"/>
      <c r="NGC1062" s="90"/>
      <c r="NGD1062" s="90"/>
      <c r="NGE1062" s="90"/>
      <c r="NGF1062" s="90"/>
      <c r="NGG1062" s="90"/>
      <c r="NGH1062" s="90"/>
      <c r="NGI1062" s="90"/>
      <c r="NGJ1062" s="90"/>
      <c r="NGK1062" s="90"/>
      <c r="NGL1062" s="90"/>
      <c r="NGM1062" s="90"/>
      <c r="NGN1062" s="90"/>
      <c r="NGO1062" s="90"/>
      <c r="NGP1062" s="90"/>
      <c r="NGQ1062" s="90"/>
      <c r="NGR1062" s="90"/>
      <c r="NGS1062" s="90"/>
      <c r="NGT1062" s="90"/>
      <c r="NGU1062" s="90"/>
      <c r="NGV1062" s="90"/>
      <c r="NGW1062" s="90"/>
      <c r="NGX1062" s="90"/>
      <c r="NGY1062" s="90"/>
      <c r="NGZ1062" s="90"/>
      <c r="NHA1062" s="90"/>
      <c r="NHB1062" s="90"/>
      <c r="NHC1062" s="90"/>
      <c r="NHD1062" s="90"/>
      <c r="NHE1062" s="90"/>
      <c r="NHF1062" s="90"/>
      <c r="NHG1062" s="90"/>
      <c r="NHH1062" s="90"/>
      <c r="NHI1062" s="90"/>
      <c r="NHJ1062" s="90"/>
      <c r="NHK1062" s="90"/>
      <c r="NHL1062" s="90"/>
      <c r="NHM1062" s="90"/>
      <c r="NHN1062" s="90"/>
      <c r="NHO1062" s="90"/>
      <c r="NHP1062" s="90"/>
      <c r="NHQ1062" s="90"/>
      <c r="NHR1062" s="90"/>
      <c r="NHS1062" s="90"/>
      <c r="NHT1062" s="90"/>
      <c r="NHU1062" s="90"/>
      <c r="NHV1062" s="90"/>
      <c r="NHW1062" s="90"/>
      <c r="NHX1062" s="90"/>
      <c r="NHY1062" s="90"/>
      <c r="NHZ1062" s="90"/>
      <c r="NIA1062" s="90"/>
      <c r="NIB1062" s="90"/>
      <c r="NIC1062" s="90"/>
      <c r="NID1062" s="90"/>
      <c r="NIE1062" s="90"/>
      <c r="NIF1062" s="90"/>
      <c r="NIG1062" s="90"/>
      <c r="NIH1062" s="90"/>
      <c r="NII1062" s="90"/>
      <c r="NIJ1062" s="90"/>
      <c r="NIK1062" s="90"/>
      <c r="NIL1062" s="90"/>
      <c r="NIM1062" s="90"/>
      <c r="NIN1062" s="90"/>
      <c r="NIO1062" s="90"/>
      <c r="NIP1062" s="90"/>
      <c r="NIQ1062" s="90"/>
      <c r="NIR1062" s="90"/>
      <c r="NIS1062" s="90"/>
      <c r="NIT1062" s="90"/>
      <c r="NIU1062" s="90"/>
      <c r="NIV1062" s="90"/>
      <c r="NIW1062" s="90"/>
      <c r="NIX1062" s="90"/>
      <c r="NIY1062" s="90"/>
      <c r="NIZ1062" s="90"/>
      <c r="NJA1062" s="90"/>
      <c r="NJB1062" s="90"/>
      <c r="NJC1062" s="90"/>
      <c r="NJD1062" s="90"/>
      <c r="NJE1062" s="90"/>
      <c r="NJF1062" s="90"/>
      <c r="NJG1062" s="90"/>
      <c r="NJH1062" s="90"/>
      <c r="NJI1062" s="90"/>
      <c r="NJJ1062" s="90"/>
      <c r="NJK1062" s="90"/>
      <c r="NJL1062" s="90"/>
      <c r="NJM1062" s="90"/>
      <c r="NJN1062" s="90"/>
      <c r="NJO1062" s="90"/>
      <c r="NJP1062" s="90"/>
      <c r="NJQ1062" s="90"/>
      <c r="NJR1062" s="90"/>
      <c r="NJS1062" s="90"/>
      <c r="NJT1062" s="90"/>
      <c r="NJU1062" s="90"/>
      <c r="NJV1062" s="90"/>
      <c r="NJW1062" s="90"/>
      <c r="NJX1062" s="90"/>
      <c r="NJY1062" s="90"/>
      <c r="NJZ1062" s="90"/>
      <c r="NKA1062" s="90"/>
      <c r="NKB1062" s="90"/>
      <c r="NKC1062" s="90"/>
      <c r="NKD1062" s="90"/>
      <c r="NKE1062" s="90"/>
      <c r="NKF1062" s="90"/>
      <c r="NKG1062" s="90"/>
      <c r="NKH1062" s="90"/>
      <c r="NKI1062" s="90"/>
      <c r="NKJ1062" s="90"/>
      <c r="NKK1062" s="90"/>
      <c r="NKL1062" s="90"/>
      <c r="NKM1062" s="90"/>
      <c r="NKN1062" s="90"/>
      <c r="NKO1062" s="90"/>
      <c r="NKP1062" s="90"/>
      <c r="NKQ1062" s="90"/>
      <c r="NKR1062" s="90"/>
      <c r="NKS1062" s="90"/>
      <c r="NKT1062" s="90"/>
      <c r="NKU1062" s="90"/>
      <c r="NKV1062" s="90"/>
      <c r="NKW1062" s="90"/>
      <c r="NKX1062" s="90"/>
      <c r="NKY1062" s="90"/>
      <c r="NKZ1062" s="90"/>
      <c r="NLA1062" s="90"/>
      <c r="NLB1062" s="90"/>
      <c r="NLC1062" s="90"/>
      <c r="NLD1062" s="90"/>
      <c r="NLE1062" s="90"/>
      <c r="NLF1062" s="90"/>
      <c r="NLG1062" s="90"/>
      <c r="NLH1062" s="90"/>
      <c r="NLI1062" s="90"/>
      <c r="NLJ1062" s="90"/>
      <c r="NLK1062" s="90"/>
      <c r="NLL1062" s="90"/>
      <c r="NLM1062" s="90"/>
      <c r="NLN1062" s="90"/>
      <c r="NLO1062" s="90"/>
      <c r="NLP1062" s="90"/>
      <c r="NLQ1062" s="90"/>
      <c r="NLR1062" s="90"/>
      <c r="NLS1062" s="90"/>
      <c r="NLT1062" s="90"/>
      <c r="NLU1062" s="90"/>
      <c r="NLV1062" s="90"/>
      <c r="NLW1062" s="90"/>
      <c r="NLX1062" s="90"/>
      <c r="NLY1062" s="90"/>
      <c r="NLZ1062" s="90"/>
      <c r="NMA1062" s="90"/>
      <c r="NMB1062" s="90"/>
      <c r="NMC1062" s="90"/>
      <c r="NMD1062" s="90"/>
      <c r="NME1062" s="90"/>
      <c r="NMF1062" s="90"/>
      <c r="NMG1062" s="90"/>
      <c r="NMH1062" s="90"/>
      <c r="NMI1062" s="90"/>
      <c r="NMJ1062" s="90"/>
      <c r="NMK1062" s="90"/>
      <c r="NML1062" s="90"/>
      <c r="NMM1062" s="90"/>
      <c r="NMN1062" s="90"/>
      <c r="NMO1062" s="90"/>
      <c r="NMP1062" s="90"/>
      <c r="NMQ1062" s="90"/>
      <c r="NMR1062" s="90"/>
      <c r="NMS1062" s="90"/>
      <c r="NMT1062" s="90"/>
      <c r="NMU1062" s="90"/>
      <c r="NMV1062" s="90"/>
      <c r="NMW1062" s="90"/>
      <c r="NMX1062" s="90"/>
      <c r="NMY1062" s="90"/>
      <c r="NMZ1062" s="90"/>
      <c r="NNA1062" s="90"/>
      <c r="NNB1062" s="90"/>
      <c r="NNC1062" s="90"/>
      <c r="NND1062" s="90"/>
      <c r="NNE1062" s="90"/>
      <c r="NNF1062" s="90"/>
      <c r="NNG1062" s="90"/>
      <c r="NNH1062" s="90"/>
      <c r="NNI1062" s="90"/>
      <c r="NNJ1062" s="90"/>
      <c r="NNK1062" s="90"/>
      <c r="NNL1062" s="90"/>
      <c r="NNM1062" s="90"/>
      <c r="NNN1062" s="90"/>
      <c r="NNO1062" s="90"/>
      <c r="NNP1062" s="90"/>
      <c r="NNQ1062" s="90"/>
      <c r="NNR1062" s="90"/>
      <c r="NNS1062" s="90"/>
      <c r="NNT1062" s="90"/>
      <c r="NNU1062" s="90"/>
      <c r="NNV1062" s="90"/>
      <c r="NNW1062" s="90"/>
      <c r="NNX1062" s="90"/>
      <c r="NNY1062" s="90"/>
      <c r="NNZ1062" s="90"/>
      <c r="NOA1062" s="90"/>
      <c r="NOB1062" s="90"/>
      <c r="NOC1062" s="90"/>
      <c r="NOD1062" s="90"/>
      <c r="NOE1062" s="90"/>
      <c r="NOF1062" s="90"/>
      <c r="NOG1062" s="90"/>
      <c r="NOH1062" s="90"/>
      <c r="NOI1062" s="90"/>
      <c r="NOJ1062" s="90"/>
      <c r="NOK1062" s="90"/>
      <c r="NOL1062" s="90"/>
      <c r="NOM1062" s="90"/>
      <c r="NON1062" s="90"/>
      <c r="NOO1062" s="90"/>
      <c r="NOP1062" s="90"/>
      <c r="NOQ1062" s="90"/>
      <c r="NOR1062" s="90"/>
      <c r="NOS1062" s="90"/>
      <c r="NOT1062" s="90"/>
      <c r="NOU1062" s="90"/>
      <c r="NOV1062" s="90"/>
      <c r="NOW1062" s="90"/>
      <c r="NOX1062" s="90"/>
      <c r="NOY1062" s="90"/>
      <c r="NOZ1062" s="90"/>
      <c r="NPA1062" s="90"/>
      <c r="NPB1062" s="90"/>
      <c r="NPC1062" s="90"/>
      <c r="NPD1062" s="90"/>
      <c r="NPE1062" s="90"/>
      <c r="NPF1062" s="90"/>
      <c r="NPG1062" s="90"/>
      <c r="NPH1062" s="90"/>
      <c r="NPI1062" s="90"/>
      <c r="NPJ1062" s="90"/>
      <c r="NPK1062" s="90"/>
      <c r="NPL1062" s="90"/>
      <c r="NPM1062" s="90"/>
      <c r="NPN1062" s="90"/>
      <c r="NPO1062" s="90"/>
      <c r="NPP1062" s="90"/>
      <c r="NPQ1062" s="90"/>
      <c r="NPR1062" s="90"/>
      <c r="NPS1062" s="90"/>
      <c r="NPT1062" s="90"/>
      <c r="NPU1062" s="90"/>
      <c r="NPV1062" s="90"/>
      <c r="NPW1062" s="90"/>
      <c r="NPX1062" s="90"/>
      <c r="NPY1062" s="90"/>
      <c r="NPZ1062" s="90"/>
      <c r="NQA1062" s="90"/>
      <c r="NQB1062" s="90"/>
      <c r="NQC1062" s="90"/>
      <c r="NQD1062" s="90"/>
      <c r="NQE1062" s="90"/>
      <c r="NQF1062" s="90"/>
      <c r="NQG1062" s="90"/>
      <c r="NQH1062" s="90"/>
      <c r="NQI1062" s="90"/>
      <c r="NQJ1062" s="90"/>
      <c r="NQK1062" s="90"/>
      <c r="NQL1062" s="90"/>
      <c r="NQM1062" s="90"/>
      <c r="NQN1062" s="90"/>
      <c r="NQO1062" s="90"/>
      <c r="NQP1062" s="90"/>
      <c r="NQQ1062" s="90"/>
      <c r="NQR1062" s="90"/>
      <c r="NQS1062" s="90"/>
      <c r="NQT1062" s="90"/>
      <c r="NQU1062" s="90"/>
      <c r="NQV1062" s="90"/>
      <c r="NQW1062" s="90"/>
      <c r="NQX1062" s="90"/>
      <c r="NQY1062" s="90"/>
      <c r="NQZ1062" s="90"/>
      <c r="NRA1062" s="90"/>
      <c r="NRB1062" s="90"/>
      <c r="NRC1062" s="90"/>
      <c r="NRD1062" s="90"/>
      <c r="NRE1062" s="90"/>
      <c r="NRF1062" s="90"/>
      <c r="NRG1062" s="90"/>
      <c r="NRH1062" s="90"/>
      <c r="NRI1062" s="90"/>
      <c r="NRJ1062" s="90"/>
      <c r="NRK1062" s="90"/>
      <c r="NRL1062" s="90"/>
      <c r="NRM1062" s="90"/>
      <c r="NRN1062" s="90"/>
      <c r="NRO1062" s="90"/>
      <c r="NRP1062" s="90"/>
      <c r="NRQ1062" s="90"/>
      <c r="NRR1062" s="90"/>
      <c r="NRS1062" s="90"/>
      <c r="NRT1062" s="90"/>
      <c r="NRU1062" s="90"/>
      <c r="NRV1062" s="90"/>
      <c r="NRW1062" s="90"/>
      <c r="NRX1062" s="90"/>
      <c r="NRY1062" s="90"/>
      <c r="NRZ1062" s="90"/>
      <c r="NSA1062" s="90"/>
      <c r="NSB1062" s="90"/>
      <c r="NSC1062" s="90"/>
      <c r="NSD1062" s="90"/>
      <c r="NSE1062" s="90"/>
      <c r="NSF1062" s="90"/>
      <c r="NSG1062" s="90"/>
      <c r="NSH1062" s="90"/>
      <c r="NSI1062" s="90"/>
      <c r="NSJ1062" s="90"/>
      <c r="NSK1062" s="90"/>
      <c r="NSL1062" s="90"/>
      <c r="NSM1062" s="90"/>
      <c r="NSN1062" s="90"/>
      <c r="NSO1062" s="90"/>
      <c r="NSP1062" s="90"/>
      <c r="NSQ1062" s="90"/>
      <c r="NSR1062" s="90"/>
      <c r="NSS1062" s="90"/>
      <c r="NST1062" s="90"/>
      <c r="NSU1062" s="90"/>
      <c r="NSV1062" s="90"/>
      <c r="NSW1062" s="90"/>
      <c r="NSX1062" s="90"/>
      <c r="NSY1062" s="90"/>
      <c r="NSZ1062" s="90"/>
      <c r="NTA1062" s="90"/>
      <c r="NTB1062" s="90"/>
      <c r="NTC1062" s="90"/>
      <c r="NTD1062" s="90"/>
      <c r="NTE1062" s="90"/>
      <c r="NTF1062" s="90"/>
      <c r="NTG1062" s="90"/>
      <c r="NTH1062" s="90"/>
      <c r="NTI1062" s="90"/>
      <c r="NTJ1062" s="90"/>
      <c r="NTK1062" s="90"/>
      <c r="NTL1062" s="90"/>
      <c r="NTM1062" s="90"/>
      <c r="NTN1062" s="90"/>
      <c r="NTO1062" s="90"/>
      <c r="NTP1062" s="90"/>
      <c r="NTQ1062" s="90"/>
      <c r="NTR1062" s="90"/>
      <c r="NTS1062" s="90"/>
      <c r="NTT1062" s="90"/>
      <c r="NTU1062" s="90"/>
      <c r="NTV1062" s="90"/>
      <c r="NTW1062" s="90"/>
      <c r="NTX1062" s="90"/>
      <c r="NTY1062" s="90"/>
      <c r="NTZ1062" s="90"/>
      <c r="NUA1062" s="90"/>
      <c r="NUB1062" s="90"/>
      <c r="NUC1062" s="90"/>
      <c r="NUD1062" s="90"/>
      <c r="NUE1062" s="90"/>
      <c r="NUF1062" s="90"/>
      <c r="NUG1062" s="90"/>
      <c r="NUH1062" s="90"/>
      <c r="NUI1062" s="90"/>
      <c r="NUJ1062" s="90"/>
      <c r="NUK1062" s="90"/>
      <c r="NUL1062" s="90"/>
      <c r="NUM1062" s="90"/>
      <c r="NUN1062" s="90"/>
      <c r="NUO1062" s="90"/>
      <c r="NUP1062" s="90"/>
      <c r="NUQ1062" s="90"/>
      <c r="NUR1062" s="90"/>
      <c r="NUS1062" s="90"/>
      <c r="NUT1062" s="90"/>
      <c r="NUU1062" s="90"/>
      <c r="NUV1062" s="90"/>
      <c r="NUW1062" s="90"/>
      <c r="NUX1062" s="90"/>
      <c r="NUY1062" s="90"/>
      <c r="NUZ1062" s="90"/>
      <c r="NVA1062" s="90"/>
      <c r="NVB1062" s="90"/>
      <c r="NVC1062" s="90"/>
      <c r="NVD1062" s="90"/>
      <c r="NVE1062" s="90"/>
      <c r="NVF1062" s="90"/>
      <c r="NVG1062" s="90"/>
      <c r="NVH1062" s="90"/>
      <c r="NVI1062" s="90"/>
      <c r="NVJ1062" s="90"/>
      <c r="NVK1062" s="90"/>
      <c r="NVL1062" s="90"/>
      <c r="NVM1062" s="90"/>
      <c r="NVN1062" s="90"/>
      <c r="NVO1062" s="90"/>
      <c r="NVP1062" s="90"/>
      <c r="NVQ1062" s="90"/>
      <c r="NVR1062" s="90"/>
      <c r="NVS1062" s="90"/>
      <c r="NVT1062" s="90"/>
      <c r="NVU1062" s="90"/>
      <c r="NVV1062" s="90"/>
      <c r="NVW1062" s="90"/>
      <c r="NVX1062" s="90"/>
      <c r="NVY1062" s="90"/>
      <c r="NVZ1062" s="90"/>
      <c r="NWA1062" s="90"/>
      <c r="NWB1062" s="90"/>
      <c r="NWC1062" s="90"/>
      <c r="NWD1062" s="90"/>
      <c r="NWE1062" s="90"/>
      <c r="NWF1062" s="90"/>
      <c r="NWG1062" s="90"/>
      <c r="NWH1062" s="90"/>
      <c r="NWI1062" s="90"/>
      <c r="NWJ1062" s="90"/>
      <c r="NWK1062" s="90"/>
      <c r="NWL1062" s="90"/>
      <c r="NWM1062" s="90"/>
      <c r="NWN1062" s="90"/>
      <c r="NWO1062" s="90"/>
      <c r="NWP1062" s="90"/>
      <c r="NWQ1062" s="90"/>
      <c r="NWR1062" s="90"/>
      <c r="NWS1062" s="90"/>
      <c r="NWT1062" s="90"/>
      <c r="NWU1062" s="90"/>
      <c r="NWV1062" s="90"/>
      <c r="NWW1062" s="90"/>
      <c r="NWX1062" s="90"/>
      <c r="NWY1062" s="90"/>
      <c r="NWZ1062" s="90"/>
      <c r="NXA1062" s="90"/>
      <c r="NXB1062" s="90"/>
      <c r="NXC1062" s="90"/>
      <c r="NXD1062" s="90"/>
      <c r="NXE1062" s="90"/>
      <c r="NXF1062" s="90"/>
      <c r="NXG1062" s="90"/>
      <c r="NXH1062" s="90"/>
      <c r="NXI1062" s="90"/>
      <c r="NXJ1062" s="90"/>
      <c r="NXK1062" s="90"/>
      <c r="NXL1062" s="90"/>
      <c r="NXM1062" s="90"/>
      <c r="NXN1062" s="90"/>
      <c r="NXO1062" s="90"/>
      <c r="NXP1062" s="90"/>
      <c r="NXQ1062" s="90"/>
      <c r="NXR1062" s="90"/>
      <c r="NXS1062" s="90"/>
      <c r="NXT1062" s="90"/>
      <c r="NXU1062" s="90"/>
      <c r="NXV1062" s="90"/>
      <c r="NXW1062" s="90"/>
      <c r="NXX1062" s="90"/>
      <c r="NXY1062" s="90"/>
      <c r="NXZ1062" s="90"/>
      <c r="NYA1062" s="90"/>
      <c r="NYB1062" s="90"/>
      <c r="NYC1062" s="90"/>
      <c r="NYD1062" s="90"/>
      <c r="NYE1062" s="90"/>
      <c r="NYF1062" s="90"/>
      <c r="NYG1062" s="90"/>
      <c r="NYH1062" s="90"/>
      <c r="NYI1062" s="90"/>
      <c r="NYJ1062" s="90"/>
      <c r="NYK1062" s="90"/>
      <c r="NYL1062" s="90"/>
      <c r="NYM1062" s="90"/>
      <c r="NYN1062" s="90"/>
      <c r="NYO1062" s="90"/>
      <c r="NYP1062" s="90"/>
      <c r="NYQ1062" s="90"/>
      <c r="NYR1062" s="90"/>
      <c r="NYS1062" s="90"/>
      <c r="NYT1062" s="90"/>
      <c r="NYU1062" s="90"/>
      <c r="NYV1062" s="90"/>
      <c r="NYW1062" s="90"/>
      <c r="NYX1062" s="90"/>
      <c r="NYY1062" s="90"/>
      <c r="NYZ1062" s="90"/>
      <c r="NZA1062" s="90"/>
      <c r="NZB1062" s="90"/>
      <c r="NZC1062" s="90"/>
      <c r="NZD1062" s="90"/>
      <c r="NZE1062" s="90"/>
      <c r="NZF1062" s="90"/>
      <c r="NZG1062" s="90"/>
      <c r="NZH1062" s="90"/>
      <c r="NZI1062" s="90"/>
      <c r="NZJ1062" s="90"/>
      <c r="NZK1062" s="90"/>
      <c r="NZL1062" s="90"/>
      <c r="NZM1062" s="90"/>
      <c r="NZN1062" s="90"/>
      <c r="NZO1062" s="90"/>
      <c r="NZP1062" s="90"/>
      <c r="NZQ1062" s="90"/>
      <c r="NZR1062" s="90"/>
      <c r="NZS1062" s="90"/>
      <c r="NZT1062" s="90"/>
      <c r="NZU1062" s="90"/>
      <c r="NZV1062" s="90"/>
      <c r="NZW1062" s="90"/>
      <c r="NZX1062" s="90"/>
      <c r="NZY1062" s="90"/>
      <c r="NZZ1062" s="90"/>
      <c r="OAA1062" s="90"/>
      <c r="OAB1062" s="90"/>
      <c r="OAC1062" s="90"/>
      <c r="OAD1062" s="90"/>
      <c r="OAE1062" s="90"/>
      <c r="OAF1062" s="90"/>
      <c r="OAG1062" s="90"/>
      <c r="OAH1062" s="90"/>
      <c r="OAI1062" s="90"/>
      <c r="OAJ1062" s="90"/>
      <c r="OAK1062" s="90"/>
      <c r="OAL1062" s="90"/>
      <c r="OAM1062" s="90"/>
      <c r="OAN1062" s="90"/>
      <c r="OAO1062" s="90"/>
      <c r="OAP1062" s="90"/>
      <c r="OAQ1062" s="90"/>
      <c r="OAR1062" s="90"/>
      <c r="OAS1062" s="90"/>
      <c r="OAT1062" s="90"/>
      <c r="OAU1062" s="90"/>
      <c r="OAV1062" s="90"/>
      <c r="OAW1062" s="90"/>
      <c r="OAX1062" s="90"/>
      <c r="OAY1062" s="90"/>
      <c r="OAZ1062" s="90"/>
      <c r="OBA1062" s="90"/>
      <c r="OBB1062" s="90"/>
      <c r="OBC1062" s="90"/>
      <c r="OBD1062" s="90"/>
      <c r="OBE1062" s="90"/>
      <c r="OBF1062" s="90"/>
      <c r="OBG1062" s="90"/>
      <c r="OBH1062" s="90"/>
      <c r="OBI1062" s="90"/>
      <c r="OBJ1062" s="90"/>
      <c r="OBK1062" s="90"/>
      <c r="OBL1062" s="90"/>
      <c r="OBM1062" s="90"/>
      <c r="OBN1062" s="90"/>
      <c r="OBO1062" s="90"/>
      <c r="OBP1062" s="90"/>
      <c r="OBQ1062" s="90"/>
      <c r="OBR1062" s="90"/>
      <c r="OBS1062" s="90"/>
      <c r="OBT1062" s="90"/>
      <c r="OBU1062" s="90"/>
      <c r="OBV1062" s="90"/>
      <c r="OBW1062" s="90"/>
      <c r="OBX1062" s="90"/>
      <c r="OBY1062" s="90"/>
      <c r="OBZ1062" s="90"/>
      <c r="OCA1062" s="90"/>
      <c r="OCB1062" s="90"/>
      <c r="OCC1062" s="90"/>
      <c r="OCD1062" s="90"/>
      <c r="OCE1062" s="90"/>
      <c r="OCF1062" s="90"/>
      <c r="OCG1062" s="90"/>
      <c r="OCH1062" s="90"/>
      <c r="OCI1062" s="90"/>
      <c r="OCJ1062" s="90"/>
      <c r="OCK1062" s="90"/>
      <c r="OCL1062" s="90"/>
      <c r="OCM1062" s="90"/>
      <c r="OCN1062" s="90"/>
      <c r="OCO1062" s="90"/>
      <c r="OCP1062" s="90"/>
      <c r="OCQ1062" s="90"/>
      <c r="OCR1062" s="90"/>
      <c r="OCS1062" s="90"/>
      <c r="OCT1062" s="90"/>
      <c r="OCU1062" s="90"/>
      <c r="OCV1062" s="90"/>
      <c r="OCW1062" s="90"/>
      <c r="OCX1062" s="90"/>
      <c r="OCY1062" s="90"/>
      <c r="OCZ1062" s="90"/>
      <c r="ODA1062" s="90"/>
      <c r="ODB1062" s="90"/>
      <c r="ODC1062" s="90"/>
      <c r="ODD1062" s="90"/>
      <c r="ODE1062" s="90"/>
      <c r="ODF1062" s="90"/>
      <c r="ODG1062" s="90"/>
      <c r="ODH1062" s="90"/>
      <c r="ODI1062" s="90"/>
      <c r="ODJ1062" s="90"/>
      <c r="ODK1062" s="90"/>
      <c r="ODL1062" s="90"/>
      <c r="ODM1062" s="90"/>
      <c r="ODN1062" s="90"/>
      <c r="ODO1062" s="90"/>
      <c r="ODP1062" s="90"/>
      <c r="ODQ1062" s="90"/>
      <c r="ODR1062" s="90"/>
      <c r="ODS1062" s="90"/>
      <c r="ODT1062" s="90"/>
      <c r="ODU1062" s="90"/>
      <c r="ODV1062" s="90"/>
      <c r="ODW1062" s="90"/>
      <c r="ODX1062" s="90"/>
      <c r="ODY1062" s="90"/>
      <c r="ODZ1062" s="90"/>
      <c r="OEA1062" s="90"/>
      <c r="OEB1062" s="90"/>
      <c r="OEC1062" s="90"/>
      <c r="OED1062" s="90"/>
      <c r="OEE1062" s="90"/>
      <c r="OEF1062" s="90"/>
      <c r="OEG1062" s="90"/>
      <c r="OEH1062" s="90"/>
      <c r="OEI1062" s="90"/>
      <c r="OEJ1062" s="90"/>
      <c r="OEK1062" s="90"/>
      <c r="OEL1062" s="90"/>
      <c r="OEM1062" s="90"/>
      <c r="OEN1062" s="90"/>
      <c r="OEO1062" s="90"/>
      <c r="OEP1062" s="90"/>
      <c r="OEQ1062" s="90"/>
      <c r="OER1062" s="90"/>
      <c r="OES1062" s="90"/>
      <c r="OET1062" s="90"/>
      <c r="OEU1062" s="90"/>
      <c r="OEV1062" s="90"/>
      <c r="OEW1062" s="90"/>
      <c r="OEX1062" s="90"/>
      <c r="OEY1062" s="90"/>
      <c r="OEZ1062" s="90"/>
      <c r="OFA1062" s="90"/>
      <c r="OFB1062" s="90"/>
      <c r="OFC1062" s="90"/>
      <c r="OFD1062" s="90"/>
      <c r="OFE1062" s="90"/>
      <c r="OFF1062" s="90"/>
      <c r="OFG1062" s="90"/>
      <c r="OFH1062" s="90"/>
      <c r="OFI1062" s="90"/>
      <c r="OFJ1062" s="90"/>
      <c r="OFK1062" s="90"/>
      <c r="OFL1062" s="90"/>
      <c r="OFM1062" s="90"/>
      <c r="OFN1062" s="90"/>
      <c r="OFO1062" s="90"/>
      <c r="OFP1062" s="90"/>
      <c r="OFQ1062" s="90"/>
      <c r="OFR1062" s="90"/>
      <c r="OFS1062" s="90"/>
      <c r="OFT1062" s="90"/>
      <c r="OFU1062" s="90"/>
      <c r="OFV1062" s="90"/>
      <c r="OFW1062" s="90"/>
      <c r="OFX1062" s="90"/>
      <c r="OFY1062" s="90"/>
      <c r="OFZ1062" s="90"/>
      <c r="OGA1062" s="90"/>
      <c r="OGB1062" s="90"/>
      <c r="OGC1062" s="90"/>
      <c r="OGD1062" s="90"/>
      <c r="OGE1062" s="90"/>
      <c r="OGF1062" s="90"/>
      <c r="OGG1062" s="90"/>
      <c r="OGH1062" s="90"/>
      <c r="OGI1062" s="90"/>
      <c r="OGJ1062" s="90"/>
      <c r="OGK1062" s="90"/>
      <c r="OGL1062" s="90"/>
      <c r="OGM1062" s="90"/>
      <c r="OGN1062" s="90"/>
      <c r="OGO1062" s="90"/>
      <c r="OGP1062" s="90"/>
      <c r="OGQ1062" s="90"/>
      <c r="OGR1062" s="90"/>
      <c r="OGS1062" s="90"/>
      <c r="OGT1062" s="90"/>
      <c r="OGU1062" s="90"/>
      <c r="OGV1062" s="90"/>
      <c r="OGW1062" s="90"/>
      <c r="OGX1062" s="90"/>
      <c r="OGY1062" s="90"/>
      <c r="OGZ1062" s="90"/>
      <c r="OHA1062" s="90"/>
      <c r="OHB1062" s="90"/>
      <c r="OHC1062" s="90"/>
      <c r="OHD1062" s="90"/>
      <c r="OHE1062" s="90"/>
      <c r="OHF1062" s="90"/>
      <c r="OHG1062" s="90"/>
      <c r="OHH1062" s="90"/>
      <c r="OHI1062" s="90"/>
      <c r="OHJ1062" s="90"/>
      <c r="OHK1062" s="90"/>
      <c r="OHL1062" s="90"/>
      <c r="OHM1062" s="90"/>
      <c r="OHN1062" s="90"/>
      <c r="OHO1062" s="90"/>
      <c r="OHP1062" s="90"/>
      <c r="OHQ1062" s="90"/>
      <c r="OHR1062" s="90"/>
      <c r="OHS1062" s="90"/>
      <c r="OHT1062" s="90"/>
      <c r="OHU1062" s="90"/>
      <c r="OHV1062" s="90"/>
      <c r="OHW1062" s="90"/>
      <c r="OHX1062" s="90"/>
      <c r="OHY1062" s="90"/>
      <c r="OHZ1062" s="90"/>
      <c r="OIA1062" s="90"/>
      <c r="OIB1062" s="90"/>
      <c r="OIC1062" s="90"/>
      <c r="OID1062" s="90"/>
      <c r="OIE1062" s="90"/>
      <c r="OIF1062" s="90"/>
      <c r="OIG1062" s="90"/>
      <c r="OIH1062" s="90"/>
      <c r="OII1062" s="90"/>
      <c r="OIJ1062" s="90"/>
      <c r="OIK1062" s="90"/>
      <c r="OIL1062" s="90"/>
      <c r="OIM1062" s="90"/>
      <c r="OIN1062" s="90"/>
      <c r="OIO1062" s="90"/>
      <c r="OIP1062" s="90"/>
      <c r="OIQ1062" s="90"/>
      <c r="OIR1062" s="90"/>
      <c r="OIS1062" s="90"/>
      <c r="OIT1062" s="90"/>
      <c r="OIU1062" s="90"/>
      <c r="OIV1062" s="90"/>
      <c r="OIW1062" s="90"/>
      <c r="OIX1062" s="90"/>
      <c r="OIY1062" s="90"/>
      <c r="OIZ1062" s="90"/>
      <c r="OJA1062" s="90"/>
      <c r="OJB1062" s="90"/>
      <c r="OJC1062" s="90"/>
      <c r="OJD1062" s="90"/>
      <c r="OJE1062" s="90"/>
      <c r="OJF1062" s="90"/>
      <c r="OJG1062" s="90"/>
      <c r="OJH1062" s="90"/>
      <c r="OJI1062" s="90"/>
      <c r="OJJ1062" s="90"/>
      <c r="OJK1062" s="90"/>
      <c r="OJL1062" s="90"/>
      <c r="OJM1062" s="90"/>
      <c r="OJN1062" s="90"/>
      <c r="OJO1062" s="90"/>
      <c r="OJP1062" s="90"/>
      <c r="OJQ1062" s="90"/>
      <c r="OJR1062" s="90"/>
      <c r="OJS1062" s="90"/>
      <c r="OJT1062" s="90"/>
      <c r="OJU1062" s="90"/>
      <c r="OJV1062" s="90"/>
      <c r="OJW1062" s="90"/>
      <c r="OJX1062" s="90"/>
      <c r="OJY1062" s="90"/>
      <c r="OJZ1062" s="90"/>
      <c r="OKA1062" s="90"/>
      <c r="OKB1062" s="90"/>
      <c r="OKC1062" s="90"/>
      <c r="OKD1062" s="90"/>
      <c r="OKE1062" s="90"/>
      <c r="OKF1062" s="90"/>
      <c r="OKG1062" s="90"/>
      <c r="OKH1062" s="90"/>
      <c r="OKI1062" s="90"/>
      <c r="OKJ1062" s="90"/>
      <c r="OKK1062" s="90"/>
      <c r="OKL1062" s="90"/>
      <c r="OKM1062" s="90"/>
      <c r="OKN1062" s="90"/>
      <c r="OKO1062" s="90"/>
      <c r="OKP1062" s="90"/>
      <c r="OKQ1062" s="90"/>
      <c r="OKR1062" s="90"/>
      <c r="OKS1062" s="90"/>
      <c r="OKT1062" s="90"/>
      <c r="OKU1062" s="90"/>
      <c r="OKV1062" s="90"/>
      <c r="OKW1062" s="90"/>
      <c r="OKX1062" s="90"/>
      <c r="OKY1062" s="90"/>
      <c r="OKZ1062" s="90"/>
      <c r="OLA1062" s="90"/>
      <c r="OLB1062" s="90"/>
      <c r="OLC1062" s="90"/>
      <c r="OLD1062" s="90"/>
      <c r="OLE1062" s="90"/>
      <c r="OLF1062" s="90"/>
      <c r="OLG1062" s="90"/>
      <c r="OLH1062" s="90"/>
      <c r="OLI1062" s="90"/>
      <c r="OLJ1062" s="90"/>
      <c r="OLK1062" s="90"/>
      <c r="OLL1062" s="90"/>
      <c r="OLM1062" s="90"/>
      <c r="OLN1062" s="90"/>
      <c r="OLO1062" s="90"/>
      <c r="OLP1062" s="90"/>
      <c r="OLQ1062" s="90"/>
      <c r="OLR1062" s="90"/>
      <c r="OLS1062" s="90"/>
      <c r="OLT1062" s="90"/>
      <c r="OLU1062" s="90"/>
      <c r="OLV1062" s="90"/>
      <c r="OLW1062" s="90"/>
      <c r="OLX1062" s="90"/>
      <c r="OLY1062" s="90"/>
      <c r="OLZ1062" s="90"/>
      <c r="OMA1062" s="90"/>
      <c r="OMB1062" s="90"/>
      <c r="OMC1062" s="90"/>
      <c r="OMD1062" s="90"/>
      <c r="OME1062" s="90"/>
      <c r="OMF1062" s="90"/>
      <c r="OMG1062" s="90"/>
      <c r="OMH1062" s="90"/>
      <c r="OMI1062" s="90"/>
      <c r="OMJ1062" s="90"/>
      <c r="OMK1062" s="90"/>
      <c r="OML1062" s="90"/>
      <c r="OMM1062" s="90"/>
      <c r="OMN1062" s="90"/>
      <c r="OMO1062" s="90"/>
      <c r="OMP1062" s="90"/>
      <c r="OMQ1062" s="90"/>
      <c r="OMR1062" s="90"/>
      <c r="OMS1062" s="90"/>
      <c r="OMT1062" s="90"/>
      <c r="OMU1062" s="90"/>
      <c r="OMV1062" s="90"/>
      <c r="OMW1062" s="90"/>
      <c r="OMX1062" s="90"/>
      <c r="OMY1062" s="90"/>
      <c r="OMZ1062" s="90"/>
      <c r="ONA1062" s="90"/>
      <c r="ONB1062" s="90"/>
      <c r="ONC1062" s="90"/>
      <c r="OND1062" s="90"/>
      <c r="ONE1062" s="90"/>
      <c r="ONF1062" s="90"/>
      <c r="ONG1062" s="90"/>
      <c r="ONH1062" s="90"/>
      <c r="ONI1062" s="90"/>
      <c r="ONJ1062" s="90"/>
      <c r="ONK1062" s="90"/>
      <c r="ONL1062" s="90"/>
      <c r="ONM1062" s="90"/>
      <c r="ONN1062" s="90"/>
      <c r="ONO1062" s="90"/>
      <c r="ONP1062" s="90"/>
      <c r="ONQ1062" s="90"/>
      <c r="ONR1062" s="90"/>
      <c r="ONS1062" s="90"/>
      <c r="ONT1062" s="90"/>
      <c r="ONU1062" s="90"/>
      <c r="ONV1062" s="90"/>
      <c r="ONW1062" s="90"/>
      <c r="ONX1062" s="90"/>
      <c r="ONY1062" s="90"/>
      <c r="ONZ1062" s="90"/>
      <c r="OOA1062" s="90"/>
      <c r="OOB1062" s="90"/>
      <c r="OOC1062" s="90"/>
      <c r="OOD1062" s="90"/>
      <c r="OOE1062" s="90"/>
      <c r="OOF1062" s="90"/>
      <c r="OOG1062" s="90"/>
      <c r="OOH1062" s="90"/>
      <c r="OOI1062" s="90"/>
      <c r="OOJ1062" s="90"/>
      <c r="OOK1062" s="90"/>
      <c r="OOL1062" s="90"/>
      <c r="OOM1062" s="90"/>
      <c r="OON1062" s="90"/>
      <c r="OOO1062" s="90"/>
      <c r="OOP1062" s="90"/>
      <c r="OOQ1062" s="90"/>
      <c r="OOR1062" s="90"/>
      <c r="OOS1062" s="90"/>
      <c r="OOT1062" s="90"/>
      <c r="OOU1062" s="90"/>
      <c r="OOV1062" s="90"/>
      <c r="OOW1062" s="90"/>
      <c r="OOX1062" s="90"/>
      <c r="OOY1062" s="90"/>
      <c r="OOZ1062" s="90"/>
      <c r="OPA1062" s="90"/>
      <c r="OPB1062" s="90"/>
      <c r="OPC1062" s="90"/>
      <c r="OPD1062" s="90"/>
      <c r="OPE1062" s="90"/>
      <c r="OPF1062" s="90"/>
      <c r="OPG1062" s="90"/>
      <c r="OPH1062" s="90"/>
      <c r="OPI1062" s="90"/>
      <c r="OPJ1062" s="90"/>
      <c r="OPK1062" s="90"/>
      <c r="OPL1062" s="90"/>
      <c r="OPM1062" s="90"/>
      <c r="OPN1062" s="90"/>
      <c r="OPO1062" s="90"/>
      <c r="OPP1062" s="90"/>
      <c r="OPQ1062" s="90"/>
      <c r="OPR1062" s="90"/>
      <c r="OPS1062" s="90"/>
      <c r="OPT1062" s="90"/>
      <c r="OPU1062" s="90"/>
      <c r="OPV1062" s="90"/>
      <c r="OPW1062" s="90"/>
      <c r="OPX1062" s="90"/>
      <c r="OPY1062" s="90"/>
      <c r="OPZ1062" s="90"/>
      <c r="OQA1062" s="90"/>
      <c r="OQB1062" s="90"/>
      <c r="OQC1062" s="90"/>
      <c r="OQD1062" s="90"/>
      <c r="OQE1062" s="90"/>
      <c r="OQF1062" s="90"/>
      <c r="OQG1062" s="90"/>
      <c r="OQH1062" s="90"/>
      <c r="OQI1062" s="90"/>
      <c r="OQJ1062" s="90"/>
      <c r="OQK1062" s="90"/>
      <c r="OQL1062" s="90"/>
      <c r="OQM1062" s="90"/>
      <c r="OQN1062" s="90"/>
      <c r="OQO1062" s="90"/>
      <c r="OQP1062" s="90"/>
      <c r="OQQ1062" s="90"/>
      <c r="OQR1062" s="90"/>
      <c r="OQS1062" s="90"/>
      <c r="OQT1062" s="90"/>
      <c r="OQU1062" s="90"/>
      <c r="OQV1062" s="90"/>
      <c r="OQW1062" s="90"/>
      <c r="OQX1062" s="90"/>
      <c r="OQY1062" s="90"/>
      <c r="OQZ1062" s="90"/>
      <c r="ORA1062" s="90"/>
      <c r="ORB1062" s="90"/>
      <c r="ORC1062" s="90"/>
      <c r="ORD1062" s="90"/>
      <c r="ORE1062" s="90"/>
      <c r="ORF1062" s="90"/>
      <c r="ORG1062" s="90"/>
      <c r="ORH1062" s="90"/>
      <c r="ORI1062" s="90"/>
      <c r="ORJ1062" s="90"/>
      <c r="ORK1062" s="90"/>
      <c r="ORL1062" s="90"/>
      <c r="ORM1062" s="90"/>
      <c r="ORN1062" s="90"/>
      <c r="ORO1062" s="90"/>
      <c r="ORP1062" s="90"/>
      <c r="ORQ1062" s="90"/>
      <c r="ORR1062" s="90"/>
      <c r="ORS1062" s="90"/>
      <c r="ORT1062" s="90"/>
      <c r="ORU1062" s="90"/>
      <c r="ORV1062" s="90"/>
      <c r="ORW1062" s="90"/>
      <c r="ORX1062" s="90"/>
      <c r="ORY1062" s="90"/>
      <c r="ORZ1062" s="90"/>
      <c r="OSA1062" s="90"/>
      <c r="OSB1062" s="90"/>
      <c r="OSC1062" s="90"/>
      <c r="OSD1062" s="90"/>
      <c r="OSE1062" s="90"/>
      <c r="OSF1062" s="90"/>
      <c r="OSG1062" s="90"/>
      <c r="OSH1062" s="90"/>
      <c r="OSI1062" s="90"/>
      <c r="OSJ1062" s="90"/>
      <c r="OSK1062" s="90"/>
      <c r="OSL1062" s="90"/>
      <c r="OSM1062" s="90"/>
      <c r="OSN1062" s="90"/>
      <c r="OSO1062" s="90"/>
      <c r="OSP1062" s="90"/>
      <c r="OSQ1062" s="90"/>
      <c r="OSR1062" s="90"/>
      <c r="OSS1062" s="90"/>
      <c r="OST1062" s="90"/>
      <c r="OSU1062" s="90"/>
      <c r="OSV1062" s="90"/>
      <c r="OSW1062" s="90"/>
      <c r="OSX1062" s="90"/>
      <c r="OSY1062" s="90"/>
      <c r="OSZ1062" s="90"/>
      <c r="OTA1062" s="90"/>
      <c r="OTB1062" s="90"/>
      <c r="OTC1062" s="90"/>
      <c r="OTD1062" s="90"/>
      <c r="OTE1062" s="90"/>
      <c r="OTF1062" s="90"/>
      <c r="OTG1062" s="90"/>
      <c r="OTH1062" s="90"/>
      <c r="OTI1062" s="90"/>
      <c r="OTJ1062" s="90"/>
      <c r="OTK1062" s="90"/>
      <c r="OTL1062" s="90"/>
      <c r="OTM1062" s="90"/>
      <c r="OTN1062" s="90"/>
      <c r="OTO1062" s="90"/>
      <c r="OTP1062" s="90"/>
      <c r="OTQ1062" s="90"/>
      <c r="OTR1062" s="90"/>
      <c r="OTS1062" s="90"/>
      <c r="OTT1062" s="90"/>
      <c r="OTU1062" s="90"/>
      <c r="OTV1062" s="90"/>
      <c r="OTW1062" s="90"/>
      <c r="OTX1062" s="90"/>
      <c r="OTY1062" s="90"/>
      <c r="OTZ1062" s="90"/>
      <c r="OUA1062" s="90"/>
      <c r="OUB1062" s="90"/>
      <c r="OUC1062" s="90"/>
      <c r="OUD1062" s="90"/>
      <c r="OUE1062" s="90"/>
      <c r="OUF1062" s="90"/>
      <c r="OUG1062" s="90"/>
      <c r="OUH1062" s="90"/>
      <c r="OUI1062" s="90"/>
      <c r="OUJ1062" s="90"/>
      <c r="OUK1062" s="90"/>
      <c r="OUL1062" s="90"/>
      <c r="OUM1062" s="90"/>
      <c r="OUN1062" s="90"/>
      <c r="OUO1062" s="90"/>
      <c r="OUP1062" s="90"/>
      <c r="OUQ1062" s="90"/>
      <c r="OUR1062" s="90"/>
      <c r="OUS1062" s="90"/>
      <c r="OUT1062" s="90"/>
      <c r="OUU1062" s="90"/>
      <c r="OUV1062" s="90"/>
      <c r="OUW1062" s="90"/>
      <c r="OUX1062" s="90"/>
      <c r="OUY1062" s="90"/>
      <c r="OUZ1062" s="90"/>
      <c r="OVA1062" s="90"/>
      <c r="OVB1062" s="90"/>
      <c r="OVC1062" s="90"/>
      <c r="OVD1062" s="90"/>
      <c r="OVE1062" s="90"/>
      <c r="OVF1062" s="90"/>
      <c r="OVG1062" s="90"/>
      <c r="OVH1062" s="90"/>
      <c r="OVI1062" s="90"/>
      <c r="OVJ1062" s="90"/>
      <c r="OVK1062" s="90"/>
      <c r="OVL1062" s="90"/>
      <c r="OVM1062" s="90"/>
      <c r="OVN1062" s="90"/>
      <c r="OVO1062" s="90"/>
      <c r="OVP1062" s="90"/>
      <c r="OVQ1062" s="90"/>
      <c r="OVR1062" s="90"/>
      <c r="OVS1062" s="90"/>
      <c r="OVT1062" s="90"/>
      <c r="OVU1062" s="90"/>
      <c r="OVV1062" s="90"/>
      <c r="OVW1062" s="90"/>
      <c r="OVX1062" s="90"/>
      <c r="OVY1062" s="90"/>
      <c r="OVZ1062" s="90"/>
      <c r="OWA1062" s="90"/>
      <c r="OWB1062" s="90"/>
      <c r="OWC1062" s="90"/>
      <c r="OWD1062" s="90"/>
      <c r="OWE1062" s="90"/>
      <c r="OWF1062" s="90"/>
      <c r="OWG1062" s="90"/>
      <c r="OWH1062" s="90"/>
      <c r="OWI1062" s="90"/>
      <c r="OWJ1062" s="90"/>
      <c r="OWK1062" s="90"/>
      <c r="OWL1062" s="90"/>
      <c r="OWM1062" s="90"/>
      <c r="OWN1062" s="90"/>
      <c r="OWO1062" s="90"/>
      <c r="OWP1062" s="90"/>
      <c r="OWQ1062" s="90"/>
      <c r="OWR1062" s="90"/>
      <c r="OWS1062" s="90"/>
      <c r="OWT1062" s="90"/>
      <c r="OWU1062" s="90"/>
      <c r="OWV1062" s="90"/>
      <c r="OWW1062" s="90"/>
      <c r="OWX1062" s="90"/>
      <c r="OWY1062" s="90"/>
      <c r="OWZ1062" s="90"/>
      <c r="OXA1062" s="90"/>
      <c r="OXB1062" s="90"/>
      <c r="OXC1062" s="90"/>
      <c r="OXD1062" s="90"/>
      <c r="OXE1062" s="90"/>
      <c r="OXF1062" s="90"/>
      <c r="OXG1062" s="90"/>
      <c r="OXH1062" s="90"/>
      <c r="OXI1062" s="90"/>
      <c r="OXJ1062" s="90"/>
      <c r="OXK1062" s="90"/>
      <c r="OXL1062" s="90"/>
      <c r="OXM1062" s="90"/>
      <c r="OXN1062" s="90"/>
      <c r="OXO1062" s="90"/>
      <c r="OXP1062" s="90"/>
      <c r="OXQ1062" s="90"/>
      <c r="OXR1062" s="90"/>
      <c r="OXS1062" s="90"/>
      <c r="OXT1062" s="90"/>
      <c r="OXU1062" s="90"/>
      <c r="OXV1062" s="90"/>
      <c r="OXW1062" s="90"/>
      <c r="OXX1062" s="90"/>
      <c r="OXY1062" s="90"/>
      <c r="OXZ1062" s="90"/>
      <c r="OYA1062" s="90"/>
      <c r="OYB1062" s="90"/>
      <c r="OYC1062" s="90"/>
      <c r="OYD1062" s="90"/>
      <c r="OYE1062" s="90"/>
      <c r="OYF1062" s="90"/>
      <c r="OYG1062" s="90"/>
      <c r="OYH1062" s="90"/>
      <c r="OYI1062" s="90"/>
      <c r="OYJ1062" s="90"/>
      <c r="OYK1062" s="90"/>
      <c r="OYL1062" s="90"/>
      <c r="OYM1062" s="90"/>
      <c r="OYN1062" s="90"/>
      <c r="OYO1062" s="90"/>
      <c r="OYP1062" s="90"/>
      <c r="OYQ1062" s="90"/>
      <c r="OYR1062" s="90"/>
      <c r="OYS1062" s="90"/>
      <c r="OYT1062" s="90"/>
      <c r="OYU1062" s="90"/>
      <c r="OYV1062" s="90"/>
      <c r="OYW1062" s="90"/>
      <c r="OYX1062" s="90"/>
      <c r="OYY1062" s="90"/>
      <c r="OYZ1062" s="90"/>
      <c r="OZA1062" s="90"/>
      <c r="OZB1062" s="90"/>
      <c r="OZC1062" s="90"/>
      <c r="OZD1062" s="90"/>
      <c r="OZE1062" s="90"/>
      <c r="OZF1062" s="90"/>
      <c r="OZG1062" s="90"/>
      <c r="OZH1062" s="90"/>
      <c r="OZI1062" s="90"/>
      <c r="OZJ1062" s="90"/>
      <c r="OZK1062" s="90"/>
      <c r="OZL1062" s="90"/>
      <c r="OZM1062" s="90"/>
      <c r="OZN1062" s="90"/>
      <c r="OZO1062" s="90"/>
      <c r="OZP1062" s="90"/>
      <c r="OZQ1062" s="90"/>
      <c r="OZR1062" s="90"/>
      <c r="OZS1062" s="90"/>
      <c r="OZT1062" s="90"/>
      <c r="OZU1062" s="90"/>
      <c r="OZV1062" s="90"/>
      <c r="OZW1062" s="90"/>
      <c r="OZX1062" s="90"/>
      <c r="OZY1062" s="90"/>
      <c r="OZZ1062" s="90"/>
      <c r="PAA1062" s="90"/>
      <c r="PAB1062" s="90"/>
      <c r="PAC1062" s="90"/>
      <c r="PAD1062" s="90"/>
      <c r="PAE1062" s="90"/>
      <c r="PAF1062" s="90"/>
      <c r="PAG1062" s="90"/>
      <c r="PAH1062" s="90"/>
      <c r="PAI1062" s="90"/>
      <c r="PAJ1062" s="90"/>
      <c r="PAK1062" s="90"/>
      <c r="PAL1062" s="90"/>
      <c r="PAM1062" s="90"/>
      <c r="PAN1062" s="90"/>
      <c r="PAO1062" s="90"/>
      <c r="PAP1062" s="90"/>
      <c r="PAQ1062" s="90"/>
      <c r="PAR1062" s="90"/>
      <c r="PAS1062" s="90"/>
      <c r="PAT1062" s="90"/>
      <c r="PAU1062" s="90"/>
      <c r="PAV1062" s="90"/>
      <c r="PAW1062" s="90"/>
      <c r="PAX1062" s="90"/>
      <c r="PAY1062" s="90"/>
      <c r="PAZ1062" s="90"/>
      <c r="PBA1062" s="90"/>
      <c r="PBB1062" s="90"/>
      <c r="PBC1062" s="90"/>
      <c r="PBD1062" s="90"/>
      <c r="PBE1062" s="90"/>
      <c r="PBF1062" s="90"/>
      <c r="PBG1062" s="90"/>
      <c r="PBH1062" s="90"/>
      <c r="PBI1062" s="90"/>
      <c r="PBJ1062" s="90"/>
      <c r="PBK1062" s="90"/>
      <c r="PBL1062" s="90"/>
      <c r="PBM1062" s="90"/>
      <c r="PBN1062" s="90"/>
      <c r="PBO1062" s="90"/>
      <c r="PBP1062" s="90"/>
      <c r="PBQ1062" s="90"/>
      <c r="PBR1062" s="90"/>
      <c r="PBS1062" s="90"/>
      <c r="PBT1062" s="90"/>
      <c r="PBU1062" s="90"/>
      <c r="PBV1062" s="90"/>
      <c r="PBW1062" s="90"/>
      <c r="PBX1062" s="90"/>
      <c r="PBY1062" s="90"/>
      <c r="PBZ1062" s="90"/>
      <c r="PCA1062" s="90"/>
      <c r="PCB1062" s="90"/>
      <c r="PCC1062" s="90"/>
      <c r="PCD1062" s="90"/>
      <c r="PCE1062" s="90"/>
      <c r="PCF1062" s="90"/>
      <c r="PCG1062" s="90"/>
      <c r="PCH1062" s="90"/>
      <c r="PCI1062" s="90"/>
      <c r="PCJ1062" s="90"/>
      <c r="PCK1062" s="90"/>
      <c r="PCL1062" s="90"/>
      <c r="PCM1062" s="90"/>
      <c r="PCN1062" s="90"/>
      <c r="PCO1062" s="90"/>
      <c r="PCP1062" s="90"/>
      <c r="PCQ1062" s="90"/>
      <c r="PCR1062" s="90"/>
      <c r="PCS1062" s="90"/>
      <c r="PCT1062" s="90"/>
      <c r="PCU1062" s="90"/>
      <c r="PCV1062" s="90"/>
      <c r="PCW1062" s="90"/>
      <c r="PCX1062" s="90"/>
      <c r="PCY1062" s="90"/>
      <c r="PCZ1062" s="90"/>
      <c r="PDA1062" s="90"/>
      <c r="PDB1062" s="90"/>
      <c r="PDC1062" s="90"/>
      <c r="PDD1062" s="90"/>
      <c r="PDE1062" s="90"/>
      <c r="PDF1062" s="90"/>
      <c r="PDG1062" s="90"/>
      <c r="PDH1062" s="90"/>
      <c r="PDI1062" s="90"/>
      <c r="PDJ1062" s="90"/>
      <c r="PDK1062" s="90"/>
      <c r="PDL1062" s="90"/>
      <c r="PDM1062" s="90"/>
      <c r="PDN1062" s="90"/>
      <c r="PDO1062" s="90"/>
      <c r="PDP1062" s="90"/>
      <c r="PDQ1062" s="90"/>
      <c r="PDR1062" s="90"/>
      <c r="PDS1062" s="90"/>
      <c r="PDT1062" s="90"/>
      <c r="PDU1062" s="90"/>
      <c r="PDV1062" s="90"/>
      <c r="PDW1062" s="90"/>
      <c r="PDX1062" s="90"/>
      <c r="PDY1062" s="90"/>
      <c r="PDZ1062" s="90"/>
      <c r="PEA1062" s="90"/>
      <c r="PEB1062" s="90"/>
      <c r="PEC1062" s="90"/>
      <c r="PED1062" s="90"/>
      <c r="PEE1062" s="90"/>
      <c r="PEF1062" s="90"/>
      <c r="PEG1062" s="90"/>
      <c r="PEH1062" s="90"/>
      <c r="PEI1062" s="90"/>
      <c r="PEJ1062" s="90"/>
      <c r="PEK1062" s="90"/>
      <c r="PEL1062" s="90"/>
      <c r="PEM1062" s="90"/>
      <c r="PEN1062" s="90"/>
      <c r="PEO1062" s="90"/>
      <c r="PEP1062" s="90"/>
      <c r="PEQ1062" s="90"/>
      <c r="PER1062" s="90"/>
      <c r="PES1062" s="90"/>
      <c r="PET1062" s="90"/>
      <c r="PEU1062" s="90"/>
      <c r="PEV1062" s="90"/>
      <c r="PEW1062" s="90"/>
      <c r="PEX1062" s="90"/>
      <c r="PEY1062" s="90"/>
      <c r="PEZ1062" s="90"/>
      <c r="PFA1062" s="90"/>
      <c r="PFB1062" s="90"/>
      <c r="PFC1062" s="90"/>
      <c r="PFD1062" s="90"/>
      <c r="PFE1062" s="90"/>
      <c r="PFF1062" s="90"/>
      <c r="PFG1062" s="90"/>
      <c r="PFH1062" s="90"/>
      <c r="PFI1062" s="90"/>
      <c r="PFJ1062" s="90"/>
      <c r="PFK1062" s="90"/>
      <c r="PFL1062" s="90"/>
      <c r="PFM1062" s="90"/>
      <c r="PFN1062" s="90"/>
      <c r="PFO1062" s="90"/>
      <c r="PFP1062" s="90"/>
      <c r="PFQ1062" s="90"/>
      <c r="PFR1062" s="90"/>
      <c r="PFS1062" s="90"/>
      <c r="PFT1062" s="90"/>
      <c r="PFU1062" s="90"/>
      <c r="PFV1062" s="90"/>
      <c r="PFW1062" s="90"/>
      <c r="PFX1062" s="90"/>
      <c r="PFY1062" s="90"/>
      <c r="PFZ1062" s="90"/>
      <c r="PGA1062" s="90"/>
      <c r="PGB1062" s="90"/>
      <c r="PGC1062" s="90"/>
      <c r="PGD1062" s="90"/>
      <c r="PGE1062" s="90"/>
      <c r="PGF1062" s="90"/>
      <c r="PGG1062" s="90"/>
      <c r="PGH1062" s="90"/>
      <c r="PGI1062" s="90"/>
      <c r="PGJ1062" s="90"/>
      <c r="PGK1062" s="90"/>
      <c r="PGL1062" s="90"/>
      <c r="PGM1062" s="90"/>
      <c r="PGN1062" s="90"/>
      <c r="PGO1062" s="90"/>
      <c r="PGP1062" s="90"/>
      <c r="PGQ1062" s="90"/>
      <c r="PGR1062" s="90"/>
      <c r="PGS1062" s="90"/>
      <c r="PGT1062" s="90"/>
      <c r="PGU1062" s="90"/>
      <c r="PGV1062" s="90"/>
      <c r="PGW1062" s="90"/>
      <c r="PGX1062" s="90"/>
      <c r="PGY1062" s="90"/>
      <c r="PGZ1062" s="90"/>
      <c r="PHA1062" s="90"/>
      <c r="PHB1062" s="90"/>
      <c r="PHC1062" s="90"/>
      <c r="PHD1062" s="90"/>
      <c r="PHE1062" s="90"/>
      <c r="PHF1062" s="90"/>
      <c r="PHG1062" s="90"/>
      <c r="PHH1062" s="90"/>
      <c r="PHI1062" s="90"/>
      <c r="PHJ1062" s="90"/>
      <c r="PHK1062" s="90"/>
      <c r="PHL1062" s="90"/>
      <c r="PHM1062" s="90"/>
      <c r="PHN1062" s="90"/>
      <c r="PHO1062" s="90"/>
      <c r="PHP1062" s="90"/>
      <c r="PHQ1062" s="90"/>
      <c r="PHR1062" s="90"/>
      <c r="PHS1062" s="90"/>
      <c r="PHT1062" s="90"/>
      <c r="PHU1062" s="90"/>
      <c r="PHV1062" s="90"/>
      <c r="PHW1062" s="90"/>
      <c r="PHX1062" s="90"/>
      <c r="PHY1062" s="90"/>
      <c r="PHZ1062" s="90"/>
      <c r="PIA1062" s="90"/>
      <c r="PIB1062" s="90"/>
      <c r="PIC1062" s="90"/>
      <c r="PID1062" s="90"/>
      <c r="PIE1062" s="90"/>
      <c r="PIF1062" s="90"/>
      <c r="PIG1062" s="90"/>
      <c r="PIH1062" s="90"/>
      <c r="PII1062" s="90"/>
      <c r="PIJ1062" s="90"/>
      <c r="PIK1062" s="90"/>
      <c r="PIL1062" s="90"/>
      <c r="PIM1062" s="90"/>
      <c r="PIN1062" s="90"/>
      <c r="PIO1062" s="90"/>
      <c r="PIP1062" s="90"/>
      <c r="PIQ1062" s="90"/>
      <c r="PIR1062" s="90"/>
      <c r="PIS1062" s="90"/>
      <c r="PIT1062" s="90"/>
      <c r="PIU1062" s="90"/>
      <c r="PIV1062" s="90"/>
      <c r="PIW1062" s="90"/>
      <c r="PIX1062" s="90"/>
      <c r="PIY1062" s="90"/>
      <c r="PIZ1062" s="90"/>
      <c r="PJA1062" s="90"/>
      <c r="PJB1062" s="90"/>
      <c r="PJC1062" s="90"/>
      <c r="PJD1062" s="90"/>
      <c r="PJE1062" s="90"/>
      <c r="PJF1062" s="90"/>
      <c r="PJG1062" s="90"/>
      <c r="PJH1062" s="90"/>
      <c r="PJI1062" s="90"/>
      <c r="PJJ1062" s="90"/>
      <c r="PJK1062" s="90"/>
      <c r="PJL1062" s="90"/>
      <c r="PJM1062" s="90"/>
      <c r="PJN1062" s="90"/>
      <c r="PJO1062" s="90"/>
      <c r="PJP1062" s="90"/>
      <c r="PJQ1062" s="90"/>
      <c r="PJR1062" s="90"/>
      <c r="PJS1062" s="90"/>
      <c r="PJT1062" s="90"/>
      <c r="PJU1062" s="90"/>
      <c r="PJV1062" s="90"/>
      <c r="PJW1062" s="90"/>
      <c r="PJX1062" s="90"/>
      <c r="PJY1062" s="90"/>
      <c r="PJZ1062" s="90"/>
      <c r="PKA1062" s="90"/>
      <c r="PKB1062" s="90"/>
      <c r="PKC1062" s="90"/>
      <c r="PKD1062" s="90"/>
      <c r="PKE1062" s="90"/>
      <c r="PKF1062" s="90"/>
      <c r="PKG1062" s="90"/>
      <c r="PKH1062" s="90"/>
      <c r="PKI1062" s="90"/>
      <c r="PKJ1062" s="90"/>
      <c r="PKK1062" s="90"/>
      <c r="PKL1062" s="90"/>
      <c r="PKM1062" s="90"/>
      <c r="PKN1062" s="90"/>
      <c r="PKO1062" s="90"/>
      <c r="PKP1062" s="90"/>
      <c r="PKQ1062" s="90"/>
      <c r="PKR1062" s="90"/>
      <c r="PKS1062" s="90"/>
      <c r="PKT1062" s="90"/>
      <c r="PKU1062" s="90"/>
      <c r="PKV1062" s="90"/>
      <c r="PKW1062" s="90"/>
      <c r="PKX1062" s="90"/>
      <c r="PKY1062" s="90"/>
      <c r="PKZ1062" s="90"/>
      <c r="PLA1062" s="90"/>
      <c r="PLB1062" s="90"/>
      <c r="PLC1062" s="90"/>
      <c r="PLD1062" s="90"/>
      <c r="PLE1062" s="90"/>
      <c r="PLF1062" s="90"/>
      <c r="PLG1062" s="90"/>
      <c r="PLH1062" s="90"/>
      <c r="PLI1062" s="90"/>
      <c r="PLJ1062" s="90"/>
      <c r="PLK1062" s="90"/>
      <c r="PLL1062" s="90"/>
      <c r="PLM1062" s="90"/>
      <c r="PLN1062" s="90"/>
      <c r="PLO1062" s="90"/>
      <c r="PLP1062" s="90"/>
      <c r="PLQ1062" s="90"/>
      <c r="PLR1062" s="90"/>
      <c r="PLS1062" s="90"/>
      <c r="PLT1062" s="90"/>
      <c r="PLU1062" s="90"/>
      <c r="PLV1062" s="90"/>
      <c r="PLW1062" s="90"/>
      <c r="PLX1062" s="90"/>
      <c r="PLY1062" s="90"/>
      <c r="PLZ1062" s="90"/>
      <c r="PMA1062" s="90"/>
      <c r="PMB1062" s="90"/>
      <c r="PMC1062" s="90"/>
      <c r="PMD1062" s="90"/>
      <c r="PME1062" s="90"/>
      <c r="PMF1062" s="90"/>
      <c r="PMG1062" s="90"/>
      <c r="PMH1062" s="90"/>
      <c r="PMI1062" s="90"/>
      <c r="PMJ1062" s="90"/>
      <c r="PMK1062" s="90"/>
      <c r="PML1062" s="90"/>
      <c r="PMM1062" s="90"/>
      <c r="PMN1062" s="90"/>
      <c r="PMO1062" s="90"/>
      <c r="PMP1062" s="90"/>
      <c r="PMQ1062" s="90"/>
      <c r="PMR1062" s="90"/>
      <c r="PMS1062" s="90"/>
      <c r="PMT1062" s="90"/>
      <c r="PMU1062" s="90"/>
      <c r="PMV1062" s="90"/>
      <c r="PMW1062" s="90"/>
      <c r="PMX1062" s="90"/>
      <c r="PMY1062" s="90"/>
      <c r="PMZ1062" s="90"/>
      <c r="PNA1062" s="90"/>
      <c r="PNB1062" s="90"/>
      <c r="PNC1062" s="90"/>
      <c r="PND1062" s="90"/>
      <c r="PNE1062" s="90"/>
      <c r="PNF1062" s="90"/>
      <c r="PNG1062" s="90"/>
      <c r="PNH1062" s="90"/>
      <c r="PNI1062" s="90"/>
      <c r="PNJ1062" s="90"/>
      <c r="PNK1062" s="90"/>
      <c r="PNL1062" s="90"/>
      <c r="PNM1062" s="90"/>
      <c r="PNN1062" s="90"/>
      <c r="PNO1062" s="90"/>
      <c r="PNP1062" s="90"/>
      <c r="PNQ1062" s="90"/>
      <c r="PNR1062" s="90"/>
      <c r="PNS1062" s="90"/>
      <c r="PNT1062" s="90"/>
      <c r="PNU1062" s="90"/>
      <c r="PNV1062" s="90"/>
      <c r="PNW1062" s="90"/>
      <c r="PNX1062" s="90"/>
      <c r="PNY1062" s="90"/>
      <c r="PNZ1062" s="90"/>
      <c r="POA1062" s="90"/>
      <c r="POB1062" s="90"/>
      <c r="POC1062" s="90"/>
      <c r="POD1062" s="90"/>
      <c r="POE1062" s="90"/>
      <c r="POF1062" s="90"/>
      <c r="POG1062" s="90"/>
      <c r="POH1062" s="90"/>
      <c r="POI1062" s="90"/>
      <c r="POJ1062" s="90"/>
      <c r="POK1062" s="90"/>
      <c r="POL1062" s="90"/>
      <c r="POM1062" s="90"/>
      <c r="PON1062" s="90"/>
      <c r="POO1062" s="90"/>
      <c r="POP1062" s="90"/>
      <c r="POQ1062" s="90"/>
      <c r="POR1062" s="90"/>
      <c r="POS1062" s="90"/>
      <c r="POT1062" s="90"/>
      <c r="POU1062" s="90"/>
      <c r="POV1062" s="90"/>
      <c r="POW1062" s="90"/>
      <c r="POX1062" s="90"/>
      <c r="POY1062" s="90"/>
      <c r="POZ1062" s="90"/>
      <c r="PPA1062" s="90"/>
      <c r="PPB1062" s="90"/>
      <c r="PPC1062" s="90"/>
      <c r="PPD1062" s="90"/>
      <c r="PPE1062" s="90"/>
      <c r="PPF1062" s="90"/>
      <c r="PPG1062" s="90"/>
      <c r="PPH1062" s="90"/>
      <c r="PPI1062" s="90"/>
      <c r="PPJ1062" s="90"/>
      <c r="PPK1062" s="90"/>
      <c r="PPL1062" s="90"/>
      <c r="PPM1062" s="90"/>
      <c r="PPN1062" s="90"/>
      <c r="PPO1062" s="90"/>
      <c r="PPP1062" s="90"/>
      <c r="PPQ1062" s="90"/>
      <c r="PPR1062" s="90"/>
      <c r="PPS1062" s="90"/>
      <c r="PPT1062" s="90"/>
      <c r="PPU1062" s="90"/>
      <c r="PPV1062" s="90"/>
      <c r="PPW1062" s="90"/>
      <c r="PPX1062" s="90"/>
      <c r="PPY1062" s="90"/>
      <c r="PPZ1062" s="90"/>
      <c r="PQA1062" s="90"/>
      <c r="PQB1062" s="90"/>
      <c r="PQC1062" s="90"/>
      <c r="PQD1062" s="90"/>
      <c r="PQE1062" s="90"/>
      <c r="PQF1062" s="90"/>
      <c r="PQG1062" s="90"/>
      <c r="PQH1062" s="90"/>
      <c r="PQI1062" s="90"/>
      <c r="PQJ1062" s="90"/>
      <c r="PQK1062" s="90"/>
      <c r="PQL1062" s="90"/>
      <c r="PQM1062" s="90"/>
      <c r="PQN1062" s="90"/>
      <c r="PQO1062" s="90"/>
      <c r="PQP1062" s="90"/>
      <c r="PQQ1062" s="90"/>
      <c r="PQR1062" s="90"/>
      <c r="PQS1062" s="90"/>
      <c r="PQT1062" s="90"/>
      <c r="PQU1062" s="90"/>
      <c r="PQV1062" s="90"/>
      <c r="PQW1062" s="90"/>
      <c r="PQX1062" s="90"/>
      <c r="PQY1062" s="90"/>
      <c r="PQZ1062" s="90"/>
      <c r="PRA1062" s="90"/>
      <c r="PRB1062" s="90"/>
      <c r="PRC1062" s="90"/>
      <c r="PRD1062" s="90"/>
      <c r="PRE1062" s="90"/>
      <c r="PRF1062" s="90"/>
      <c r="PRG1062" s="90"/>
      <c r="PRH1062" s="90"/>
      <c r="PRI1062" s="90"/>
      <c r="PRJ1062" s="90"/>
      <c r="PRK1062" s="90"/>
      <c r="PRL1062" s="90"/>
      <c r="PRM1062" s="90"/>
      <c r="PRN1062" s="90"/>
      <c r="PRO1062" s="90"/>
      <c r="PRP1062" s="90"/>
      <c r="PRQ1062" s="90"/>
      <c r="PRR1062" s="90"/>
      <c r="PRS1062" s="90"/>
      <c r="PRT1062" s="90"/>
      <c r="PRU1062" s="90"/>
      <c r="PRV1062" s="90"/>
      <c r="PRW1062" s="90"/>
      <c r="PRX1062" s="90"/>
      <c r="PRY1062" s="90"/>
      <c r="PRZ1062" s="90"/>
      <c r="PSA1062" s="90"/>
      <c r="PSB1062" s="90"/>
      <c r="PSC1062" s="90"/>
      <c r="PSD1062" s="90"/>
      <c r="PSE1062" s="90"/>
      <c r="PSF1062" s="90"/>
      <c r="PSG1062" s="90"/>
      <c r="PSH1062" s="90"/>
      <c r="PSI1062" s="90"/>
      <c r="PSJ1062" s="90"/>
      <c r="PSK1062" s="90"/>
      <c r="PSL1062" s="90"/>
      <c r="PSM1062" s="90"/>
      <c r="PSN1062" s="90"/>
      <c r="PSO1062" s="90"/>
      <c r="PSP1062" s="90"/>
      <c r="PSQ1062" s="90"/>
      <c r="PSR1062" s="90"/>
      <c r="PSS1062" s="90"/>
      <c r="PST1062" s="90"/>
      <c r="PSU1062" s="90"/>
      <c r="PSV1062" s="90"/>
      <c r="PSW1062" s="90"/>
      <c r="PSX1062" s="90"/>
      <c r="PSY1062" s="90"/>
      <c r="PSZ1062" s="90"/>
      <c r="PTA1062" s="90"/>
      <c r="PTB1062" s="90"/>
      <c r="PTC1062" s="90"/>
      <c r="PTD1062" s="90"/>
      <c r="PTE1062" s="90"/>
      <c r="PTF1062" s="90"/>
      <c r="PTG1062" s="90"/>
      <c r="PTH1062" s="90"/>
      <c r="PTI1062" s="90"/>
      <c r="PTJ1062" s="90"/>
      <c r="PTK1062" s="90"/>
      <c r="PTL1062" s="90"/>
      <c r="PTM1062" s="90"/>
      <c r="PTN1062" s="90"/>
      <c r="PTO1062" s="90"/>
      <c r="PTP1062" s="90"/>
      <c r="PTQ1062" s="90"/>
      <c r="PTR1062" s="90"/>
      <c r="PTS1062" s="90"/>
      <c r="PTT1062" s="90"/>
      <c r="PTU1062" s="90"/>
      <c r="PTV1062" s="90"/>
      <c r="PTW1062" s="90"/>
      <c r="PTX1062" s="90"/>
      <c r="PTY1062" s="90"/>
      <c r="PTZ1062" s="90"/>
      <c r="PUA1062" s="90"/>
      <c r="PUB1062" s="90"/>
      <c r="PUC1062" s="90"/>
      <c r="PUD1062" s="90"/>
      <c r="PUE1062" s="90"/>
      <c r="PUF1062" s="90"/>
      <c r="PUG1062" s="90"/>
      <c r="PUH1062" s="90"/>
      <c r="PUI1062" s="90"/>
      <c r="PUJ1062" s="90"/>
      <c r="PUK1062" s="90"/>
      <c r="PUL1062" s="90"/>
      <c r="PUM1062" s="90"/>
      <c r="PUN1062" s="90"/>
      <c r="PUO1062" s="90"/>
      <c r="PUP1062" s="90"/>
      <c r="PUQ1062" s="90"/>
      <c r="PUR1062" s="90"/>
      <c r="PUS1062" s="90"/>
      <c r="PUT1062" s="90"/>
      <c r="PUU1062" s="90"/>
      <c r="PUV1062" s="90"/>
      <c r="PUW1062" s="90"/>
      <c r="PUX1062" s="90"/>
      <c r="PUY1062" s="90"/>
      <c r="PUZ1062" s="90"/>
      <c r="PVA1062" s="90"/>
      <c r="PVB1062" s="90"/>
      <c r="PVC1062" s="90"/>
      <c r="PVD1062" s="90"/>
      <c r="PVE1062" s="90"/>
      <c r="PVF1062" s="90"/>
      <c r="PVG1062" s="90"/>
      <c r="PVH1062" s="90"/>
      <c r="PVI1062" s="90"/>
      <c r="PVJ1062" s="90"/>
      <c r="PVK1062" s="90"/>
      <c r="PVL1062" s="90"/>
      <c r="PVM1062" s="90"/>
      <c r="PVN1062" s="90"/>
      <c r="PVO1062" s="90"/>
      <c r="PVP1062" s="90"/>
      <c r="PVQ1062" s="90"/>
      <c r="PVR1062" s="90"/>
      <c r="PVS1062" s="90"/>
      <c r="PVT1062" s="90"/>
      <c r="PVU1062" s="90"/>
      <c r="PVV1062" s="90"/>
      <c r="PVW1062" s="90"/>
      <c r="PVX1062" s="90"/>
      <c r="PVY1062" s="90"/>
      <c r="PVZ1062" s="90"/>
      <c r="PWA1062" s="90"/>
      <c r="PWB1062" s="90"/>
      <c r="PWC1062" s="90"/>
      <c r="PWD1062" s="90"/>
      <c r="PWE1062" s="90"/>
      <c r="PWF1062" s="90"/>
      <c r="PWG1062" s="90"/>
      <c r="PWH1062" s="90"/>
      <c r="PWI1062" s="90"/>
      <c r="PWJ1062" s="90"/>
      <c r="PWK1062" s="90"/>
      <c r="PWL1062" s="90"/>
      <c r="PWM1062" s="90"/>
      <c r="PWN1062" s="90"/>
      <c r="PWO1062" s="90"/>
      <c r="PWP1062" s="90"/>
      <c r="PWQ1062" s="90"/>
      <c r="PWR1062" s="90"/>
      <c r="PWS1062" s="90"/>
      <c r="PWT1062" s="90"/>
      <c r="PWU1062" s="90"/>
      <c r="PWV1062" s="90"/>
      <c r="PWW1062" s="90"/>
      <c r="PWX1062" s="90"/>
      <c r="PWY1062" s="90"/>
      <c r="PWZ1062" s="90"/>
      <c r="PXA1062" s="90"/>
      <c r="PXB1062" s="90"/>
      <c r="PXC1062" s="90"/>
      <c r="PXD1062" s="90"/>
      <c r="PXE1062" s="90"/>
      <c r="PXF1062" s="90"/>
      <c r="PXG1062" s="90"/>
      <c r="PXH1062" s="90"/>
      <c r="PXI1062" s="90"/>
      <c r="PXJ1062" s="90"/>
      <c r="PXK1062" s="90"/>
      <c r="PXL1062" s="90"/>
      <c r="PXM1062" s="90"/>
      <c r="PXN1062" s="90"/>
      <c r="PXO1062" s="90"/>
      <c r="PXP1062" s="90"/>
      <c r="PXQ1062" s="90"/>
      <c r="PXR1062" s="90"/>
      <c r="PXS1062" s="90"/>
      <c r="PXT1062" s="90"/>
      <c r="PXU1062" s="90"/>
      <c r="PXV1062" s="90"/>
      <c r="PXW1062" s="90"/>
      <c r="PXX1062" s="90"/>
      <c r="PXY1062" s="90"/>
      <c r="PXZ1062" s="90"/>
      <c r="PYA1062" s="90"/>
      <c r="PYB1062" s="90"/>
      <c r="PYC1062" s="90"/>
      <c r="PYD1062" s="90"/>
      <c r="PYE1062" s="90"/>
      <c r="PYF1062" s="90"/>
      <c r="PYG1062" s="90"/>
      <c r="PYH1062" s="90"/>
      <c r="PYI1062" s="90"/>
      <c r="PYJ1062" s="90"/>
      <c r="PYK1062" s="90"/>
      <c r="PYL1062" s="90"/>
      <c r="PYM1062" s="90"/>
      <c r="PYN1062" s="90"/>
      <c r="PYO1062" s="90"/>
      <c r="PYP1062" s="90"/>
      <c r="PYQ1062" s="90"/>
      <c r="PYR1062" s="90"/>
      <c r="PYS1062" s="90"/>
      <c r="PYT1062" s="90"/>
      <c r="PYU1062" s="90"/>
      <c r="PYV1062" s="90"/>
      <c r="PYW1062" s="90"/>
      <c r="PYX1062" s="90"/>
      <c r="PYY1062" s="90"/>
      <c r="PYZ1062" s="90"/>
      <c r="PZA1062" s="90"/>
      <c r="PZB1062" s="90"/>
      <c r="PZC1062" s="90"/>
      <c r="PZD1062" s="90"/>
      <c r="PZE1062" s="90"/>
      <c r="PZF1062" s="90"/>
      <c r="PZG1062" s="90"/>
      <c r="PZH1062" s="90"/>
      <c r="PZI1062" s="90"/>
      <c r="PZJ1062" s="90"/>
      <c r="PZK1062" s="90"/>
      <c r="PZL1062" s="90"/>
      <c r="PZM1062" s="90"/>
      <c r="PZN1062" s="90"/>
      <c r="PZO1062" s="90"/>
      <c r="PZP1062" s="90"/>
      <c r="PZQ1062" s="90"/>
      <c r="PZR1062" s="90"/>
      <c r="PZS1062" s="90"/>
      <c r="PZT1062" s="90"/>
      <c r="PZU1062" s="90"/>
      <c r="PZV1062" s="90"/>
      <c r="PZW1062" s="90"/>
      <c r="PZX1062" s="90"/>
      <c r="PZY1062" s="90"/>
      <c r="PZZ1062" s="90"/>
      <c r="QAA1062" s="90"/>
      <c r="QAB1062" s="90"/>
      <c r="QAC1062" s="90"/>
      <c r="QAD1062" s="90"/>
      <c r="QAE1062" s="90"/>
      <c r="QAF1062" s="90"/>
      <c r="QAG1062" s="90"/>
      <c r="QAH1062" s="90"/>
      <c r="QAI1062" s="90"/>
      <c r="QAJ1062" s="90"/>
      <c r="QAK1062" s="90"/>
      <c r="QAL1062" s="90"/>
      <c r="QAM1062" s="90"/>
      <c r="QAN1062" s="90"/>
      <c r="QAO1062" s="90"/>
      <c r="QAP1062" s="90"/>
      <c r="QAQ1062" s="90"/>
      <c r="QAR1062" s="90"/>
      <c r="QAS1062" s="90"/>
      <c r="QAT1062" s="90"/>
      <c r="QAU1062" s="90"/>
      <c r="QAV1062" s="90"/>
      <c r="QAW1062" s="90"/>
      <c r="QAX1062" s="90"/>
      <c r="QAY1062" s="90"/>
      <c r="QAZ1062" s="90"/>
      <c r="QBA1062" s="90"/>
      <c r="QBB1062" s="90"/>
      <c r="QBC1062" s="90"/>
      <c r="QBD1062" s="90"/>
      <c r="QBE1062" s="90"/>
      <c r="QBF1062" s="90"/>
      <c r="QBG1062" s="90"/>
      <c r="QBH1062" s="90"/>
      <c r="QBI1062" s="90"/>
      <c r="QBJ1062" s="90"/>
      <c r="QBK1062" s="90"/>
      <c r="QBL1062" s="90"/>
      <c r="QBM1062" s="90"/>
      <c r="QBN1062" s="90"/>
      <c r="QBO1062" s="90"/>
      <c r="QBP1062" s="90"/>
      <c r="QBQ1062" s="90"/>
      <c r="QBR1062" s="90"/>
      <c r="QBS1062" s="90"/>
      <c r="QBT1062" s="90"/>
      <c r="QBU1062" s="90"/>
      <c r="QBV1062" s="90"/>
      <c r="QBW1062" s="90"/>
      <c r="QBX1062" s="90"/>
      <c r="QBY1062" s="90"/>
      <c r="QBZ1062" s="90"/>
      <c r="QCA1062" s="90"/>
      <c r="QCB1062" s="90"/>
      <c r="QCC1062" s="90"/>
      <c r="QCD1062" s="90"/>
      <c r="QCE1062" s="90"/>
      <c r="QCF1062" s="90"/>
      <c r="QCG1062" s="90"/>
      <c r="QCH1062" s="90"/>
      <c r="QCI1062" s="90"/>
      <c r="QCJ1062" s="90"/>
      <c r="QCK1062" s="90"/>
      <c r="QCL1062" s="90"/>
      <c r="QCM1062" s="90"/>
      <c r="QCN1062" s="90"/>
      <c r="QCO1062" s="90"/>
      <c r="QCP1062" s="90"/>
      <c r="QCQ1062" s="90"/>
      <c r="QCR1062" s="90"/>
      <c r="QCS1062" s="90"/>
      <c r="QCT1062" s="90"/>
      <c r="QCU1062" s="90"/>
      <c r="QCV1062" s="90"/>
      <c r="QCW1062" s="90"/>
      <c r="QCX1062" s="90"/>
      <c r="QCY1062" s="90"/>
      <c r="QCZ1062" s="90"/>
      <c r="QDA1062" s="90"/>
      <c r="QDB1062" s="90"/>
      <c r="QDC1062" s="90"/>
      <c r="QDD1062" s="90"/>
      <c r="QDE1062" s="90"/>
      <c r="QDF1062" s="90"/>
      <c r="QDG1062" s="90"/>
      <c r="QDH1062" s="90"/>
      <c r="QDI1062" s="90"/>
      <c r="QDJ1062" s="90"/>
      <c r="QDK1062" s="90"/>
      <c r="QDL1062" s="90"/>
      <c r="QDM1062" s="90"/>
      <c r="QDN1062" s="90"/>
      <c r="QDO1062" s="90"/>
      <c r="QDP1062" s="90"/>
      <c r="QDQ1062" s="90"/>
      <c r="QDR1062" s="90"/>
      <c r="QDS1062" s="90"/>
      <c r="QDT1062" s="90"/>
      <c r="QDU1062" s="90"/>
      <c r="QDV1062" s="90"/>
      <c r="QDW1062" s="90"/>
      <c r="QDX1062" s="90"/>
      <c r="QDY1062" s="90"/>
      <c r="QDZ1062" s="90"/>
      <c r="QEA1062" s="90"/>
      <c r="QEB1062" s="90"/>
      <c r="QEC1062" s="90"/>
      <c r="QED1062" s="90"/>
      <c r="QEE1062" s="90"/>
      <c r="QEF1062" s="90"/>
      <c r="QEG1062" s="90"/>
      <c r="QEH1062" s="90"/>
      <c r="QEI1062" s="90"/>
      <c r="QEJ1062" s="90"/>
      <c r="QEK1062" s="90"/>
      <c r="QEL1062" s="90"/>
      <c r="QEM1062" s="90"/>
      <c r="QEN1062" s="90"/>
      <c r="QEO1062" s="90"/>
      <c r="QEP1062" s="90"/>
      <c r="QEQ1062" s="90"/>
      <c r="QER1062" s="90"/>
      <c r="QES1062" s="90"/>
      <c r="QET1062" s="90"/>
      <c r="QEU1062" s="90"/>
      <c r="QEV1062" s="90"/>
      <c r="QEW1062" s="90"/>
      <c r="QEX1062" s="90"/>
      <c r="QEY1062" s="90"/>
      <c r="QEZ1062" s="90"/>
      <c r="QFA1062" s="90"/>
      <c r="QFB1062" s="90"/>
      <c r="QFC1062" s="90"/>
      <c r="QFD1062" s="90"/>
      <c r="QFE1062" s="90"/>
      <c r="QFF1062" s="90"/>
      <c r="QFG1062" s="90"/>
      <c r="QFH1062" s="90"/>
      <c r="QFI1062" s="90"/>
      <c r="QFJ1062" s="90"/>
      <c r="QFK1062" s="90"/>
      <c r="QFL1062" s="90"/>
      <c r="QFM1062" s="90"/>
      <c r="QFN1062" s="90"/>
      <c r="QFO1062" s="90"/>
      <c r="QFP1062" s="90"/>
      <c r="QFQ1062" s="90"/>
      <c r="QFR1062" s="90"/>
      <c r="QFS1062" s="90"/>
      <c r="QFT1062" s="90"/>
      <c r="QFU1062" s="90"/>
      <c r="QFV1062" s="90"/>
      <c r="QFW1062" s="90"/>
      <c r="QFX1062" s="90"/>
      <c r="QFY1062" s="90"/>
      <c r="QFZ1062" s="90"/>
      <c r="QGA1062" s="90"/>
      <c r="QGB1062" s="90"/>
      <c r="QGC1062" s="90"/>
      <c r="QGD1062" s="90"/>
      <c r="QGE1062" s="90"/>
      <c r="QGF1062" s="90"/>
      <c r="QGG1062" s="90"/>
      <c r="QGH1062" s="90"/>
      <c r="QGI1062" s="90"/>
      <c r="QGJ1062" s="90"/>
      <c r="QGK1062" s="90"/>
      <c r="QGL1062" s="90"/>
      <c r="QGM1062" s="90"/>
      <c r="QGN1062" s="90"/>
      <c r="QGO1062" s="90"/>
      <c r="QGP1062" s="90"/>
      <c r="QGQ1062" s="90"/>
      <c r="QGR1062" s="90"/>
      <c r="QGS1062" s="90"/>
      <c r="QGT1062" s="90"/>
      <c r="QGU1062" s="90"/>
      <c r="QGV1062" s="90"/>
      <c r="QGW1062" s="90"/>
      <c r="QGX1062" s="90"/>
      <c r="QGY1062" s="90"/>
      <c r="QGZ1062" s="90"/>
      <c r="QHA1062" s="90"/>
      <c r="QHB1062" s="90"/>
      <c r="QHC1062" s="90"/>
      <c r="QHD1062" s="90"/>
      <c r="QHE1062" s="90"/>
      <c r="QHF1062" s="90"/>
      <c r="QHG1062" s="90"/>
      <c r="QHH1062" s="90"/>
      <c r="QHI1062" s="90"/>
      <c r="QHJ1062" s="90"/>
      <c r="QHK1062" s="90"/>
      <c r="QHL1062" s="90"/>
      <c r="QHM1062" s="90"/>
      <c r="QHN1062" s="90"/>
      <c r="QHO1062" s="90"/>
      <c r="QHP1062" s="90"/>
      <c r="QHQ1062" s="90"/>
      <c r="QHR1062" s="90"/>
      <c r="QHS1062" s="90"/>
      <c r="QHT1062" s="90"/>
      <c r="QHU1062" s="90"/>
      <c r="QHV1062" s="90"/>
      <c r="QHW1062" s="90"/>
      <c r="QHX1062" s="90"/>
      <c r="QHY1062" s="90"/>
      <c r="QHZ1062" s="90"/>
      <c r="QIA1062" s="90"/>
      <c r="QIB1062" s="90"/>
      <c r="QIC1062" s="90"/>
      <c r="QID1062" s="90"/>
      <c r="QIE1062" s="90"/>
      <c r="QIF1062" s="90"/>
      <c r="QIG1062" s="90"/>
      <c r="QIH1062" s="90"/>
      <c r="QII1062" s="90"/>
      <c r="QIJ1062" s="90"/>
      <c r="QIK1062" s="90"/>
      <c r="QIL1062" s="90"/>
      <c r="QIM1062" s="90"/>
      <c r="QIN1062" s="90"/>
      <c r="QIO1062" s="90"/>
      <c r="QIP1062" s="90"/>
      <c r="QIQ1062" s="90"/>
      <c r="QIR1062" s="90"/>
      <c r="QIS1062" s="90"/>
      <c r="QIT1062" s="90"/>
      <c r="QIU1062" s="90"/>
      <c r="QIV1062" s="90"/>
      <c r="QIW1062" s="90"/>
      <c r="QIX1062" s="90"/>
      <c r="QIY1062" s="90"/>
      <c r="QIZ1062" s="90"/>
      <c r="QJA1062" s="90"/>
      <c r="QJB1062" s="90"/>
      <c r="QJC1062" s="90"/>
      <c r="QJD1062" s="90"/>
      <c r="QJE1062" s="90"/>
      <c r="QJF1062" s="90"/>
      <c r="QJG1062" s="90"/>
      <c r="QJH1062" s="90"/>
      <c r="QJI1062" s="90"/>
      <c r="QJJ1062" s="90"/>
      <c r="QJK1062" s="90"/>
      <c r="QJL1062" s="90"/>
      <c r="QJM1062" s="90"/>
      <c r="QJN1062" s="90"/>
      <c r="QJO1062" s="90"/>
      <c r="QJP1062" s="90"/>
      <c r="QJQ1062" s="90"/>
      <c r="QJR1062" s="90"/>
      <c r="QJS1062" s="90"/>
      <c r="QJT1062" s="90"/>
      <c r="QJU1062" s="90"/>
      <c r="QJV1062" s="90"/>
      <c r="QJW1062" s="90"/>
      <c r="QJX1062" s="90"/>
      <c r="QJY1062" s="90"/>
      <c r="QJZ1062" s="90"/>
      <c r="QKA1062" s="90"/>
      <c r="QKB1062" s="90"/>
      <c r="QKC1062" s="90"/>
      <c r="QKD1062" s="90"/>
      <c r="QKE1062" s="90"/>
      <c r="QKF1062" s="90"/>
      <c r="QKG1062" s="90"/>
      <c r="QKH1062" s="90"/>
      <c r="QKI1062" s="90"/>
      <c r="QKJ1062" s="90"/>
      <c r="QKK1062" s="90"/>
      <c r="QKL1062" s="90"/>
      <c r="QKM1062" s="90"/>
      <c r="QKN1062" s="90"/>
      <c r="QKO1062" s="90"/>
      <c r="QKP1062" s="90"/>
      <c r="QKQ1062" s="90"/>
      <c r="QKR1062" s="90"/>
      <c r="QKS1062" s="90"/>
      <c r="QKT1062" s="90"/>
      <c r="QKU1062" s="90"/>
      <c r="QKV1062" s="90"/>
      <c r="QKW1062" s="90"/>
      <c r="QKX1062" s="90"/>
      <c r="QKY1062" s="90"/>
      <c r="QKZ1062" s="90"/>
      <c r="QLA1062" s="90"/>
      <c r="QLB1062" s="90"/>
      <c r="QLC1062" s="90"/>
      <c r="QLD1062" s="90"/>
      <c r="QLE1062" s="90"/>
      <c r="QLF1062" s="90"/>
      <c r="QLG1062" s="90"/>
      <c r="QLH1062" s="90"/>
      <c r="QLI1062" s="90"/>
      <c r="QLJ1062" s="90"/>
      <c r="QLK1062" s="90"/>
      <c r="QLL1062" s="90"/>
      <c r="QLM1062" s="90"/>
      <c r="QLN1062" s="90"/>
      <c r="QLO1062" s="90"/>
      <c r="QLP1062" s="90"/>
      <c r="QLQ1062" s="90"/>
      <c r="QLR1062" s="90"/>
      <c r="QLS1062" s="90"/>
      <c r="QLT1062" s="90"/>
      <c r="QLU1062" s="90"/>
      <c r="QLV1062" s="90"/>
      <c r="QLW1062" s="90"/>
      <c r="QLX1062" s="90"/>
      <c r="QLY1062" s="90"/>
      <c r="QLZ1062" s="90"/>
      <c r="QMA1062" s="90"/>
      <c r="QMB1062" s="90"/>
      <c r="QMC1062" s="90"/>
      <c r="QMD1062" s="90"/>
      <c r="QME1062" s="90"/>
      <c r="QMF1062" s="90"/>
      <c r="QMG1062" s="90"/>
      <c r="QMH1062" s="90"/>
      <c r="QMI1062" s="90"/>
      <c r="QMJ1062" s="90"/>
      <c r="QMK1062" s="90"/>
      <c r="QML1062" s="90"/>
      <c r="QMM1062" s="90"/>
      <c r="QMN1062" s="90"/>
      <c r="QMO1062" s="90"/>
      <c r="QMP1062" s="90"/>
      <c r="QMQ1062" s="90"/>
      <c r="QMR1062" s="90"/>
      <c r="QMS1062" s="90"/>
      <c r="QMT1062" s="90"/>
      <c r="QMU1062" s="90"/>
      <c r="QMV1062" s="90"/>
      <c r="QMW1062" s="90"/>
      <c r="QMX1062" s="90"/>
      <c r="QMY1062" s="90"/>
      <c r="QMZ1062" s="90"/>
      <c r="QNA1062" s="90"/>
      <c r="QNB1062" s="90"/>
      <c r="QNC1062" s="90"/>
      <c r="QND1062" s="90"/>
      <c r="QNE1062" s="90"/>
      <c r="QNF1062" s="90"/>
      <c r="QNG1062" s="90"/>
      <c r="QNH1062" s="90"/>
      <c r="QNI1062" s="90"/>
      <c r="QNJ1062" s="90"/>
      <c r="QNK1062" s="90"/>
      <c r="QNL1062" s="90"/>
      <c r="QNM1062" s="90"/>
      <c r="QNN1062" s="90"/>
      <c r="QNO1062" s="90"/>
      <c r="QNP1062" s="90"/>
      <c r="QNQ1062" s="90"/>
      <c r="QNR1062" s="90"/>
      <c r="QNS1062" s="90"/>
      <c r="QNT1062" s="90"/>
      <c r="QNU1062" s="90"/>
      <c r="QNV1062" s="90"/>
      <c r="QNW1062" s="90"/>
      <c r="QNX1062" s="90"/>
      <c r="QNY1062" s="90"/>
      <c r="QNZ1062" s="90"/>
      <c r="QOA1062" s="90"/>
      <c r="QOB1062" s="90"/>
      <c r="QOC1062" s="90"/>
      <c r="QOD1062" s="90"/>
      <c r="QOE1062" s="90"/>
      <c r="QOF1062" s="90"/>
      <c r="QOG1062" s="90"/>
      <c r="QOH1062" s="90"/>
      <c r="QOI1062" s="90"/>
      <c r="QOJ1062" s="90"/>
      <c r="QOK1062" s="90"/>
      <c r="QOL1062" s="90"/>
      <c r="QOM1062" s="90"/>
      <c r="QON1062" s="90"/>
      <c r="QOO1062" s="90"/>
      <c r="QOP1062" s="90"/>
      <c r="QOQ1062" s="90"/>
      <c r="QOR1062" s="90"/>
      <c r="QOS1062" s="90"/>
      <c r="QOT1062" s="90"/>
      <c r="QOU1062" s="90"/>
      <c r="QOV1062" s="90"/>
      <c r="QOW1062" s="90"/>
      <c r="QOX1062" s="90"/>
      <c r="QOY1062" s="90"/>
      <c r="QOZ1062" s="90"/>
      <c r="QPA1062" s="90"/>
      <c r="QPB1062" s="90"/>
      <c r="QPC1062" s="90"/>
      <c r="QPD1062" s="90"/>
      <c r="QPE1062" s="90"/>
      <c r="QPF1062" s="90"/>
      <c r="QPG1062" s="90"/>
      <c r="QPH1062" s="90"/>
      <c r="QPI1062" s="90"/>
      <c r="QPJ1062" s="90"/>
      <c r="QPK1062" s="90"/>
      <c r="QPL1062" s="90"/>
      <c r="QPM1062" s="90"/>
      <c r="QPN1062" s="90"/>
      <c r="QPO1062" s="90"/>
      <c r="QPP1062" s="90"/>
      <c r="QPQ1062" s="90"/>
      <c r="QPR1062" s="90"/>
      <c r="QPS1062" s="90"/>
      <c r="QPT1062" s="90"/>
      <c r="QPU1062" s="90"/>
      <c r="QPV1062" s="90"/>
      <c r="QPW1062" s="90"/>
      <c r="QPX1062" s="90"/>
      <c r="QPY1062" s="90"/>
      <c r="QPZ1062" s="90"/>
      <c r="QQA1062" s="90"/>
      <c r="QQB1062" s="90"/>
      <c r="QQC1062" s="90"/>
      <c r="QQD1062" s="90"/>
      <c r="QQE1062" s="90"/>
      <c r="QQF1062" s="90"/>
      <c r="QQG1062" s="90"/>
      <c r="QQH1062" s="90"/>
      <c r="QQI1062" s="90"/>
      <c r="QQJ1062" s="90"/>
      <c r="QQK1062" s="90"/>
      <c r="QQL1062" s="90"/>
      <c r="QQM1062" s="90"/>
      <c r="QQN1062" s="90"/>
      <c r="QQO1062" s="90"/>
      <c r="QQP1062" s="90"/>
      <c r="QQQ1062" s="90"/>
      <c r="QQR1062" s="90"/>
      <c r="QQS1062" s="90"/>
      <c r="QQT1062" s="90"/>
      <c r="QQU1062" s="90"/>
      <c r="QQV1062" s="90"/>
      <c r="QQW1062" s="90"/>
      <c r="QQX1062" s="90"/>
      <c r="QQY1062" s="90"/>
      <c r="QQZ1062" s="90"/>
      <c r="QRA1062" s="90"/>
      <c r="QRB1062" s="90"/>
      <c r="QRC1062" s="90"/>
      <c r="QRD1062" s="90"/>
      <c r="QRE1062" s="90"/>
      <c r="QRF1062" s="90"/>
      <c r="QRG1062" s="90"/>
      <c r="QRH1062" s="90"/>
      <c r="QRI1062" s="90"/>
      <c r="QRJ1062" s="90"/>
      <c r="QRK1062" s="90"/>
      <c r="QRL1062" s="90"/>
      <c r="QRM1062" s="90"/>
      <c r="QRN1062" s="90"/>
      <c r="QRO1062" s="90"/>
      <c r="QRP1062" s="90"/>
      <c r="QRQ1062" s="90"/>
      <c r="QRR1062" s="90"/>
      <c r="QRS1062" s="90"/>
      <c r="QRT1062" s="90"/>
      <c r="QRU1062" s="90"/>
      <c r="QRV1062" s="90"/>
      <c r="QRW1062" s="90"/>
      <c r="QRX1062" s="90"/>
      <c r="QRY1062" s="90"/>
      <c r="QRZ1062" s="90"/>
      <c r="QSA1062" s="90"/>
      <c r="QSB1062" s="90"/>
      <c r="QSC1062" s="90"/>
      <c r="QSD1062" s="90"/>
      <c r="QSE1062" s="90"/>
      <c r="QSF1062" s="90"/>
      <c r="QSG1062" s="90"/>
      <c r="QSH1062" s="90"/>
      <c r="QSI1062" s="90"/>
      <c r="QSJ1062" s="90"/>
      <c r="QSK1062" s="90"/>
      <c r="QSL1062" s="90"/>
      <c r="QSM1062" s="90"/>
      <c r="QSN1062" s="90"/>
      <c r="QSO1062" s="90"/>
      <c r="QSP1062" s="90"/>
      <c r="QSQ1062" s="90"/>
      <c r="QSR1062" s="90"/>
      <c r="QSS1062" s="90"/>
      <c r="QST1062" s="90"/>
      <c r="QSU1062" s="90"/>
      <c r="QSV1062" s="90"/>
      <c r="QSW1062" s="90"/>
      <c r="QSX1062" s="90"/>
      <c r="QSY1062" s="90"/>
      <c r="QSZ1062" s="90"/>
      <c r="QTA1062" s="90"/>
      <c r="QTB1062" s="90"/>
      <c r="QTC1062" s="90"/>
      <c r="QTD1062" s="90"/>
      <c r="QTE1062" s="90"/>
      <c r="QTF1062" s="90"/>
      <c r="QTG1062" s="90"/>
      <c r="QTH1062" s="90"/>
      <c r="QTI1062" s="90"/>
      <c r="QTJ1062" s="90"/>
      <c r="QTK1062" s="90"/>
      <c r="QTL1062" s="90"/>
      <c r="QTM1062" s="90"/>
      <c r="QTN1062" s="90"/>
      <c r="QTO1062" s="90"/>
      <c r="QTP1062" s="90"/>
      <c r="QTQ1062" s="90"/>
      <c r="QTR1062" s="90"/>
      <c r="QTS1062" s="90"/>
      <c r="QTT1062" s="90"/>
      <c r="QTU1062" s="90"/>
      <c r="QTV1062" s="90"/>
      <c r="QTW1062" s="90"/>
      <c r="QTX1062" s="90"/>
      <c r="QTY1062" s="90"/>
      <c r="QTZ1062" s="90"/>
      <c r="QUA1062" s="90"/>
      <c r="QUB1062" s="90"/>
      <c r="QUC1062" s="90"/>
      <c r="QUD1062" s="90"/>
      <c r="QUE1062" s="90"/>
      <c r="QUF1062" s="90"/>
      <c r="QUG1062" s="90"/>
      <c r="QUH1062" s="90"/>
      <c r="QUI1062" s="90"/>
      <c r="QUJ1062" s="90"/>
      <c r="QUK1062" s="90"/>
      <c r="QUL1062" s="90"/>
      <c r="QUM1062" s="90"/>
      <c r="QUN1062" s="90"/>
      <c r="QUO1062" s="90"/>
      <c r="QUP1062" s="90"/>
      <c r="QUQ1062" s="90"/>
      <c r="QUR1062" s="90"/>
      <c r="QUS1062" s="90"/>
      <c r="QUT1062" s="90"/>
      <c r="QUU1062" s="90"/>
      <c r="QUV1062" s="90"/>
      <c r="QUW1062" s="90"/>
      <c r="QUX1062" s="90"/>
      <c r="QUY1062" s="90"/>
      <c r="QUZ1062" s="90"/>
      <c r="QVA1062" s="90"/>
      <c r="QVB1062" s="90"/>
      <c r="QVC1062" s="90"/>
      <c r="QVD1062" s="90"/>
      <c r="QVE1062" s="90"/>
      <c r="QVF1062" s="90"/>
      <c r="QVG1062" s="90"/>
      <c r="QVH1062" s="90"/>
      <c r="QVI1062" s="90"/>
      <c r="QVJ1062" s="90"/>
      <c r="QVK1062" s="90"/>
      <c r="QVL1062" s="90"/>
      <c r="QVM1062" s="90"/>
      <c r="QVN1062" s="90"/>
      <c r="QVO1062" s="90"/>
      <c r="QVP1062" s="90"/>
      <c r="QVQ1062" s="90"/>
      <c r="QVR1062" s="90"/>
      <c r="QVS1062" s="90"/>
      <c r="QVT1062" s="90"/>
      <c r="QVU1062" s="90"/>
      <c r="QVV1062" s="90"/>
      <c r="QVW1062" s="90"/>
      <c r="QVX1062" s="90"/>
      <c r="QVY1062" s="90"/>
      <c r="QVZ1062" s="90"/>
      <c r="QWA1062" s="90"/>
      <c r="QWB1062" s="90"/>
      <c r="QWC1062" s="90"/>
      <c r="QWD1062" s="90"/>
      <c r="QWE1062" s="90"/>
      <c r="QWF1062" s="90"/>
      <c r="QWG1062" s="90"/>
      <c r="QWH1062" s="90"/>
      <c r="QWI1062" s="90"/>
      <c r="QWJ1062" s="90"/>
      <c r="QWK1062" s="90"/>
      <c r="QWL1062" s="90"/>
      <c r="QWM1062" s="90"/>
      <c r="QWN1062" s="90"/>
      <c r="QWO1062" s="90"/>
      <c r="QWP1062" s="90"/>
      <c r="QWQ1062" s="90"/>
      <c r="QWR1062" s="90"/>
      <c r="QWS1062" s="90"/>
      <c r="QWT1062" s="90"/>
      <c r="QWU1062" s="90"/>
      <c r="QWV1062" s="90"/>
      <c r="QWW1062" s="90"/>
      <c r="QWX1062" s="90"/>
      <c r="QWY1062" s="90"/>
      <c r="QWZ1062" s="90"/>
      <c r="QXA1062" s="90"/>
      <c r="QXB1062" s="90"/>
      <c r="QXC1062" s="90"/>
      <c r="QXD1062" s="90"/>
      <c r="QXE1062" s="90"/>
      <c r="QXF1062" s="90"/>
      <c r="QXG1062" s="90"/>
      <c r="QXH1062" s="90"/>
      <c r="QXI1062" s="90"/>
      <c r="QXJ1062" s="90"/>
      <c r="QXK1062" s="90"/>
      <c r="QXL1062" s="90"/>
      <c r="QXM1062" s="90"/>
      <c r="QXN1062" s="90"/>
      <c r="QXO1062" s="90"/>
      <c r="QXP1062" s="90"/>
      <c r="QXQ1062" s="90"/>
      <c r="QXR1062" s="90"/>
      <c r="QXS1062" s="90"/>
      <c r="QXT1062" s="90"/>
      <c r="QXU1062" s="90"/>
      <c r="QXV1062" s="90"/>
      <c r="QXW1062" s="90"/>
      <c r="QXX1062" s="90"/>
      <c r="QXY1062" s="90"/>
      <c r="QXZ1062" s="90"/>
      <c r="QYA1062" s="90"/>
      <c r="QYB1062" s="90"/>
      <c r="QYC1062" s="90"/>
      <c r="QYD1062" s="90"/>
      <c r="QYE1062" s="90"/>
      <c r="QYF1062" s="90"/>
      <c r="QYG1062" s="90"/>
      <c r="QYH1062" s="90"/>
      <c r="QYI1062" s="90"/>
      <c r="QYJ1062" s="90"/>
      <c r="QYK1062" s="90"/>
      <c r="QYL1062" s="90"/>
      <c r="QYM1062" s="90"/>
      <c r="QYN1062" s="90"/>
      <c r="QYO1062" s="90"/>
      <c r="QYP1062" s="90"/>
      <c r="QYQ1062" s="90"/>
      <c r="QYR1062" s="90"/>
      <c r="QYS1062" s="90"/>
      <c r="QYT1062" s="90"/>
      <c r="QYU1062" s="90"/>
      <c r="QYV1062" s="90"/>
      <c r="QYW1062" s="90"/>
      <c r="QYX1062" s="90"/>
      <c r="QYY1062" s="90"/>
      <c r="QYZ1062" s="90"/>
      <c r="QZA1062" s="90"/>
      <c r="QZB1062" s="90"/>
      <c r="QZC1062" s="90"/>
      <c r="QZD1062" s="90"/>
      <c r="QZE1062" s="90"/>
      <c r="QZF1062" s="90"/>
      <c r="QZG1062" s="90"/>
      <c r="QZH1062" s="90"/>
      <c r="QZI1062" s="90"/>
      <c r="QZJ1062" s="90"/>
      <c r="QZK1062" s="90"/>
      <c r="QZL1062" s="90"/>
      <c r="QZM1062" s="90"/>
      <c r="QZN1062" s="90"/>
      <c r="QZO1062" s="90"/>
      <c r="QZP1062" s="90"/>
      <c r="QZQ1062" s="90"/>
      <c r="QZR1062" s="90"/>
      <c r="QZS1062" s="90"/>
      <c r="QZT1062" s="90"/>
      <c r="QZU1062" s="90"/>
      <c r="QZV1062" s="90"/>
      <c r="QZW1062" s="90"/>
      <c r="QZX1062" s="90"/>
      <c r="QZY1062" s="90"/>
      <c r="QZZ1062" s="90"/>
      <c r="RAA1062" s="90"/>
      <c r="RAB1062" s="90"/>
      <c r="RAC1062" s="90"/>
      <c r="RAD1062" s="90"/>
      <c r="RAE1062" s="90"/>
      <c r="RAF1062" s="90"/>
      <c r="RAG1062" s="90"/>
      <c r="RAH1062" s="90"/>
      <c r="RAI1062" s="90"/>
      <c r="RAJ1062" s="90"/>
      <c r="RAK1062" s="90"/>
      <c r="RAL1062" s="90"/>
      <c r="RAM1062" s="90"/>
      <c r="RAN1062" s="90"/>
      <c r="RAO1062" s="90"/>
      <c r="RAP1062" s="90"/>
      <c r="RAQ1062" s="90"/>
      <c r="RAR1062" s="90"/>
      <c r="RAS1062" s="90"/>
      <c r="RAT1062" s="90"/>
      <c r="RAU1062" s="90"/>
      <c r="RAV1062" s="90"/>
      <c r="RAW1062" s="90"/>
      <c r="RAX1062" s="90"/>
      <c r="RAY1062" s="90"/>
      <c r="RAZ1062" s="90"/>
      <c r="RBA1062" s="90"/>
      <c r="RBB1062" s="90"/>
      <c r="RBC1062" s="90"/>
      <c r="RBD1062" s="90"/>
      <c r="RBE1062" s="90"/>
      <c r="RBF1062" s="90"/>
      <c r="RBG1062" s="90"/>
      <c r="RBH1062" s="90"/>
      <c r="RBI1062" s="90"/>
      <c r="RBJ1062" s="90"/>
      <c r="RBK1062" s="90"/>
      <c r="RBL1062" s="90"/>
      <c r="RBM1062" s="90"/>
      <c r="RBN1062" s="90"/>
      <c r="RBO1062" s="90"/>
      <c r="RBP1062" s="90"/>
      <c r="RBQ1062" s="90"/>
      <c r="RBR1062" s="90"/>
      <c r="RBS1062" s="90"/>
      <c r="RBT1062" s="90"/>
      <c r="RBU1062" s="90"/>
      <c r="RBV1062" s="90"/>
      <c r="RBW1062" s="90"/>
      <c r="RBX1062" s="90"/>
      <c r="RBY1062" s="90"/>
      <c r="RBZ1062" s="90"/>
      <c r="RCA1062" s="90"/>
      <c r="RCB1062" s="90"/>
      <c r="RCC1062" s="90"/>
      <c r="RCD1062" s="90"/>
      <c r="RCE1062" s="90"/>
      <c r="RCF1062" s="90"/>
      <c r="RCG1062" s="90"/>
      <c r="RCH1062" s="90"/>
      <c r="RCI1062" s="90"/>
      <c r="RCJ1062" s="90"/>
      <c r="RCK1062" s="90"/>
      <c r="RCL1062" s="90"/>
      <c r="RCM1062" s="90"/>
      <c r="RCN1062" s="90"/>
      <c r="RCO1062" s="90"/>
      <c r="RCP1062" s="90"/>
      <c r="RCQ1062" s="90"/>
      <c r="RCR1062" s="90"/>
      <c r="RCS1062" s="90"/>
      <c r="RCT1062" s="90"/>
      <c r="RCU1062" s="90"/>
      <c r="RCV1062" s="90"/>
      <c r="RCW1062" s="90"/>
      <c r="RCX1062" s="90"/>
      <c r="RCY1062" s="90"/>
      <c r="RCZ1062" s="90"/>
      <c r="RDA1062" s="90"/>
      <c r="RDB1062" s="90"/>
      <c r="RDC1062" s="90"/>
      <c r="RDD1062" s="90"/>
      <c r="RDE1062" s="90"/>
      <c r="RDF1062" s="90"/>
      <c r="RDG1062" s="90"/>
      <c r="RDH1062" s="90"/>
      <c r="RDI1062" s="90"/>
      <c r="RDJ1062" s="90"/>
      <c r="RDK1062" s="90"/>
      <c r="RDL1062" s="90"/>
      <c r="RDM1062" s="90"/>
      <c r="RDN1062" s="90"/>
      <c r="RDO1062" s="90"/>
      <c r="RDP1062" s="90"/>
      <c r="RDQ1062" s="90"/>
      <c r="RDR1062" s="90"/>
      <c r="RDS1062" s="90"/>
      <c r="RDT1062" s="90"/>
      <c r="RDU1062" s="90"/>
      <c r="RDV1062" s="90"/>
      <c r="RDW1062" s="90"/>
      <c r="RDX1062" s="90"/>
      <c r="RDY1062" s="90"/>
      <c r="RDZ1062" s="90"/>
      <c r="REA1062" s="90"/>
      <c r="REB1062" s="90"/>
      <c r="REC1062" s="90"/>
      <c r="RED1062" s="90"/>
      <c r="REE1062" s="90"/>
      <c r="REF1062" s="90"/>
      <c r="REG1062" s="90"/>
      <c r="REH1062" s="90"/>
      <c r="REI1062" s="90"/>
      <c r="REJ1062" s="90"/>
      <c r="REK1062" s="90"/>
      <c r="REL1062" s="90"/>
      <c r="REM1062" s="90"/>
      <c r="REN1062" s="90"/>
      <c r="REO1062" s="90"/>
      <c r="REP1062" s="90"/>
      <c r="REQ1062" s="90"/>
      <c r="RER1062" s="90"/>
      <c r="RES1062" s="90"/>
      <c r="RET1062" s="90"/>
      <c r="REU1062" s="90"/>
      <c r="REV1062" s="90"/>
      <c r="REW1062" s="90"/>
      <c r="REX1062" s="90"/>
      <c r="REY1062" s="90"/>
      <c r="REZ1062" s="90"/>
      <c r="RFA1062" s="90"/>
      <c r="RFB1062" s="90"/>
      <c r="RFC1062" s="90"/>
      <c r="RFD1062" s="90"/>
      <c r="RFE1062" s="90"/>
      <c r="RFF1062" s="90"/>
      <c r="RFG1062" s="90"/>
      <c r="RFH1062" s="90"/>
      <c r="RFI1062" s="90"/>
      <c r="RFJ1062" s="90"/>
      <c r="RFK1062" s="90"/>
      <c r="RFL1062" s="90"/>
      <c r="RFM1062" s="90"/>
      <c r="RFN1062" s="90"/>
      <c r="RFO1062" s="90"/>
      <c r="RFP1062" s="90"/>
      <c r="RFQ1062" s="90"/>
      <c r="RFR1062" s="90"/>
      <c r="RFS1062" s="90"/>
      <c r="RFT1062" s="90"/>
      <c r="RFU1062" s="90"/>
      <c r="RFV1062" s="90"/>
      <c r="RFW1062" s="90"/>
      <c r="RFX1062" s="90"/>
      <c r="RFY1062" s="90"/>
      <c r="RFZ1062" s="90"/>
      <c r="RGA1062" s="90"/>
      <c r="RGB1062" s="90"/>
      <c r="RGC1062" s="90"/>
      <c r="RGD1062" s="90"/>
      <c r="RGE1062" s="90"/>
      <c r="RGF1062" s="90"/>
      <c r="RGG1062" s="90"/>
      <c r="RGH1062" s="90"/>
      <c r="RGI1062" s="90"/>
      <c r="RGJ1062" s="90"/>
      <c r="RGK1062" s="90"/>
      <c r="RGL1062" s="90"/>
      <c r="RGM1062" s="90"/>
      <c r="RGN1062" s="90"/>
      <c r="RGO1062" s="90"/>
      <c r="RGP1062" s="90"/>
      <c r="RGQ1062" s="90"/>
      <c r="RGR1062" s="90"/>
      <c r="RGS1062" s="90"/>
      <c r="RGT1062" s="90"/>
      <c r="RGU1062" s="90"/>
      <c r="RGV1062" s="90"/>
      <c r="RGW1062" s="90"/>
      <c r="RGX1062" s="90"/>
      <c r="RGY1062" s="90"/>
      <c r="RGZ1062" s="90"/>
      <c r="RHA1062" s="90"/>
      <c r="RHB1062" s="90"/>
      <c r="RHC1062" s="90"/>
      <c r="RHD1062" s="90"/>
      <c r="RHE1062" s="90"/>
      <c r="RHF1062" s="90"/>
      <c r="RHG1062" s="90"/>
      <c r="RHH1062" s="90"/>
      <c r="RHI1062" s="90"/>
      <c r="RHJ1062" s="90"/>
      <c r="RHK1062" s="90"/>
      <c r="RHL1062" s="90"/>
      <c r="RHM1062" s="90"/>
      <c r="RHN1062" s="90"/>
      <c r="RHO1062" s="90"/>
      <c r="RHP1062" s="90"/>
      <c r="RHQ1062" s="90"/>
      <c r="RHR1062" s="90"/>
      <c r="RHS1062" s="90"/>
      <c r="RHT1062" s="90"/>
      <c r="RHU1062" s="90"/>
      <c r="RHV1062" s="90"/>
      <c r="RHW1062" s="90"/>
      <c r="RHX1062" s="90"/>
      <c r="RHY1062" s="90"/>
      <c r="RHZ1062" s="90"/>
      <c r="RIA1062" s="90"/>
      <c r="RIB1062" s="90"/>
      <c r="RIC1062" s="90"/>
      <c r="RID1062" s="90"/>
      <c r="RIE1062" s="90"/>
      <c r="RIF1062" s="90"/>
      <c r="RIG1062" s="90"/>
      <c r="RIH1062" s="90"/>
      <c r="RII1062" s="90"/>
      <c r="RIJ1062" s="90"/>
      <c r="RIK1062" s="90"/>
      <c r="RIL1062" s="90"/>
      <c r="RIM1062" s="90"/>
      <c r="RIN1062" s="90"/>
      <c r="RIO1062" s="90"/>
      <c r="RIP1062" s="90"/>
      <c r="RIQ1062" s="90"/>
      <c r="RIR1062" s="90"/>
      <c r="RIS1062" s="90"/>
      <c r="RIT1062" s="90"/>
      <c r="RIU1062" s="90"/>
      <c r="RIV1062" s="90"/>
      <c r="RIW1062" s="90"/>
      <c r="RIX1062" s="90"/>
      <c r="RIY1062" s="90"/>
      <c r="RIZ1062" s="90"/>
      <c r="RJA1062" s="90"/>
      <c r="RJB1062" s="90"/>
      <c r="RJC1062" s="90"/>
      <c r="RJD1062" s="90"/>
      <c r="RJE1062" s="90"/>
      <c r="RJF1062" s="90"/>
      <c r="RJG1062" s="90"/>
      <c r="RJH1062" s="90"/>
      <c r="RJI1062" s="90"/>
      <c r="RJJ1062" s="90"/>
      <c r="RJK1062" s="90"/>
      <c r="RJL1062" s="90"/>
      <c r="RJM1062" s="90"/>
      <c r="RJN1062" s="90"/>
      <c r="RJO1062" s="90"/>
      <c r="RJP1062" s="90"/>
      <c r="RJQ1062" s="90"/>
      <c r="RJR1062" s="90"/>
      <c r="RJS1062" s="90"/>
      <c r="RJT1062" s="90"/>
      <c r="RJU1062" s="90"/>
      <c r="RJV1062" s="90"/>
      <c r="RJW1062" s="90"/>
      <c r="RJX1062" s="90"/>
      <c r="RJY1062" s="90"/>
      <c r="RJZ1062" s="90"/>
      <c r="RKA1062" s="90"/>
      <c r="RKB1062" s="90"/>
      <c r="RKC1062" s="90"/>
      <c r="RKD1062" s="90"/>
      <c r="RKE1062" s="90"/>
      <c r="RKF1062" s="90"/>
      <c r="RKG1062" s="90"/>
      <c r="RKH1062" s="90"/>
      <c r="RKI1062" s="90"/>
      <c r="RKJ1062" s="90"/>
      <c r="RKK1062" s="90"/>
      <c r="RKL1062" s="90"/>
      <c r="RKM1062" s="90"/>
      <c r="RKN1062" s="90"/>
      <c r="RKO1062" s="90"/>
      <c r="RKP1062" s="90"/>
      <c r="RKQ1062" s="90"/>
      <c r="RKR1062" s="90"/>
      <c r="RKS1062" s="90"/>
      <c r="RKT1062" s="90"/>
      <c r="RKU1062" s="90"/>
      <c r="RKV1062" s="90"/>
      <c r="RKW1062" s="90"/>
      <c r="RKX1062" s="90"/>
      <c r="RKY1062" s="90"/>
      <c r="RKZ1062" s="90"/>
      <c r="RLA1062" s="90"/>
      <c r="RLB1062" s="90"/>
      <c r="RLC1062" s="90"/>
      <c r="RLD1062" s="90"/>
      <c r="RLE1062" s="90"/>
      <c r="RLF1062" s="90"/>
      <c r="RLG1062" s="90"/>
      <c r="RLH1062" s="90"/>
      <c r="RLI1062" s="90"/>
      <c r="RLJ1062" s="90"/>
      <c r="RLK1062" s="90"/>
      <c r="RLL1062" s="90"/>
      <c r="RLM1062" s="90"/>
      <c r="RLN1062" s="90"/>
      <c r="RLO1062" s="90"/>
      <c r="RLP1062" s="90"/>
      <c r="RLQ1062" s="90"/>
      <c r="RLR1062" s="90"/>
      <c r="RLS1062" s="90"/>
      <c r="RLT1062" s="90"/>
      <c r="RLU1062" s="90"/>
      <c r="RLV1062" s="90"/>
      <c r="RLW1062" s="90"/>
      <c r="RLX1062" s="90"/>
      <c r="RLY1062" s="90"/>
      <c r="RLZ1062" s="90"/>
      <c r="RMA1062" s="90"/>
      <c r="RMB1062" s="90"/>
      <c r="RMC1062" s="90"/>
      <c r="RMD1062" s="90"/>
      <c r="RME1062" s="90"/>
      <c r="RMF1062" s="90"/>
      <c r="RMG1062" s="90"/>
      <c r="RMH1062" s="90"/>
      <c r="RMI1062" s="90"/>
      <c r="RMJ1062" s="90"/>
      <c r="RMK1062" s="90"/>
      <c r="RML1062" s="90"/>
      <c r="RMM1062" s="90"/>
      <c r="RMN1062" s="90"/>
      <c r="RMO1062" s="90"/>
      <c r="RMP1062" s="90"/>
      <c r="RMQ1062" s="90"/>
      <c r="RMR1062" s="90"/>
      <c r="RMS1062" s="90"/>
      <c r="RMT1062" s="90"/>
      <c r="RMU1062" s="90"/>
      <c r="RMV1062" s="90"/>
      <c r="RMW1062" s="90"/>
      <c r="RMX1062" s="90"/>
      <c r="RMY1062" s="90"/>
      <c r="RMZ1062" s="90"/>
      <c r="RNA1062" s="90"/>
      <c r="RNB1062" s="90"/>
      <c r="RNC1062" s="90"/>
      <c r="RND1062" s="90"/>
      <c r="RNE1062" s="90"/>
      <c r="RNF1062" s="90"/>
      <c r="RNG1062" s="90"/>
      <c r="RNH1062" s="90"/>
      <c r="RNI1062" s="90"/>
      <c r="RNJ1062" s="90"/>
      <c r="RNK1062" s="90"/>
      <c r="RNL1062" s="90"/>
      <c r="RNM1062" s="90"/>
      <c r="RNN1062" s="90"/>
      <c r="RNO1062" s="90"/>
      <c r="RNP1062" s="90"/>
      <c r="RNQ1062" s="90"/>
      <c r="RNR1062" s="90"/>
      <c r="RNS1062" s="90"/>
      <c r="RNT1062" s="90"/>
      <c r="RNU1062" s="90"/>
      <c r="RNV1062" s="90"/>
      <c r="RNW1062" s="90"/>
      <c r="RNX1062" s="90"/>
      <c r="RNY1062" s="90"/>
      <c r="RNZ1062" s="90"/>
      <c r="ROA1062" s="90"/>
      <c r="ROB1062" s="90"/>
      <c r="ROC1062" s="90"/>
      <c r="ROD1062" s="90"/>
      <c r="ROE1062" s="90"/>
      <c r="ROF1062" s="90"/>
      <c r="ROG1062" s="90"/>
      <c r="ROH1062" s="90"/>
      <c r="ROI1062" s="90"/>
      <c r="ROJ1062" s="90"/>
      <c r="ROK1062" s="90"/>
      <c r="ROL1062" s="90"/>
      <c r="ROM1062" s="90"/>
      <c r="RON1062" s="90"/>
      <c r="ROO1062" s="90"/>
      <c r="ROP1062" s="90"/>
      <c r="ROQ1062" s="90"/>
      <c r="ROR1062" s="90"/>
      <c r="ROS1062" s="90"/>
      <c r="ROT1062" s="90"/>
      <c r="ROU1062" s="90"/>
      <c r="ROV1062" s="90"/>
      <c r="ROW1062" s="90"/>
      <c r="ROX1062" s="90"/>
      <c r="ROY1062" s="90"/>
      <c r="ROZ1062" s="90"/>
      <c r="RPA1062" s="90"/>
      <c r="RPB1062" s="90"/>
      <c r="RPC1062" s="90"/>
      <c r="RPD1062" s="90"/>
      <c r="RPE1062" s="90"/>
      <c r="RPF1062" s="90"/>
      <c r="RPG1062" s="90"/>
      <c r="RPH1062" s="90"/>
      <c r="RPI1062" s="90"/>
      <c r="RPJ1062" s="90"/>
      <c r="RPK1062" s="90"/>
      <c r="RPL1062" s="90"/>
      <c r="RPM1062" s="90"/>
      <c r="RPN1062" s="90"/>
      <c r="RPO1062" s="90"/>
      <c r="RPP1062" s="90"/>
      <c r="RPQ1062" s="90"/>
      <c r="RPR1062" s="90"/>
      <c r="RPS1062" s="90"/>
      <c r="RPT1062" s="90"/>
      <c r="RPU1062" s="90"/>
      <c r="RPV1062" s="90"/>
      <c r="RPW1062" s="90"/>
      <c r="RPX1062" s="90"/>
      <c r="RPY1062" s="90"/>
      <c r="RPZ1062" s="90"/>
      <c r="RQA1062" s="90"/>
      <c r="RQB1062" s="90"/>
      <c r="RQC1062" s="90"/>
      <c r="RQD1062" s="90"/>
      <c r="RQE1062" s="90"/>
      <c r="RQF1062" s="90"/>
      <c r="RQG1062" s="90"/>
      <c r="RQH1062" s="90"/>
      <c r="RQI1062" s="90"/>
      <c r="RQJ1062" s="90"/>
      <c r="RQK1062" s="90"/>
      <c r="RQL1062" s="90"/>
      <c r="RQM1062" s="90"/>
      <c r="RQN1062" s="90"/>
      <c r="RQO1062" s="90"/>
      <c r="RQP1062" s="90"/>
      <c r="RQQ1062" s="90"/>
      <c r="RQR1062" s="90"/>
      <c r="RQS1062" s="90"/>
      <c r="RQT1062" s="90"/>
      <c r="RQU1062" s="90"/>
      <c r="RQV1062" s="90"/>
      <c r="RQW1062" s="90"/>
      <c r="RQX1062" s="90"/>
      <c r="RQY1062" s="90"/>
      <c r="RQZ1062" s="90"/>
      <c r="RRA1062" s="90"/>
      <c r="RRB1062" s="90"/>
      <c r="RRC1062" s="90"/>
      <c r="RRD1062" s="90"/>
      <c r="RRE1062" s="90"/>
      <c r="RRF1062" s="90"/>
      <c r="RRG1062" s="90"/>
      <c r="RRH1062" s="90"/>
      <c r="RRI1062" s="90"/>
      <c r="RRJ1062" s="90"/>
      <c r="RRK1062" s="90"/>
      <c r="RRL1062" s="90"/>
      <c r="RRM1062" s="90"/>
      <c r="RRN1062" s="90"/>
      <c r="RRO1062" s="90"/>
      <c r="RRP1062" s="90"/>
      <c r="RRQ1062" s="90"/>
      <c r="RRR1062" s="90"/>
      <c r="RRS1062" s="90"/>
      <c r="RRT1062" s="90"/>
      <c r="RRU1062" s="90"/>
      <c r="RRV1062" s="90"/>
      <c r="RRW1062" s="90"/>
      <c r="RRX1062" s="90"/>
      <c r="RRY1062" s="90"/>
      <c r="RRZ1062" s="90"/>
      <c r="RSA1062" s="90"/>
      <c r="RSB1062" s="90"/>
      <c r="RSC1062" s="90"/>
      <c r="RSD1062" s="90"/>
      <c r="RSE1062" s="90"/>
      <c r="RSF1062" s="90"/>
      <c r="RSG1062" s="90"/>
      <c r="RSH1062" s="90"/>
      <c r="RSI1062" s="90"/>
      <c r="RSJ1062" s="90"/>
      <c r="RSK1062" s="90"/>
      <c r="RSL1062" s="90"/>
      <c r="RSM1062" s="90"/>
      <c r="RSN1062" s="90"/>
      <c r="RSO1062" s="90"/>
      <c r="RSP1062" s="90"/>
      <c r="RSQ1062" s="90"/>
      <c r="RSR1062" s="90"/>
      <c r="RSS1062" s="90"/>
      <c r="RST1062" s="90"/>
      <c r="RSU1062" s="90"/>
      <c r="RSV1062" s="90"/>
      <c r="RSW1062" s="90"/>
      <c r="RSX1062" s="90"/>
      <c r="RSY1062" s="90"/>
      <c r="RSZ1062" s="90"/>
      <c r="RTA1062" s="90"/>
      <c r="RTB1062" s="90"/>
      <c r="RTC1062" s="90"/>
      <c r="RTD1062" s="90"/>
      <c r="RTE1062" s="90"/>
      <c r="RTF1062" s="90"/>
      <c r="RTG1062" s="90"/>
      <c r="RTH1062" s="90"/>
      <c r="RTI1062" s="90"/>
      <c r="RTJ1062" s="90"/>
      <c r="RTK1062" s="90"/>
      <c r="RTL1062" s="90"/>
      <c r="RTM1062" s="90"/>
      <c r="RTN1062" s="90"/>
      <c r="RTO1062" s="90"/>
      <c r="RTP1062" s="90"/>
      <c r="RTQ1062" s="90"/>
      <c r="RTR1062" s="90"/>
      <c r="RTS1062" s="90"/>
      <c r="RTT1062" s="90"/>
      <c r="RTU1062" s="90"/>
      <c r="RTV1062" s="90"/>
      <c r="RTW1062" s="90"/>
      <c r="RTX1062" s="90"/>
      <c r="RTY1062" s="90"/>
      <c r="RTZ1062" s="90"/>
      <c r="RUA1062" s="90"/>
      <c r="RUB1062" s="90"/>
      <c r="RUC1062" s="90"/>
      <c r="RUD1062" s="90"/>
      <c r="RUE1062" s="90"/>
      <c r="RUF1062" s="90"/>
      <c r="RUG1062" s="90"/>
      <c r="RUH1062" s="90"/>
      <c r="RUI1062" s="90"/>
      <c r="RUJ1062" s="90"/>
      <c r="RUK1062" s="90"/>
      <c r="RUL1062" s="90"/>
      <c r="RUM1062" s="90"/>
      <c r="RUN1062" s="90"/>
      <c r="RUO1062" s="90"/>
      <c r="RUP1062" s="90"/>
      <c r="RUQ1062" s="90"/>
      <c r="RUR1062" s="90"/>
      <c r="RUS1062" s="90"/>
      <c r="RUT1062" s="90"/>
      <c r="RUU1062" s="90"/>
      <c r="RUV1062" s="90"/>
      <c r="RUW1062" s="90"/>
      <c r="RUX1062" s="90"/>
      <c r="RUY1062" s="90"/>
      <c r="RUZ1062" s="90"/>
      <c r="RVA1062" s="90"/>
      <c r="RVB1062" s="90"/>
      <c r="RVC1062" s="90"/>
      <c r="RVD1062" s="90"/>
      <c r="RVE1062" s="90"/>
      <c r="RVF1062" s="90"/>
      <c r="RVG1062" s="90"/>
      <c r="RVH1062" s="90"/>
      <c r="RVI1062" s="90"/>
      <c r="RVJ1062" s="90"/>
      <c r="RVK1062" s="90"/>
      <c r="RVL1062" s="90"/>
      <c r="RVM1062" s="90"/>
      <c r="RVN1062" s="90"/>
      <c r="RVO1062" s="90"/>
      <c r="RVP1062" s="90"/>
      <c r="RVQ1062" s="90"/>
      <c r="RVR1062" s="90"/>
      <c r="RVS1062" s="90"/>
      <c r="RVT1062" s="90"/>
      <c r="RVU1062" s="90"/>
      <c r="RVV1062" s="90"/>
      <c r="RVW1062" s="90"/>
      <c r="RVX1062" s="90"/>
      <c r="RVY1062" s="90"/>
      <c r="RVZ1062" s="90"/>
      <c r="RWA1062" s="90"/>
      <c r="RWB1062" s="90"/>
      <c r="RWC1062" s="90"/>
      <c r="RWD1062" s="90"/>
      <c r="RWE1062" s="90"/>
      <c r="RWF1062" s="90"/>
      <c r="RWG1062" s="90"/>
      <c r="RWH1062" s="90"/>
      <c r="RWI1062" s="90"/>
      <c r="RWJ1062" s="90"/>
      <c r="RWK1062" s="90"/>
      <c r="RWL1062" s="90"/>
      <c r="RWM1062" s="90"/>
      <c r="RWN1062" s="90"/>
      <c r="RWO1062" s="90"/>
      <c r="RWP1062" s="90"/>
      <c r="RWQ1062" s="90"/>
      <c r="RWR1062" s="90"/>
      <c r="RWS1062" s="90"/>
      <c r="RWT1062" s="90"/>
      <c r="RWU1062" s="90"/>
      <c r="RWV1062" s="90"/>
      <c r="RWW1062" s="90"/>
      <c r="RWX1062" s="90"/>
      <c r="RWY1062" s="90"/>
      <c r="RWZ1062" s="90"/>
      <c r="RXA1062" s="90"/>
      <c r="RXB1062" s="90"/>
      <c r="RXC1062" s="90"/>
      <c r="RXD1062" s="90"/>
      <c r="RXE1062" s="90"/>
      <c r="RXF1062" s="90"/>
      <c r="RXG1062" s="90"/>
      <c r="RXH1062" s="90"/>
      <c r="RXI1062" s="90"/>
      <c r="RXJ1062" s="90"/>
      <c r="RXK1062" s="90"/>
      <c r="RXL1062" s="90"/>
      <c r="RXM1062" s="90"/>
      <c r="RXN1062" s="90"/>
      <c r="RXO1062" s="90"/>
      <c r="RXP1062" s="90"/>
      <c r="RXQ1062" s="90"/>
      <c r="RXR1062" s="90"/>
      <c r="RXS1062" s="90"/>
      <c r="RXT1062" s="90"/>
      <c r="RXU1062" s="90"/>
      <c r="RXV1062" s="90"/>
      <c r="RXW1062" s="90"/>
      <c r="RXX1062" s="90"/>
      <c r="RXY1062" s="90"/>
      <c r="RXZ1062" s="90"/>
      <c r="RYA1062" s="90"/>
      <c r="RYB1062" s="90"/>
      <c r="RYC1062" s="90"/>
      <c r="RYD1062" s="90"/>
      <c r="RYE1062" s="90"/>
      <c r="RYF1062" s="90"/>
      <c r="RYG1062" s="90"/>
      <c r="RYH1062" s="90"/>
      <c r="RYI1062" s="90"/>
      <c r="RYJ1062" s="90"/>
      <c r="RYK1062" s="90"/>
      <c r="RYL1062" s="90"/>
      <c r="RYM1062" s="90"/>
      <c r="RYN1062" s="90"/>
      <c r="RYO1062" s="90"/>
      <c r="RYP1062" s="90"/>
      <c r="RYQ1062" s="90"/>
      <c r="RYR1062" s="90"/>
      <c r="RYS1062" s="90"/>
      <c r="RYT1062" s="90"/>
      <c r="RYU1062" s="90"/>
      <c r="RYV1062" s="90"/>
      <c r="RYW1062" s="90"/>
      <c r="RYX1062" s="90"/>
      <c r="RYY1062" s="90"/>
      <c r="RYZ1062" s="90"/>
      <c r="RZA1062" s="90"/>
      <c r="RZB1062" s="90"/>
      <c r="RZC1062" s="90"/>
      <c r="RZD1062" s="90"/>
      <c r="RZE1062" s="90"/>
      <c r="RZF1062" s="90"/>
      <c r="RZG1062" s="90"/>
      <c r="RZH1062" s="90"/>
      <c r="RZI1062" s="90"/>
      <c r="RZJ1062" s="90"/>
      <c r="RZK1062" s="90"/>
      <c r="RZL1062" s="90"/>
      <c r="RZM1062" s="90"/>
      <c r="RZN1062" s="90"/>
      <c r="RZO1062" s="90"/>
      <c r="RZP1062" s="90"/>
      <c r="RZQ1062" s="90"/>
      <c r="RZR1062" s="90"/>
      <c r="RZS1062" s="90"/>
      <c r="RZT1062" s="90"/>
      <c r="RZU1062" s="90"/>
      <c r="RZV1062" s="90"/>
      <c r="RZW1062" s="90"/>
      <c r="RZX1062" s="90"/>
      <c r="RZY1062" s="90"/>
      <c r="RZZ1062" s="90"/>
      <c r="SAA1062" s="90"/>
      <c r="SAB1062" s="90"/>
      <c r="SAC1062" s="90"/>
      <c r="SAD1062" s="90"/>
      <c r="SAE1062" s="90"/>
      <c r="SAF1062" s="90"/>
      <c r="SAG1062" s="90"/>
      <c r="SAH1062" s="90"/>
      <c r="SAI1062" s="90"/>
      <c r="SAJ1062" s="90"/>
      <c r="SAK1062" s="90"/>
      <c r="SAL1062" s="90"/>
      <c r="SAM1062" s="90"/>
      <c r="SAN1062" s="90"/>
      <c r="SAO1062" s="90"/>
      <c r="SAP1062" s="90"/>
      <c r="SAQ1062" s="90"/>
      <c r="SAR1062" s="90"/>
      <c r="SAS1062" s="90"/>
      <c r="SAT1062" s="90"/>
      <c r="SAU1062" s="90"/>
      <c r="SAV1062" s="90"/>
      <c r="SAW1062" s="90"/>
      <c r="SAX1062" s="90"/>
      <c r="SAY1062" s="90"/>
      <c r="SAZ1062" s="90"/>
      <c r="SBA1062" s="90"/>
      <c r="SBB1062" s="90"/>
      <c r="SBC1062" s="90"/>
      <c r="SBD1062" s="90"/>
      <c r="SBE1062" s="90"/>
      <c r="SBF1062" s="90"/>
      <c r="SBG1062" s="90"/>
      <c r="SBH1062" s="90"/>
      <c r="SBI1062" s="90"/>
      <c r="SBJ1062" s="90"/>
      <c r="SBK1062" s="90"/>
      <c r="SBL1062" s="90"/>
      <c r="SBM1062" s="90"/>
      <c r="SBN1062" s="90"/>
      <c r="SBO1062" s="90"/>
      <c r="SBP1062" s="90"/>
      <c r="SBQ1062" s="90"/>
      <c r="SBR1062" s="90"/>
      <c r="SBS1062" s="90"/>
      <c r="SBT1062" s="90"/>
      <c r="SBU1062" s="90"/>
      <c r="SBV1062" s="90"/>
      <c r="SBW1062" s="90"/>
      <c r="SBX1062" s="90"/>
      <c r="SBY1062" s="90"/>
      <c r="SBZ1062" s="90"/>
      <c r="SCA1062" s="90"/>
      <c r="SCB1062" s="90"/>
      <c r="SCC1062" s="90"/>
      <c r="SCD1062" s="90"/>
      <c r="SCE1062" s="90"/>
      <c r="SCF1062" s="90"/>
      <c r="SCG1062" s="90"/>
      <c r="SCH1062" s="90"/>
      <c r="SCI1062" s="90"/>
      <c r="SCJ1062" s="90"/>
      <c r="SCK1062" s="90"/>
      <c r="SCL1062" s="90"/>
      <c r="SCM1062" s="90"/>
      <c r="SCN1062" s="90"/>
      <c r="SCO1062" s="90"/>
      <c r="SCP1062" s="90"/>
      <c r="SCQ1062" s="90"/>
      <c r="SCR1062" s="90"/>
      <c r="SCS1062" s="90"/>
      <c r="SCT1062" s="90"/>
      <c r="SCU1062" s="90"/>
      <c r="SCV1062" s="90"/>
      <c r="SCW1062" s="90"/>
      <c r="SCX1062" s="90"/>
      <c r="SCY1062" s="90"/>
      <c r="SCZ1062" s="90"/>
      <c r="SDA1062" s="90"/>
      <c r="SDB1062" s="90"/>
      <c r="SDC1062" s="90"/>
      <c r="SDD1062" s="90"/>
      <c r="SDE1062" s="90"/>
      <c r="SDF1062" s="90"/>
      <c r="SDG1062" s="90"/>
      <c r="SDH1062" s="90"/>
      <c r="SDI1062" s="90"/>
      <c r="SDJ1062" s="90"/>
      <c r="SDK1062" s="90"/>
      <c r="SDL1062" s="90"/>
      <c r="SDM1062" s="90"/>
      <c r="SDN1062" s="90"/>
      <c r="SDO1062" s="90"/>
      <c r="SDP1062" s="90"/>
      <c r="SDQ1062" s="90"/>
      <c r="SDR1062" s="90"/>
      <c r="SDS1062" s="90"/>
      <c r="SDT1062" s="90"/>
      <c r="SDU1062" s="90"/>
      <c r="SDV1062" s="90"/>
      <c r="SDW1062" s="90"/>
      <c r="SDX1062" s="90"/>
      <c r="SDY1062" s="90"/>
      <c r="SDZ1062" s="90"/>
      <c r="SEA1062" s="90"/>
      <c r="SEB1062" s="90"/>
      <c r="SEC1062" s="90"/>
      <c r="SED1062" s="90"/>
      <c r="SEE1062" s="90"/>
      <c r="SEF1062" s="90"/>
      <c r="SEG1062" s="90"/>
      <c r="SEH1062" s="90"/>
      <c r="SEI1062" s="90"/>
      <c r="SEJ1062" s="90"/>
      <c r="SEK1062" s="90"/>
      <c r="SEL1062" s="90"/>
      <c r="SEM1062" s="90"/>
      <c r="SEN1062" s="90"/>
      <c r="SEO1062" s="90"/>
      <c r="SEP1062" s="90"/>
      <c r="SEQ1062" s="90"/>
      <c r="SER1062" s="90"/>
      <c r="SES1062" s="90"/>
      <c r="SET1062" s="90"/>
      <c r="SEU1062" s="90"/>
      <c r="SEV1062" s="90"/>
      <c r="SEW1062" s="90"/>
      <c r="SEX1062" s="90"/>
      <c r="SEY1062" s="90"/>
      <c r="SEZ1062" s="90"/>
      <c r="SFA1062" s="90"/>
      <c r="SFB1062" s="90"/>
      <c r="SFC1062" s="90"/>
      <c r="SFD1062" s="90"/>
      <c r="SFE1062" s="90"/>
      <c r="SFF1062" s="90"/>
      <c r="SFG1062" s="90"/>
      <c r="SFH1062" s="90"/>
      <c r="SFI1062" s="90"/>
      <c r="SFJ1062" s="90"/>
      <c r="SFK1062" s="90"/>
      <c r="SFL1062" s="90"/>
      <c r="SFM1062" s="90"/>
      <c r="SFN1062" s="90"/>
      <c r="SFO1062" s="90"/>
      <c r="SFP1062" s="90"/>
      <c r="SFQ1062" s="90"/>
      <c r="SFR1062" s="90"/>
      <c r="SFS1062" s="90"/>
      <c r="SFT1062" s="90"/>
      <c r="SFU1062" s="90"/>
      <c r="SFV1062" s="90"/>
      <c r="SFW1062" s="90"/>
      <c r="SFX1062" s="90"/>
      <c r="SFY1062" s="90"/>
      <c r="SFZ1062" s="90"/>
      <c r="SGA1062" s="90"/>
      <c r="SGB1062" s="90"/>
      <c r="SGC1062" s="90"/>
      <c r="SGD1062" s="90"/>
      <c r="SGE1062" s="90"/>
      <c r="SGF1062" s="90"/>
      <c r="SGG1062" s="90"/>
      <c r="SGH1062" s="90"/>
      <c r="SGI1062" s="90"/>
      <c r="SGJ1062" s="90"/>
      <c r="SGK1062" s="90"/>
      <c r="SGL1062" s="90"/>
      <c r="SGM1062" s="90"/>
      <c r="SGN1062" s="90"/>
      <c r="SGO1062" s="90"/>
      <c r="SGP1062" s="90"/>
      <c r="SGQ1062" s="90"/>
      <c r="SGR1062" s="90"/>
      <c r="SGS1062" s="90"/>
      <c r="SGT1062" s="90"/>
      <c r="SGU1062" s="90"/>
      <c r="SGV1062" s="90"/>
      <c r="SGW1062" s="90"/>
      <c r="SGX1062" s="90"/>
      <c r="SGY1062" s="90"/>
      <c r="SGZ1062" s="90"/>
      <c r="SHA1062" s="90"/>
      <c r="SHB1062" s="90"/>
      <c r="SHC1062" s="90"/>
      <c r="SHD1062" s="90"/>
      <c r="SHE1062" s="90"/>
      <c r="SHF1062" s="90"/>
      <c r="SHG1062" s="90"/>
      <c r="SHH1062" s="90"/>
      <c r="SHI1062" s="90"/>
      <c r="SHJ1062" s="90"/>
      <c r="SHK1062" s="90"/>
      <c r="SHL1062" s="90"/>
      <c r="SHM1062" s="90"/>
      <c r="SHN1062" s="90"/>
      <c r="SHO1062" s="90"/>
      <c r="SHP1062" s="90"/>
      <c r="SHQ1062" s="90"/>
      <c r="SHR1062" s="90"/>
      <c r="SHS1062" s="90"/>
      <c r="SHT1062" s="90"/>
      <c r="SHU1062" s="90"/>
      <c r="SHV1062" s="90"/>
      <c r="SHW1062" s="90"/>
      <c r="SHX1062" s="90"/>
      <c r="SHY1062" s="90"/>
      <c r="SHZ1062" s="90"/>
      <c r="SIA1062" s="90"/>
      <c r="SIB1062" s="90"/>
      <c r="SIC1062" s="90"/>
      <c r="SID1062" s="90"/>
      <c r="SIE1062" s="90"/>
      <c r="SIF1062" s="90"/>
      <c r="SIG1062" s="90"/>
      <c r="SIH1062" s="90"/>
      <c r="SII1062" s="90"/>
      <c r="SIJ1062" s="90"/>
      <c r="SIK1062" s="90"/>
      <c r="SIL1062" s="90"/>
      <c r="SIM1062" s="90"/>
      <c r="SIN1062" s="90"/>
      <c r="SIO1062" s="90"/>
      <c r="SIP1062" s="90"/>
      <c r="SIQ1062" s="90"/>
      <c r="SIR1062" s="90"/>
      <c r="SIS1062" s="90"/>
      <c r="SIT1062" s="90"/>
      <c r="SIU1062" s="90"/>
      <c r="SIV1062" s="90"/>
      <c r="SIW1062" s="90"/>
      <c r="SIX1062" s="90"/>
      <c r="SIY1062" s="90"/>
      <c r="SIZ1062" s="90"/>
      <c r="SJA1062" s="90"/>
      <c r="SJB1062" s="90"/>
      <c r="SJC1062" s="90"/>
      <c r="SJD1062" s="90"/>
      <c r="SJE1062" s="90"/>
      <c r="SJF1062" s="90"/>
      <c r="SJG1062" s="90"/>
      <c r="SJH1062" s="90"/>
      <c r="SJI1062" s="90"/>
      <c r="SJJ1062" s="90"/>
      <c r="SJK1062" s="90"/>
      <c r="SJL1062" s="90"/>
      <c r="SJM1062" s="90"/>
      <c r="SJN1062" s="90"/>
      <c r="SJO1062" s="90"/>
      <c r="SJP1062" s="90"/>
      <c r="SJQ1062" s="90"/>
      <c r="SJR1062" s="90"/>
      <c r="SJS1062" s="90"/>
      <c r="SJT1062" s="90"/>
      <c r="SJU1062" s="90"/>
      <c r="SJV1062" s="90"/>
      <c r="SJW1062" s="90"/>
      <c r="SJX1062" s="90"/>
      <c r="SJY1062" s="90"/>
      <c r="SJZ1062" s="90"/>
      <c r="SKA1062" s="90"/>
      <c r="SKB1062" s="90"/>
      <c r="SKC1062" s="90"/>
      <c r="SKD1062" s="90"/>
      <c r="SKE1062" s="90"/>
      <c r="SKF1062" s="90"/>
      <c r="SKG1062" s="90"/>
      <c r="SKH1062" s="90"/>
      <c r="SKI1062" s="90"/>
      <c r="SKJ1062" s="90"/>
      <c r="SKK1062" s="90"/>
      <c r="SKL1062" s="90"/>
      <c r="SKM1062" s="90"/>
      <c r="SKN1062" s="90"/>
      <c r="SKO1062" s="90"/>
      <c r="SKP1062" s="90"/>
      <c r="SKQ1062" s="90"/>
      <c r="SKR1062" s="90"/>
      <c r="SKS1062" s="90"/>
      <c r="SKT1062" s="90"/>
      <c r="SKU1062" s="90"/>
      <c r="SKV1062" s="90"/>
      <c r="SKW1062" s="90"/>
      <c r="SKX1062" s="90"/>
      <c r="SKY1062" s="90"/>
      <c r="SKZ1062" s="90"/>
      <c r="SLA1062" s="90"/>
      <c r="SLB1062" s="90"/>
      <c r="SLC1062" s="90"/>
      <c r="SLD1062" s="90"/>
      <c r="SLE1062" s="90"/>
      <c r="SLF1062" s="90"/>
      <c r="SLG1062" s="90"/>
      <c r="SLH1062" s="90"/>
      <c r="SLI1062" s="90"/>
      <c r="SLJ1062" s="90"/>
      <c r="SLK1062" s="90"/>
      <c r="SLL1062" s="90"/>
      <c r="SLM1062" s="90"/>
      <c r="SLN1062" s="90"/>
      <c r="SLO1062" s="90"/>
      <c r="SLP1062" s="90"/>
      <c r="SLQ1062" s="90"/>
      <c r="SLR1062" s="90"/>
      <c r="SLS1062" s="90"/>
      <c r="SLT1062" s="90"/>
      <c r="SLU1062" s="90"/>
      <c r="SLV1062" s="90"/>
      <c r="SLW1062" s="90"/>
      <c r="SLX1062" s="90"/>
      <c r="SLY1062" s="90"/>
      <c r="SLZ1062" s="90"/>
      <c r="SMA1062" s="90"/>
      <c r="SMB1062" s="90"/>
      <c r="SMC1062" s="90"/>
      <c r="SMD1062" s="90"/>
      <c r="SME1062" s="90"/>
      <c r="SMF1062" s="90"/>
      <c r="SMG1062" s="90"/>
      <c r="SMH1062" s="90"/>
      <c r="SMI1062" s="90"/>
      <c r="SMJ1062" s="90"/>
      <c r="SMK1062" s="90"/>
      <c r="SML1062" s="90"/>
      <c r="SMM1062" s="90"/>
      <c r="SMN1062" s="90"/>
      <c r="SMO1062" s="90"/>
      <c r="SMP1062" s="90"/>
      <c r="SMQ1062" s="90"/>
      <c r="SMR1062" s="90"/>
      <c r="SMS1062" s="90"/>
      <c r="SMT1062" s="90"/>
      <c r="SMU1062" s="90"/>
      <c r="SMV1062" s="90"/>
      <c r="SMW1062" s="90"/>
      <c r="SMX1062" s="90"/>
      <c r="SMY1062" s="90"/>
      <c r="SMZ1062" s="90"/>
      <c r="SNA1062" s="90"/>
      <c r="SNB1062" s="90"/>
      <c r="SNC1062" s="90"/>
      <c r="SND1062" s="90"/>
      <c r="SNE1062" s="90"/>
      <c r="SNF1062" s="90"/>
      <c r="SNG1062" s="90"/>
      <c r="SNH1062" s="90"/>
      <c r="SNI1062" s="90"/>
      <c r="SNJ1062" s="90"/>
      <c r="SNK1062" s="90"/>
      <c r="SNL1062" s="90"/>
      <c r="SNM1062" s="90"/>
      <c r="SNN1062" s="90"/>
      <c r="SNO1062" s="90"/>
      <c r="SNP1062" s="90"/>
      <c r="SNQ1062" s="90"/>
      <c r="SNR1062" s="90"/>
      <c r="SNS1062" s="90"/>
      <c r="SNT1062" s="90"/>
      <c r="SNU1062" s="90"/>
      <c r="SNV1062" s="90"/>
      <c r="SNW1062" s="90"/>
      <c r="SNX1062" s="90"/>
      <c r="SNY1062" s="90"/>
      <c r="SNZ1062" s="90"/>
      <c r="SOA1062" s="90"/>
      <c r="SOB1062" s="90"/>
      <c r="SOC1062" s="90"/>
      <c r="SOD1062" s="90"/>
      <c r="SOE1062" s="90"/>
      <c r="SOF1062" s="90"/>
      <c r="SOG1062" s="90"/>
      <c r="SOH1062" s="90"/>
      <c r="SOI1062" s="90"/>
      <c r="SOJ1062" s="90"/>
      <c r="SOK1062" s="90"/>
      <c r="SOL1062" s="90"/>
      <c r="SOM1062" s="90"/>
      <c r="SON1062" s="90"/>
      <c r="SOO1062" s="90"/>
      <c r="SOP1062" s="90"/>
      <c r="SOQ1062" s="90"/>
      <c r="SOR1062" s="90"/>
      <c r="SOS1062" s="90"/>
      <c r="SOT1062" s="90"/>
      <c r="SOU1062" s="90"/>
      <c r="SOV1062" s="90"/>
      <c r="SOW1062" s="90"/>
      <c r="SOX1062" s="90"/>
      <c r="SOY1062" s="90"/>
      <c r="SOZ1062" s="90"/>
      <c r="SPA1062" s="90"/>
      <c r="SPB1062" s="90"/>
      <c r="SPC1062" s="90"/>
      <c r="SPD1062" s="90"/>
      <c r="SPE1062" s="90"/>
      <c r="SPF1062" s="90"/>
      <c r="SPG1062" s="90"/>
      <c r="SPH1062" s="90"/>
      <c r="SPI1062" s="90"/>
      <c r="SPJ1062" s="90"/>
      <c r="SPK1062" s="90"/>
      <c r="SPL1062" s="90"/>
      <c r="SPM1062" s="90"/>
      <c r="SPN1062" s="90"/>
      <c r="SPO1062" s="90"/>
      <c r="SPP1062" s="90"/>
      <c r="SPQ1062" s="90"/>
      <c r="SPR1062" s="90"/>
      <c r="SPS1062" s="90"/>
      <c r="SPT1062" s="90"/>
      <c r="SPU1062" s="90"/>
      <c r="SPV1062" s="90"/>
      <c r="SPW1062" s="90"/>
      <c r="SPX1062" s="90"/>
      <c r="SPY1062" s="90"/>
      <c r="SPZ1062" s="90"/>
      <c r="SQA1062" s="90"/>
      <c r="SQB1062" s="90"/>
      <c r="SQC1062" s="90"/>
      <c r="SQD1062" s="90"/>
      <c r="SQE1062" s="90"/>
      <c r="SQF1062" s="90"/>
      <c r="SQG1062" s="90"/>
      <c r="SQH1062" s="90"/>
      <c r="SQI1062" s="90"/>
      <c r="SQJ1062" s="90"/>
      <c r="SQK1062" s="90"/>
      <c r="SQL1062" s="90"/>
      <c r="SQM1062" s="90"/>
      <c r="SQN1062" s="90"/>
      <c r="SQO1062" s="90"/>
      <c r="SQP1062" s="90"/>
      <c r="SQQ1062" s="90"/>
      <c r="SQR1062" s="90"/>
      <c r="SQS1062" s="90"/>
      <c r="SQT1062" s="90"/>
      <c r="SQU1062" s="90"/>
      <c r="SQV1062" s="90"/>
      <c r="SQW1062" s="90"/>
      <c r="SQX1062" s="90"/>
      <c r="SQY1062" s="90"/>
      <c r="SQZ1062" s="90"/>
      <c r="SRA1062" s="90"/>
      <c r="SRB1062" s="90"/>
      <c r="SRC1062" s="90"/>
      <c r="SRD1062" s="90"/>
      <c r="SRE1062" s="90"/>
      <c r="SRF1062" s="90"/>
      <c r="SRG1062" s="90"/>
      <c r="SRH1062" s="90"/>
      <c r="SRI1062" s="90"/>
      <c r="SRJ1062" s="90"/>
      <c r="SRK1062" s="90"/>
      <c r="SRL1062" s="90"/>
      <c r="SRM1062" s="90"/>
      <c r="SRN1062" s="90"/>
      <c r="SRO1062" s="90"/>
      <c r="SRP1062" s="90"/>
      <c r="SRQ1062" s="90"/>
      <c r="SRR1062" s="90"/>
      <c r="SRS1062" s="90"/>
      <c r="SRT1062" s="90"/>
      <c r="SRU1062" s="90"/>
      <c r="SRV1062" s="90"/>
      <c r="SRW1062" s="90"/>
      <c r="SRX1062" s="90"/>
      <c r="SRY1062" s="90"/>
      <c r="SRZ1062" s="90"/>
      <c r="SSA1062" s="90"/>
      <c r="SSB1062" s="90"/>
      <c r="SSC1062" s="90"/>
      <c r="SSD1062" s="90"/>
      <c r="SSE1062" s="90"/>
      <c r="SSF1062" s="90"/>
      <c r="SSG1062" s="90"/>
      <c r="SSH1062" s="90"/>
      <c r="SSI1062" s="90"/>
      <c r="SSJ1062" s="90"/>
      <c r="SSK1062" s="90"/>
      <c r="SSL1062" s="90"/>
      <c r="SSM1062" s="90"/>
      <c r="SSN1062" s="90"/>
      <c r="SSO1062" s="90"/>
      <c r="SSP1062" s="90"/>
      <c r="SSQ1062" s="90"/>
      <c r="SSR1062" s="90"/>
      <c r="SSS1062" s="90"/>
      <c r="SST1062" s="90"/>
      <c r="SSU1062" s="90"/>
      <c r="SSV1062" s="90"/>
      <c r="SSW1062" s="90"/>
      <c r="SSX1062" s="90"/>
      <c r="SSY1062" s="90"/>
      <c r="SSZ1062" s="90"/>
      <c r="STA1062" s="90"/>
      <c r="STB1062" s="90"/>
      <c r="STC1062" s="90"/>
      <c r="STD1062" s="90"/>
      <c r="STE1062" s="90"/>
      <c r="STF1062" s="90"/>
      <c r="STG1062" s="90"/>
      <c r="STH1062" s="90"/>
      <c r="STI1062" s="90"/>
      <c r="STJ1062" s="90"/>
      <c r="STK1062" s="90"/>
      <c r="STL1062" s="90"/>
      <c r="STM1062" s="90"/>
      <c r="STN1062" s="90"/>
      <c r="STO1062" s="90"/>
      <c r="STP1062" s="90"/>
      <c r="STQ1062" s="90"/>
      <c r="STR1062" s="90"/>
      <c r="STS1062" s="90"/>
      <c r="STT1062" s="90"/>
      <c r="STU1062" s="90"/>
      <c r="STV1062" s="90"/>
      <c r="STW1062" s="90"/>
      <c r="STX1062" s="90"/>
      <c r="STY1062" s="90"/>
      <c r="STZ1062" s="90"/>
      <c r="SUA1062" s="90"/>
      <c r="SUB1062" s="90"/>
      <c r="SUC1062" s="90"/>
      <c r="SUD1062" s="90"/>
      <c r="SUE1062" s="90"/>
      <c r="SUF1062" s="90"/>
      <c r="SUG1062" s="90"/>
      <c r="SUH1062" s="90"/>
      <c r="SUI1062" s="90"/>
      <c r="SUJ1062" s="90"/>
      <c r="SUK1062" s="90"/>
      <c r="SUL1062" s="90"/>
      <c r="SUM1062" s="90"/>
      <c r="SUN1062" s="90"/>
      <c r="SUO1062" s="90"/>
      <c r="SUP1062" s="90"/>
      <c r="SUQ1062" s="90"/>
      <c r="SUR1062" s="90"/>
      <c r="SUS1062" s="90"/>
      <c r="SUT1062" s="90"/>
      <c r="SUU1062" s="90"/>
      <c r="SUV1062" s="90"/>
      <c r="SUW1062" s="90"/>
      <c r="SUX1062" s="90"/>
      <c r="SUY1062" s="90"/>
      <c r="SUZ1062" s="90"/>
      <c r="SVA1062" s="90"/>
      <c r="SVB1062" s="90"/>
      <c r="SVC1062" s="90"/>
      <c r="SVD1062" s="90"/>
      <c r="SVE1062" s="90"/>
      <c r="SVF1062" s="90"/>
      <c r="SVG1062" s="90"/>
      <c r="SVH1062" s="90"/>
      <c r="SVI1062" s="90"/>
      <c r="SVJ1062" s="90"/>
      <c r="SVK1062" s="90"/>
      <c r="SVL1062" s="90"/>
      <c r="SVM1062" s="90"/>
      <c r="SVN1062" s="90"/>
      <c r="SVO1062" s="90"/>
      <c r="SVP1062" s="90"/>
      <c r="SVQ1062" s="90"/>
      <c r="SVR1062" s="90"/>
      <c r="SVS1062" s="90"/>
      <c r="SVT1062" s="90"/>
      <c r="SVU1062" s="90"/>
      <c r="SVV1062" s="90"/>
      <c r="SVW1062" s="90"/>
      <c r="SVX1062" s="90"/>
      <c r="SVY1062" s="90"/>
      <c r="SVZ1062" s="90"/>
      <c r="SWA1062" s="90"/>
      <c r="SWB1062" s="90"/>
      <c r="SWC1062" s="90"/>
      <c r="SWD1062" s="90"/>
      <c r="SWE1062" s="90"/>
      <c r="SWF1062" s="90"/>
      <c r="SWG1062" s="90"/>
      <c r="SWH1062" s="90"/>
      <c r="SWI1062" s="90"/>
      <c r="SWJ1062" s="90"/>
      <c r="SWK1062" s="90"/>
      <c r="SWL1062" s="90"/>
      <c r="SWM1062" s="90"/>
      <c r="SWN1062" s="90"/>
      <c r="SWO1062" s="90"/>
      <c r="SWP1062" s="90"/>
      <c r="SWQ1062" s="90"/>
      <c r="SWR1062" s="90"/>
      <c r="SWS1062" s="90"/>
      <c r="SWT1062" s="90"/>
      <c r="SWU1062" s="90"/>
      <c r="SWV1062" s="90"/>
      <c r="SWW1062" s="90"/>
      <c r="SWX1062" s="90"/>
      <c r="SWY1062" s="90"/>
      <c r="SWZ1062" s="90"/>
      <c r="SXA1062" s="90"/>
      <c r="SXB1062" s="90"/>
      <c r="SXC1062" s="90"/>
      <c r="SXD1062" s="90"/>
      <c r="SXE1062" s="90"/>
      <c r="SXF1062" s="90"/>
      <c r="SXG1062" s="90"/>
      <c r="SXH1062" s="90"/>
      <c r="SXI1062" s="90"/>
      <c r="SXJ1062" s="90"/>
      <c r="SXK1062" s="90"/>
      <c r="SXL1062" s="90"/>
      <c r="SXM1062" s="90"/>
      <c r="SXN1062" s="90"/>
      <c r="SXO1062" s="90"/>
      <c r="SXP1062" s="90"/>
      <c r="SXQ1062" s="90"/>
      <c r="SXR1062" s="90"/>
      <c r="SXS1062" s="90"/>
      <c r="SXT1062" s="90"/>
      <c r="SXU1062" s="90"/>
      <c r="SXV1062" s="90"/>
      <c r="SXW1062" s="90"/>
      <c r="SXX1062" s="90"/>
      <c r="SXY1062" s="90"/>
      <c r="SXZ1062" s="90"/>
      <c r="SYA1062" s="90"/>
      <c r="SYB1062" s="90"/>
      <c r="SYC1062" s="90"/>
      <c r="SYD1062" s="90"/>
      <c r="SYE1062" s="90"/>
      <c r="SYF1062" s="90"/>
      <c r="SYG1062" s="90"/>
      <c r="SYH1062" s="90"/>
      <c r="SYI1062" s="90"/>
      <c r="SYJ1062" s="90"/>
      <c r="SYK1062" s="90"/>
      <c r="SYL1062" s="90"/>
      <c r="SYM1062" s="90"/>
      <c r="SYN1062" s="90"/>
      <c r="SYO1062" s="90"/>
      <c r="SYP1062" s="90"/>
      <c r="SYQ1062" s="90"/>
      <c r="SYR1062" s="90"/>
      <c r="SYS1062" s="90"/>
      <c r="SYT1062" s="90"/>
      <c r="SYU1062" s="90"/>
      <c r="SYV1062" s="90"/>
      <c r="SYW1062" s="90"/>
      <c r="SYX1062" s="90"/>
      <c r="SYY1062" s="90"/>
      <c r="SYZ1062" s="90"/>
      <c r="SZA1062" s="90"/>
      <c r="SZB1062" s="90"/>
      <c r="SZC1062" s="90"/>
      <c r="SZD1062" s="90"/>
      <c r="SZE1062" s="90"/>
      <c r="SZF1062" s="90"/>
      <c r="SZG1062" s="90"/>
      <c r="SZH1062" s="90"/>
      <c r="SZI1062" s="90"/>
      <c r="SZJ1062" s="90"/>
      <c r="SZK1062" s="90"/>
      <c r="SZL1062" s="90"/>
      <c r="SZM1062" s="90"/>
      <c r="SZN1062" s="90"/>
      <c r="SZO1062" s="90"/>
      <c r="SZP1062" s="90"/>
      <c r="SZQ1062" s="90"/>
      <c r="SZR1062" s="90"/>
      <c r="SZS1062" s="90"/>
      <c r="SZT1062" s="90"/>
      <c r="SZU1062" s="90"/>
      <c r="SZV1062" s="90"/>
      <c r="SZW1062" s="90"/>
      <c r="SZX1062" s="90"/>
      <c r="SZY1062" s="90"/>
      <c r="SZZ1062" s="90"/>
      <c r="TAA1062" s="90"/>
      <c r="TAB1062" s="90"/>
      <c r="TAC1062" s="90"/>
      <c r="TAD1062" s="90"/>
      <c r="TAE1062" s="90"/>
      <c r="TAF1062" s="90"/>
      <c r="TAG1062" s="90"/>
      <c r="TAH1062" s="90"/>
      <c r="TAI1062" s="90"/>
      <c r="TAJ1062" s="90"/>
      <c r="TAK1062" s="90"/>
      <c r="TAL1062" s="90"/>
      <c r="TAM1062" s="90"/>
      <c r="TAN1062" s="90"/>
      <c r="TAO1062" s="90"/>
      <c r="TAP1062" s="90"/>
      <c r="TAQ1062" s="90"/>
      <c r="TAR1062" s="90"/>
      <c r="TAS1062" s="90"/>
      <c r="TAT1062" s="90"/>
      <c r="TAU1062" s="90"/>
      <c r="TAV1062" s="90"/>
      <c r="TAW1062" s="90"/>
      <c r="TAX1062" s="90"/>
      <c r="TAY1062" s="90"/>
      <c r="TAZ1062" s="90"/>
      <c r="TBA1062" s="90"/>
      <c r="TBB1062" s="90"/>
      <c r="TBC1062" s="90"/>
      <c r="TBD1062" s="90"/>
      <c r="TBE1062" s="90"/>
      <c r="TBF1062" s="90"/>
      <c r="TBG1062" s="90"/>
      <c r="TBH1062" s="90"/>
      <c r="TBI1062" s="90"/>
      <c r="TBJ1062" s="90"/>
      <c r="TBK1062" s="90"/>
      <c r="TBL1062" s="90"/>
      <c r="TBM1062" s="90"/>
      <c r="TBN1062" s="90"/>
      <c r="TBO1062" s="90"/>
      <c r="TBP1062" s="90"/>
      <c r="TBQ1062" s="90"/>
      <c r="TBR1062" s="90"/>
      <c r="TBS1062" s="90"/>
      <c r="TBT1062" s="90"/>
      <c r="TBU1062" s="90"/>
      <c r="TBV1062" s="90"/>
      <c r="TBW1062" s="90"/>
      <c r="TBX1062" s="90"/>
      <c r="TBY1062" s="90"/>
      <c r="TBZ1062" s="90"/>
      <c r="TCA1062" s="90"/>
      <c r="TCB1062" s="90"/>
      <c r="TCC1062" s="90"/>
      <c r="TCD1062" s="90"/>
      <c r="TCE1062" s="90"/>
      <c r="TCF1062" s="90"/>
      <c r="TCG1062" s="90"/>
      <c r="TCH1062" s="90"/>
      <c r="TCI1062" s="90"/>
      <c r="TCJ1062" s="90"/>
      <c r="TCK1062" s="90"/>
      <c r="TCL1062" s="90"/>
      <c r="TCM1062" s="90"/>
      <c r="TCN1062" s="90"/>
      <c r="TCO1062" s="90"/>
      <c r="TCP1062" s="90"/>
      <c r="TCQ1062" s="90"/>
      <c r="TCR1062" s="90"/>
      <c r="TCS1062" s="90"/>
      <c r="TCT1062" s="90"/>
      <c r="TCU1062" s="90"/>
      <c r="TCV1062" s="90"/>
      <c r="TCW1062" s="90"/>
      <c r="TCX1062" s="90"/>
      <c r="TCY1062" s="90"/>
      <c r="TCZ1062" s="90"/>
      <c r="TDA1062" s="90"/>
      <c r="TDB1062" s="90"/>
      <c r="TDC1062" s="90"/>
      <c r="TDD1062" s="90"/>
      <c r="TDE1062" s="90"/>
      <c r="TDF1062" s="90"/>
      <c r="TDG1062" s="90"/>
      <c r="TDH1062" s="90"/>
      <c r="TDI1062" s="90"/>
      <c r="TDJ1062" s="90"/>
      <c r="TDK1062" s="90"/>
      <c r="TDL1062" s="90"/>
      <c r="TDM1062" s="90"/>
      <c r="TDN1062" s="90"/>
      <c r="TDO1062" s="90"/>
      <c r="TDP1062" s="90"/>
      <c r="TDQ1062" s="90"/>
      <c r="TDR1062" s="90"/>
      <c r="TDS1062" s="90"/>
      <c r="TDT1062" s="90"/>
      <c r="TDU1062" s="90"/>
      <c r="TDV1062" s="90"/>
      <c r="TDW1062" s="90"/>
      <c r="TDX1062" s="90"/>
      <c r="TDY1062" s="90"/>
      <c r="TDZ1062" s="90"/>
      <c r="TEA1062" s="90"/>
      <c r="TEB1062" s="90"/>
      <c r="TEC1062" s="90"/>
      <c r="TED1062" s="90"/>
      <c r="TEE1062" s="90"/>
      <c r="TEF1062" s="90"/>
      <c r="TEG1062" s="90"/>
      <c r="TEH1062" s="90"/>
      <c r="TEI1062" s="90"/>
      <c r="TEJ1062" s="90"/>
      <c r="TEK1062" s="90"/>
      <c r="TEL1062" s="90"/>
      <c r="TEM1062" s="90"/>
      <c r="TEN1062" s="90"/>
      <c r="TEO1062" s="90"/>
      <c r="TEP1062" s="90"/>
      <c r="TEQ1062" s="90"/>
      <c r="TER1062" s="90"/>
      <c r="TES1062" s="90"/>
      <c r="TET1062" s="90"/>
      <c r="TEU1062" s="90"/>
      <c r="TEV1062" s="90"/>
      <c r="TEW1062" s="90"/>
      <c r="TEX1062" s="90"/>
      <c r="TEY1062" s="90"/>
      <c r="TEZ1062" s="90"/>
      <c r="TFA1062" s="90"/>
      <c r="TFB1062" s="90"/>
      <c r="TFC1062" s="90"/>
      <c r="TFD1062" s="90"/>
      <c r="TFE1062" s="90"/>
      <c r="TFF1062" s="90"/>
      <c r="TFG1062" s="90"/>
      <c r="TFH1062" s="90"/>
      <c r="TFI1062" s="90"/>
      <c r="TFJ1062" s="90"/>
      <c r="TFK1062" s="90"/>
      <c r="TFL1062" s="90"/>
      <c r="TFM1062" s="90"/>
      <c r="TFN1062" s="90"/>
      <c r="TFO1062" s="90"/>
      <c r="TFP1062" s="90"/>
      <c r="TFQ1062" s="90"/>
      <c r="TFR1062" s="90"/>
      <c r="TFS1062" s="90"/>
      <c r="TFT1062" s="90"/>
      <c r="TFU1062" s="90"/>
      <c r="TFV1062" s="90"/>
      <c r="TFW1062" s="90"/>
      <c r="TFX1062" s="90"/>
      <c r="TFY1062" s="90"/>
      <c r="TFZ1062" s="90"/>
      <c r="TGA1062" s="90"/>
      <c r="TGB1062" s="90"/>
      <c r="TGC1062" s="90"/>
      <c r="TGD1062" s="90"/>
      <c r="TGE1062" s="90"/>
      <c r="TGF1062" s="90"/>
      <c r="TGG1062" s="90"/>
      <c r="TGH1062" s="90"/>
      <c r="TGI1062" s="90"/>
      <c r="TGJ1062" s="90"/>
      <c r="TGK1062" s="90"/>
      <c r="TGL1062" s="90"/>
      <c r="TGM1062" s="90"/>
      <c r="TGN1062" s="90"/>
      <c r="TGO1062" s="90"/>
      <c r="TGP1062" s="90"/>
      <c r="TGQ1062" s="90"/>
      <c r="TGR1062" s="90"/>
      <c r="TGS1062" s="90"/>
      <c r="TGT1062" s="90"/>
      <c r="TGU1062" s="90"/>
      <c r="TGV1062" s="90"/>
      <c r="TGW1062" s="90"/>
      <c r="TGX1062" s="90"/>
      <c r="TGY1062" s="90"/>
      <c r="TGZ1062" s="90"/>
      <c r="THA1062" s="90"/>
      <c r="THB1062" s="90"/>
      <c r="THC1062" s="90"/>
      <c r="THD1062" s="90"/>
      <c r="THE1062" s="90"/>
      <c r="THF1062" s="90"/>
      <c r="THG1062" s="90"/>
      <c r="THH1062" s="90"/>
      <c r="THI1062" s="90"/>
      <c r="THJ1062" s="90"/>
      <c r="THK1062" s="90"/>
      <c r="THL1062" s="90"/>
      <c r="THM1062" s="90"/>
      <c r="THN1062" s="90"/>
      <c r="THO1062" s="90"/>
      <c r="THP1062" s="90"/>
      <c r="THQ1062" s="90"/>
      <c r="THR1062" s="90"/>
      <c r="THS1062" s="90"/>
      <c r="THT1062" s="90"/>
      <c r="THU1062" s="90"/>
      <c r="THV1062" s="90"/>
      <c r="THW1062" s="90"/>
      <c r="THX1062" s="90"/>
      <c r="THY1062" s="90"/>
      <c r="THZ1062" s="90"/>
      <c r="TIA1062" s="90"/>
      <c r="TIB1062" s="90"/>
      <c r="TIC1062" s="90"/>
      <c r="TID1062" s="90"/>
      <c r="TIE1062" s="90"/>
      <c r="TIF1062" s="90"/>
      <c r="TIG1062" s="90"/>
      <c r="TIH1062" s="90"/>
      <c r="TII1062" s="90"/>
      <c r="TIJ1062" s="90"/>
      <c r="TIK1062" s="90"/>
      <c r="TIL1062" s="90"/>
      <c r="TIM1062" s="90"/>
      <c r="TIN1062" s="90"/>
      <c r="TIO1062" s="90"/>
      <c r="TIP1062" s="90"/>
      <c r="TIQ1062" s="90"/>
      <c r="TIR1062" s="90"/>
      <c r="TIS1062" s="90"/>
      <c r="TIT1062" s="90"/>
      <c r="TIU1062" s="90"/>
      <c r="TIV1062" s="90"/>
      <c r="TIW1062" s="90"/>
      <c r="TIX1062" s="90"/>
      <c r="TIY1062" s="90"/>
      <c r="TIZ1062" s="90"/>
      <c r="TJA1062" s="90"/>
      <c r="TJB1062" s="90"/>
      <c r="TJC1062" s="90"/>
      <c r="TJD1062" s="90"/>
      <c r="TJE1062" s="90"/>
      <c r="TJF1062" s="90"/>
      <c r="TJG1062" s="90"/>
      <c r="TJH1062" s="90"/>
      <c r="TJI1062" s="90"/>
      <c r="TJJ1062" s="90"/>
      <c r="TJK1062" s="90"/>
      <c r="TJL1062" s="90"/>
      <c r="TJM1062" s="90"/>
      <c r="TJN1062" s="90"/>
      <c r="TJO1062" s="90"/>
      <c r="TJP1062" s="90"/>
      <c r="TJQ1062" s="90"/>
      <c r="TJR1062" s="90"/>
      <c r="TJS1062" s="90"/>
      <c r="TJT1062" s="90"/>
      <c r="TJU1062" s="90"/>
      <c r="TJV1062" s="90"/>
      <c r="TJW1062" s="90"/>
      <c r="TJX1062" s="90"/>
      <c r="TJY1062" s="90"/>
      <c r="TJZ1062" s="90"/>
      <c r="TKA1062" s="90"/>
      <c r="TKB1062" s="90"/>
      <c r="TKC1062" s="90"/>
      <c r="TKD1062" s="90"/>
      <c r="TKE1062" s="90"/>
      <c r="TKF1062" s="90"/>
      <c r="TKG1062" s="90"/>
      <c r="TKH1062" s="90"/>
      <c r="TKI1062" s="90"/>
      <c r="TKJ1062" s="90"/>
      <c r="TKK1062" s="90"/>
      <c r="TKL1062" s="90"/>
      <c r="TKM1062" s="90"/>
      <c r="TKN1062" s="90"/>
      <c r="TKO1062" s="90"/>
      <c r="TKP1062" s="90"/>
      <c r="TKQ1062" s="90"/>
      <c r="TKR1062" s="90"/>
      <c r="TKS1062" s="90"/>
      <c r="TKT1062" s="90"/>
      <c r="TKU1062" s="90"/>
      <c r="TKV1062" s="90"/>
      <c r="TKW1062" s="90"/>
      <c r="TKX1062" s="90"/>
      <c r="TKY1062" s="90"/>
      <c r="TKZ1062" s="90"/>
      <c r="TLA1062" s="90"/>
      <c r="TLB1062" s="90"/>
      <c r="TLC1062" s="90"/>
      <c r="TLD1062" s="90"/>
      <c r="TLE1062" s="90"/>
      <c r="TLF1062" s="90"/>
      <c r="TLG1062" s="90"/>
      <c r="TLH1062" s="90"/>
      <c r="TLI1062" s="90"/>
      <c r="TLJ1062" s="90"/>
      <c r="TLK1062" s="90"/>
      <c r="TLL1062" s="90"/>
      <c r="TLM1062" s="90"/>
      <c r="TLN1062" s="90"/>
      <c r="TLO1062" s="90"/>
      <c r="TLP1062" s="90"/>
      <c r="TLQ1062" s="90"/>
      <c r="TLR1062" s="90"/>
      <c r="TLS1062" s="90"/>
      <c r="TLT1062" s="90"/>
      <c r="TLU1062" s="90"/>
      <c r="TLV1062" s="90"/>
      <c r="TLW1062" s="90"/>
      <c r="TLX1062" s="90"/>
      <c r="TLY1062" s="90"/>
      <c r="TLZ1062" s="90"/>
      <c r="TMA1062" s="90"/>
      <c r="TMB1062" s="90"/>
      <c r="TMC1062" s="90"/>
      <c r="TMD1062" s="90"/>
      <c r="TME1062" s="90"/>
      <c r="TMF1062" s="90"/>
      <c r="TMG1062" s="90"/>
      <c r="TMH1062" s="90"/>
      <c r="TMI1062" s="90"/>
      <c r="TMJ1062" s="90"/>
      <c r="TMK1062" s="90"/>
      <c r="TML1062" s="90"/>
      <c r="TMM1062" s="90"/>
      <c r="TMN1062" s="90"/>
      <c r="TMO1062" s="90"/>
      <c r="TMP1062" s="90"/>
      <c r="TMQ1062" s="90"/>
      <c r="TMR1062" s="90"/>
      <c r="TMS1062" s="90"/>
      <c r="TMT1062" s="90"/>
      <c r="TMU1062" s="90"/>
      <c r="TMV1062" s="90"/>
      <c r="TMW1062" s="90"/>
      <c r="TMX1062" s="90"/>
      <c r="TMY1062" s="90"/>
      <c r="TMZ1062" s="90"/>
      <c r="TNA1062" s="90"/>
      <c r="TNB1062" s="90"/>
      <c r="TNC1062" s="90"/>
      <c r="TND1062" s="90"/>
      <c r="TNE1062" s="90"/>
      <c r="TNF1062" s="90"/>
      <c r="TNG1062" s="90"/>
      <c r="TNH1062" s="90"/>
      <c r="TNI1062" s="90"/>
      <c r="TNJ1062" s="90"/>
      <c r="TNK1062" s="90"/>
      <c r="TNL1062" s="90"/>
      <c r="TNM1062" s="90"/>
      <c r="TNN1062" s="90"/>
      <c r="TNO1062" s="90"/>
      <c r="TNP1062" s="90"/>
      <c r="TNQ1062" s="90"/>
      <c r="TNR1062" s="90"/>
      <c r="TNS1062" s="90"/>
      <c r="TNT1062" s="90"/>
      <c r="TNU1062" s="90"/>
      <c r="TNV1062" s="90"/>
      <c r="TNW1062" s="90"/>
      <c r="TNX1062" s="90"/>
      <c r="TNY1062" s="90"/>
      <c r="TNZ1062" s="90"/>
      <c r="TOA1062" s="90"/>
      <c r="TOB1062" s="90"/>
      <c r="TOC1062" s="90"/>
      <c r="TOD1062" s="90"/>
      <c r="TOE1062" s="90"/>
      <c r="TOF1062" s="90"/>
      <c r="TOG1062" s="90"/>
      <c r="TOH1062" s="90"/>
      <c r="TOI1062" s="90"/>
      <c r="TOJ1062" s="90"/>
      <c r="TOK1062" s="90"/>
      <c r="TOL1062" s="90"/>
      <c r="TOM1062" s="90"/>
      <c r="TON1062" s="90"/>
      <c r="TOO1062" s="90"/>
      <c r="TOP1062" s="90"/>
      <c r="TOQ1062" s="90"/>
      <c r="TOR1062" s="90"/>
      <c r="TOS1062" s="90"/>
      <c r="TOT1062" s="90"/>
      <c r="TOU1062" s="90"/>
      <c r="TOV1062" s="90"/>
      <c r="TOW1062" s="90"/>
      <c r="TOX1062" s="90"/>
      <c r="TOY1062" s="90"/>
      <c r="TOZ1062" s="90"/>
      <c r="TPA1062" s="90"/>
      <c r="TPB1062" s="90"/>
      <c r="TPC1062" s="90"/>
      <c r="TPD1062" s="90"/>
      <c r="TPE1062" s="90"/>
      <c r="TPF1062" s="90"/>
      <c r="TPG1062" s="90"/>
      <c r="TPH1062" s="90"/>
      <c r="TPI1062" s="90"/>
      <c r="TPJ1062" s="90"/>
      <c r="TPK1062" s="90"/>
      <c r="TPL1062" s="90"/>
      <c r="TPM1062" s="90"/>
      <c r="TPN1062" s="90"/>
      <c r="TPO1062" s="90"/>
      <c r="TPP1062" s="90"/>
      <c r="TPQ1062" s="90"/>
      <c r="TPR1062" s="90"/>
      <c r="TPS1062" s="90"/>
      <c r="TPT1062" s="90"/>
      <c r="TPU1062" s="90"/>
      <c r="TPV1062" s="90"/>
      <c r="TPW1062" s="90"/>
      <c r="TPX1062" s="90"/>
      <c r="TPY1062" s="90"/>
      <c r="TPZ1062" s="90"/>
      <c r="TQA1062" s="90"/>
      <c r="TQB1062" s="90"/>
      <c r="TQC1062" s="90"/>
      <c r="TQD1062" s="90"/>
      <c r="TQE1062" s="90"/>
      <c r="TQF1062" s="90"/>
      <c r="TQG1062" s="90"/>
      <c r="TQH1062" s="90"/>
      <c r="TQI1062" s="90"/>
      <c r="TQJ1062" s="90"/>
      <c r="TQK1062" s="90"/>
      <c r="TQL1062" s="90"/>
      <c r="TQM1062" s="90"/>
      <c r="TQN1062" s="90"/>
      <c r="TQO1062" s="90"/>
      <c r="TQP1062" s="90"/>
      <c r="TQQ1062" s="90"/>
      <c r="TQR1062" s="90"/>
      <c r="TQS1062" s="90"/>
      <c r="TQT1062" s="90"/>
      <c r="TQU1062" s="90"/>
      <c r="TQV1062" s="90"/>
      <c r="TQW1062" s="90"/>
      <c r="TQX1062" s="90"/>
      <c r="TQY1062" s="90"/>
      <c r="TQZ1062" s="90"/>
      <c r="TRA1062" s="90"/>
      <c r="TRB1062" s="90"/>
      <c r="TRC1062" s="90"/>
      <c r="TRD1062" s="90"/>
      <c r="TRE1062" s="90"/>
      <c r="TRF1062" s="90"/>
      <c r="TRG1062" s="90"/>
      <c r="TRH1062" s="90"/>
      <c r="TRI1062" s="90"/>
      <c r="TRJ1062" s="90"/>
      <c r="TRK1062" s="90"/>
      <c r="TRL1062" s="90"/>
      <c r="TRM1062" s="90"/>
      <c r="TRN1062" s="90"/>
      <c r="TRO1062" s="90"/>
      <c r="TRP1062" s="90"/>
      <c r="TRQ1062" s="90"/>
      <c r="TRR1062" s="90"/>
      <c r="TRS1062" s="90"/>
      <c r="TRT1062" s="90"/>
      <c r="TRU1062" s="90"/>
      <c r="TRV1062" s="90"/>
      <c r="TRW1062" s="90"/>
      <c r="TRX1062" s="90"/>
      <c r="TRY1062" s="90"/>
      <c r="TRZ1062" s="90"/>
      <c r="TSA1062" s="90"/>
      <c r="TSB1062" s="90"/>
      <c r="TSC1062" s="90"/>
      <c r="TSD1062" s="90"/>
      <c r="TSE1062" s="90"/>
      <c r="TSF1062" s="90"/>
      <c r="TSG1062" s="90"/>
      <c r="TSH1062" s="90"/>
      <c r="TSI1062" s="90"/>
      <c r="TSJ1062" s="90"/>
      <c r="TSK1062" s="90"/>
      <c r="TSL1062" s="90"/>
      <c r="TSM1062" s="90"/>
      <c r="TSN1062" s="90"/>
      <c r="TSO1062" s="90"/>
      <c r="TSP1062" s="90"/>
      <c r="TSQ1062" s="90"/>
      <c r="TSR1062" s="90"/>
      <c r="TSS1062" s="90"/>
      <c r="TST1062" s="90"/>
      <c r="TSU1062" s="90"/>
      <c r="TSV1062" s="90"/>
      <c r="TSW1062" s="90"/>
      <c r="TSX1062" s="90"/>
      <c r="TSY1062" s="90"/>
      <c r="TSZ1062" s="90"/>
      <c r="TTA1062" s="90"/>
      <c r="TTB1062" s="90"/>
      <c r="TTC1062" s="90"/>
      <c r="TTD1062" s="90"/>
      <c r="TTE1062" s="90"/>
      <c r="TTF1062" s="90"/>
      <c r="TTG1062" s="90"/>
      <c r="TTH1062" s="90"/>
      <c r="TTI1062" s="90"/>
      <c r="TTJ1062" s="90"/>
      <c r="TTK1062" s="90"/>
      <c r="TTL1062" s="90"/>
      <c r="TTM1062" s="90"/>
      <c r="TTN1062" s="90"/>
      <c r="TTO1062" s="90"/>
      <c r="TTP1062" s="90"/>
      <c r="TTQ1062" s="90"/>
      <c r="TTR1062" s="90"/>
      <c r="TTS1062" s="90"/>
      <c r="TTT1062" s="90"/>
      <c r="TTU1062" s="90"/>
      <c r="TTV1062" s="90"/>
      <c r="TTW1062" s="90"/>
      <c r="TTX1062" s="90"/>
      <c r="TTY1062" s="90"/>
      <c r="TTZ1062" s="90"/>
      <c r="TUA1062" s="90"/>
      <c r="TUB1062" s="90"/>
      <c r="TUC1062" s="90"/>
      <c r="TUD1062" s="90"/>
      <c r="TUE1062" s="90"/>
      <c r="TUF1062" s="90"/>
      <c r="TUG1062" s="90"/>
      <c r="TUH1062" s="90"/>
      <c r="TUI1062" s="90"/>
      <c r="TUJ1062" s="90"/>
      <c r="TUK1062" s="90"/>
      <c r="TUL1062" s="90"/>
      <c r="TUM1062" s="90"/>
      <c r="TUN1062" s="90"/>
      <c r="TUO1062" s="90"/>
      <c r="TUP1062" s="90"/>
      <c r="TUQ1062" s="90"/>
      <c r="TUR1062" s="90"/>
      <c r="TUS1062" s="90"/>
      <c r="TUT1062" s="90"/>
      <c r="TUU1062" s="90"/>
      <c r="TUV1062" s="90"/>
      <c r="TUW1062" s="90"/>
      <c r="TUX1062" s="90"/>
      <c r="TUY1062" s="90"/>
      <c r="TUZ1062" s="90"/>
      <c r="TVA1062" s="90"/>
      <c r="TVB1062" s="90"/>
      <c r="TVC1062" s="90"/>
      <c r="TVD1062" s="90"/>
      <c r="TVE1062" s="90"/>
      <c r="TVF1062" s="90"/>
      <c r="TVG1062" s="90"/>
      <c r="TVH1062" s="90"/>
      <c r="TVI1062" s="90"/>
      <c r="TVJ1062" s="90"/>
      <c r="TVK1062" s="90"/>
      <c r="TVL1062" s="90"/>
      <c r="TVM1062" s="90"/>
      <c r="TVN1062" s="90"/>
      <c r="TVO1062" s="90"/>
      <c r="TVP1062" s="90"/>
      <c r="TVQ1062" s="90"/>
      <c r="TVR1062" s="90"/>
      <c r="TVS1062" s="90"/>
      <c r="TVT1062" s="90"/>
      <c r="TVU1062" s="90"/>
      <c r="TVV1062" s="90"/>
      <c r="TVW1062" s="90"/>
      <c r="TVX1062" s="90"/>
      <c r="TVY1062" s="90"/>
      <c r="TVZ1062" s="90"/>
      <c r="TWA1062" s="90"/>
      <c r="TWB1062" s="90"/>
      <c r="TWC1062" s="90"/>
      <c r="TWD1062" s="90"/>
      <c r="TWE1062" s="90"/>
      <c r="TWF1062" s="90"/>
      <c r="TWG1062" s="90"/>
      <c r="TWH1062" s="90"/>
      <c r="TWI1062" s="90"/>
      <c r="TWJ1062" s="90"/>
      <c r="TWK1062" s="90"/>
      <c r="TWL1062" s="90"/>
      <c r="TWM1062" s="90"/>
      <c r="TWN1062" s="90"/>
      <c r="TWO1062" s="90"/>
      <c r="TWP1062" s="90"/>
      <c r="TWQ1062" s="90"/>
      <c r="TWR1062" s="90"/>
      <c r="TWS1062" s="90"/>
      <c r="TWT1062" s="90"/>
      <c r="TWU1062" s="90"/>
      <c r="TWV1062" s="90"/>
      <c r="TWW1062" s="90"/>
      <c r="TWX1062" s="90"/>
      <c r="TWY1062" s="90"/>
      <c r="TWZ1062" s="90"/>
      <c r="TXA1062" s="90"/>
      <c r="TXB1062" s="90"/>
      <c r="TXC1062" s="90"/>
      <c r="TXD1062" s="90"/>
      <c r="TXE1062" s="90"/>
      <c r="TXF1062" s="90"/>
      <c r="TXG1062" s="90"/>
      <c r="TXH1062" s="90"/>
      <c r="TXI1062" s="90"/>
      <c r="TXJ1062" s="90"/>
      <c r="TXK1062" s="90"/>
      <c r="TXL1062" s="90"/>
      <c r="TXM1062" s="90"/>
      <c r="TXN1062" s="90"/>
      <c r="TXO1062" s="90"/>
      <c r="TXP1062" s="90"/>
      <c r="TXQ1062" s="90"/>
      <c r="TXR1062" s="90"/>
      <c r="TXS1062" s="90"/>
      <c r="TXT1062" s="90"/>
      <c r="TXU1062" s="90"/>
      <c r="TXV1062" s="90"/>
      <c r="TXW1062" s="90"/>
      <c r="TXX1062" s="90"/>
      <c r="TXY1062" s="90"/>
      <c r="TXZ1062" s="90"/>
      <c r="TYA1062" s="90"/>
      <c r="TYB1062" s="90"/>
      <c r="TYC1062" s="90"/>
      <c r="TYD1062" s="90"/>
      <c r="TYE1062" s="90"/>
      <c r="TYF1062" s="90"/>
      <c r="TYG1062" s="90"/>
      <c r="TYH1062" s="90"/>
      <c r="TYI1062" s="90"/>
      <c r="TYJ1062" s="90"/>
      <c r="TYK1062" s="90"/>
      <c r="TYL1062" s="90"/>
      <c r="TYM1062" s="90"/>
      <c r="TYN1062" s="90"/>
      <c r="TYO1062" s="90"/>
      <c r="TYP1062" s="90"/>
      <c r="TYQ1062" s="90"/>
      <c r="TYR1062" s="90"/>
      <c r="TYS1062" s="90"/>
      <c r="TYT1062" s="90"/>
      <c r="TYU1062" s="90"/>
      <c r="TYV1062" s="90"/>
      <c r="TYW1062" s="90"/>
      <c r="TYX1062" s="90"/>
      <c r="TYY1062" s="90"/>
      <c r="TYZ1062" s="90"/>
      <c r="TZA1062" s="90"/>
      <c r="TZB1062" s="90"/>
      <c r="TZC1062" s="90"/>
      <c r="TZD1062" s="90"/>
      <c r="TZE1062" s="90"/>
      <c r="TZF1062" s="90"/>
      <c r="TZG1062" s="90"/>
      <c r="TZH1062" s="90"/>
      <c r="TZI1062" s="90"/>
      <c r="TZJ1062" s="90"/>
      <c r="TZK1062" s="90"/>
      <c r="TZL1062" s="90"/>
      <c r="TZM1062" s="90"/>
      <c r="TZN1062" s="90"/>
      <c r="TZO1062" s="90"/>
      <c r="TZP1062" s="90"/>
      <c r="TZQ1062" s="90"/>
      <c r="TZR1062" s="90"/>
      <c r="TZS1062" s="90"/>
      <c r="TZT1062" s="90"/>
      <c r="TZU1062" s="90"/>
      <c r="TZV1062" s="90"/>
      <c r="TZW1062" s="90"/>
      <c r="TZX1062" s="90"/>
      <c r="TZY1062" s="90"/>
      <c r="TZZ1062" s="90"/>
      <c r="UAA1062" s="90"/>
      <c r="UAB1062" s="90"/>
      <c r="UAC1062" s="90"/>
      <c r="UAD1062" s="90"/>
      <c r="UAE1062" s="90"/>
      <c r="UAF1062" s="90"/>
      <c r="UAG1062" s="90"/>
      <c r="UAH1062" s="90"/>
      <c r="UAI1062" s="90"/>
      <c r="UAJ1062" s="90"/>
      <c r="UAK1062" s="90"/>
      <c r="UAL1062" s="90"/>
      <c r="UAM1062" s="90"/>
      <c r="UAN1062" s="90"/>
      <c r="UAO1062" s="90"/>
      <c r="UAP1062" s="90"/>
      <c r="UAQ1062" s="90"/>
      <c r="UAR1062" s="90"/>
      <c r="UAS1062" s="90"/>
      <c r="UAT1062" s="90"/>
      <c r="UAU1062" s="90"/>
      <c r="UAV1062" s="90"/>
      <c r="UAW1062" s="90"/>
      <c r="UAX1062" s="90"/>
      <c r="UAY1062" s="90"/>
      <c r="UAZ1062" s="90"/>
      <c r="UBA1062" s="90"/>
      <c r="UBB1062" s="90"/>
      <c r="UBC1062" s="90"/>
      <c r="UBD1062" s="90"/>
      <c r="UBE1062" s="90"/>
      <c r="UBF1062" s="90"/>
      <c r="UBG1062" s="90"/>
      <c r="UBH1062" s="90"/>
      <c r="UBI1062" s="90"/>
      <c r="UBJ1062" s="90"/>
      <c r="UBK1062" s="90"/>
      <c r="UBL1062" s="90"/>
      <c r="UBM1062" s="90"/>
      <c r="UBN1062" s="90"/>
      <c r="UBO1062" s="90"/>
      <c r="UBP1062" s="90"/>
      <c r="UBQ1062" s="90"/>
      <c r="UBR1062" s="90"/>
      <c r="UBS1062" s="90"/>
      <c r="UBT1062" s="90"/>
      <c r="UBU1062" s="90"/>
      <c r="UBV1062" s="90"/>
      <c r="UBW1062" s="90"/>
      <c r="UBX1062" s="90"/>
      <c r="UBY1062" s="90"/>
      <c r="UBZ1062" s="90"/>
      <c r="UCA1062" s="90"/>
      <c r="UCB1062" s="90"/>
      <c r="UCC1062" s="90"/>
      <c r="UCD1062" s="90"/>
      <c r="UCE1062" s="90"/>
      <c r="UCF1062" s="90"/>
      <c r="UCG1062" s="90"/>
      <c r="UCH1062" s="90"/>
      <c r="UCI1062" s="90"/>
      <c r="UCJ1062" s="90"/>
      <c r="UCK1062" s="90"/>
      <c r="UCL1062" s="90"/>
      <c r="UCM1062" s="90"/>
      <c r="UCN1062" s="90"/>
      <c r="UCO1062" s="90"/>
      <c r="UCP1062" s="90"/>
      <c r="UCQ1062" s="90"/>
      <c r="UCR1062" s="90"/>
      <c r="UCS1062" s="90"/>
      <c r="UCT1062" s="90"/>
      <c r="UCU1062" s="90"/>
      <c r="UCV1062" s="90"/>
      <c r="UCW1062" s="90"/>
      <c r="UCX1062" s="90"/>
      <c r="UCY1062" s="90"/>
      <c r="UCZ1062" s="90"/>
      <c r="UDA1062" s="90"/>
      <c r="UDB1062" s="90"/>
      <c r="UDC1062" s="90"/>
      <c r="UDD1062" s="90"/>
      <c r="UDE1062" s="90"/>
      <c r="UDF1062" s="90"/>
      <c r="UDG1062" s="90"/>
      <c r="UDH1062" s="90"/>
      <c r="UDI1062" s="90"/>
      <c r="UDJ1062" s="90"/>
      <c r="UDK1062" s="90"/>
      <c r="UDL1062" s="90"/>
      <c r="UDM1062" s="90"/>
      <c r="UDN1062" s="90"/>
      <c r="UDO1062" s="90"/>
      <c r="UDP1062" s="90"/>
      <c r="UDQ1062" s="90"/>
      <c r="UDR1062" s="90"/>
      <c r="UDS1062" s="90"/>
      <c r="UDT1062" s="90"/>
      <c r="UDU1062" s="90"/>
      <c r="UDV1062" s="90"/>
      <c r="UDW1062" s="90"/>
      <c r="UDX1062" s="90"/>
      <c r="UDY1062" s="90"/>
      <c r="UDZ1062" s="90"/>
      <c r="UEA1062" s="90"/>
      <c r="UEB1062" s="90"/>
      <c r="UEC1062" s="90"/>
      <c r="UED1062" s="90"/>
      <c r="UEE1062" s="90"/>
      <c r="UEF1062" s="90"/>
      <c r="UEG1062" s="90"/>
      <c r="UEH1062" s="90"/>
      <c r="UEI1062" s="90"/>
      <c r="UEJ1062" s="90"/>
      <c r="UEK1062" s="90"/>
      <c r="UEL1062" s="90"/>
      <c r="UEM1062" s="90"/>
      <c r="UEN1062" s="90"/>
      <c r="UEO1062" s="90"/>
      <c r="UEP1062" s="90"/>
      <c r="UEQ1062" s="90"/>
      <c r="UER1062" s="90"/>
      <c r="UES1062" s="90"/>
      <c r="UET1062" s="90"/>
      <c r="UEU1062" s="90"/>
      <c r="UEV1062" s="90"/>
      <c r="UEW1062" s="90"/>
      <c r="UEX1062" s="90"/>
      <c r="UEY1062" s="90"/>
      <c r="UEZ1062" s="90"/>
      <c r="UFA1062" s="90"/>
      <c r="UFB1062" s="90"/>
      <c r="UFC1062" s="90"/>
      <c r="UFD1062" s="90"/>
      <c r="UFE1062" s="90"/>
      <c r="UFF1062" s="90"/>
      <c r="UFG1062" s="90"/>
      <c r="UFH1062" s="90"/>
      <c r="UFI1062" s="90"/>
      <c r="UFJ1062" s="90"/>
      <c r="UFK1062" s="90"/>
      <c r="UFL1062" s="90"/>
      <c r="UFM1062" s="90"/>
      <c r="UFN1062" s="90"/>
      <c r="UFO1062" s="90"/>
      <c r="UFP1062" s="90"/>
      <c r="UFQ1062" s="90"/>
      <c r="UFR1062" s="90"/>
      <c r="UFS1062" s="90"/>
      <c r="UFT1062" s="90"/>
      <c r="UFU1062" s="90"/>
      <c r="UFV1062" s="90"/>
      <c r="UFW1062" s="90"/>
      <c r="UFX1062" s="90"/>
      <c r="UFY1062" s="90"/>
      <c r="UFZ1062" s="90"/>
      <c r="UGA1062" s="90"/>
      <c r="UGB1062" s="90"/>
      <c r="UGC1062" s="90"/>
      <c r="UGD1062" s="90"/>
      <c r="UGE1062" s="90"/>
      <c r="UGF1062" s="90"/>
      <c r="UGG1062" s="90"/>
      <c r="UGH1062" s="90"/>
      <c r="UGI1062" s="90"/>
      <c r="UGJ1062" s="90"/>
      <c r="UGK1062" s="90"/>
      <c r="UGL1062" s="90"/>
      <c r="UGM1062" s="90"/>
      <c r="UGN1062" s="90"/>
      <c r="UGO1062" s="90"/>
      <c r="UGP1062" s="90"/>
      <c r="UGQ1062" s="90"/>
      <c r="UGR1062" s="90"/>
      <c r="UGS1062" s="90"/>
      <c r="UGT1062" s="90"/>
      <c r="UGU1062" s="90"/>
      <c r="UGV1062" s="90"/>
      <c r="UGW1062" s="90"/>
      <c r="UGX1062" s="90"/>
      <c r="UGY1062" s="90"/>
      <c r="UGZ1062" s="90"/>
      <c r="UHA1062" s="90"/>
      <c r="UHB1062" s="90"/>
      <c r="UHC1062" s="90"/>
      <c r="UHD1062" s="90"/>
      <c r="UHE1062" s="90"/>
      <c r="UHF1062" s="90"/>
      <c r="UHG1062" s="90"/>
      <c r="UHH1062" s="90"/>
      <c r="UHI1062" s="90"/>
      <c r="UHJ1062" s="90"/>
      <c r="UHK1062" s="90"/>
      <c r="UHL1062" s="90"/>
      <c r="UHM1062" s="90"/>
      <c r="UHN1062" s="90"/>
      <c r="UHO1062" s="90"/>
      <c r="UHP1062" s="90"/>
      <c r="UHQ1062" s="90"/>
      <c r="UHR1062" s="90"/>
      <c r="UHS1062" s="90"/>
      <c r="UHT1062" s="90"/>
      <c r="UHU1062" s="90"/>
      <c r="UHV1062" s="90"/>
      <c r="UHW1062" s="90"/>
      <c r="UHX1062" s="90"/>
      <c r="UHY1062" s="90"/>
      <c r="UHZ1062" s="90"/>
      <c r="UIA1062" s="90"/>
      <c r="UIB1062" s="90"/>
      <c r="UIC1062" s="90"/>
      <c r="UID1062" s="90"/>
      <c r="UIE1062" s="90"/>
      <c r="UIF1062" s="90"/>
      <c r="UIG1062" s="90"/>
      <c r="UIH1062" s="90"/>
      <c r="UII1062" s="90"/>
      <c r="UIJ1062" s="90"/>
      <c r="UIK1062" s="90"/>
      <c r="UIL1062" s="90"/>
      <c r="UIM1062" s="90"/>
      <c r="UIN1062" s="90"/>
      <c r="UIO1062" s="90"/>
      <c r="UIP1062" s="90"/>
      <c r="UIQ1062" s="90"/>
      <c r="UIR1062" s="90"/>
      <c r="UIS1062" s="90"/>
      <c r="UIT1062" s="90"/>
      <c r="UIU1062" s="90"/>
      <c r="UIV1062" s="90"/>
      <c r="UIW1062" s="90"/>
      <c r="UIX1062" s="90"/>
      <c r="UIY1062" s="90"/>
      <c r="UIZ1062" s="90"/>
      <c r="UJA1062" s="90"/>
      <c r="UJB1062" s="90"/>
      <c r="UJC1062" s="90"/>
      <c r="UJD1062" s="90"/>
      <c r="UJE1062" s="90"/>
      <c r="UJF1062" s="90"/>
      <c r="UJG1062" s="90"/>
      <c r="UJH1062" s="90"/>
      <c r="UJI1062" s="90"/>
      <c r="UJJ1062" s="90"/>
      <c r="UJK1062" s="90"/>
      <c r="UJL1062" s="90"/>
      <c r="UJM1062" s="90"/>
      <c r="UJN1062" s="90"/>
      <c r="UJO1062" s="90"/>
      <c r="UJP1062" s="90"/>
      <c r="UJQ1062" s="90"/>
      <c r="UJR1062" s="90"/>
      <c r="UJS1062" s="90"/>
      <c r="UJT1062" s="90"/>
      <c r="UJU1062" s="90"/>
      <c r="UJV1062" s="90"/>
      <c r="UJW1062" s="90"/>
      <c r="UJX1062" s="90"/>
      <c r="UJY1062" s="90"/>
      <c r="UJZ1062" s="90"/>
      <c r="UKA1062" s="90"/>
      <c r="UKB1062" s="90"/>
      <c r="UKC1062" s="90"/>
      <c r="UKD1062" s="90"/>
      <c r="UKE1062" s="90"/>
      <c r="UKF1062" s="90"/>
      <c r="UKG1062" s="90"/>
      <c r="UKH1062" s="90"/>
      <c r="UKI1062" s="90"/>
      <c r="UKJ1062" s="90"/>
      <c r="UKK1062" s="90"/>
      <c r="UKL1062" s="90"/>
      <c r="UKM1062" s="90"/>
      <c r="UKN1062" s="90"/>
      <c r="UKO1062" s="90"/>
      <c r="UKP1062" s="90"/>
      <c r="UKQ1062" s="90"/>
      <c r="UKR1062" s="90"/>
      <c r="UKS1062" s="90"/>
      <c r="UKT1062" s="90"/>
      <c r="UKU1062" s="90"/>
      <c r="UKV1062" s="90"/>
      <c r="UKW1062" s="90"/>
      <c r="UKX1062" s="90"/>
      <c r="UKY1062" s="90"/>
      <c r="UKZ1062" s="90"/>
      <c r="ULA1062" s="90"/>
      <c r="ULB1062" s="90"/>
      <c r="ULC1062" s="90"/>
      <c r="ULD1062" s="90"/>
      <c r="ULE1062" s="90"/>
      <c r="ULF1062" s="90"/>
      <c r="ULG1062" s="90"/>
      <c r="ULH1062" s="90"/>
      <c r="ULI1062" s="90"/>
      <c r="ULJ1062" s="90"/>
      <c r="ULK1062" s="90"/>
      <c r="ULL1062" s="90"/>
      <c r="ULM1062" s="90"/>
      <c r="ULN1062" s="90"/>
      <c r="ULO1062" s="90"/>
      <c r="ULP1062" s="90"/>
      <c r="ULQ1062" s="90"/>
      <c r="ULR1062" s="90"/>
      <c r="ULS1062" s="90"/>
      <c r="ULT1062" s="90"/>
      <c r="ULU1062" s="90"/>
      <c r="ULV1062" s="90"/>
      <c r="ULW1062" s="90"/>
      <c r="ULX1062" s="90"/>
      <c r="ULY1062" s="90"/>
      <c r="ULZ1062" s="90"/>
      <c r="UMA1062" s="90"/>
      <c r="UMB1062" s="90"/>
      <c r="UMC1062" s="90"/>
      <c r="UMD1062" s="90"/>
      <c r="UME1062" s="90"/>
      <c r="UMF1062" s="90"/>
      <c r="UMG1062" s="90"/>
      <c r="UMH1062" s="90"/>
      <c r="UMI1062" s="90"/>
      <c r="UMJ1062" s="90"/>
      <c r="UMK1062" s="90"/>
      <c r="UML1062" s="90"/>
      <c r="UMM1062" s="90"/>
      <c r="UMN1062" s="90"/>
      <c r="UMO1062" s="90"/>
      <c r="UMP1062" s="90"/>
      <c r="UMQ1062" s="90"/>
      <c r="UMR1062" s="90"/>
      <c r="UMS1062" s="90"/>
      <c r="UMT1062" s="90"/>
      <c r="UMU1062" s="90"/>
      <c r="UMV1062" s="90"/>
      <c r="UMW1062" s="90"/>
      <c r="UMX1062" s="90"/>
      <c r="UMY1062" s="90"/>
      <c r="UMZ1062" s="90"/>
      <c r="UNA1062" s="90"/>
      <c r="UNB1062" s="90"/>
      <c r="UNC1062" s="90"/>
      <c r="UND1062" s="90"/>
      <c r="UNE1062" s="90"/>
      <c r="UNF1062" s="90"/>
      <c r="UNG1062" s="90"/>
      <c r="UNH1062" s="90"/>
      <c r="UNI1062" s="90"/>
      <c r="UNJ1062" s="90"/>
      <c r="UNK1062" s="90"/>
      <c r="UNL1062" s="90"/>
      <c r="UNM1062" s="90"/>
      <c r="UNN1062" s="90"/>
      <c r="UNO1062" s="90"/>
      <c r="UNP1062" s="90"/>
      <c r="UNQ1062" s="90"/>
      <c r="UNR1062" s="90"/>
      <c r="UNS1062" s="90"/>
      <c r="UNT1062" s="90"/>
      <c r="UNU1062" s="90"/>
      <c r="UNV1062" s="90"/>
      <c r="UNW1062" s="90"/>
      <c r="UNX1062" s="90"/>
      <c r="UNY1062" s="90"/>
      <c r="UNZ1062" s="90"/>
      <c r="UOA1062" s="90"/>
      <c r="UOB1062" s="90"/>
      <c r="UOC1062" s="90"/>
      <c r="UOD1062" s="90"/>
      <c r="UOE1062" s="90"/>
      <c r="UOF1062" s="90"/>
      <c r="UOG1062" s="90"/>
      <c r="UOH1062" s="90"/>
      <c r="UOI1062" s="90"/>
      <c r="UOJ1062" s="90"/>
      <c r="UOK1062" s="90"/>
      <c r="UOL1062" s="90"/>
      <c r="UOM1062" s="90"/>
      <c r="UON1062" s="90"/>
      <c r="UOO1062" s="90"/>
      <c r="UOP1062" s="90"/>
      <c r="UOQ1062" s="90"/>
      <c r="UOR1062" s="90"/>
      <c r="UOS1062" s="90"/>
      <c r="UOT1062" s="90"/>
      <c r="UOU1062" s="90"/>
      <c r="UOV1062" s="90"/>
      <c r="UOW1062" s="90"/>
      <c r="UOX1062" s="90"/>
      <c r="UOY1062" s="90"/>
      <c r="UOZ1062" s="90"/>
      <c r="UPA1062" s="90"/>
      <c r="UPB1062" s="90"/>
      <c r="UPC1062" s="90"/>
      <c r="UPD1062" s="90"/>
      <c r="UPE1062" s="90"/>
      <c r="UPF1062" s="90"/>
      <c r="UPG1062" s="90"/>
      <c r="UPH1062" s="90"/>
      <c r="UPI1062" s="90"/>
      <c r="UPJ1062" s="90"/>
      <c r="UPK1062" s="90"/>
      <c r="UPL1062" s="90"/>
      <c r="UPM1062" s="90"/>
      <c r="UPN1062" s="90"/>
      <c r="UPO1062" s="90"/>
      <c r="UPP1062" s="90"/>
      <c r="UPQ1062" s="90"/>
      <c r="UPR1062" s="90"/>
      <c r="UPS1062" s="90"/>
      <c r="UPT1062" s="90"/>
      <c r="UPU1062" s="90"/>
      <c r="UPV1062" s="90"/>
      <c r="UPW1062" s="90"/>
      <c r="UPX1062" s="90"/>
      <c r="UPY1062" s="90"/>
      <c r="UPZ1062" s="90"/>
      <c r="UQA1062" s="90"/>
      <c r="UQB1062" s="90"/>
      <c r="UQC1062" s="90"/>
      <c r="UQD1062" s="90"/>
      <c r="UQE1062" s="90"/>
      <c r="UQF1062" s="90"/>
      <c r="UQG1062" s="90"/>
      <c r="UQH1062" s="90"/>
      <c r="UQI1062" s="90"/>
      <c r="UQJ1062" s="90"/>
      <c r="UQK1062" s="90"/>
      <c r="UQL1062" s="90"/>
      <c r="UQM1062" s="90"/>
      <c r="UQN1062" s="90"/>
      <c r="UQO1062" s="90"/>
      <c r="UQP1062" s="90"/>
      <c r="UQQ1062" s="90"/>
      <c r="UQR1062" s="90"/>
      <c r="UQS1062" s="90"/>
      <c r="UQT1062" s="90"/>
      <c r="UQU1062" s="90"/>
      <c r="UQV1062" s="90"/>
      <c r="UQW1062" s="90"/>
      <c r="UQX1062" s="90"/>
      <c r="UQY1062" s="90"/>
      <c r="UQZ1062" s="90"/>
      <c r="URA1062" s="90"/>
      <c r="URB1062" s="90"/>
      <c r="URC1062" s="90"/>
      <c r="URD1062" s="90"/>
      <c r="URE1062" s="90"/>
      <c r="URF1062" s="90"/>
      <c r="URG1062" s="90"/>
      <c r="URH1062" s="90"/>
      <c r="URI1062" s="90"/>
      <c r="URJ1062" s="90"/>
      <c r="URK1062" s="90"/>
      <c r="URL1062" s="90"/>
      <c r="URM1062" s="90"/>
      <c r="URN1062" s="90"/>
      <c r="URO1062" s="90"/>
      <c r="URP1062" s="90"/>
      <c r="URQ1062" s="90"/>
      <c r="URR1062" s="90"/>
      <c r="URS1062" s="90"/>
      <c r="URT1062" s="90"/>
      <c r="URU1062" s="90"/>
      <c r="URV1062" s="90"/>
      <c r="URW1062" s="90"/>
      <c r="URX1062" s="90"/>
      <c r="URY1062" s="90"/>
      <c r="URZ1062" s="90"/>
      <c r="USA1062" s="90"/>
      <c r="USB1062" s="90"/>
      <c r="USC1062" s="90"/>
      <c r="USD1062" s="90"/>
      <c r="USE1062" s="90"/>
      <c r="USF1062" s="90"/>
      <c r="USG1062" s="90"/>
      <c r="USH1062" s="90"/>
      <c r="USI1062" s="90"/>
      <c r="USJ1062" s="90"/>
      <c r="USK1062" s="90"/>
      <c r="USL1062" s="90"/>
      <c r="USM1062" s="90"/>
      <c r="USN1062" s="90"/>
      <c r="USO1062" s="90"/>
      <c r="USP1062" s="90"/>
      <c r="USQ1062" s="90"/>
      <c r="USR1062" s="90"/>
      <c r="USS1062" s="90"/>
      <c r="UST1062" s="90"/>
      <c r="USU1062" s="90"/>
      <c r="USV1062" s="90"/>
      <c r="USW1062" s="90"/>
      <c r="USX1062" s="90"/>
      <c r="USY1062" s="90"/>
      <c r="USZ1062" s="90"/>
      <c r="UTA1062" s="90"/>
      <c r="UTB1062" s="90"/>
      <c r="UTC1062" s="90"/>
      <c r="UTD1062" s="90"/>
      <c r="UTE1062" s="90"/>
      <c r="UTF1062" s="90"/>
      <c r="UTG1062" s="90"/>
      <c r="UTH1062" s="90"/>
      <c r="UTI1062" s="90"/>
      <c r="UTJ1062" s="90"/>
      <c r="UTK1062" s="90"/>
      <c r="UTL1062" s="90"/>
      <c r="UTM1062" s="90"/>
      <c r="UTN1062" s="90"/>
      <c r="UTO1062" s="90"/>
      <c r="UTP1062" s="90"/>
      <c r="UTQ1062" s="90"/>
      <c r="UTR1062" s="90"/>
      <c r="UTS1062" s="90"/>
      <c r="UTT1062" s="90"/>
      <c r="UTU1062" s="90"/>
      <c r="UTV1062" s="90"/>
      <c r="UTW1062" s="90"/>
      <c r="UTX1062" s="90"/>
      <c r="UTY1062" s="90"/>
      <c r="UTZ1062" s="90"/>
      <c r="UUA1062" s="90"/>
      <c r="UUB1062" s="90"/>
      <c r="UUC1062" s="90"/>
      <c r="UUD1062" s="90"/>
      <c r="UUE1062" s="90"/>
      <c r="UUF1062" s="90"/>
      <c r="UUG1062" s="90"/>
      <c r="UUH1062" s="90"/>
      <c r="UUI1062" s="90"/>
      <c r="UUJ1062" s="90"/>
      <c r="UUK1062" s="90"/>
      <c r="UUL1062" s="90"/>
      <c r="UUM1062" s="90"/>
      <c r="UUN1062" s="90"/>
      <c r="UUO1062" s="90"/>
      <c r="UUP1062" s="90"/>
      <c r="UUQ1062" s="90"/>
      <c r="UUR1062" s="90"/>
      <c r="UUS1062" s="90"/>
      <c r="UUT1062" s="90"/>
      <c r="UUU1062" s="90"/>
      <c r="UUV1062" s="90"/>
      <c r="UUW1062" s="90"/>
      <c r="UUX1062" s="90"/>
      <c r="UUY1062" s="90"/>
      <c r="UUZ1062" s="90"/>
      <c r="UVA1062" s="90"/>
      <c r="UVB1062" s="90"/>
      <c r="UVC1062" s="90"/>
      <c r="UVD1062" s="90"/>
      <c r="UVE1062" s="90"/>
      <c r="UVF1062" s="90"/>
      <c r="UVG1062" s="90"/>
      <c r="UVH1062" s="90"/>
      <c r="UVI1062" s="90"/>
      <c r="UVJ1062" s="90"/>
      <c r="UVK1062" s="90"/>
      <c r="UVL1062" s="90"/>
      <c r="UVM1062" s="90"/>
      <c r="UVN1062" s="90"/>
      <c r="UVO1062" s="90"/>
      <c r="UVP1062" s="90"/>
      <c r="UVQ1062" s="90"/>
      <c r="UVR1062" s="90"/>
      <c r="UVS1062" s="90"/>
      <c r="UVT1062" s="90"/>
      <c r="UVU1062" s="90"/>
      <c r="UVV1062" s="90"/>
      <c r="UVW1062" s="90"/>
      <c r="UVX1062" s="90"/>
      <c r="UVY1062" s="90"/>
      <c r="UVZ1062" s="90"/>
      <c r="UWA1062" s="90"/>
      <c r="UWB1062" s="90"/>
      <c r="UWC1062" s="90"/>
      <c r="UWD1062" s="90"/>
      <c r="UWE1062" s="90"/>
      <c r="UWF1062" s="90"/>
      <c r="UWG1062" s="90"/>
      <c r="UWH1062" s="90"/>
      <c r="UWI1062" s="90"/>
      <c r="UWJ1062" s="90"/>
      <c r="UWK1062" s="90"/>
      <c r="UWL1062" s="90"/>
      <c r="UWM1062" s="90"/>
      <c r="UWN1062" s="90"/>
      <c r="UWO1062" s="90"/>
      <c r="UWP1062" s="90"/>
      <c r="UWQ1062" s="90"/>
      <c r="UWR1062" s="90"/>
      <c r="UWS1062" s="90"/>
      <c r="UWT1062" s="90"/>
      <c r="UWU1062" s="90"/>
      <c r="UWV1062" s="90"/>
      <c r="UWW1062" s="90"/>
      <c r="UWX1062" s="90"/>
      <c r="UWY1062" s="90"/>
      <c r="UWZ1062" s="90"/>
      <c r="UXA1062" s="90"/>
      <c r="UXB1062" s="90"/>
      <c r="UXC1062" s="90"/>
      <c r="UXD1062" s="90"/>
      <c r="UXE1062" s="90"/>
      <c r="UXF1062" s="90"/>
      <c r="UXG1062" s="90"/>
      <c r="UXH1062" s="90"/>
      <c r="UXI1062" s="90"/>
      <c r="UXJ1062" s="90"/>
      <c r="UXK1062" s="90"/>
      <c r="UXL1062" s="90"/>
      <c r="UXM1062" s="90"/>
      <c r="UXN1062" s="90"/>
      <c r="UXO1062" s="90"/>
      <c r="UXP1062" s="90"/>
      <c r="UXQ1062" s="90"/>
      <c r="UXR1062" s="90"/>
      <c r="UXS1062" s="90"/>
      <c r="UXT1062" s="90"/>
      <c r="UXU1062" s="90"/>
      <c r="UXV1062" s="90"/>
      <c r="UXW1062" s="90"/>
      <c r="UXX1062" s="90"/>
      <c r="UXY1062" s="90"/>
      <c r="UXZ1062" s="90"/>
      <c r="UYA1062" s="90"/>
      <c r="UYB1062" s="90"/>
      <c r="UYC1062" s="90"/>
      <c r="UYD1062" s="90"/>
      <c r="UYE1062" s="90"/>
      <c r="UYF1062" s="90"/>
      <c r="UYG1062" s="90"/>
      <c r="UYH1062" s="90"/>
      <c r="UYI1062" s="90"/>
      <c r="UYJ1062" s="90"/>
      <c r="UYK1062" s="90"/>
      <c r="UYL1062" s="90"/>
      <c r="UYM1062" s="90"/>
      <c r="UYN1062" s="90"/>
      <c r="UYO1062" s="90"/>
      <c r="UYP1062" s="90"/>
      <c r="UYQ1062" s="90"/>
      <c r="UYR1062" s="90"/>
      <c r="UYS1062" s="90"/>
      <c r="UYT1062" s="90"/>
      <c r="UYU1062" s="90"/>
      <c r="UYV1062" s="90"/>
      <c r="UYW1062" s="90"/>
      <c r="UYX1062" s="90"/>
      <c r="UYY1062" s="90"/>
      <c r="UYZ1062" s="90"/>
      <c r="UZA1062" s="90"/>
      <c r="UZB1062" s="90"/>
      <c r="UZC1062" s="90"/>
      <c r="UZD1062" s="90"/>
      <c r="UZE1062" s="90"/>
      <c r="UZF1062" s="90"/>
      <c r="UZG1062" s="90"/>
      <c r="UZH1062" s="90"/>
      <c r="UZI1062" s="90"/>
      <c r="UZJ1062" s="90"/>
      <c r="UZK1062" s="90"/>
      <c r="UZL1062" s="90"/>
      <c r="UZM1062" s="90"/>
      <c r="UZN1062" s="90"/>
      <c r="UZO1062" s="90"/>
      <c r="UZP1062" s="90"/>
      <c r="UZQ1062" s="90"/>
      <c r="UZR1062" s="90"/>
      <c r="UZS1062" s="90"/>
      <c r="UZT1062" s="90"/>
      <c r="UZU1062" s="90"/>
      <c r="UZV1062" s="90"/>
      <c r="UZW1062" s="90"/>
      <c r="UZX1062" s="90"/>
      <c r="UZY1062" s="90"/>
      <c r="UZZ1062" s="90"/>
      <c r="VAA1062" s="90"/>
      <c r="VAB1062" s="90"/>
      <c r="VAC1062" s="90"/>
      <c r="VAD1062" s="90"/>
      <c r="VAE1062" s="90"/>
      <c r="VAF1062" s="90"/>
      <c r="VAG1062" s="90"/>
      <c r="VAH1062" s="90"/>
      <c r="VAI1062" s="90"/>
      <c r="VAJ1062" s="90"/>
      <c r="VAK1062" s="90"/>
      <c r="VAL1062" s="90"/>
      <c r="VAM1062" s="90"/>
      <c r="VAN1062" s="90"/>
      <c r="VAO1062" s="90"/>
      <c r="VAP1062" s="90"/>
      <c r="VAQ1062" s="90"/>
      <c r="VAR1062" s="90"/>
      <c r="VAS1062" s="90"/>
      <c r="VAT1062" s="90"/>
      <c r="VAU1062" s="90"/>
      <c r="VAV1062" s="90"/>
      <c r="VAW1062" s="90"/>
      <c r="VAX1062" s="90"/>
      <c r="VAY1062" s="90"/>
      <c r="VAZ1062" s="90"/>
      <c r="VBA1062" s="90"/>
      <c r="VBB1062" s="90"/>
      <c r="VBC1062" s="90"/>
      <c r="VBD1062" s="90"/>
      <c r="VBE1062" s="90"/>
      <c r="VBF1062" s="90"/>
      <c r="VBG1062" s="90"/>
      <c r="VBH1062" s="90"/>
      <c r="VBI1062" s="90"/>
      <c r="VBJ1062" s="90"/>
      <c r="VBK1062" s="90"/>
      <c r="VBL1062" s="90"/>
      <c r="VBM1062" s="90"/>
      <c r="VBN1062" s="90"/>
      <c r="VBO1062" s="90"/>
      <c r="VBP1062" s="90"/>
      <c r="VBQ1062" s="90"/>
      <c r="VBR1062" s="90"/>
      <c r="VBS1062" s="90"/>
      <c r="VBT1062" s="90"/>
      <c r="VBU1062" s="90"/>
      <c r="VBV1062" s="90"/>
      <c r="VBW1062" s="90"/>
      <c r="VBX1062" s="90"/>
      <c r="VBY1062" s="90"/>
      <c r="VBZ1062" s="90"/>
      <c r="VCA1062" s="90"/>
      <c r="VCB1062" s="90"/>
      <c r="VCC1062" s="90"/>
      <c r="VCD1062" s="90"/>
      <c r="VCE1062" s="90"/>
      <c r="VCF1062" s="90"/>
      <c r="VCG1062" s="90"/>
      <c r="VCH1062" s="90"/>
      <c r="VCI1062" s="90"/>
      <c r="VCJ1062" s="90"/>
      <c r="VCK1062" s="90"/>
      <c r="VCL1062" s="90"/>
      <c r="VCM1062" s="90"/>
      <c r="VCN1062" s="90"/>
      <c r="VCO1062" s="90"/>
      <c r="VCP1062" s="90"/>
      <c r="VCQ1062" s="90"/>
      <c r="VCR1062" s="90"/>
      <c r="VCS1062" s="90"/>
      <c r="VCT1062" s="90"/>
      <c r="VCU1062" s="90"/>
      <c r="VCV1062" s="90"/>
      <c r="VCW1062" s="90"/>
      <c r="VCX1062" s="90"/>
      <c r="VCY1062" s="90"/>
      <c r="VCZ1062" s="90"/>
      <c r="VDA1062" s="90"/>
      <c r="VDB1062" s="90"/>
      <c r="VDC1062" s="90"/>
      <c r="VDD1062" s="90"/>
      <c r="VDE1062" s="90"/>
      <c r="VDF1062" s="90"/>
      <c r="VDG1062" s="90"/>
      <c r="VDH1062" s="90"/>
      <c r="VDI1062" s="90"/>
      <c r="VDJ1062" s="90"/>
      <c r="VDK1062" s="90"/>
      <c r="VDL1062" s="90"/>
      <c r="VDM1062" s="90"/>
      <c r="VDN1062" s="90"/>
      <c r="VDO1062" s="90"/>
      <c r="VDP1062" s="90"/>
      <c r="VDQ1062" s="90"/>
      <c r="VDR1062" s="90"/>
      <c r="VDS1062" s="90"/>
      <c r="VDT1062" s="90"/>
      <c r="VDU1062" s="90"/>
      <c r="VDV1062" s="90"/>
      <c r="VDW1062" s="90"/>
      <c r="VDX1062" s="90"/>
      <c r="VDY1062" s="90"/>
      <c r="VDZ1062" s="90"/>
      <c r="VEA1062" s="90"/>
      <c r="VEB1062" s="90"/>
      <c r="VEC1062" s="90"/>
      <c r="VED1062" s="90"/>
      <c r="VEE1062" s="90"/>
      <c r="VEF1062" s="90"/>
      <c r="VEG1062" s="90"/>
      <c r="VEH1062" s="90"/>
      <c r="VEI1062" s="90"/>
      <c r="VEJ1062" s="90"/>
      <c r="VEK1062" s="90"/>
      <c r="VEL1062" s="90"/>
      <c r="VEM1062" s="90"/>
      <c r="VEN1062" s="90"/>
      <c r="VEO1062" s="90"/>
      <c r="VEP1062" s="90"/>
      <c r="VEQ1062" s="90"/>
      <c r="VER1062" s="90"/>
      <c r="VES1062" s="90"/>
      <c r="VET1062" s="90"/>
      <c r="VEU1062" s="90"/>
      <c r="VEV1062" s="90"/>
      <c r="VEW1062" s="90"/>
      <c r="VEX1062" s="90"/>
      <c r="VEY1062" s="90"/>
      <c r="VEZ1062" s="90"/>
      <c r="VFA1062" s="90"/>
      <c r="VFB1062" s="90"/>
      <c r="VFC1062" s="90"/>
      <c r="VFD1062" s="90"/>
      <c r="VFE1062" s="90"/>
      <c r="VFF1062" s="90"/>
      <c r="VFG1062" s="90"/>
      <c r="VFH1062" s="90"/>
      <c r="VFI1062" s="90"/>
      <c r="VFJ1062" s="90"/>
      <c r="VFK1062" s="90"/>
      <c r="VFL1062" s="90"/>
      <c r="VFM1062" s="90"/>
      <c r="VFN1062" s="90"/>
      <c r="VFO1062" s="90"/>
      <c r="VFP1062" s="90"/>
      <c r="VFQ1062" s="90"/>
      <c r="VFR1062" s="90"/>
      <c r="VFS1062" s="90"/>
      <c r="VFT1062" s="90"/>
      <c r="VFU1062" s="90"/>
      <c r="VFV1062" s="90"/>
      <c r="VFW1062" s="90"/>
      <c r="VFX1062" s="90"/>
      <c r="VFY1062" s="90"/>
      <c r="VFZ1062" s="90"/>
      <c r="VGA1062" s="90"/>
      <c r="VGB1062" s="90"/>
      <c r="VGC1062" s="90"/>
      <c r="VGD1062" s="90"/>
      <c r="VGE1062" s="90"/>
      <c r="VGF1062" s="90"/>
      <c r="VGG1062" s="90"/>
      <c r="VGH1062" s="90"/>
      <c r="VGI1062" s="90"/>
      <c r="VGJ1062" s="90"/>
      <c r="VGK1062" s="90"/>
      <c r="VGL1062" s="90"/>
      <c r="VGM1062" s="90"/>
      <c r="VGN1062" s="90"/>
      <c r="VGO1062" s="90"/>
      <c r="VGP1062" s="90"/>
      <c r="VGQ1062" s="90"/>
      <c r="VGR1062" s="90"/>
      <c r="VGS1062" s="90"/>
      <c r="VGT1062" s="90"/>
      <c r="VGU1062" s="90"/>
      <c r="VGV1062" s="90"/>
      <c r="VGW1062" s="90"/>
      <c r="VGX1062" s="90"/>
      <c r="VGY1062" s="90"/>
      <c r="VGZ1062" s="90"/>
      <c r="VHA1062" s="90"/>
      <c r="VHB1062" s="90"/>
      <c r="VHC1062" s="90"/>
      <c r="VHD1062" s="90"/>
      <c r="VHE1062" s="90"/>
      <c r="VHF1062" s="90"/>
      <c r="VHG1062" s="90"/>
      <c r="VHH1062" s="90"/>
      <c r="VHI1062" s="90"/>
      <c r="VHJ1062" s="90"/>
      <c r="VHK1062" s="90"/>
      <c r="VHL1062" s="90"/>
      <c r="VHM1062" s="90"/>
      <c r="VHN1062" s="90"/>
      <c r="VHO1062" s="90"/>
      <c r="VHP1062" s="90"/>
      <c r="VHQ1062" s="90"/>
      <c r="VHR1062" s="90"/>
      <c r="VHS1062" s="90"/>
      <c r="VHT1062" s="90"/>
      <c r="VHU1062" s="90"/>
      <c r="VHV1062" s="90"/>
      <c r="VHW1062" s="90"/>
      <c r="VHX1062" s="90"/>
      <c r="VHY1062" s="90"/>
      <c r="VHZ1062" s="90"/>
      <c r="VIA1062" s="90"/>
      <c r="VIB1062" s="90"/>
      <c r="VIC1062" s="90"/>
      <c r="VID1062" s="90"/>
      <c r="VIE1062" s="90"/>
      <c r="VIF1062" s="90"/>
      <c r="VIG1062" s="90"/>
      <c r="VIH1062" s="90"/>
      <c r="VII1062" s="90"/>
      <c r="VIJ1062" s="90"/>
      <c r="VIK1062" s="90"/>
      <c r="VIL1062" s="90"/>
      <c r="VIM1062" s="90"/>
      <c r="VIN1062" s="90"/>
      <c r="VIO1062" s="90"/>
      <c r="VIP1062" s="90"/>
      <c r="VIQ1062" s="90"/>
      <c r="VIR1062" s="90"/>
      <c r="VIS1062" s="90"/>
      <c r="VIT1062" s="90"/>
      <c r="VIU1062" s="90"/>
      <c r="VIV1062" s="90"/>
      <c r="VIW1062" s="90"/>
      <c r="VIX1062" s="90"/>
      <c r="VIY1062" s="90"/>
      <c r="VIZ1062" s="90"/>
      <c r="VJA1062" s="90"/>
      <c r="VJB1062" s="90"/>
      <c r="VJC1062" s="90"/>
      <c r="VJD1062" s="90"/>
      <c r="VJE1062" s="90"/>
      <c r="VJF1062" s="90"/>
      <c r="VJG1062" s="90"/>
      <c r="VJH1062" s="90"/>
      <c r="VJI1062" s="90"/>
      <c r="VJJ1062" s="90"/>
      <c r="VJK1062" s="90"/>
      <c r="VJL1062" s="90"/>
      <c r="VJM1062" s="90"/>
      <c r="VJN1062" s="90"/>
      <c r="VJO1062" s="90"/>
      <c r="VJP1062" s="90"/>
      <c r="VJQ1062" s="90"/>
      <c r="VJR1062" s="90"/>
      <c r="VJS1062" s="90"/>
      <c r="VJT1062" s="90"/>
      <c r="VJU1062" s="90"/>
      <c r="VJV1062" s="90"/>
      <c r="VJW1062" s="90"/>
      <c r="VJX1062" s="90"/>
      <c r="VJY1062" s="90"/>
      <c r="VJZ1062" s="90"/>
      <c r="VKA1062" s="90"/>
      <c r="VKB1062" s="90"/>
      <c r="VKC1062" s="90"/>
      <c r="VKD1062" s="90"/>
      <c r="VKE1062" s="90"/>
      <c r="VKF1062" s="90"/>
      <c r="VKG1062" s="90"/>
      <c r="VKH1062" s="90"/>
      <c r="VKI1062" s="90"/>
      <c r="VKJ1062" s="90"/>
      <c r="VKK1062" s="90"/>
      <c r="VKL1062" s="90"/>
      <c r="VKM1062" s="90"/>
      <c r="VKN1062" s="90"/>
      <c r="VKO1062" s="90"/>
      <c r="VKP1062" s="90"/>
      <c r="VKQ1062" s="90"/>
      <c r="VKR1062" s="90"/>
      <c r="VKS1062" s="90"/>
      <c r="VKT1062" s="90"/>
      <c r="VKU1062" s="90"/>
      <c r="VKV1062" s="90"/>
      <c r="VKW1062" s="90"/>
      <c r="VKX1062" s="90"/>
      <c r="VKY1062" s="90"/>
      <c r="VKZ1062" s="90"/>
      <c r="VLA1062" s="90"/>
      <c r="VLB1062" s="90"/>
      <c r="VLC1062" s="90"/>
      <c r="VLD1062" s="90"/>
      <c r="VLE1062" s="90"/>
      <c r="VLF1062" s="90"/>
      <c r="VLG1062" s="90"/>
      <c r="VLH1062" s="90"/>
      <c r="VLI1062" s="90"/>
      <c r="VLJ1062" s="90"/>
      <c r="VLK1062" s="90"/>
      <c r="VLL1062" s="90"/>
      <c r="VLM1062" s="90"/>
      <c r="VLN1062" s="90"/>
      <c r="VLO1062" s="90"/>
      <c r="VLP1062" s="90"/>
      <c r="VLQ1062" s="90"/>
      <c r="VLR1062" s="90"/>
      <c r="VLS1062" s="90"/>
      <c r="VLT1062" s="90"/>
      <c r="VLU1062" s="90"/>
      <c r="VLV1062" s="90"/>
      <c r="VLW1062" s="90"/>
      <c r="VLX1062" s="90"/>
      <c r="VLY1062" s="90"/>
      <c r="VLZ1062" s="90"/>
      <c r="VMA1062" s="90"/>
      <c r="VMB1062" s="90"/>
      <c r="VMC1062" s="90"/>
      <c r="VMD1062" s="90"/>
      <c r="VME1062" s="90"/>
      <c r="VMF1062" s="90"/>
      <c r="VMG1062" s="90"/>
      <c r="VMH1062" s="90"/>
      <c r="VMI1062" s="90"/>
      <c r="VMJ1062" s="90"/>
      <c r="VMK1062" s="90"/>
      <c r="VML1062" s="90"/>
      <c r="VMM1062" s="90"/>
      <c r="VMN1062" s="90"/>
      <c r="VMO1062" s="90"/>
      <c r="VMP1062" s="90"/>
      <c r="VMQ1062" s="90"/>
      <c r="VMR1062" s="90"/>
      <c r="VMS1062" s="90"/>
      <c r="VMT1062" s="90"/>
      <c r="VMU1062" s="90"/>
      <c r="VMV1062" s="90"/>
      <c r="VMW1062" s="90"/>
      <c r="VMX1062" s="90"/>
      <c r="VMY1062" s="90"/>
      <c r="VMZ1062" s="90"/>
      <c r="VNA1062" s="90"/>
      <c r="VNB1062" s="90"/>
      <c r="VNC1062" s="90"/>
      <c r="VND1062" s="90"/>
      <c r="VNE1062" s="90"/>
      <c r="VNF1062" s="90"/>
      <c r="VNG1062" s="90"/>
      <c r="VNH1062" s="90"/>
      <c r="VNI1062" s="90"/>
      <c r="VNJ1062" s="90"/>
      <c r="VNK1062" s="90"/>
      <c r="VNL1062" s="90"/>
      <c r="VNM1062" s="90"/>
      <c r="VNN1062" s="90"/>
      <c r="VNO1062" s="90"/>
      <c r="VNP1062" s="90"/>
      <c r="VNQ1062" s="90"/>
      <c r="VNR1062" s="90"/>
      <c r="VNS1062" s="90"/>
      <c r="VNT1062" s="90"/>
      <c r="VNU1062" s="90"/>
      <c r="VNV1062" s="90"/>
      <c r="VNW1062" s="90"/>
      <c r="VNX1062" s="90"/>
      <c r="VNY1062" s="90"/>
      <c r="VNZ1062" s="90"/>
      <c r="VOA1062" s="90"/>
      <c r="VOB1062" s="90"/>
      <c r="VOC1062" s="90"/>
      <c r="VOD1062" s="90"/>
      <c r="VOE1062" s="90"/>
      <c r="VOF1062" s="90"/>
      <c r="VOG1062" s="90"/>
      <c r="VOH1062" s="90"/>
      <c r="VOI1062" s="90"/>
      <c r="VOJ1062" s="90"/>
      <c r="VOK1062" s="90"/>
      <c r="VOL1062" s="90"/>
      <c r="VOM1062" s="90"/>
      <c r="VON1062" s="90"/>
      <c r="VOO1062" s="90"/>
      <c r="VOP1062" s="90"/>
      <c r="VOQ1062" s="90"/>
      <c r="VOR1062" s="90"/>
      <c r="VOS1062" s="90"/>
      <c r="VOT1062" s="90"/>
      <c r="VOU1062" s="90"/>
      <c r="VOV1062" s="90"/>
      <c r="VOW1062" s="90"/>
      <c r="VOX1062" s="90"/>
      <c r="VOY1062" s="90"/>
      <c r="VOZ1062" s="90"/>
      <c r="VPA1062" s="90"/>
      <c r="VPB1062" s="90"/>
      <c r="VPC1062" s="90"/>
      <c r="VPD1062" s="90"/>
      <c r="VPE1062" s="90"/>
      <c r="VPF1062" s="90"/>
      <c r="VPG1062" s="90"/>
      <c r="VPH1062" s="90"/>
      <c r="VPI1062" s="90"/>
      <c r="VPJ1062" s="90"/>
      <c r="VPK1062" s="90"/>
      <c r="VPL1062" s="90"/>
      <c r="VPM1062" s="90"/>
      <c r="VPN1062" s="90"/>
      <c r="VPO1062" s="90"/>
      <c r="VPP1062" s="90"/>
      <c r="VPQ1062" s="90"/>
      <c r="VPR1062" s="90"/>
      <c r="VPS1062" s="90"/>
      <c r="VPT1062" s="90"/>
      <c r="VPU1062" s="90"/>
      <c r="VPV1062" s="90"/>
      <c r="VPW1062" s="90"/>
      <c r="VPX1062" s="90"/>
      <c r="VPY1062" s="90"/>
      <c r="VPZ1062" s="90"/>
      <c r="VQA1062" s="90"/>
      <c r="VQB1062" s="90"/>
      <c r="VQC1062" s="90"/>
      <c r="VQD1062" s="90"/>
      <c r="VQE1062" s="90"/>
      <c r="VQF1062" s="90"/>
      <c r="VQG1062" s="90"/>
      <c r="VQH1062" s="90"/>
      <c r="VQI1062" s="90"/>
      <c r="VQJ1062" s="90"/>
      <c r="VQK1062" s="90"/>
      <c r="VQL1062" s="90"/>
      <c r="VQM1062" s="90"/>
      <c r="VQN1062" s="90"/>
      <c r="VQO1062" s="90"/>
      <c r="VQP1062" s="90"/>
      <c r="VQQ1062" s="90"/>
      <c r="VQR1062" s="90"/>
      <c r="VQS1062" s="90"/>
      <c r="VQT1062" s="90"/>
      <c r="VQU1062" s="90"/>
      <c r="VQV1062" s="90"/>
      <c r="VQW1062" s="90"/>
      <c r="VQX1062" s="90"/>
      <c r="VQY1062" s="90"/>
      <c r="VQZ1062" s="90"/>
      <c r="VRA1062" s="90"/>
      <c r="VRB1062" s="90"/>
      <c r="VRC1062" s="90"/>
      <c r="VRD1062" s="90"/>
      <c r="VRE1062" s="90"/>
      <c r="VRF1062" s="90"/>
      <c r="VRG1062" s="90"/>
      <c r="VRH1062" s="90"/>
      <c r="VRI1062" s="90"/>
      <c r="VRJ1062" s="90"/>
      <c r="VRK1062" s="90"/>
      <c r="VRL1062" s="90"/>
      <c r="VRM1062" s="90"/>
      <c r="VRN1062" s="90"/>
      <c r="VRO1062" s="90"/>
      <c r="VRP1062" s="90"/>
      <c r="VRQ1062" s="90"/>
      <c r="VRR1062" s="90"/>
      <c r="VRS1062" s="90"/>
      <c r="VRT1062" s="90"/>
      <c r="VRU1062" s="90"/>
      <c r="VRV1062" s="90"/>
      <c r="VRW1062" s="90"/>
      <c r="VRX1062" s="90"/>
      <c r="VRY1062" s="90"/>
      <c r="VRZ1062" s="90"/>
      <c r="VSA1062" s="90"/>
      <c r="VSB1062" s="90"/>
      <c r="VSC1062" s="90"/>
      <c r="VSD1062" s="90"/>
      <c r="VSE1062" s="90"/>
      <c r="VSF1062" s="90"/>
      <c r="VSG1062" s="90"/>
      <c r="VSH1062" s="90"/>
      <c r="VSI1062" s="90"/>
      <c r="VSJ1062" s="90"/>
      <c r="VSK1062" s="90"/>
      <c r="VSL1062" s="90"/>
      <c r="VSM1062" s="90"/>
      <c r="VSN1062" s="90"/>
      <c r="VSO1062" s="90"/>
      <c r="VSP1062" s="90"/>
      <c r="VSQ1062" s="90"/>
      <c r="VSR1062" s="90"/>
      <c r="VSS1062" s="90"/>
      <c r="VST1062" s="90"/>
      <c r="VSU1062" s="90"/>
      <c r="VSV1062" s="90"/>
      <c r="VSW1062" s="90"/>
      <c r="VSX1062" s="90"/>
      <c r="VSY1062" s="90"/>
      <c r="VSZ1062" s="90"/>
      <c r="VTA1062" s="90"/>
      <c r="VTB1062" s="90"/>
      <c r="VTC1062" s="90"/>
      <c r="VTD1062" s="90"/>
      <c r="VTE1062" s="90"/>
      <c r="VTF1062" s="90"/>
      <c r="VTG1062" s="90"/>
      <c r="VTH1062" s="90"/>
      <c r="VTI1062" s="90"/>
      <c r="VTJ1062" s="90"/>
      <c r="VTK1062" s="90"/>
      <c r="VTL1062" s="90"/>
      <c r="VTM1062" s="90"/>
      <c r="VTN1062" s="90"/>
      <c r="VTO1062" s="90"/>
      <c r="VTP1062" s="90"/>
      <c r="VTQ1062" s="90"/>
      <c r="VTR1062" s="90"/>
      <c r="VTS1062" s="90"/>
      <c r="VTT1062" s="90"/>
      <c r="VTU1062" s="90"/>
      <c r="VTV1062" s="90"/>
      <c r="VTW1062" s="90"/>
      <c r="VTX1062" s="90"/>
      <c r="VTY1062" s="90"/>
      <c r="VTZ1062" s="90"/>
      <c r="VUA1062" s="90"/>
      <c r="VUB1062" s="90"/>
      <c r="VUC1062" s="90"/>
      <c r="VUD1062" s="90"/>
      <c r="VUE1062" s="90"/>
      <c r="VUF1062" s="90"/>
      <c r="VUG1062" s="90"/>
      <c r="VUH1062" s="90"/>
      <c r="VUI1062" s="90"/>
      <c r="VUJ1062" s="90"/>
      <c r="VUK1062" s="90"/>
      <c r="VUL1062" s="90"/>
      <c r="VUM1062" s="90"/>
      <c r="VUN1062" s="90"/>
      <c r="VUO1062" s="90"/>
      <c r="VUP1062" s="90"/>
      <c r="VUQ1062" s="90"/>
      <c r="VUR1062" s="90"/>
      <c r="VUS1062" s="90"/>
      <c r="VUT1062" s="90"/>
      <c r="VUU1062" s="90"/>
      <c r="VUV1062" s="90"/>
      <c r="VUW1062" s="90"/>
      <c r="VUX1062" s="90"/>
      <c r="VUY1062" s="90"/>
      <c r="VUZ1062" s="90"/>
      <c r="VVA1062" s="90"/>
      <c r="VVB1062" s="90"/>
      <c r="VVC1062" s="90"/>
      <c r="VVD1062" s="90"/>
      <c r="VVE1062" s="90"/>
      <c r="VVF1062" s="90"/>
      <c r="VVG1062" s="90"/>
      <c r="VVH1062" s="90"/>
      <c r="VVI1062" s="90"/>
      <c r="VVJ1062" s="90"/>
      <c r="VVK1062" s="90"/>
      <c r="VVL1062" s="90"/>
      <c r="VVM1062" s="90"/>
      <c r="VVN1062" s="90"/>
      <c r="VVO1062" s="90"/>
      <c r="VVP1062" s="90"/>
      <c r="VVQ1062" s="90"/>
      <c r="VVR1062" s="90"/>
      <c r="VVS1062" s="90"/>
      <c r="VVT1062" s="90"/>
      <c r="VVU1062" s="90"/>
      <c r="VVV1062" s="90"/>
      <c r="VVW1062" s="90"/>
      <c r="VVX1062" s="90"/>
      <c r="VVY1062" s="90"/>
      <c r="VVZ1062" s="90"/>
      <c r="VWA1062" s="90"/>
      <c r="VWB1062" s="90"/>
      <c r="VWC1062" s="90"/>
      <c r="VWD1062" s="90"/>
      <c r="VWE1062" s="90"/>
      <c r="VWF1062" s="90"/>
      <c r="VWG1062" s="90"/>
      <c r="VWH1062" s="90"/>
      <c r="VWI1062" s="90"/>
      <c r="VWJ1062" s="90"/>
      <c r="VWK1062" s="90"/>
      <c r="VWL1062" s="90"/>
      <c r="VWM1062" s="90"/>
      <c r="VWN1062" s="90"/>
      <c r="VWO1062" s="90"/>
      <c r="VWP1062" s="90"/>
      <c r="VWQ1062" s="90"/>
      <c r="VWR1062" s="90"/>
      <c r="VWS1062" s="90"/>
      <c r="VWT1062" s="90"/>
      <c r="VWU1062" s="90"/>
      <c r="VWV1062" s="90"/>
      <c r="VWW1062" s="90"/>
      <c r="VWX1062" s="90"/>
      <c r="VWY1062" s="90"/>
      <c r="VWZ1062" s="90"/>
      <c r="VXA1062" s="90"/>
      <c r="VXB1062" s="90"/>
      <c r="VXC1062" s="90"/>
      <c r="VXD1062" s="90"/>
      <c r="VXE1062" s="90"/>
      <c r="VXF1062" s="90"/>
      <c r="VXG1062" s="90"/>
      <c r="VXH1062" s="90"/>
      <c r="VXI1062" s="90"/>
      <c r="VXJ1062" s="90"/>
      <c r="VXK1062" s="90"/>
      <c r="VXL1062" s="90"/>
      <c r="VXM1062" s="90"/>
      <c r="VXN1062" s="90"/>
      <c r="VXO1062" s="90"/>
      <c r="VXP1062" s="90"/>
      <c r="VXQ1062" s="90"/>
      <c r="VXR1062" s="90"/>
      <c r="VXS1062" s="90"/>
      <c r="VXT1062" s="90"/>
      <c r="VXU1062" s="90"/>
      <c r="VXV1062" s="90"/>
      <c r="VXW1062" s="90"/>
      <c r="VXX1062" s="90"/>
      <c r="VXY1062" s="90"/>
      <c r="VXZ1062" s="90"/>
      <c r="VYA1062" s="90"/>
      <c r="VYB1062" s="90"/>
      <c r="VYC1062" s="90"/>
      <c r="VYD1062" s="90"/>
      <c r="VYE1062" s="90"/>
      <c r="VYF1062" s="90"/>
      <c r="VYG1062" s="90"/>
      <c r="VYH1062" s="90"/>
      <c r="VYI1062" s="90"/>
      <c r="VYJ1062" s="90"/>
      <c r="VYK1062" s="90"/>
      <c r="VYL1062" s="90"/>
      <c r="VYM1062" s="90"/>
      <c r="VYN1062" s="90"/>
      <c r="VYO1062" s="90"/>
      <c r="VYP1062" s="90"/>
      <c r="VYQ1062" s="90"/>
      <c r="VYR1062" s="90"/>
      <c r="VYS1062" s="90"/>
      <c r="VYT1062" s="90"/>
      <c r="VYU1062" s="90"/>
      <c r="VYV1062" s="90"/>
      <c r="VYW1062" s="90"/>
      <c r="VYX1062" s="90"/>
      <c r="VYY1062" s="90"/>
      <c r="VYZ1062" s="90"/>
      <c r="VZA1062" s="90"/>
      <c r="VZB1062" s="90"/>
      <c r="VZC1062" s="90"/>
      <c r="VZD1062" s="90"/>
      <c r="VZE1062" s="90"/>
      <c r="VZF1062" s="90"/>
      <c r="VZG1062" s="90"/>
      <c r="VZH1062" s="90"/>
      <c r="VZI1062" s="90"/>
      <c r="VZJ1062" s="90"/>
      <c r="VZK1062" s="90"/>
      <c r="VZL1062" s="90"/>
      <c r="VZM1062" s="90"/>
      <c r="VZN1062" s="90"/>
      <c r="VZO1062" s="90"/>
      <c r="VZP1062" s="90"/>
      <c r="VZQ1062" s="90"/>
      <c r="VZR1062" s="90"/>
      <c r="VZS1062" s="90"/>
      <c r="VZT1062" s="90"/>
      <c r="VZU1062" s="90"/>
      <c r="VZV1062" s="90"/>
      <c r="VZW1062" s="90"/>
      <c r="VZX1062" s="90"/>
      <c r="VZY1062" s="90"/>
      <c r="VZZ1062" s="90"/>
      <c r="WAA1062" s="90"/>
      <c r="WAB1062" s="90"/>
      <c r="WAC1062" s="90"/>
      <c r="WAD1062" s="90"/>
      <c r="WAE1062" s="90"/>
      <c r="WAF1062" s="90"/>
      <c r="WAG1062" s="90"/>
      <c r="WAH1062" s="90"/>
      <c r="WAI1062" s="90"/>
      <c r="WAJ1062" s="90"/>
      <c r="WAK1062" s="90"/>
      <c r="WAL1062" s="90"/>
      <c r="WAM1062" s="90"/>
      <c r="WAN1062" s="90"/>
      <c r="WAO1062" s="90"/>
      <c r="WAP1062" s="90"/>
      <c r="WAQ1062" s="90"/>
      <c r="WAR1062" s="90"/>
      <c r="WAS1062" s="90"/>
      <c r="WAT1062" s="90"/>
      <c r="WAU1062" s="90"/>
      <c r="WAV1062" s="90"/>
      <c r="WAW1062" s="90"/>
      <c r="WAX1062" s="90"/>
      <c r="WAY1062" s="90"/>
      <c r="WAZ1062" s="90"/>
      <c r="WBA1062" s="90"/>
      <c r="WBB1062" s="90"/>
      <c r="WBC1062" s="90"/>
      <c r="WBD1062" s="90"/>
      <c r="WBE1062" s="90"/>
      <c r="WBF1062" s="90"/>
      <c r="WBG1062" s="90"/>
      <c r="WBH1062" s="90"/>
      <c r="WBI1062" s="90"/>
      <c r="WBJ1062" s="90"/>
      <c r="WBK1062" s="90"/>
      <c r="WBL1062" s="90"/>
      <c r="WBM1062" s="90"/>
      <c r="WBN1062" s="90"/>
      <c r="WBO1062" s="90"/>
      <c r="WBP1062" s="90"/>
      <c r="WBQ1062" s="90"/>
      <c r="WBR1062" s="90"/>
      <c r="WBS1062" s="90"/>
      <c r="WBT1062" s="90"/>
      <c r="WBU1062" s="90"/>
      <c r="WBV1062" s="90"/>
      <c r="WBW1062" s="90"/>
      <c r="WBX1062" s="90"/>
      <c r="WBY1062" s="90"/>
      <c r="WBZ1062" s="90"/>
      <c r="WCA1062" s="90"/>
      <c r="WCB1062" s="90"/>
      <c r="WCC1062" s="90"/>
      <c r="WCD1062" s="90"/>
      <c r="WCE1062" s="90"/>
      <c r="WCF1062" s="90"/>
      <c r="WCG1062" s="90"/>
      <c r="WCH1062" s="90"/>
      <c r="WCI1062" s="90"/>
      <c r="WCJ1062" s="90"/>
      <c r="WCK1062" s="90"/>
      <c r="WCL1062" s="90"/>
      <c r="WCM1062" s="90"/>
      <c r="WCN1062" s="90"/>
      <c r="WCO1062" s="90"/>
      <c r="WCP1062" s="90"/>
      <c r="WCQ1062" s="90"/>
      <c r="WCR1062" s="90"/>
      <c r="WCS1062" s="90"/>
      <c r="WCT1062" s="90"/>
      <c r="WCU1062" s="90"/>
      <c r="WCV1062" s="90"/>
      <c r="WCW1062" s="90"/>
      <c r="WCX1062" s="90"/>
      <c r="WCY1062" s="90"/>
      <c r="WCZ1062" s="90"/>
      <c r="WDA1062" s="90"/>
      <c r="WDB1062" s="90"/>
      <c r="WDC1062" s="90"/>
      <c r="WDD1062" s="90"/>
      <c r="WDE1062" s="90"/>
      <c r="WDF1062" s="90"/>
      <c r="WDG1062" s="90"/>
      <c r="WDH1062" s="90"/>
      <c r="WDI1062" s="90"/>
      <c r="WDJ1062" s="90"/>
      <c r="WDK1062" s="90"/>
      <c r="WDL1062" s="90"/>
      <c r="WDM1062" s="90"/>
      <c r="WDN1062" s="90"/>
      <c r="WDO1062" s="90"/>
      <c r="WDP1062" s="90"/>
      <c r="WDQ1062" s="90"/>
      <c r="WDR1062" s="90"/>
      <c r="WDS1062" s="90"/>
      <c r="WDT1062" s="90"/>
      <c r="WDU1062" s="90"/>
      <c r="WDV1062" s="90"/>
      <c r="WDW1062" s="90"/>
      <c r="WDX1062" s="90"/>
      <c r="WDY1062" s="90"/>
      <c r="WDZ1062" s="90"/>
      <c r="WEA1062" s="90"/>
      <c r="WEB1062" s="90"/>
      <c r="WEC1062" s="90"/>
      <c r="WED1062" s="90"/>
      <c r="WEE1062" s="90"/>
      <c r="WEF1062" s="90"/>
      <c r="WEG1062" s="90"/>
      <c r="WEH1062" s="90"/>
      <c r="WEI1062" s="90"/>
      <c r="WEJ1062" s="90"/>
      <c r="WEK1062" s="90"/>
      <c r="WEL1062" s="90"/>
      <c r="WEM1062" s="90"/>
      <c r="WEN1062" s="90"/>
      <c r="WEO1062" s="90"/>
      <c r="WEP1062" s="90"/>
      <c r="WEQ1062" s="90"/>
      <c r="WER1062" s="90"/>
      <c r="WES1062" s="90"/>
      <c r="WET1062" s="90"/>
      <c r="WEU1062" s="90"/>
      <c r="WEV1062" s="90"/>
      <c r="WEW1062" s="90"/>
      <c r="WEX1062" s="90"/>
      <c r="WEY1062" s="90"/>
      <c r="WEZ1062" s="90"/>
      <c r="WFA1062" s="90"/>
      <c r="WFB1062" s="90"/>
      <c r="WFC1062" s="90"/>
      <c r="WFD1062" s="90"/>
      <c r="WFE1062" s="90"/>
      <c r="WFF1062" s="90"/>
      <c r="WFG1062" s="90"/>
      <c r="WFH1062" s="90"/>
      <c r="WFI1062" s="90"/>
      <c r="WFJ1062" s="90"/>
      <c r="WFK1062" s="90"/>
      <c r="WFL1062" s="90"/>
      <c r="WFM1062" s="90"/>
      <c r="WFN1062" s="90"/>
      <c r="WFO1062" s="90"/>
      <c r="WFP1062" s="90"/>
      <c r="WFQ1062" s="90"/>
      <c r="WFR1062" s="90"/>
      <c r="WFS1062" s="90"/>
      <c r="WFT1062" s="90"/>
      <c r="WFU1062" s="90"/>
      <c r="WFV1062" s="90"/>
      <c r="WFW1062" s="90"/>
      <c r="WFX1062" s="90"/>
      <c r="WFY1062" s="90"/>
      <c r="WFZ1062" s="90"/>
      <c r="WGA1062" s="90"/>
      <c r="WGB1062" s="90"/>
      <c r="WGC1062" s="90"/>
      <c r="WGD1062" s="90"/>
      <c r="WGE1062" s="90"/>
      <c r="WGF1062" s="90"/>
      <c r="WGG1062" s="90"/>
      <c r="WGH1062" s="90"/>
      <c r="WGI1062" s="90"/>
      <c r="WGJ1062" s="90"/>
      <c r="WGK1062" s="90"/>
      <c r="WGL1062" s="90"/>
      <c r="WGM1062" s="90"/>
      <c r="WGN1062" s="90"/>
      <c r="WGO1062" s="90"/>
      <c r="WGP1062" s="90"/>
      <c r="WGQ1062" s="90"/>
      <c r="WGR1062" s="90"/>
      <c r="WGS1062" s="90"/>
      <c r="WGT1062" s="90"/>
      <c r="WGU1062" s="90"/>
      <c r="WGV1062" s="90"/>
      <c r="WGW1062" s="90"/>
      <c r="WGX1062" s="90"/>
      <c r="WGY1062" s="90"/>
      <c r="WGZ1062" s="90"/>
      <c r="WHA1062" s="90"/>
      <c r="WHB1062" s="90"/>
      <c r="WHC1062" s="90"/>
      <c r="WHD1062" s="90"/>
      <c r="WHE1062" s="90"/>
      <c r="WHF1062" s="90"/>
      <c r="WHG1062" s="90"/>
      <c r="WHH1062" s="90"/>
      <c r="WHI1062" s="90"/>
      <c r="WHJ1062" s="90"/>
      <c r="WHK1062" s="90"/>
      <c r="WHL1062" s="90"/>
      <c r="WHM1062" s="90"/>
      <c r="WHN1062" s="90"/>
      <c r="WHO1062" s="90"/>
      <c r="WHP1062" s="90"/>
      <c r="WHQ1062" s="90"/>
      <c r="WHR1062" s="90"/>
      <c r="WHS1062" s="90"/>
      <c r="WHT1062" s="90"/>
      <c r="WHU1062" s="90"/>
      <c r="WHV1062" s="90"/>
      <c r="WHW1062" s="90"/>
      <c r="WHX1062" s="90"/>
      <c r="WHY1062" s="90"/>
      <c r="WHZ1062" s="90"/>
      <c r="WIA1062" s="90"/>
      <c r="WIB1062" s="90"/>
      <c r="WIC1062" s="90"/>
      <c r="WID1062" s="90"/>
      <c r="WIE1062" s="90"/>
      <c r="WIF1062" s="90"/>
      <c r="WIG1062" s="90"/>
      <c r="WIH1062" s="90"/>
      <c r="WII1062" s="90"/>
      <c r="WIJ1062" s="90"/>
      <c r="WIK1062" s="90"/>
      <c r="WIL1062" s="90"/>
      <c r="WIM1062" s="90"/>
      <c r="WIN1062" s="90"/>
      <c r="WIO1062" s="90"/>
      <c r="WIP1062" s="90"/>
      <c r="WIQ1062" s="90"/>
      <c r="WIR1062" s="90"/>
      <c r="WIS1062" s="90"/>
      <c r="WIT1062" s="90"/>
      <c r="WIU1062" s="90"/>
      <c r="WIV1062" s="90"/>
      <c r="WIW1062" s="90"/>
      <c r="WIX1062" s="90"/>
      <c r="WIY1062" s="90"/>
      <c r="WIZ1062" s="90"/>
      <c r="WJA1062" s="90"/>
      <c r="WJB1062" s="90"/>
      <c r="WJC1062" s="90"/>
      <c r="WJD1062" s="90"/>
      <c r="WJE1062" s="90"/>
      <c r="WJF1062" s="90"/>
      <c r="WJG1062" s="90"/>
      <c r="WJH1062" s="90"/>
      <c r="WJI1062" s="90"/>
      <c r="WJJ1062" s="90"/>
      <c r="WJK1062" s="90"/>
      <c r="WJL1062" s="90"/>
      <c r="WJM1062" s="90"/>
      <c r="WJN1062" s="90"/>
      <c r="WJO1062" s="90"/>
      <c r="WJP1062" s="90"/>
      <c r="WJQ1062" s="90"/>
      <c r="WJR1062" s="90"/>
      <c r="WJS1062" s="90"/>
      <c r="WJT1062" s="90"/>
      <c r="WJU1062" s="90"/>
      <c r="WJV1062" s="90"/>
      <c r="WJW1062" s="90"/>
      <c r="WJX1062" s="90"/>
      <c r="WJY1062" s="90"/>
      <c r="WJZ1062" s="90"/>
      <c r="WKA1062" s="90"/>
      <c r="WKB1062" s="90"/>
      <c r="WKC1062" s="90"/>
      <c r="WKD1062" s="90"/>
      <c r="WKE1062" s="90"/>
      <c r="WKF1062" s="90"/>
      <c r="WKG1062" s="90"/>
      <c r="WKH1062" s="90"/>
      <c r="WKI1062" s="90"/>
      <c r="WKJ1062" s="90"/>
      <c r="WKK1062" s="90"/>
      <c r="WKL1062" s="90"/>
      <c r="WKM1062" s="90"/>
      <c r="WKN1062" s="90"/>
      <c r="WKO1062" s="90"/>
      <c r="WKP1062" s="90"/>
      <c r="WKQ1062" s="90"/>
      <c r="WKR1062" s="90"/>
      <c r="WKS1062" s="90"/>
      <c r="WKT1062" s="90"/>
      <c r="WKU1062" s="90"/>
      <c r="WKV1062" s="90"/>
      <c r="WKW1062" s="90"/>
      <c r="WKX1062" s="90"/>
      <c r="WKY1062" s="90"/>
      <c r="WKZ1062" s="90"/>
      <c r="WLA1062" s="90"/>
      <c r="WLB1062" s="90"/>
      <c r="WLC1062" s="90"/>
      <c r="WLD1062" s="90"/>
      <c r="WLE1062" s="90"/>
      <c r="WLF1062" s="90"/>
      <c r="WLG1062" s="90"/>
      <c r="WLH1062" s="90"/>
      <c r="WLI1062" s="90"/>
      <c r="WLJ1062" s="90"/>
      <c r="WLK1062" s="90"/>
      <c r="WLL1062" s="90"/>
      <c r="WLM1062" s="90"/>
      <c r="WLN1062" s="90"/>
      <c r="WLO1062" s="90"/>
      <c r="WLP1062" s="90"/>
      <c r="WLQ1062" s="90"/>
      <c r="WLR1062" s="90"/>
      <c r="WLS1062" s="90"/>
      <c r="WLT1062" s="90"/>
      <c r="WLU1062" s="90"/>
      <c r="WLV1062" s="90"/>
      <c r="WLW1062" s="90"/>
      <c r="WLX1062" s="90"/>
      <c r="WLY1062" s="90"/>
      <c r="WLZ1062" s="90"/>
      <c r="WMA1062" s="90"/>
      <c r="WMB1062" s="90"/>
      <c r="WMC1062" s="90"/>
      <c r="WMD1062" s="90"/>
      <c r="WME1062" s="90"/>
      <c r="WMF1062" s="90"/>
      <c r="WMG1062" s="90"/>
      <c r="WMH1062" s="90"/>
      <c r="WMI1062" s="90"/>
      <c r="WMJ1062" s="90"/>
      <c r="WMK1062" s="90"/>
      <c r="WML1062" s="90"/>
      <c r="WMM1062" s="90"/>
      <c r="WMN1062" s="90"/>
      <c r="WMO1062" s="90"/>
      <c r="WMP1062" s="90"/>
      <c r="WMQ1062" s="90"/>
      <c r="WMR1062" s="90"/>
      <c r="WMS1062" s="90"/>
      <c r="WMT1062" s="90"/>
      <c r="WMU1062" s="90"/>
      <c r="WMV1062" s="90"/>
      <c r="WMW1062" s="90"/>
      <c r="WMX1062" s="90"/>
      <c r="WMY1062" s="90"/>
      <c r="WMZ1062" s="90"/>
      <c r="WNA1062" s="90"/>
      <c r="WNB1062" s="90"/>
      <c r="WNC1062" s="90"/>
      <c r="WND1062" s="90"/>
      <c r="WNE1062" s="90"/>
      <c r="WNF1062" s="90"/>
      <c r="WNG1062" s="90"/>
      <c r="WNH1062" s="90"/>
      <c r="WNI1062" s="90"/>
      <c r="WNJ1062" s="90"/>
      <c r="WNK1062" s="90"/>
      <c r="WNL1062" s="90"/>
      <c r="WNM1062" s="90"/>
      <c r="WNN1062" s="90"/>
      <c r="WNO1062" s="90"/>
      <c r="WNP1062" s="90"/>
      <c r="WNQ1062" s="90"/>
      <c r="WNR1062" s="90"/>
      <c r="WNS1062" s="90"/>
      <c r="WNT1062" s="90"/>
      <c r="WNU1062" s="90"/>
      <c r="WNV1062" s="90"/>
      <c r="WNW1062" s="90"/>
      <c r="WNX1062" s="90"/>
      <c r="WNY1062" s="90"/>
      <c r="WNZ1062" s="90"/>
      <c r="WOA1062" s="90"/>
      <c r="WOB1062" s="90"/>
      <c r="WOC1062" s="90"/>
      <c r="WOD1062" s="90"/>
      <c r="WOE1062" s="90"/>
      <c r="WOF1062" s="90"/>
      <c r="WOG1062" s="90"/>
      <c r="WOH1062" s="90"/>
      <c r="WOI1062" s="90"/>
      <c r="WOJ1062" s="90"/>
      <c r="WOK1062" s="90"/>
      <c r="WOL1062" s="90"/>
      <c r="WOM1062" s="90"/>
      <c r="WON1062" s="90"/>
      <c r="WOO1062" s="90"/>
      <c r="WOP1062" s="90"/>
      <c r="WOQ1062" s="90"/>
      <c r="WOR1062" s="90"/>
      <c r="WOS1062" s="90"/>
      <c r="WOT1062" s="90"/>
      <c r="WOU1062" s="90"/>
      <c r="WOV1062" s="90"/>
      <c r="WOW1062" s="90"/>
      <c r="WOX1062" s="90"/>
      <c r="WOY1062" s="90"/>
      <c r="WOZ1062" s="90"/>
      <c r="WPA1062" s="90"/>
      <c r="WPB1062" s="90"/>
      <c r="WPC1062" s="90"/>
      <c r="WPD1062" s="90"/>
      <c r="WPE1062" s="90"/>
      <c r="WPF1062" s="90"/>
      <c r="WPG1062" s="90"/>
      <c r="WPH1062" s="90"/>
      <c r="WPI1062" s="90"/>
      <c r="WPJ1062" s="90"/>
      <c r="WPK1062" s="90"/>
      <c r="WPL1062" s="90"/>
      <c r="WPM1062" s="90"/>
      <c r="WPN1062" s="90"/>
      <c r="WPO1062" s="90"/>
      <c r="WPP1062" s="90"/>
      <c r="WPQ1062" s="90"/>
      <c r="WPR1062" s="90"/>
      <c r="WPS1062" s="90"/>
      <c r="WPT1062" s="90"/>
      <c r="WPU1062" s="90"/>
      <c r="WPV1062" s="90"/>
      <c r="WPW1062" s="90"/>
      <c r="WPX1062" s="90"/>
      <c r="WPY1062" s="90"/>
      <c r="WPZ1062" s="90"/>
      <c r="WQA1062" s="90"/>
      <c r="WQB1062" s="90"/>
      <c r="WQC1062" s="90"/>
      <c r="WQD1062" s="90"/>
      <c r="WQE1062" s="90"/>
      <c r="WQF1062" s="90"/>
      <c r="WQG1062" s="90"/>
      <c r="WQH1062" s="90"/>
      <c r="WQI1062" s="90"/>
      <c r="WQJ1062" s="90"/>
      <c r="WQK1062" s="90"/>
      <c r="WQL1062" s="90"/>
      <c r="WQM1062" s="90"/>
      <c r="WQN1062" s="90"/>
      <c r="WQO1062" s="90"/>
      <c r="WQP1062" s="90"/>
      <c r="WQQ1062" s="90"/>
      <c r="WQR1062" s="90"/>
      <c r="WQS1062" s="90"/>
      <c r="WQT1062" s="90"/>
      <c r="WQU1062" s="90"/>
      <c r="WQV1062" s="90"/>
      <c r="WQW1062" s="90"/>
      <c r="WQX1062" s="90"/>
      <c r="WQY1062" s="90"/>
      <c r="WQZ1062" s="90"/>
      <c r="WRA1062" s="90"/>
      <c r="WRB1062" s="90"/>
      <c r="WRC1062" s="90"/>
      <c r="WRD1062" s="90"/>
      <c r="WRE1062" s="90"/>
      <c r="WRF1062" s="90"/>
      <c r="WRG1062" s="90"/>
      <c r="WRH1062" s="90"/>
      <c r="WRI1062" s="90"/>
      <c r="WRJ1062" s="90"/>
      <c r="WRK1062" s="90"/>
      <c r="WRL1062" s="90"/>
      <c r="WRM1062" s="90"/>
      <c r="WRN1062" s="90"/>
      <c r="WRO1062" s="90"/>
      <c r="WRP1062" s="90"/>
      <c r="WRQ1062" s="90"/>
      <c r="WRR1062" s="90"/>
      <c r="WRS1062" s="90"/>
      <c r="WRT1062" s="90"/>
      <c r="WRU1062" s="90"/>
      <c r="WRV1062" s="90"/>
      <c r="WRW1062" s="90"/>
      <c r="WRX1062" s="90"/>
      <c r="WRY1062" s="90"/>
      <c r="WRZ1062" s="90"/>
      <c r="WSA1062" s="90"/>
      <c r="WSB1062" s="90"/>
      <c r="WSC1062" s="90"/>
      <c r="WSD1062" s="90"/>
      <c r="WSE1062" s="90"/>
      <c r="WSF1062" s="90"/>
      <c r="WSG1062" s="90"/>
      <c r="WSH1062" s="90"/>
      <c r="WSI1062" s="90"/>
      <c r="WSJ1062" s="90"/>
      <c r="WSK1062" s="90"/>
      <c r="WSL1062" s="90"/>
      <c r="WSM1062" s="90"/>
      <c r="WSN1062" s="90"/>
      <c r="WSO1062" s="90"/>
      <c r="WSP1062" s="90"/>
      <c r="WSQ1062" s="90"/>
      <c r="WSR1062" s="90"/>
      <c r="WSS1062" s="90"/>
      <c r="WST1062" s="90"/>
      <c r="WSU1062" s="90"/>
      <c r="WSV1062" s="90"/>
      <c r="WSW1062" s="90"/>
      <c r="WSX1062" s="90"/>
      <c r="WSY1062" s="90"/>
      <c r="WSZ1062" s="90"/>
      <c r="WTA1062" s="90"/>
      <c r="WTB1062" s="90"/>
      <c r="WTC1062" s="90"/>
      <c r="WTD1062" s="90"/>
      <c r="WTE1062" s="90"/>
      <c r="WTF1062" s="90"/>
      <c r="WTG1062" s="90"/>
      <c r="WTH1062" s="90"/>
      <c r="WTI1062" s="90"/>
      <c r="WTJ1062" s="90"/>
      <c r="WTK1062" s="90"/>
      <c r="WTL1062" s="90"/>
      <c r="WTM1062" s="90"/>
      <c r="WTN1062" s="90"/>
      <c r="WTO1062" s="90"/>
      <c r="WTP1062" s="90"/>
      <c r="WTQ1062" s="90"/>
      <c r="WTR1062" s="90"/>
      <c r="WTS1062" s="90"/>
      <c r="WTT1062" s="90"/>
      <c r="WTU1062" s="90"/>
      <c r="WTV1062" s="90"/>
      <c r="WTW1062" s="90"/>
      <c r="WTX1062" s="90"/>
      <c r="WTY1062" s="90"/>
      <c r="WTZ1062" s="90"/>
      <c r="WUA1062" s="90"/>
      <c r="WUB1062" s="90"/>
      <c r="WUC1062" s="90"/>
      <c r="WUD1062" s="90"/>
      <c r="WUE1062" s="90"/>
      <c r="WUF1062" s="90"/>
      <c r="WUG1062" s="90"/>
      <c r="WUH1062" s="90"/>
      <c r="WUI1062" s="90"/>
      <c r="WUJ1062" s="90"/>
      <c r="WUK1062" s="90"/>
      <c r="WUL1062" s="90"/>
      <c r="WUM1062" s="90"/>
      <c r="WUN1062" s="90"/>
      <c r="WUO1062" s="90"/>
      <c r="WUP1062" s="90"/>
      <c r="WUQ1062" s="90"/>
      <c r="WUR1062" s="90"/>
      <c r="WUS1062" s="90"/>
      <c r="WUT1062" s="90"/>
      <c r="WUU1062" s="90"/>
      <c r="WUV1062" s="90"/>
      <c r="WUW1062" s="90"/>
      <c r="WUX1062" s="90"/>
      <c r="WUY1062" s="90"/>
      <c r="WUZ1062" s="90"/>
      <c r="WVA1062" s="90"/>
      <c r="WVB1062" s="90"/>
      <c r="WVC1062" s="90"/>
      <c r="WVD1062" s="90"/>
      <c r="WVE1062" s="90"/>
      <c r="WVF1062" s="90"/>
      <c r="WVG1062" s="90"/>
      <c r="WVH1062" s="90"/>
      <c r="WVI1062" s="90"/>
      <c r="WVJ1062" s="90"/>
      <c r="WVK1062" s="90"/>
      <c r="WVL1062" s="90"/>
      <c r="WVM1062" s="90"/>
      <c r="WVN1062" s="90"/>
      <c r="WVO1062" s="90"/>
      <c r="WVP1062" s="90"/>
      <c r="WVQ1062" s="90"/>
      <c r="WVR1062" s="90"/>
      <c r="WVS1062" s="90"/>
      <c r="WVT1062" s="90"/>
      <c r="WVU1062" s="90"/>
      <c r="WVV1062" s="90"/>
      <c r="WVW1062" s="90"/>
      <c r="WVX1062" s="90"/>
      <c r="WVY1062" s="90"/>
      <c r="WVZ1062" s="90"/>
      <c r="WWA1062" s="90"/>
      <c r="WWB1062" s="90"/>
      <c r="WWC1062" s="90"/>
      <c r="WWD1062" s="90"/>
      <c r="WWE1062" s="90"/>
      <c r="WWF1062" s="90"/>
      <c r="WWG1062" s="90"/>
      <c r="WWH1062" s="90"/>
      <c r="WWI1062" s="90"/>
      <c r="WWJ1062" s="90"/>
      <c r="WWK1062" s="90"/>
      <c r="WWL1062" s="90"/>
      <c r="WWM1062" s="90"/>
      <c r="WWN1062" s="90"/>
      <c r="WWO1062" s="90"/>
      <c r="WWP1062" s="90"/>
      <c r="WWQ1062" s="90"/>
      <c r="WWR1062" s="90"/>
      <c r="WWS1062" s="90"/>
      <c r="WWT1062" s="90"/>
      <c r="WWU1062" s="90"/>
      <c r="WWV1062" s="90"/>
      <c r="WWW1062" s="90"/>
      <c r="WWX1062" s="90"/>
      <c r="WWY1062" s="90"/>
      <c r="WWZ1062" s="90"/>
      <c r="WXA1062" s="90"/>
      <c r="WXB1062" s="90"/>
      <c r="WXC1062" s="90"/>
      <c r="WXD1062" s="90"/>
      <c r="WXE1062" s="90"/>
      <c r="WXF1062" s="90"/>
      <c r="WXG1062" s="90"/>
      <c r="WXH1062" s="90"/>
      <c r="WXI1062" s="90"/>
      <c r="WXJ1062" s="90"/>
      <c r="WXK1062" s="90"/>
      <c r="WXL1062" s="90"/>
      <c r="WXM1062" s="90"/>
      <c r="WXN1062" s="90"/>
      <c r="WXO1062" s="90"/>
      <c r="WXP1062" s="90"/>
      <c r="WXQ1062" s="90"/>
      <c r="WXR1062" s="90"/>
      <c r="WXS1062" s="90"/>
      <c r="WXT1062" s="90"/>
      <c r="WXU1062" s="90"/>
      <c r="WXV1062" s="90"/>
      <c r="WXW1062" s="90"/>
      <c r="WXX1062" s="90"/>
      <c r="WXY1062" s="90"/>
      <c r="WXZ1062" s="90"/>
      <c r="WYA1062" s="90"/>
      <c r="WYB1062" s="90"/>
      <c r="WYC1062" s="90"/>
      <c r="WYD1062" s="90"/>
      <c r="WYE1062" s="90"/>
      <c r="WYF1062" s="90"/>
      <c r="WYG1062" s="90"/>
      <c r="WYH1062" s="90"/>
      <c r="WYI1062" s="90"/>
      <c r="WYJ1062" s="90"/>
      <c r="WYK1062" s="90"/>
      <c r="WYL1062" s="90"/>
      <c r="WYM1062" s="90"/>
      <c r="WYN1062" s="90"/>
      <c r="WYO1062" s="90"/>
      <c r="WYP1062" s="90"/>
      <c r="WYQ1062" s="90"/>
      <c r="WYR1062" s="90"/>
      <c r="WYS1062" s="90"/>
      <c r="WYT1062" s="90"/>
      <c r="WYU1062" s="90"/>
      <c r="WYV1062" s="90"/>
      <c r="WYW1062" s="90"/>
      <c r="WYX1062" s="90"/>
      <c r="WYY1062" s="90"/>
      <c r="WYZ1062" s="90"/>
      <c r="WZA1062" s="90"/>
      <c r="WZB1062" s="90"/>
      <c r="WZC1062" s="90"/>
      <c r="WZD1062" s="90"/>
      <c r="WZE1062" s="90"/>
      <c r="WZF1062" s="90"/>
      <c r="WZG1062" s="90"/>
      <c r="WZH1062" s="90"/>
      <c r="WZI1062" s="90"/>
      <c r="WZJ1062" s="90"/>
      <c r="WZK1062" s="90"/>
      <c r="WZL1062" s="90"/>
      <c r="WZM1062" s="90"/>
      <c r="WZN1062" s="90"/>
      <c r="WZO1062" s="90"/>
      <c r="WZP1062" s="90"/>
      <c r="WZQ1062" s="90"/>
      <c r="WZR1062" s="90"/>
      <c r="WZS1062" s="90"/>
      <c r="WZT1062" s="90"/>
      <c r="WZU1062" s="90"/>
      <c r="WZV1062" s="90"/>
      <c r="WZW1062" s="90"/>
      <c r="WZX1062" s="90"/>
      <c r="WZY1062" s="90"/>
      <c r="WZZ1062" s="90"/>
      <c r="XAA1062" s="90"/>
      <c r="XAB1062" s="90"/>
      <c r="XAC1062" s="90"/>
      <c r="XAD1062" s="90"/>
      <c r="XAE1062" s="90"/>
      <c r="XAF1062" s="90"/>
      <c r="XAG1062" s="90"/>
      <c r="XAH1062" s="90"/>
      <c r="XAI1062" s="90"/>
      <c r="XAJ1062" s="90"/>
      <c r="XAK1062" s="90"/>
      <c r="XAL1062" s="90"/>
      <c r="XAM1062" s="90"/>
      <c r="XAN1062" s="90"/>
      <c r="XAO1062" s="90"/>
      <c r="XAP1062" s="90"/>
      <c r="XAQ1062" s="90"/>
      <c r="XAR1062" s="90"/>
      <c r="XAS1062" s="90"/>
      <c r="XAT1062" s="90"/>
      <c r="XAU1062" s="90"/>
      <c r="XAV1062" s="90"/>
      <c r="XAW1062" s="90"/>
      <c r="XAX1062" s="90"/>
      <c r="XAY1062" s="90"/>
      <c r="XAZ1062" s="90"/>
      <c r="XBA1062" s="90"/>
      <c r="XBB1062" s="90"/>
      <c r="XBC1062" s="90"/>
      <c r="XBD1062" s="90"/>
      <c r="XBE1062" s="90"/>
      <c r="XBF1062" s="90"/>
      <c r="XBG1062" s="90"/>
      <c r="XBH1062" s="90"/>
      <c r="XBI1062" s="90"/>
      <c r="XBJ1062" s="90"/>
      <c r="XBK1062" s="90"/>
      <c r="XBL1062" s="90"/>
      <c r="XBM1062" s="90"/>
      <c r="XBN1062" s="90"/>
      <c r="XBO1062" s="90"/>
      <c r="XBP1062" s="90"/>
      <c r="XBQ1062" s="90"/>
      <c r="XBR1062" s="90"/>
      <c r="XBS1062" s="90"/>
      <c r="XBT1062" s="90"/>
      <c r="XBU1062" s="90"/>
      <c r="XBV1062" s="90"/>
      <c r="XBW1062" s="90"/>
      <c r="XBX1062" s="90"/>
      <c r="XBY1062" s="90"/>
      <c r="XBZ1062" s="90"/>
      <c r="XCA1062" s="90"/>
      <c r="XCB1062" s="90"/>
      <c r="XCC1062" s="90"/>
      <c r="XCD1062" s="90"/>
      <c r="XCE1062" s="90"/>
      <c r="XCF1062" s="90"/>
      <c r="XCG1062" s="90"/>
      <c r="XCH1062" s="90"/>
      <c r="XCI1062" s="90"/>
      <c r="XCJ1062" s="90"/>
      <c r="XCK1062" s="90"/>
      <c r="XCL1062" s="90"/>
      <c r="XCM1062" s="90"/>
      <c r="XCN1062" s="90"/>
      <c r="XCO1062" s="90"/>
      <c r="XCP1062" s="90"/>
      <c r="XCQ1062" s="90"/>
      <c r="XCR1062" s="90"/>
      <c r="XCS1062" s="90"/>
      <c r="XCT1062" s="90"/>
      <c r="XCU1062" s="90"/>
      <c r="XCV1062" s="90"/>
      <c r="XCW1062" s="90"/>
      <c r="XCX1062" s="90"/>
      <c r="XCY1062" s="90"/>
      <c r="XCZ1062" s="90"/>
      <c r="XDA1062" s="90"/>
      <c r="XDB1062" s="90"/>
      <c r="XDC1062" s="90"/>
      <c r="XDD1062" s="90"/>
      <c r="XDE1062" s="90"/>
      <c r="XDF1062" s="90"/>
      <c r="XDG1062" s="90"/>
      <c r="XDH1062" s="90"/>
      <c r="XDI1062" s="90"/>
      <c r="XDJ1062" s="90"/>
      <c r="XDK1062" s="90"/>
      <c r="XDL1062" s="90"/>
      <c r="XDM1062" s="90"/>
      <c r="XDN1062" s="90"/>
      <c r="XDO1062" s="90"/>
      <c r="XDP1062" s="90"/>
      <c r="XDQ1062" s="90"/>
      <c r="XDR1062" s="90"/>
      <c r="XDS1062" s="90"/>
      <c r="XDT1062" s="90"/>
      <c r="XDU1062" s="90"/>
      <c r="XDV1062" s="90"/>
      <c r="XDW1062" s="90"/>
      <c r="XDX1062" s="90"/>
      <c r="XDY1062" s="90"/>
      <c r="XDZ1062" s="90"/>
      <c r="XEA1062" s="90"/>
      <c r="XEB1062" s="90"/>
      <c r="XEC1062" s="90"/>
      <c r="XED1062" s="90"/>
      <c r="XEE1062" s="90"/>
      <c r="XEF1062" s="90"/>
      <c r="XEG1062" s="90"/>
      <c r="XEH1062" s="90"/>
      <c r="XEI1062" s="90"/>
      <c r="XEJ1062" s="90"/>
      <c r="XEK1062" s="90"/>
      <c r="XEL1062" s="90"/>
      <c r="XEM1062" s="90"/>
      <c r="XEN1062" s="90"/>
      <c r="XEO1062" s="90"/>
      <c r="XEP1062" s="90"/>
      <c r="XEQ1062" s="90"/>
      <c r="XER1062" s="90"/>
      <c r="XES1062" s="90"/>
      <c r="XET1062" s="90"/>
      <c r="XEU1062" s="90"/>
      <c r="XEV1062" s="90"/>
      <c r="XEW1062" s="90"/>
      <c r="XEX1062" s="90"/>
      <c r="XEY1062" s="90"/>
      <c r="XEZ1062" s="90"/>
      <c r="XFA1062" s="90"/>
    </row>
    <row r="1063" spans="1:16381" ht="14">
      <c r="A1063" s="231">
        <v>1062</v>
      </c>
      <c r="B1063" s="235" t="s">
        <v>52</v>
      </c>
      <c r="C1063" s="231" t="s">
        <v>10</v>
      </c>
      <c r="D1063" s="250" t="s">
        <v>2678</v>
      </c>
      <c r="E1063" s="239"/>
      <c r="F1063" s="231"/>
      <c r="G1063" s="231">
        <v>48</v>
      </c>
      <c r="H1063" s="231" t="s">
        <v>2783</v>
      </c>
      <c r="I1063" s="281">
        <v>0</v>
      </c>
      <c r="J1063" s="249">
        <v>1200</v>
      </c>
      <c r="K1063" s="231">
        <f t="shared" si="16"/>
        <v>20</v>
      </c>
      <c r="L1063" s="231"/>
      <c r="M1063" s="231" t="s">
        <v>16</v>
      </c>
      <c r="N1063" s="231"/>
      <c r="O1063" s="231">
        <v>2023</v>
      </c>
      <c r="P1063" s="281"/>
      <c r="Q1063" s="231"/>
      <c r="R1063" s="231"/>
      <c r="S1063" s="231" t="s">
        <v>453</v>
      </c>
      <c r="T1063" s="231"/>
    </row>
    <row r="1064" spans="1:16381" ht="14">
      <c r="A1064" s="231">
        <v>1063</v>
      </c>
      <c r="B1064" s="235" t="s">
        <v>53</v>
      </c>
      <c r="C1064" s="231" t="s">
        <v>10</v>
      </c>
      <c r="D1064" s="250" t="s">
        <v>2679</v>
      </c>
      <c r="E1064" s="239"/>
      <c r="F1064" s="231"/>
      <c r="G1064" s="231">
        <v>48</v>
      </c>
      <c r="H1064" s="231" t="s">
        <v>213</v>
      </c>
      <c r="I1064" s="281">
        <v>0</v>
      </c>
      <c r="J1064" s="249">
        <v>150</v>
      </c>
      <c r="K1064" s="231" t="str">
        <f t="shared" si="16"/>
        <v>N/A</v>
      </c>
      <c r="L1064" s="231"/>
      <c r="M1064" s="231" t="s">
        <v>456</v>
      </c>
      <c r="N1064" s="231"/>
      <c r="O1064" s="231">
        <v>2023</v>
      </c>
      <c r="P1064" s="281"/>
      <c r="Q1064" s="231"/>
      <c r="R1064" s="231"/>
      <c r="S1064" s="231" t="s">
        <v>453</v>
      </c>
      <c r="T1064" s="231"/>
    </row>
    <row r="1065" spans="1:16381" ht="14">
      <c r="A1065" s="231">
        <v>1064</v>
      </c>
      <c r="B1065" s="235" t="s">
        <v>52</v>
      </c>
      <c r="C1065" s="231" t="s">
        <v>10</v>
      </c>
      <c r="D1065" s="250" t="s">
        <v>2680</v>
      </c>
      <c r="E1065" s="239"/>
      <c r="F1065" s="231"/>
      <c r="G1065" s="231">
        <v>48</v>
      </c>
      <c r="H1065" s="231" t="s">
        <v>2773</v>
      </c>
      <c r="I1065" s="281">
        <v>0</v>
      </c>
      <c r="J1065" s="249">
        <v>1000</v>
      </c>
      <c r="K1065" s="231">
        <f t="shared" si="16"/>
        <v>20</v>
      </c>
      <c r="L1065" s="231"/>
      <c r="M1065" s="231" t="s">
        <v>16</v>
      </c>
      <c r="N1065" s="231"/>
      <c r="O1065" s="231">
        <v>2023</v>
      </c>
      <c r="P1065" s="281"/>
      <c r="Q1065" s="231"/>
      <c r="R1065" s="231"/>
      <c r="S1065" s="231" t="s">
        <v>453</v>
      </c>
      <c r="T1065" s="231"/>
    </row>
    <row r="1066" spans="1:16381" ht="14">
      <c r="A1066" s="231">
        <v>1065</v>
      </c>
      <c r="B1066" s="235" t="s">
        <v>52</v>
      </c>
      <c r="C1066" s="231" t="s">
        <v>10</v>
      </c>
      <c r="D1066" s="250" t="s">
        <v>2681</v>
      </c>
      <c r="E1066" s="239"/>
      <c r="F1066" s="231"/>
      <c r="G1066" s="231">
        <v>48</v>
      </c>
      <c r="H1066" s="231" t="s">
        <v>4623</v>
      </c>
      <c r="I1066" s="281">
        <v>0</v>
      </c>
      <c r="J1066" s="249">
        <v>400</v>
      </c>
      <c r="K1066" s="231">
        <f t="shared" si="16"/>
        <v>20</v>
      </c>
      <c r="L1066" s="231"/>
      <c r="M1066" s="231" t="s">
        <v>16</v>
      </c>
      <c r="N1066" s="231"/>
      <c r="O1066" s="231">
        <v>2023</v>
      </c>
      <c r="P1066" s="281"/>
      <c r="Q1066" s="231"/>
      <c r="R1066" s="231"/>
      <c r="S1066" s="231" t="s">
        <v>453</v>
      </c>
      <c r="T1066" s="231"/>
    </row>
    <row r="1067" spans="1:16381" ht="14">
      <c r="A1067" s="231">
        <v>1066</v>
      </c>
      <c r="B1067" s="235" t="s">
        <v>52</v>
      </c>
      <c r="C1067" s="231" t="s">
        <v>10</v>
      </c>
      <c r="D1067" s="250" t="s">
        <v>2682</v>
      </c>
      <c r="E1067" s="239"/>
      <c r="F1067" s="231"/>
      <c r="G1067" s="231">
        <v>48</v>
      </c>
      <c r="H1067" s="231" t="s">
        <v>2773</v>
      </c>
      <c r="I1067" s="281">
        <v>0</v>
      </c>
      <c r="J1067" s="249">
        <v>300</v>
      </c>
      <c r="K1067" s="231">
        <f t="shared" si="16"/>
        <v>20</v>
      </c>
      <c r="L1067" s="231"/>
      <c r="M1067" s="231" t="s">
        <v>16</v>
      </c>
      <c r="N1067" s="231"/>
      <c r="O1067" s="231">
        <v>2023</v>
      </c>
      <c r="P1067" s="281"/>
      <c r="Q1067" s="231"/>
      <c r="R1067" s="231"/>
      <c r="S1067" s="231" t="s">
        <v>453</v>
      </c>
      <c r="T1067" s="231"/>
    </row>
    <row r="1068" spans="1:16381" ht="14">
      <c r="A1068" s="231">
        <v>1067</v>
      </c>
      <c r="B1068" s="235" t="s">
        <v>52</v>
      </c>
      <c r="C1068" s="231" t="s">
        <v>10</v>
      </c>
      <c r="D1068" s="250" t="s">
        <v>2683</v>
      </c>
      <c r="E1068" s="239"/>
      <c r="F1068" s="231"/>
      <c r="G1068" s="231">
        <v>48</v>
      </c>
      <c r="H1068" s="231" t="s">
        <v>2773</v>
      </c>
      <c r="I1068" s="281">
        <v>0</v>
      </c>
      <c r="J1068" s="249">
        <v>1000</v>
      </c>
      <c r="K1068" s="231">
        <f t="shared" si="16"/>
        <v>20</v>
      </c>
      <c r="L1068" s="231"/>
      <c r="M1068" s="231" t="s">
        <v>16</v>
      </c>
      <c r="N1068" s="231"/>
      <c r="O1068" s="231">
        <v>2023</v>
      </c>
      <c r="P1068" s="281"/>
      <c r="Q1068" s="231"/>
      <c r="R1068" s="231"/>
      <c r="S1068" s="231" t="s">
        <v>453</v>
      </c>
      <c r="T1068" s="231"/>
    </row>
    <row r="1069" spans="1:16381" ht="14">
      <c r="A1069" s="231">
        <v>1068</v>
      </c>
      <c r="B1069" s="235" t="s">
        <v>52</v>
      </c>
      <c r="C1069" s="231" t="s">
        <v>10</v>
      </c>
      <c r="D1069" s="250" t="s">
        <v>2684</v>
      </c>
      <c r="E1069" s="239"/>
      <c r="F1069" s="231"/>
      <c r="G1069" s="231">
        <v>48</v>
      </c>
      <c r="H1069" s="231" t="s">
        <v>3542</v>
      </c>
      <c r="I1069" s="281">
        <v>0</v>
      </c>
      <c r="J1069" s="249">
        <v>900</v>
      </c>
      <c r="K1069" s="231">
        <f t="shared" si="16"/>
        <v>10</v>
      </c>
      <c r="L1069" s="231"/>
      <c r="M1069" s="299" t="s">
        <v>15</v>
      </c>
      <c r="N1069" s="231"/>
      <c r="O1069" s="231">
        <v>2023</v>
      </c>
      <c r="P1069" s="281"/>
      <c r="Q1069" s="231"/>
      <c r="R1069" s="231"/>
      <c r="S1069" s="231" t="s">
        <v>453</v>
      </c>
      <c r="T1069" s="231"/>
    </row>
    <row r="1070" spans="1:16381" ht="14">
      <c r="A1070" s="231">
        <v>1069</v>
      </c>
      <c r="B1070" s="235" t="s">
        <v>52</v>
      </c>
      <c r="C1070" s="231" t="s">
        <v>10</v>
      </c>
      <c r="D1070" s="250" t="s">
        <v>2685</v>
      </c>
      <c r="E1070" s="239"/>
      <c r="F1070" s="231"/>
      <c r="G1070" s="231">
        <v>48</v>
      </c>
      <c r="H1070" s="231" t="s">
        <v>2773</v>
      </c>
      <c r="I1070" s="281">
        <v>0</v>
      </c>
      <c r="J1070" s="249">
        <v>300</v>
      </c>
      <c r="K1070" s="231">
        <f t="shared" si="16"/>
        <v>20</v>
      </c>
      <c r="L1070" s="231"/>
      <c r="M1070" s="231" t="s">
        <v>16</v>
      </c>
      <c r="N1070" s="231"/>
      <c r="O1070" s="231">
        <v>2023</v>
      </c>
      <c r="P1070" s="281"/>
      <c r="Q1070" s="231"/>
      <c r="R1070" s="231"/>
      <c r="S1070" s="231" t="s">
        <v>453</v>
      </c>
      <c r="T1070" s="231"/>
    </row>
    <row r="1071" spans="1:16381" ht="14">
      <c r="A1071" s="231">
        <v>1070</v>
      </c>
      <c r="B1071" s="235" t="s">
        <v>52</v>
      </c>
      <c r="C1071" s="231" t="s">
        <v>10</v>
      </c>
      <c r="D1071" s="250" t="s">
        <v>2686</v>
      </c>
      <c r="E1071" s="239"/>
      <c r="F1071" s="231"/>
      <c r="G1071" s="231">
        <v>48</v>
      </c>
      <c r="H1071" s="231" t="s">
        <v>187</v>
      </c>
      <c r="I1071" s="281">
        <v>0</v>
      </c>
      <c r="J1071" s="249">
        <v>100</v>
      </c>
      <c r="K1071" s="231">
        <f t="shared" si="16"/>
        <v>10</v>
      </c>
      <c r="L1071" s="231"/>
      <c r="M1071" s="299" t="s">
        <v>15</v>
      </c>
      <c r="N1071" s="231"/>
      <c r="O1071" s="231">
        <v>2023</v>
      </c>
      <c r="P1071" s="281"/>
      <c r="Q1071" s="231"/>
      <c r="R1071" s="231"/>
      <c r="S1071" s="231" t="s">
        <v>453</v>
      </c>
      <c r="T1071" s="231"/>
    </row>
    <row r="1072" spans="1:16381" ht="14">
      <c r="A1072" s="231">
        <v>1071</v>
      </c>
      <c r="B1072" s="235" t="s">
        <v>52</v>
      </c>
      <c r="C1072" s="231" t="s">
        <v>10</v>
      </c>
      <c r="D1072" s="250" t="s">
        <v>2687</v>
      </c>
      <c r="E1072" s="239"/>
      <c r="F1072" s="231"/>
      <c r="G1072" s="231">
        <v>48</v>
      </c>
      <c r="H1072" s="231" t="s">
        <v>187</v>
      </c>
      <c r="I1072" s="281">
        <v>0</v>
      </c>
      <c r="J1072" s="249">
        <v>100</v>
      </c>
      <c r="K1072" s="231">
        <f t="shared" si="16"/>
        <v>10</v>
      </c>
      <c r="L1072" s="231"/>
      <c r="M1072" s="299" t="s">
        <v>15</v>
      </c>
      <c r="N1072" s="231"/>
      <c r="O1072" s="231">
        <v>2023</v>
      </c>
      <c r="P1072" s="281"/>
      <c r="Q1072" s="231"/>
      <c r="R1072" s="231"/>
      <c r="S1072" s="231" t="s">
        <v>453</v>
      </c>
      <c r="T1072" s="231"/>
    </row>
    <row r="1073" spans="1:20" ht="14">
      <c r="A1073" s="231">
        <v>1072</v>
      </c>
      <c r="B1073" s="235" t="s">
        <v>52</v>
      </c>
      <c r="C1073" s="231" t="s">
        <v>10</v>
      </c>
      <c r="D1073" s="250" t="s">
        <v>2688</v>
      </c>
      <c r="E1073" s="239"/>
      <c r="F1073" s="231"/>
      <c r="G1073" s="231">
        <v>48</v>
      </c>
      <c r="H1073" s="231" t="s">
        <v>3608</v>
      </c>
      <c r="I1073" s="281">
        <v>0</v>
      </c>
      <c r="J1073" s="249">
        <v>350</v>
      </c>
      <c r="K1073" s="231">
        <f t="shared" si="16"/>
        <v>20</v>
      </c>
      <c r="L1073" s="231"/>
      <c r="M1073" s="231" t="s">
        <v>16</v>
      </c>
      <c r="N1073" s="231"/>
      <c r="O1073" s="231">
        <v>2023</v>
      </c>
      <c r="P1073" s="281"/>
      <c r="Q1073" s="231"/>
      <c r="R1073" s="231"/>
      <c r="S1073" s="231" t="s">
        <v>453</v>
      </c>
      <c r="T1073" s="231"/>
    </row>
    <row r="1074" spans="1:20" ht="14">
      <c r="A1074" s="231">
        <v>1073</v>
      </c>
      <c r="B1074" s="235" t="s">
        <v>52</v>
      </c>
      <c r="C1074" s="231" t="s">
        <v>10</v>
      </c>
      <c r="D1074" s="250" t="s">
        <v>2689</v>
      </c>
      <c r="E1074" s="239"/>
      <c r="F1074" s="231"/>
      <c r="G1074" s="231">
        <v>48</v>
      </c>
      <c r="H1074" s="231" t="s">
        <v>2763</v>
      </c>
      <c r="I1074" s="281">
        <v>0</v>
      </c>
      <c r="J1074" s="249">
        <v>300</v>
      </c>
      <c r="K1074" s="231">
        <f t="shared" si="16"/>
        <v>20</v>
      </c>
      <c r="L1074" s="231"/>
      <c r="M1074" s="231" t="s">
        <v>16</v>
      </c>
      <c r="N1074" s="231"/>
      <c r="O1074" s="231">
        <v>2023</v>
      </c>
      <c r="P1074" s="281"/>
      <c r="Q1074" s="231"/>
      <c r="R1074" s="231"/>
      <c r="S1074" s="231" t="s">
        <v>453</v>
      </c>
      <c r="T1074" s="231"/>
    </row>
    <row r="1075" spans="1:20" ht="14">
      <c r="A1075" s="231">
        <v>1074</v>
      </c>
      <c r="B1075" s="235" t="s">
        <v>53</v>
      </c>
      <c r="C1075" s="231" t="s">
        <v>10</v>
      </c>
      <c r="D1075" s="250" t="s">
        <v>2690</v>
      </c>
      <c r="E1075" s="239"/>
      <c r="F1075" s="231"/>
      <c r="G1075" s="231">
        <v>48</v>
      </c>
      <c r="H1075" s="231" t="s">
        <v>4559</v>
      </c>
      <c r="I1075" s="281">
        <v>0</v>
      </c>
      <c r="J1075" s="249">
        <v>500</v>
      </c>
      <c r="K1075" s="231">
        <f t="shared" si="16"/>
        <v>10</v>
      </c>
      <c r="L1075" s="231"/>
      <c r="M1075" s="231" t="s">
        <v>15</v>
      </c>
      <c r="N1075" s="231"/>
      <c r="O1075" s="231">
        <v>2023</v>
      </c>
      <c r="P1075" s="281"/>
      <c r="Q1075" s="231"/>
      <c r="R1075" s="231"/>
      <c r="S1075" s="231" t="s">
        <v>453</v>
      </c>
      <c r="T1075" s="231"/>
    </row>
    <row r="1076" spans="1:20" ht="14">
      <c r="A1076" s="231">
        <v>1075</v>
      </c>
      <c r="B1076" s="235" t="s">
        <v>52</v>
      </c>
      <c r="C1076" s="231" t="s">
        <v>10</v>
      </c>
      <c r="D1076" s="250" t="s">
        <v>2691</v>
      </c>
      <c r="E1076" s="239"/>
      <c r="F1076" s="231"/>
      <c r="G1076" s="231">
        <v>48</v>
      </c>
      <c r="H1076" s="231" t="s">
        <v>4626</v>
      </c>
      <c r="I1076" s="281">
        <v>0</v>
      </c>
      <c r="J1076" s="249">
        <v>100</v>
      </c>
      <c r="K1076" s="231">
        <f t="shared" si="16"/>
        <v>20</v>
      </c>
      <c r="L1076" s="231"/>
      <c r="M1076" s="231" t="s">
        <v>16</v>
      </c>
      <c r="N1076" s="231"/>
      <c r="O1076" s="231">
        <v>2023</v>
      </c>
      <c r="P1076" s="281"/>
      <c r="Q1076" s="231"/>
      <c r="R1076" s="231"/>
      <c r="S1076" s="231" t="s">
        <v>453</v>
      </c>
      <c r="T1076" s="231"/>
    </row>
    <row r="1077" spans="1:20" ht="14">
      <c r="A1077" s="231">
        <v>1076</v>
      </c>
      <c r="B1077" s="235" t="s">
        <v>52</v>
      </c>
      <c r="C1077" s="231" t="s">
        <v>10</v>
      </c>
      <c r="D1077" s="250" t="s">
        <v>2692</v>
      </c>
      <c r="E1077" s="239"/>
      <c r="F1077" s="231"/>
      <c r="G1077" s="231">
        <v>48</v>
      </c>
      <c r="H1077" s="231" t="s">
        <v>4626</v>
      </c>
      <c r="I1077" s="281">
        <v>0</v>
      </c>
      <c r="J1077" s="249">
        <v>150</v>
      </c>
      <c r="K1077" s="231">
        <f t="shared" si="16"/>
        <v>20</v>
      </c>
      <c r="L1077" s="231"/>
      <c r="M1077" s="231" t="s">
        <v>16</v>
      </c>
      <c r="N1077" s="231"/>
      <c r="O1077" s="231">
        <v>2023</v>
      </c>
      <c r="P1077" s="281"/>
      <c r="Q1077" s="231"/>
      <c r="R1077" s="231"/>
      <c r="S1077" s="231" t="s">
        <v>453</v>
      </c>
      <c r="T1077" s="231"/>
    </row>
    <row r="1078" spans="1:20" ht="14">
      <c r="A1078" s="231">
        <v>1077</v>
      </c>
      <c r="B1078" s="235" t="s">
        <v>52</v>
      </c>
      <c r="C1078" s="231" t="s">
        <v>10</v>
      </c>
      <c r="D1078" s="250" t="s">
        <v>2693</v>
      </c>
      <c r="E1078" s="239"/>
      <c r="F1078" s="231"/>
      <c r="G1078" s="231">
        <v>48</v>
      </c>
      <c r="H1078" s="231" t="s">
        <v>4626</v>
      </c>
      <c r="I1078" s="281">
        <v>0</v>
      </c>
      <c r="J1078" s="249">
        <v>50</v>
      </c>
      <c r="K1078" s="231">
        <f t="shared" si="16"/>
        <v>20</v>
      </c>
      <c r="L1078" s="231"/>
      <c r="M1078" s="231" t="s">
        <v>16</v>
      </c>
      <c r="N1078" s="231"/>
      <c r="O1078" s="231">
        <v>2023</v>
      </c>
      <c r="P1078" s="281"/>
      <c r="Q1078" s="231"/>
      <c r="R1078" s="231"/>
      <c r="S1078" s="231" t="s">
        <v>453</v>
      </c>
      <c r="T1078" s="231"/>
    </row>
    <row r="1079" spans="1:20" ht="14">
      <c r="A1079" s="231">
        <v>1078</v>
      </c>
      <c r="B1079" s="235" t="s">
        <v>52</v>
      </c>
      <c r="C1079" s="231" t="s">
        <v>10</v>
      </c>
      <c r="D1079" s="250" t="s">
        <v>2694</v>
      </c>
      <c r="E1079" s="239"/>
      <c r="F1079" s="231"/>
      <c r="G1079" s="231">
        <v>48</v>
      </c>
      <c r="H1079" s="231" t="s">
        <v>4626</v>
      </c>
      <c r="I1079" s="281">
        <v>0</v>
      </c>
      <c r="J1079" s="249">
        <v>50</v>
      </c>
      <c r="K1079" s="231">
        <f t="shared" si="16"/>
        <v>20</v>
      </c>
      <c r="L1079" s="231"/>
      <c r="M1079" s="231" t="s">
        <v>16</v>
      </c>
      <c r="N1079" s="231"/>
      <c r="O1079" s="231">
        <v>2023</v>
      </c>
      <c r="P1079" s="281"/>
      <c r="Q1079" s="231"/>
      <c r="R1079" s="231"/>
      <c r="S1079" s="231" t="s">
        <v>453</v>
      </c>
      <c r="T1079" s="231"/>
    </row>
    <row r="1080" spans="1:20" ht="14">
      <c r="A1080" s="231">
        <v>1079</v>
      </c>
      <c r="B1080" s="235" t="s">
        <v>52</v>
      </c>
      <c r="C1080" s="231" t="s">
        <v>10</v>
      </c>
      <c r="D1080" s="250" t="s">
        <v>2696</v>
      </c>
      <c r="E1080" s="239"/>
      <c r="F1080" s="231"/>
      <c r="G1080" s="231">
        <v>48</v>
      </c>
      <c r="H1080" s="231" t="s">
        <v>185</v>
      </c>
      <c r="I1080" s="281">
        <v>0</v>
      </c>
      <c r="J1080" s="249">
        <v>3500</v>
      </c>
      <c r="K1080" s="231">
        <f t="shared" si="16"/>
        <v>20</v>
      </c>
      <c r="L1080" s="231"/>
      <c r="M1080" s="231" t="s">
        <v>16</v>
      </c>
      <c r="N1080" s="231"/>
      <c r="O1080" s="231">
        <v>2023</v>
      </c>
      <c r="P1080" s="281"/>
      <c r="Q1080" s="231"/>
      <c r="R1080" s="231"/>
      <c r="S1080" s="231" t="s">
        <v>453</v>
      </c>
      <c r="T1080" s="231"/>
    </row>
    <row r="1081" spans="1:20" ht="14">
      <c r="A1081" s="231">
        <v>1080</v>
      </c>
      <c r="B1081" s="235" t="s">
        <v>52</v>
      </c>
      <c r="C1081" s="231" t="s">
        <v>10</v>
      </c>
      <c r="D1081" s="250" t="s">
        <v>2697</v>
      </c>
      <c r="E1081" s="239"/>
      <c r="F1081" s="231"/>
      <c r="G1081" s="231">
        <v>48</v>
      </c>
      <c r="H1081" s="231" t="s">
        <v>4553</v>
      </c>
      <c r="I1081" s="281">
        <v>0</v>
      </c>
      <c r="J1081" s="249">
        <v>3100</v>
      </c>
      <c r="K1081" s="231">
        <f t="shared" si="16"/>
        <v>20</v>
      </c>
      <c r="L1081" s="231"/>
      <c r="M1081" s="231" t="s">
        <v>16</v>
      </c>
      <c r="N1081" s="231"/>
      <c r="O1081" s="231">
        <v>2023</v>
      </c>
      <c r="P1081" s="281"/>
      <c r="Q1081" s="231"/>
      <c r="R1081" s="231"/>
      <c r="S1081" s="231" t="s">
        <v>453</v>
      </c>
      <c r="T1081" s="231"/>
    </row>
    <row r="1082" spans="1:20" ht="14">
      <c r="A1082" s="231">
        <v>1081</v>
      </c>
      <c r="B1082" s="235" t="s">
        <v>52</v>
      </c>
      <c r="C1082" s="231" t="s">
        <v>10</v>
      </c>
      <c r="D1082" s="250" t="s">
        <v>2698</v>
      </c>
      <c r="E1082" s="239"/>
      <c r="F1082" s="231"/>
      <c r="G1082" s="231">
        <v>48</v>
      </c>
      <c r="H1082" s="231" t="s">
        <v>2773</v>
      </c>
      <c r="I1082" s="281">
        <v>0</v>
      </c>
      <c r="J1082" s="249">
        <v>1400</v>
      </c>
      <c r="K1082" s="231">
        <f t="shared" si="16"/>
        <v>20</v>
      </c>
      <c r="L1082" s="231"/>
      <c r="M1082" s="231" t="s">
        <v>16</v>
      </c>
      <c r="N1082" s="231"/>
      <c r="O1082" s="231">
        <v>2023</v>
      </c>
      <c r="P1082" s="281"/>
      <c r="Q1082" s="231"/>
      <c r="R1082" s="231"/>
      <c r="S1082" s="231" t="s">
        <v>453</v>
      </c>
      <c r="T1082" s="231"/>
    </row>
    <row r="1083" spans="1:20" ht="14">
      <c r="A1083" s="231">
        <v>1082</v>
      </c>
      <c r="B1083" s="235" t="s">
        <v>51</v>
      </c>
      <c r="C1083" s="231" t="s">
        <v>10</v>
      </c>
      <c r="D1083" s="250" t="s">
        <v>2699</v>
      </c>
      <c r="E1083" s="239"/>
      <c r="F1083" s="231"/>
      <c r="G1083" s="231">
        <v>48</v>
      </c>
      <c r="H1083" s="231" t="s">
        <v>148</v>
      </c>
      <c r="I1083" s="281">
        <v>0</v>
      </c>
      <c r="J1083" s="249">
        <v>300</v>
      </c>
      <c r="K1083" s="231">
        <f t="shared" si="16"/>
        <v>20</v>
      </c>
      <c r="L1083" s="231"/>
      <c r="M1083" s="231" t="s">
        <v>16</v>
      </c>
      <c r="N1083" s="231"/>
      <c r="O1083" s="231">
        <v>2023</v>
      </c>
      <c r="P1083" s="281"/>
      <c r="Q1083" s="231"/>
      <c r="R1083" s="231"/>
      <c r="S1083" s="231" t="s">
        <v>453</v>
      </c>
      <c r="T1083" s="231"/>
    </row>
    <row r="1084" spans="1:20" ht="14">
      <c r="A1084" s="231">
        <v>1083</v>
      </c>
      <c r="B1084" s="235" t="s">
        <v>52</v>
      </c>
      <c r="C1084" s="231" t="s">
        <v>10</v>
      </c>
      <c r="D1084" s="250" t="s">
        <v>2701</v>
      </c>
      <c r="E1084" s="239"/>
      <c r="F1084" s="231"/>
      <c r="G1084" s="231">
        <v>48</v>
      </c>
      <c r="H1084" s="231" t="s">
        <v>2773</v>
      </c>
      <c r="I1084" s="281">
        <v>0</v>
      </c>
      <c r="J1084" s="249">
        <v>350</v>
      </c>
      <c r="K1084" s="231">
        <f t="shared" si="16"/>
        <v>20</v>
      </c>
      <c r="L1084" s="231"/>
      <c r="M1084" s="231" t="s">
        <v>16</v>
      </c>
      <c r="N1084" s="231"/>
      <c r="O1084" s="231">
        <v>2023</v>
      </c>
      <c r="P1084" s="281"/>
      <c r="Q1084" s="231"/>
      <c r="R1084" s="231"/>
      <c r="S1084" s="231" t="s">
        <v>453</v>
      </c>
      <c r="T1084" s="231"/>
    </row>
    <row r="1085" spans="1:20" ht="14">
      <c r="A1085" s="231">
        <v>1084</v>
      </c>
      <c r="B1085" s="235" t="s">
        <v>53</v>
      </c>
      <c r="C1085" s="231" t="s">
        <v>10</v>
      </c>
      <c r="D1085" s="250" t="s">
        <v>2702</v>
      </c>
      <c r="E1085" s="239"/>
      <c r="F1085" s="231"/>
      <c r="G1085" s="231">
        <v>48</v>
      </c>
      <c r="H1085" s="231" t="s">
        <v>213</v>
      </c>
      <c r="I1085" s="281">
        <v>0</v>
      </c>
      <c r="J1085" s="249">
        <v>500</v>
      </c>
      <c r="K1085" s="231">
        <f t="shared" si="16"/>
        <v>10</v>
      </c>
      <c r="L1085" s="231"/>
      <c r="M1085" s="299" t="s">
        <v>15</v>
      </c>
      <c r="N1085" s="231"/>
      <c r="O1085" s="231">
        <v>2023</v>
      </c>
      <c r="P1085" s="281"/>
      <c r="Q1085" s="231"/>
      <c r="R1085" s="231"/>
      <c r="S1085" s="231" t="s">
        <v>453</v>
      </c>
      <c r="T1085" s="231"/>
    </row>
    <row r="1086" spans="1:20" ht="14">
      <c r="A1086" s="231">
        <v>1085</v>
      </c>
      <c r="B1086" s="235" t="s">
        <v>52</v>
      </c>
      <c r="C1086" s="231" t="s">
        <v>10</v>
      </c>
      <c r="D1086" s="250" t="s">
        <v>2703</v>
      </c>
      <c r="E1086" s="239"/>
      <c r="F1086" s="231"/>
      <c r="G1086" s="231">
        <v>48</v>
      </c>
      <c r="H1086" s="231" t="s">
        <v>4259</v>
      </c>
      <c r="I1086" s="281">
        <v>0</v>
      </c>
      <c r="J1086" s="249">
        <v>1400</v>
      </c>
      <c r="K1086" s="231">
        <f t="shared" si="16"/>
        <v>20</v>
      </c>
      <c r="L1086" s="231"/>
      <c r="M1086" s="231" t="s">
        <v>16</v>
      </c>
      <c r="N1086" s="231"/>
      <c r="O1086" s="231">
        <v>2023</v>
      </c>
      <c r="P1086" s="281"/>
      <c r="Q1086" s="231"/>
      <c r="R1086" s="231"/>
      <c r="S1086" s="231" t="s">
        <v>453</v>
      </c>
      <c r="T1086" s="231"/>
    </row>
    <row r="1087" spans="1:20" ht="14">
      <c r="A1087" s="231">
        <v>1086</v>
      </c>
      <c r="B1087" s="235" t="s">
        <v>52</v>
      </c>
      <c r="C1087" s="231" t="s">
        <v>10</v>
      </c>
      <c r="D1087" s="250" t="s">
        <v>2704</v>
      </c>
      <c r="E1087" s="239"/>
      <c r="F1087" s="231"/>
      <c r="G1087" s="231">
        <v>48</v>
      </c>
      <c r="H1087" s="231" t="s">
        <v>2773</v>
      </c>
      <c r="I1087" s="281">
        <v>0</v>
      </c>
      <c r="J1087" s="249">
        <v>800</v>
      </c>
      <c r="K1087" s="231">
        <f t="shared" si="16"/>
        <v>10</v>
      </c>
      <c r="L1087" s="231"/>
      <c r="M1087" s="299" t="s">
        <v>15</v>
      </c>
      <c r="N1087" s="231"/>
      <c r="O1087" s="231">
        <v>2023</v>
      </c>
      <c r="P1087" s="281"/>
      <c r="Q1087" s="231"/>
      <c r="R1087" s="231"/>
      <c r="S1087" s="231" t="s">
        <v>453</v>
      </c>
      <c r="T1087" s="231"/>
    </row>
    <row r="1088" spans="1:20" ht="14">
      <c r="A1088" s="231">
        <v>1087</v>
      </c>
      <c r="B1088" s="235" t="s">
        <v>52</v>
      </c>
      <c r="C1088" s="231" t="s">
        <v>10</v>
      </c>
      <c r="D1088" s="250" t="s">
        <v>2705</v>
      </c>
      <c r="E1088" s="239"/>
      <c r="F1088" s="231"/>
      <c r="G1088" s="231">
        <v>48</v>
      </c>
      <c r="H1088" s="231" t="s">
        <v>2773</v>
      </c>
      <c r="I1088" s="281">
        <v>0</v>
      </c>
      <c r="J1088" s="249">
        <v>400</v>
      </c>
      <c r="K1088" s="231">
        <f t="shared" ref="K1088:K1151" si="17">IF(M1088="ONT",20,IF(M1088="N/A","N/A",IF(M1088="MIKROTIK",IF(J1088&lt;3000,10,IF(3000&lt;J1088&gt;10000,20,IF(10000&lt;J1088&gt;20000,40,IF(20000&lt;J1088&gt;40000,60,IF(J1088&gt;40000,80,IF(J1088&lt;300,3,)))))))))</f>
        <v>20</v>
      </c>
      <c r="L1088" s="231"/>
      <c r="M1088" s="231" t="s">
        <v>16</v>
      </c>
      <c r="N1088" s="231"/>
      <c r="O1088" s="231">
        <v>2023</v>
      </c>
      <c r="P1088" s="281"/>
      <c r="Q1088" s="231"/>
      <c r="R1088" s="231"/>
      <c r="S1088" s="231" t="s">
        <v>453</v>
      </c>
      <c r="T1088" s="231"/>
    </row>
    <row r="1089" spans="1:20" ht="14">
      <c r="A1089" s="231">
        <v>1088</v>
      </c>
      <c r="B1089" s="235" t="s">
        <v>52</v>
      </c>
      <c r="C1089" s="231" t="s">
        <v>10</v>
      </c>
      <c r="D1089" s="250" t="s">
        <v>2706</v>
      </c>
      <c r="E1089" s="239"/>
      <c r="F1089" s="231"/>
      <c r="G1089" s="231">
        <v>48</v>
      </c>
      <c r="H1089" s="231" t="s">
        <v>4251</v>
      </c>
      <c r="I1089" s="281">
        <v>0</v>
      </c>
      <c r="J1089" s="249">
        <v>250</v>
      </c>
      <c r="K1089" s="231">
        <f t="shared" si="17"/>
        <v>20</v>
      </c>
      <c r="L1089" s="231"/>
      <c r="M1089" s="231" t="s">
        <v>16</v>
      </c>
      <c r="N1089" s="231"/>
      <c r="O1089" s="231">
        <v>2023</v>
      </c>
      <c r="P1089" s="281"/>
      <c r="Q1089" s="231"/>
      <c r="R1089" s="231"/>
      <c r="S1089" s="231" t="s">
        <v>453</v>
      </c>
      <c r="T1089" s="231"/>
    </row>
    <row r="1090" spans="1:20" ht="14">
      <c r="A1090" s="231">
        <v>1089</v>
      </c>
      <c r="B1090" s="235" t="s">
        <v>52</v>
      </c>
      <c r="C1090" s="231" t="s">
        <v>10</v>
      </c>
      <c r="D1090" s="250" t="s">
        <v>2707</v>
      </c>
      <c r="E1090" s="239"/>
      <c r="F1090" s="231"/>
      <c r="G1090" s="231">
        <v>48</v>
      </c>
      <c r="H1090" s="231" t="s">
        <v>4623</v>
      </c>
      <c r="I1090" s="281">
        <v>0</v>
      </c>
      <c r="J1090" s="249">
        <v>500</v>
      </c>
      <c r="K1090" s="231">
        <f t="shared" si="17"/>
        <v>20</v>
      </c>
      <c r="L1090" s="231"/>
      <c r="M1090" s="231" t="s">
        <v>16</v>
      </c>
      <c r="N1090" s="231"/>
      <c r="O1090" s="231">
        <v>2023</v>
      </c>
      <c r="P1090" s="281"/>
      <c r="Q1090" s="231"/>
      <c r="R1090" s="231"/>
      <c r="S1090" s="231" t="s">
        <v>453</v>
      </c>
      <c r="T1090" s="231"/>
    </row>
    <row r="1091" spans="1:20" ht="14">
      <c r="A1091" s="231">
        <v>1090</v>
      </c>
      <c r="B1091" s="235" t="s">
        <v>52</v>
      </c>
      <c r="C1091" s="231" t="s">
        <v>10</v>
      </c>
      <c r="D1091" s="250" t="s">
        <v>2708</v>
      </c>
      <c r="E1091" s="239"/>
      <c r="F1091" s="231"/>
      <c r="G1091" s="231">
        <v>48</v>
      </c>
      <c r="H1091" s="231" t="s">
        <v>3512</v>
      </c>
      <c r="I1091" s="281">
        <v>0</v>
      </c>
      <c r="J1091" s="249">
        <v>300</v>
      </c>
      <c r="K1091" s="231">
        <f t="shared" si="17"/>
        <v>20</v>
      </c>
      <c r="L1091" s="231"/>
      <c r="M1091" s="231" t="s">
        <v>16</v>
      </c>
      <c r="N1091" s="231"/>
      <c r="O1091" s="231">
        <v>2023</v>
      </c>
      <c r="P1091" s="281"/>
      <c r="Q1091" s="231"/>
      <c r="R1091" s="231"/>
      <c r="S1091" s="231" t="s">
        <v>453</v>
      </c>
      <c r="T1091" s="231"/>
    </row>
    <row r="1092" spans="1:20" ht="14">
      <c r="A1092" s="231">
        <v>1091</v>
      </c>
      <c r="B1092" s="235" t="s">
        <v>52</v>
      </c>
      <c r="C1092" s="231" t="s">
        <v>10</v>
      </c>
      <c r="D1092" s="250" t="s">
        <v>2709</v>
      </c>
      <c r="E1092" s="239"/>
      <c r="F1092" s="231"/>
      <c r="G1092" s="231">
        <v>48</v>
      </c>
      <c r="H1092" s="231" t="s">
        <v>3512</v>
      </c>
      <c r="I1092" s="281">
        <v>0</v>
      </c>
      <c r="J1092" s="249">
        <v>150</v>
      </c>
      <c r="K1092" s="231">
        <f t="shared" si="17"/>
        <v>20</v>
      </c>
      <c r="L1092" s="231"/>
      <c r="M1092" s="231" t="s">
        <v>16</v>
      </c>
      <c r="N1092" s="231"/>
      <c r="O1092" s="231">
        <v>2023</v>
      </c>
      <c r="P1092" s="281"/>
      <c r="Q1092" s="231"/>
      <c r="R1092" s="231"/>
      <c r="S1092" s="231" t="s">
        <v>453</v>
      </c>
      <c r="T1092" s="231"/>
    </row>
    <row r="1093" spans="1:20" ht="14">
      <c r="A1093" s="231">
        <v>1092</v>
      </c>
      <c r="B1093" s="235" t="s">
        <v>52</v>
      </c>
      <c r="C1093" s="231" t="s">
        <v>10</v>
      </c>
      <c r="D1093" s="250" t="s">
        <v>2710</v>
      </c>
      <c r="E1093" s="239"/>
      <c r="F1093" s="231"/>
      <c r="G1093" s="231">
        <v>48</v>
      </c>
      <c r="H1093" s="231" t="s">
        <v>4265</v>
      </c>
      <c r="I1093" s="281">
        <v>0</v>
      </c>
      <c r="J1093" s="249">
        <v>520</v>
      </c>
      <c r="K1093" s="231">
        <f t="shared" si="17"/>
        <v>20</v>
      </c>
      <c r="L1093" s="231"/>
      <c r="M1093" s="231" t="s">
        <v>16</v>
      </c>
      <c r="N1093" s="231"/>
      <c r="O1093" s="231">
        <v>2023</v>
      </c>
      <c r="P1093" s="281"/>
      <c r="Q1093" s="231"/>
      <c r="R1093" s="231"/>
      <c r="S1093" s="231" t="s">
        <v>453</v>
      </c>
      <c r="T1093" s="231"/>
    </row>
    <row r="1094" spans="1:20" ht="14">
      <c r="A1094" s="231">
        <v>1093</v>
      </c>
      <c r="B1094" s="235" t="s">
        <v>52</v>
      </c>
      <c r="C1094" s="231" t="s">
        <v>10</v>
      </c>
      <c r="D1094" s="250" t="s">
        <v>2711</v>
      </c>
      <c r="E1094" s="239"/>
      <c r="F1094" s="231"/>
      <c r="G1094" s="231">
        <v>48</v>
      </c>
      <c r="H1094" s="231" t="s">
        <v>2980</v>
      </c>
      <c r="I1094" s="281">
        <v>0</v>
      </c>
      <c r="J1094" s="249">
        <v>300</v>
      </c>
      <c r="K1094" s="231">
        <f t="shared" si="17"/>
        <v>20</v>
      </c>
      <c r="L1094" s="231"/>
      <c r="M1094" s="231" t="s">
        <v>16</v>
      </c>
      <c r="N1094" s="231"/>
      <c r="O1094" s="231">
        <v>2023</v>
      </c>
      <c r="P1094" s="281"/>
      <c r="Q1094" s="231"/>
      <c r="R1094" s="231"/>
      <c r="S1094" s="231" t="s">
        <v>453</v>
      </c>
      <c r="T1094" s="231"/>
    </row>
    <row r="1095" spans="1:20" ht="14">
      <c r="A1095" s="231">
        <v>1094</v>
      </c>
      <c r="B1095" s="235" t="s">
        <v>52</v>
      </c>
      <c r="C1095" s="231" t="s">
        <v>10</v>
      </c>
      <c r="D1095" s="250" t="s">
        <v>2712</v>
      </c>
      <c r="E1095" s="239"/>
      <c r="F1095" s="231"/>
      <c r="G1095" s="231">
        <v>48</v>
      </c>
      <c r="H1095" s="231" t="s">
        <v>4542</v>
      </c>
      <c r="I1095" s="281">
        <v>0</v>
      </c>
      <c r="J1095" s="249">
        <v>300</v>
      </c>
      <c r="K1095" s="231">
        <f t="shared" si="17"/>
        <v>20</v>
      </c>
      <c r="L1095" s="231"/>
      <c r="M1095" s="231" t="s">
        <v>16</v>
      </c>
      <c r="N1095" s="231"/>
      <c r="O1095" s="231">
        <v>2023</v>
      </c>
      <c r="P1095" s="281"/>
      <c r="Q1095" s="231"/>
      <c r="R1095" s="231"/>
      <c r="S1095" s="231" t="s">
        <v>453</v>
      </c>
      <c r="T1095" s="231"/>
    </row>
    <row r="1096" spans="1:20" ht="14">
      <c r="A1096" s="231">
        <v>1095</v>
      </c>
      <c r="B1096" s="235" t="s">
        <v>52</v>
      </c>
      <c r="C1096" s="231" t="s">
        <v>10</v>
      </c>
      <c r="D1096" s="250" t="s">
        <v>2713</v>
      </c>
      <c r="E1096" s="239"/>
      <c r="F1096" s="231"/>
      <c r="G1096" s="231">
        <v>48</v>
      </c>
      <c r="H1096" s="231" t="s">
        <v>2875</v>
      </c>
      <c r="I1096" s="281">
        <v>0</v>
      </c>
      <c r="J1096" s="249">
        <v>300</v>
      </c>
      <c r="K1096" s="231">
        <f t="shared" si="17"/>
        <v>20</v>
      </c>
      <c r="L1096" s="231"/>
      <c r="M1096" s="231" t="s">
        <v>16</v>
      </c>
      <c r="N1096" s="231"/>
      <c r="O1096" s="231">
        <v>2023</v>
      </c>
      <c r="P1096" s="281"/>
      <c r="Q1096" s="231"/>
      <c r="R1096" s="231"/>
      <c r="S1096" s="231" t="s">
        <v>453</v>
      </c>
      <c r="T1096" s="231"/>
    </row>
    <row r="1097" spans="1:20" ht="14">
      <c r="A1097" s="231">
        <v>1096</v>
      </c>
      <c r="B1097" s="235" t="s">
        <v>52</v>
      </c>
      <c r="C1097" s="231" t="s">
        <v>10</v>
      </c>
      <c r="D1097" s="250" t="s">
        <v>2714</v>
      </c>
      <c r="E1097" s="239"/>
      <c r="F1097" s="231"/>
      <c r="G1097" s="231">
        <v>48</v>
      </c>
      <c r="H1097" s="231" t="s">
        <v>3542</v>
      </c>
      <c r="I1097" s="281">
        <v>0</v>
      </c>
      <c r="J1097" s="249">
        <v>300</v>
      </c>
      <c r="K1097" s="231">
        <f t="shared" si="17"/>
        <v>20</v>
      </c>
      <c r="L1097" s="231"/>
      <c r="M1097" s="231" t="s">
        <v>16</v>
      </c>
      <c r="N1097" s="231"/>
      <c r="O1097" s="231">
        <v>2023</v>
      </c>
      <c r="P1097" s="281"/>
      <c r="Q1097" s="231"/>
      <c r="R1097" s="231"/>
      <c r="S1097" s="231" t="s">
        <v>453</v>
      </c>
      <c r="T1097" s="231"/>
    </row>
    <row r="1098" spans="1:20" ht="14">
      <c r="A1098" s="231">
        <v>1097</v>
      </c>
      <c r="B1098" s="235" t="s">
        <v>52</v>
      </c>
      <c r="C1098" s="231" t="s">
        <v>10</v>
      </c>
      <c r="D1098" s="250" t="s">
        <v>2715</v>
      </c>
      <c r="E1098" s="239"/>
      <c r="F1098" s="231"/>
      <c r="G1098" s="231">
        <v>48</v>
      </c>
      <c r="H1098" s="231" t="s">
        <v>4554</v>
      </c>
      <c r="I1098" s="281">
        <v>0</v>
      </c>
      <c r="J1098" s="249">
        <v>150</v>
      </c>
      <c r="K1098" s="231">
        <f t="shared" si="17"/>
        <v>20</v>
      </c>
      <c r="L1098" s="231"/>
      <c r="M1098" s="231" t="s">
        <v>16</v>
      </c>
      <c r="N1098" s="231"/>
      <c r="O1098" s="231">
        <v>2023</v>
      </c>
      <c r="P1098" s="281"/>
      <c r="Q1098" s="231"/>
      <c r="R1098" s="231"/>
      <c r="S1098" s="231" t="s">
        <v>453</v>
      </c>
      <c r="T1098" s="231"/>
    </row>
    <row r="1099" spans="1:20" ht="14">
      <c r="A1099" s="231">
        <v>1098</v>
      </c>
      <c r="B1099" s="235" t="s">
        <v>52</v>
      </c>
      <c r="C1099" s="231" t="s">
        <v>10</v>
      </c>
      <c r="D1099" s="250" t="s">
        <v>2716</v>
      </c>
      <c r="E1099" s="239"/>
      <c r="F1099" s="231"/>
      <c r="G1099" s="231">
        <v>48</v>
      </c>
      <c r="H1099" s="231" t="s">
        <v>168</v>
      </c>
      <c r="I1099" s="281">
        <v>0</v>
      </c>
      <c r="J1099" s="249">
        <v>300</v>
      </c>
      <c r="K1099" s="231">
        <f t="shared" si="17"/>
        <v>20</v>
      </c>
      <c r="L1099" s="231"/>
      <c r="M1099" s="231" t="s">
        <v>16</v>
      </c>
      <c r="N1099" s="231"/>
      <c r="O1099" s="231">
        <v>2023</v>
      </c>
      <c r="P1099" s="281"/>
      <c r="Q1099" s="231"/>
      <c r="R1099" s="231"/>
      <c r="S1099" s="231" t="s">
        <v>453</v>
      </c>
      <c r="T1099" s="231"/>
    </row>
    <row r="1100" spans="1:20" ht="14">
      <c r="A1100" s="231">
        <v>1099</v>
      </c>
      <c r="B1100" s="235" t="s">
        <v>52</v>
      </c>
      <c r="C1100" s="231" t="s">
        <v>10</v>
      </c>
      <c r="D1100" s="250" t="s">
        <v>2717</v>
      </c>
      <c r="E1100" s="239"/>
      <c r="F1100" s="231"/>
      <c r="G1100" s="231">
        <v>48</v>
      </c>
      <c r="H1100" s="231" t="s">
        <v>3542</v>
      </c>
      <c r="I1100" s="281">
        <v>0</v>
      </c>
      <c r="J1100" s="249">
        <v>250</v>
      </c>
      <c r="K1100" s="231">
        <f t="shared" si="17"/>
        <v>20</v>
      </c>
      <c r="L1100" s="231"/>
      <c r="M1100" s="231" t="s">
        <v>16</v>
      </c>
      <c r="N1100" s="231"/>
      <c r="O1100" s="231">
        <v>2023</v>
      </c>
      <c r="P1100" s="281"/>
      <c r="Q1100" s="231"/>
      <c r="R1100" s="231"/>
      <c r="S1100" s="231" t="s">
        <v>453</v>
      </c>
      <c r="T1100" s="231"/>
    </row>
    <row r="1101" spans="1:20" ht="14">
      <c r="A1101" s="231">
        <v>1100</v>
      </c>
      <c r="B1101" s="235" t="s">
        <v>52</v>
      </c>
      <c r="C1101" s="231" t="s">
        <v>10</v>
      </c>
      <c r="D1101" s="250" t="s">
        <v>2718</v>
      </c>
      <c r="E1101" s="239"/>
      <c r="F1101" s="231"/>
      <c r="G1101" s="231">
        <v>48</v>
      </c>
      <c r="H1101" s="231" t="s">
        <v>2877</v>
      </c>
      <c r="I1101" s="281">
        <v>0</v>
      </c>
      <c r="J1101" s="249">
        <v>1250</v>
      </c>
      <c r="K1101" s="231">
        <f t="shared" si="17"/>
        <v>20</v>
      </c>
      <c r="L1101" s="231"/>
      <c r="M1101" s="231" t="s">
        <v>16</v>
      </c>
      <c r="N1101" s="231"/>
      <c r="O1101" s="231">
        <v>2023</v>
      </c>
      <c r="P1101" s="281"/>
      <c r="Q1101" s="231"/>
      <c r="R1101" s="231"/>
      <c r="S1101" s="231" t="s">
        <v>453</v>
      </c>
      <c r="T1101" s="231"/>
    </row>
    <row r="1102" spans="1:20" ht="14">
      <c r="A1102" s="231">
        <v>1101</v>
      </c>
      <c r="B1102" s="235" t="s">
        <v>52</v>
      </c>
      <c r="C1102" s="231" t="s">
        <v>10</v>
      </c>
      <c r="D1102" s="250" t="s">
        <v>2719</v>
      </c>
      <c r="E1102" s="239"/>
      <c r="F1102" s="231"/>
      <c r="G1102" s="231">
        <v>48</v>
      </c>
      <c r="H1102" s="231" t="s">
        <v>2877</v>
      </c>
      <c r="I1102" s="281">
        <v>0</v>
      </c>
      <c r="J1102" s="249">
        <v>1000</v>
      </c>
      <c r="K1102" s="231">
        <f t="shared" si="17"/>
        <v>20</v>
      </c>
      <c r="L1102" s="231"/>
      <c r="M1102" s="231" t="s">
        <v>16</v>
      </c>
      <c r="N1102" s="231"/>
      <c r="O1102" s="231">
        <v>2023</v>
      </c>
      <c r="P1102" s="281"/>
      <c r="Q1102" s="231"/>
      <c r="R1102" s="231"/>
      <c r="S1102" s="231" t="s">
        <v>453</v>
      </c>
      <c r="T1102" s="231"/>
    </row>
    <row r="1103" spans="1:20" ht="14">
      <c r="A1103" s="231">
        <v>1102</v>
      </c>
      <c r="B1103" s="235" t="s">
        <v>52</v>
      </c>
      <c r="C1103" s="231" t="s">
        <v>10</v>
      </c>
      <c r="D1103" s="250" t="s">
        <v>2720</v>
      </c>
      <c r="E1103" s="239"/>
      <c r="F1103" s="231"/>
      <c r="G1103" s="231">
        <v>48</v>
      </c>
      <c r="H1103" s="231" t="s">
        <v>2980</v>
      </c>
      <c r="I1103" s="281">
        <v>0</v>
      </c>
      <c r="J1103" s="249">
        <v>300</v>
      </c>
      <c r="K1103" s="231">
        <f t="shared" si="17"/>
        <v>20</v>
      </c>
      <c r="L1103" s="231"/>
      <c r="M1103" s="231" t="s">
        <v>16</v>
      </c>
      <c r="N1103" s="231"/>
      <c r="O1103" s="231">
        <v>2023</v>
      </c>
      <c r="P1103" s="281"/>
      <c r="Q1103" s="231"/>
      <c r="R1103" s="231"/>
      <c r="S1103" s="231" t="s">
        <v>453</v>
      </c>
      <c r="T1103" s="231"/>
    </row>
    <row r="1104" spans="1:20" ht="14">
      <c r="A1104" s="231">
        <v>1103</v>
      </c>
      <c r="B1104" s="235" t="s">
        <v>52</v>
      </c>
      <c r="C1104" s="231" t="s">
        <v>10</v>
      </c>
      <c r="D1104" s="250" t="s">
        <v>2721</v>
      </c>
      <c r="E1104" s="239"/>
      <c r="F1104" s="231"/>
      <c r="G1104" s="231">
        <v>48</v>
      </c>
      <c r="H1104" s="231" t="s">
        <v>2980</v>
      </c>
      <c r="I1104" s="281">
        <v>0</v>
      </c>
      <c r="J1104" s="249">
        <v>1000</v>
      </c>
      <c r="K1104" s="231">
        <f t="shared" si="17"/>
        <v>10</v>
      </c>
      <c r="L1104" s="231"/>
      <c r="M1104" s="299" t="s">
        <v>15</v>
      </c>
      <c r="N1104" s="231"/>
      <c r="O1104" s="231">
        <v>2023</v>
      </c>
      <c r="P1104" s="281"/>
      <c r="Q1104" s="231"/>
      <c r="R1104" s="231"/>
      <c r="S1104" s="231" t="s">
        <v>453</v>
      </c>
      <c r="T1104" s="231"/>
    </row>
    <row r="1105" spans="1:20" ht="14">
      <c r="A1105" s="231">
        <v>1104</v>
      </c>
      <c r="B1105" s="235" t="s">
        <v>52</v>
      </c>
      <c r="C1105" s="231" t="s">
        <v>10</v>
      </c>
      <c r="D1105" s="250" t="s">
        <v>2722</v>
      </c>
      <c r="E1105" s="239"/>
      <c r="F1105" s="231"/>
      <c r="G1105" s="231">
        <v>48</v>
      </c>
      <c r="H1105" s="231" t="s">
        <v>2797</v>
      </c>
      <c r="I1105" s="281">
        <v>0</v>
      </c>
      <c r="J1105" s="249">
        <v>900</v>
      </c>
      <c r="K1105" s="231">
        <f t="shared" si="17"/>
        <v>10</v>
      </c>
      <c r="L1105" s="231"/>
      <c r="M1105" s="299" t="s">
        <v>15</v>
      </c>
      <c r="N1105" s="231"/>
      <c r="O1105" s="231">
        <v>2023</v>
      </c>
      <c r="P1105" s="281"/>
      <c r="Q1105" s="231"/>
      <c r="R1105" s="231"/>
      <c r="S1105" s="231" t="s">
        <v>453</v>
      </c>
      <c r="T1105" s="231"/>
    </row>
    <row r="1106" spans="1:20" ht="14">
      <c r="A1106" s="231">
        <v>1105</v>
      </c>
      <c r="B1106" s="235" t="s">
        <v>52</v>
      </c>
      <c r="C1106" s="231" t="s">
        <v>10</v>
      </c>
      <c r="D1106" s="250" t="s">
        <v>2723</v>
      </c>
      <c r="E1106" s="239"/>
      <c r="F1106" s="231"/>
      <c r="G1106" s="231">
        <v>48</v>
      </c>
      <c r="H1106" s="231" t="s">
        <v>4542</v>
      </c>
      <c r="I1106" s="281">
        <v>0</v>
      </c>
      <c r="J1106" s="249">
        <v>1500</v>
      </c>
      <c r="K1106" s="231">
        <f t="shared" si="17"/>
        <v>20</v>
      </c>
      <c r="L1106" s="231"/>
      <c r="M1106" s="231" t="s">
        <v>16</v>
      </c>
      <c r="N1106" s="231"/>
      <c r="O1106" s="231">
        <v>2023</v>
      </c>
      <c r="P1106" s="281"/>
      <c r="Q1106" s="231"/>
      <c r="R1106" s="231"/>
      <c r="S1106" s="231" t="s">
        <v>453</v>
      </c>
      <c r="T1106" s="231"/>
    </row>
    <row r="1107" spans="1:20" ht="14">
      <c r="A1107" s="231">
        <v>1106</v>
      </c>
      <c r="B1107" s="235" t="s">
        <v>49</v>
      </c>
      <c r="C1107" s="231" t="s">
        <v>10</v>
      </c>
      <c r="D1107" s="250" t="s">
        <v>2724</v>
      </c>
      <c r="E1107" s="239"/>
      <c r="F1107" s="231"/>
      <c r="G1107" s="231">
        <v>48</v>
      </c>
      <c r="H1107" s="231" t="s">
        <v>452</v>
      </c>
      <c r="I1107" s="281">
        <v>0</v>
      </c>
      <c r="J1107" s="249">
        <v>300</v>
      </c>
      <c r="K1107" s="231">
        <f t="shared" si="17"/>
        <v>20</v>
      </c>
      <c r="L1107" s="231"/>
      <c r="M1107" s="231" t="s">
        <v>16</v>
      </c>
      <c r="N1107" s="231"/>
      <c r="O1107" s="231">
        <v>2023</v>
      </c>
      <c r="P1107" s="281"/>
      <c r="Q1107" s="231"/>
      <c r="R1107" s="231"/>
      <c r="S1107" s="231" t="s">
        <v>453</v>
      </c>
      <c r="T1107" s="231"/>
    </row>
    <row r="1108" spans="1:20" ht="14">
      <c r="A1108" s="231">
        <v>1107</v>
      </c>
      <c r="B1108" s="235" t="s">
        <v>52</v>
      </c>
      <c r="C1108" s="231" t="s">
        <v>10</v>
      </c>
      <c r="D1108" s="250" t="s">
        <v>2725</v>
      </c>
      <c r="E1108" s="239"/>
      <c r="F1108" s="231"/>
      <c r="G1108" s="231">
        <v>48</v>
      </c>
      <c r="H1108" s="231" t="s">
        <v>1440</v>
      </c>
      <c r="I1108" s="281">
        <v>0</v>
      </c>
      <c r="J1108" s="249">
        <v>500</v>
      </c>
      <c r="K1108" s="231">
        <f t="shared" si="17"/>
        <v>10</v>
      </c>
      <c r="L1108" s="231"/>
      <c r="M1108" s="299" t="s">
        <v>15</v>
      </c>
      <c r="N1108" s="231"/>
      <c r="O1108" s="231">
        <v>2023</v>
      </c>
      <c r="P1108" s="281"/>
      <c r="Q1108" s="231"/>
      <c r="R1108" s="231"/>
      <c r="S1108" s="231" t="s">
        <v>453</v>
      </c>
      <c r="T1108" s="231"/>
    </row>
    <row r="1109" spans="1:20" ht="14">
      <c r="A1109" s="231">
        <v>1108</v>
      </c>
      <c r="B1109" s="235" t="s">
        <v>49</v>
      </c>
      <c r="C1109" s="231" t="s">
        <v>10</v>
      </c>
      <c r="D1109" s="250" t="s">
        <v>2726</v>
      </c>
      <c r="E1109" s="239"/>
      <c r="F1109" s="231"/>
      <c r="G1109" s="231">
        <v>48</v>
      </c>
      <c r="H1109" s="231" t="s">
        <v>452</v>
      </c>
      <c r="I1109" s="281">
        <v>0</v>
      </c>
      <c r="J1109" s="249">
        <v>600</v>
      </c>
      <c r="K1109" s="231">
        <f t="shared" si="17"/>
        <v>10</v>
      </c>
      <c r="L1109" s="231"/>
      <c r="M1109" s="299" t="s">
        <v>15</v>
      </c>
      <c r="N1109" s="231"/>
      <c r="O1109" s="231">
        <v>2023</v>
      </c>
      <c r="P1109" s="281"/>
      <c r="Q1109" s="231"/>
      <c r="R1109" s="231"/>
      <c r="S1109" s="231" t="s">
        <v>453</v>
      </c>
      <c r="T1109" s="231"/>
    </row>
    <row r="1110" spans="1:20" ht="14">
      <c r="A1110" s="231">
        <v>1109</v>
      </c>
      <c r="B1110" s="235" t="s">
        <v>52</v>
      </c>
      <c r="C1110" s="231" t="s">
        <v>10</v>
      </c>
      <c r="D1110" s="250" t="s">
        <v>2728</v>
      </c>
      <c r="E1110" s="239"/>
      <c r="F1110" s="231"/>
      <c r="G1110" s="231">
        <v>48</v>
      </c>
      <c r="H1110" s="231" t="s">
        <v>2773</v>
      </c>
      <c r="I1110" s="281">
        <v>0</v>
      </c>
      <c r="J1110" s="249">
        <v>200</v>
      </c>
      <c r="K1110" s="231">
        <f t="shared" si="17"/>
        <v>10</v>
      </c>
      <c r="L1110" s="231"/>
      <c r="M1110" s="299" t="s">
        <v>15</v>
      </c>
      <c r="N1110" s="231"/>
      <c r="O1110" s="231">
        <v>2023</v>
      </c>
      <c r="P1110" s="281"/>
      <c r="Q1110" s="231"/>
      <c r="R1110" s="231"/>
      <c r="S1110" s="231" t="s">
        <v>453</v>
      </c>
      <c r="T1110" s="231"/>
    </row>
    <row r="1111" spans="1:20" ht="14">
      <c r="A1111" s="231">
        <v>1110</v>
      </c>
      <c r="B1111" s="235" t="s">
        <v>50</v>
      </c>
      <c r="C1111" s="231" t="s">
        <v>10</v>
      </c>
      <c r="D1111" s="250" t="s">
        <v>2729</v>
      </c>
      <c r="E1111" s="239"/>
      <c r="F1111" s="231"/>
      <c r="G1111" s="231">
        <v>48</v>
      </c>
      <c r="H1111" s="231" t="s">
        <v>2797</v>
      </c>
      <c r="I1111" s="281">
        <v>0</v>
      </c>
      <c r="J1111" s="249">
        <v>1400</v>
      </c>
      <c r="K1111" s="231">
        <f t="shared" si="17"/>
        <v>20</v>
      </c>
      <c r="L1111" s="231"/>
      <c r="M1111" s="231" t="s">
        <v>16</v>
      </c>
      <c r="N1111" s="231"/>
      <c r="O1111" s="231">
        <v>2023</v>
      </c>
      <c r="P1111" s="281"/>
      <c r="Q1111" s="231"/>
      <c r="R1111" s="231"/>
      <c r="S1111" s="231" t="s">
        <v>453</v>
      </c>
      <c r="T1111" s="231"/>
    </row>
    <row r="1112" spans="1:20" ht="14">
      <c r="A1112" s="231">
        <v>1111</v>
      </c>
      <c r="B1112" s="235" t="s">
        <v>52</v>
      </c>
      <c r="C1112" s="231" t="s">
        <v>10</v>
      </c>
      <c r="D1112" s="250" t="s">
        <v>2731</v>
      </c>
      <c r="E1112" s="239"/>
      <c r="F1112" s="231"/>
      <c r="G1112" s="231">
        <v>48</v>
      </c>
      <c r="H1112" s="231" t="s">
        <v>582</v>
      </c>
      <c r="I1112" s="281">
        <v>0</v>
      </c>
      <c r="J1112" s="249">
        <v>750</v>
      </c>
      <c r="K1112" s="231">
        <f t="shared" si="17"/>
        <v>20</v>
      </c>
      <c r="L1112" s="231"/>
      <c r="M1112" s="231" t="s">
        <v>16</v>
      </c>
      <c r="N1112" s="231"/>
      <c r="O1112" s="231">
        <v>2023</v>
      </c>
      <c r="P1112" s="281"/>
      <c r="Q1112" s="231"/>
      <c r="R1112" s="231"/>
      <c r="S1112" s="231" t="s">
        <v>453</v>
      </c>
      <c r="T1112" s="231"/>
    </row>
    <row r="1113" spans="1:20" ht="14">
      <c r="A1113" s="231">
        <v>1112</v>
      </c>
      <c r="B1113" s="235" t="s">
        <v>52</v>
      </c>
      <c r="C1113" s="231" t="s">
        <v>10</v>
      </c>
      <c r="D1113" s="250" t="s">
        <v>2732</v>
      </c>
      <c r="E1113" s="239"/>
      <c r="F1113" s="231"/>
      <c r="G1113" s="231">
        <v>48</v>
      </c>
      <c r="H1113" s="231" t="s">
        <v>2761</v>
      </c>
      <c r="I1113" s="281">
        <v>0</v>
      </c>
      <c r="J1113" s="249">
        <v>750</v>
      </c>
      <c r="K1113" s="231">
        <f t="shared" si="17"/>
        <v>10</v>
      </c>
      <c r="L1113" s="231"/>
      <c r="M1113" s="231" t="s">
        <v>15</v>
      </c>
      <c r="N1113" s="231"/>
      <c r="O1113" s="231">
        <v>2023</v>
      </c>
      <c r="P1113" s="281"/>
      <c r="Q1113" s="231"/>
      <c r="R1113" s="231"/>
      <c r="S1113" s="231" t="s">
        <v>453</v>
      </c>
      <c r="T1113" s="231"/>
    </row>
    <row r="1114" spans="1:20" ht="14">
      <c r="A1114" s="231">
        <v>1113</v>
      </c>
      <c r="B1114" s="235" t="s">
        <v>52</v>
      </c>
      <c r="C1114" s="231" t="s">
        <v>10</v>
      </c>
      <c r="D1114" s="250" t="s">
        <v>2733</v>
      </c>
      <c r="E1114" s="239"/>
      <c r="F1114" s="231"/>
      <c r="G1114" s="231">
        <v>48</v>
      </c>
      <c r="H1114" s="231" t="s">
        <v>4555</v>
      </c>
      <c r="I1114" s="281">
        <v>0</v>
      </c>
      <c r="J1114" s="249">
        <v>100</v>
      </c>
      <c r="K1114" s="231">
        <f t="shared" si="17"/>
        <v>20</v>
      </c>
      <c r="L1114" s="231"/>
      <c r="M1114" s="231" t="s">
        <v>16</v>
      </c>
      <c r="N1114" s="231"/>
      <c r="O1114" s="231">
        <v>2023</v>
      </c>
      <c r="P1114" s="281"/>
      <c r="Q1114" s="231"/>
      <c r="R1114" s="231"/>
      <c r="S1114" s="231" t="s">
        <v>453</v>
      </c>
      <c r="T1114" s="231"/>
    </row>
    <row r="1115" spans="1:20" ht="14">
      <c r="A1115" s="231">
        <v>1114</v>
      </c>
      <c r="B1115" s="235" t="s">
        <v>52</v>
      </c>
      <c r="C1115" s="231" t="s">
        <v>10</v>
      </c>
      <c r="D1115" s="250" t="s">
        <v>2734</v>
      </c>
      <c r="E1115" s="239"/>
      <c r="F1115" s="231"/>
      <c r="G1115" s="231">
        <v>48</v>
      </c>
      <c r="H1115" s="231" t="s">
        <v>4555</v>
      </c>
      <c r="I1115" s="281">
        <v>0</v>
      </c>
      <c r="J1115" s="249">
        <v>150</v>
      </c>
      <c r="K1115" s="231">
        <f t="shared" si="17"/>
        <v>20</v>
      </c>
      <c r="L1115" s="231"/>
      <c r="M1115" s="231" t="s">
        <v>16</v>
      </c>
      <c r="N1115" s="231"/>
      <c r="O1115" s="231">
        <v>2023</v>
      </c>
      <c r="P1115" s="281"/>
      <c r="Q1115" s="231"/>
      <c r="R1115" s="231"/>
      <c r="S1115" s="231" t="s">
        <v>453</v>
      </c>
      <c r="T1115" s="231"/>
    </row>
    <row r="1116" spans="1:20" ht="14">
      <c r="A1116" s="231">
        <v>1115</v>
      </c>
      <c r="B1116" s="235" t="s">
        <v>52</v>
      </c>
      <c r="C1116" s="231" t="s">
        <v>10</v>
      </c>
      <c r="D1116" s="250" t="s">
        <v>2735</v>
      </c>
      <c r="E1116" s="239"/>
      <c r="F1116" s="231"/>
      <c r="G1116" s="231">
        <v>48</v>
      </c>
      <c r="H1116" s="231" t="s">
        <v>4625</v>
      </c>
      <c r="I1116" s="281">
        <v>0</v>
      </c>
      <c r="J1116" s="249">
        <v>3500</v>
      </c>
      <c r="K1116" s="231">
        <f t="shared" si="17"/>
        <v>20</v>
      </c>
      <c r="L1116" s="231"/>
      <c r="M1116" s="231" t="s">
        <v>16</v>
      </c>
      <c r="N1116" s="231"/>
      <c r="O1116" s="231">
        <v>2023</v>
      </c>
      <c r="P1116" s="281"/>
      <c r="Q1116" s="231"/>
      <c r="R1116" s="231"/>
      <c r="S1116" s="231" t="s">
        <v>453</v>
      </c>
      <c r="T1116" s="231"/>
    </row>
    <row r="1117" spans="1:20" ht="14">
      <c r="A1117" s="231">
        <v>1116</v>
      </c>
      <c r="B1117" s="235" t="s">
        <v>52</v>
      </c>
      <c r="C1117" s="231" t="s">
        <v>10</v>
      </c>
      <c r="D1117" s="250" t="s">
        <v>2736</v>
      </c>
      <c r="E1117" s="239"/>
      <c r="F1117" s="231"/>
      <c r="G1117" s="231">
        <v>48</v>
      </c>
      <c r="H1117" s="231" t="s">
        <v>4624</v>
      </c>
      <c r="I1117" s="281">
        <v>0</v>
      </c>
      <c r="J1117" s="249">
        <v>450</v>
      </c>
      <c r="K1117" s="231">
        <f t="shared" si="17"/>
        <v>20</v>
      </c>
      <c r="L1117" s="231"/>
      <c r="M1117" s="231" t="s">
        <v>16</v>
      </c>
      <c r="N1117" s="231"/>
      <c r="O1117" s="231">
        <v>2023</v>
      </c>
      <c r="P1117" s="281"/>
      <c r="Q1117" s="231"/>
      <c r="R1117" s="231"/>
      <c r="S1117" s="231" t="s">
        <v>453</v>
      </c>
      <c r="T1117" s="231"/>
    </row>
    <row r="1118" spans="1:20" ht="14">
      <c r="A1118" s="231">
        <v>1117</v>
      </c>
      <c r="B1118" s="235" t="s">
        <v>52</v>
      </c>
      <c r="C1118" s="231" t="s">
        <v>10</v>
      </c>
      <c r="D1118" s="250" t="s">
        <v>2737</v>
      </c>
      <c r="E1118" s="239"/>
      <c r="F1118" s="231"/>
      <c r="G1118" s="231">
        <v>48</v>
      </c>
      <c r="H1118" s="231" t="s">
        <v>3512</v>
      </c>
      <c r="I1118" s="281">
        <v>0</v>
      </c>
      <c r="J1118" s="249">
        <v>300</v>
      </c>
      <c r="K1118" s="231">
        <f t="shared" si="17"/>
        <v>20</v>
      </c>
      <c r="L1118" s="231"/>
      <c r="M1118" s="231" t="s">
        <v>16</v>
      </c>
      <c r="N1118" s="231"/>
      <c r="O1118" s="231">
        <v>2023</v>
      </c>
      <c r="P1118" s="281"/>
      <c r="Q1118" s="231"/>
      <c r="R1118" s="231"/>
      <c r="S1118" s="231" t="s">
        <v>453</v>
      </c>
      <c r="T1118" s="231"/>
    </row>
    <row r="1119" spans="1:20" ht="14">
      <c r="A1119" s="231">
        <v>1118</v>
      </c>
      <c r="B1119" s="235" t="s">
        <v>52</v>
      </c>
      <c r="C1119" s="231" t="s">
        <v>10</v>
      </c>
      <c r="D1119" s="250" t="s">
        <v>2738</v>
      </c>
      <c r="E1119" s="239"/>
      <c r="F1119" s="231"/>
      <c r="G1119" s="231">
        <v>48</v>
      </c>
      <c r="H1119" s="231" t="s">
        <v>4588</v>
      </c>
      <c r="I1119" s="281">
        <v>0</v>
      </c>
      <c r="J1119" s="249">
        <v>500</v>
      </c>
      <c r="K1119" s="231">
        <f t="shared" si="17"/>
        <v>10</v>
      </c>
      <c r="L1119" s="231"/>
      <c r="M1119" s="299" t="s">
        <v>15</v>
      </c>
      <c r="N1119" s="231"/>
      <c r="O1119" s="231">
        <v>2023</v>
      </c>
      <c r="P1119" s="281"/>
      <c r="Q1119" s="231"/>
      <c r="R1119" s="231"/>
      <c r="S1119" s="231" t="s">
        <v>453</v>
      </c>
      <c r="T1119" s="231"/>
    </row>
    <row r="1120" spans="1:20" ht="14">
      <c r="A1120" s="231">
        <v>1119</v>
      </c>
      <c r="B1120" s="235" t="s">
        <v>52</v>
      </c>
      <c r="C1120" s="231" t="s">
        <v>10</v>
      </c>
      <c r="D1120" s="250" t="s">
        <v>2739</v>
      </c>
      <c r="E1120" s="239"/>
      <c r="F1120" s="231"/>
      <c r="G1120" s="231">
        <v>48</v>
      </c>
      <c r="H1120" s="231" t="s">
        <v>3060</v>
      </c>
      <c r="I1120" s="281">
        <v>0</v>
      </c>
      <c r="J1120" s="249">
        <v>350</v>
      </c>
      <c r="K1120" s="231">
        <f t="shared" si="17"/>
        <v>20</v>
      </c>
      <c r="L1120" s="231">
        <v>20</v>
      </c>
      <c r="M1120" s="231" t="s">
        <v>16</v>
      </c>
      <c r="N1120" s="231"/>
      <c r="O1120" s="231">
        <v>2023</v>
      </c>
      <c r="P1120" s="281"/>
      <c r="Q1120" s="231"/>
      <c r="R1120" s="231"/>
      <c r="S1120" s="231" t="s">
        <v>453</v>
      </c>
      <c r="T1120" s="231"/>
    </row>
    <row r="1121" spans="1:20" ht="14">
      <c r="A1121" s="231">
        <v>1120</v>
      </c>
      <c r="B1121" s="235" t="s">
        <v>52</v>
      </c>
      <c r="C1121" s="231" t="s">
        <v>10</v>
      </c>
      <c r="D1121" s="250" t="s">
        <v>2740</v>
      </c>
      <c r="E1121" s="239"/>
      <c r="F1121" s="231"/>
      <c r="G1121" s="231">
        <v>48</v>
      </c>
      <c r="H1121" s="231" t="s">
        <v>3060</v>
      </c>
      <c r="I1121" s="281">
        <v>0</v>
      </c>
      <c r="J1121" s="249">
        <v>350</v>
      </c>
      <c r="K1121" s="231">
        <f t="shared" si="17"/>
        <v>20</v>
      </c>
      <c r="L1121" s="231"/>
      <c r="M1121" s="231" t="s">
        <v>16</v>
      </c>
      <c r="N1121" s="231"/>
      <c r="O1121" s="231">
        <v>2023</v>
      </c>
      <c r="P1121" s="281"/>
      <c r="Q1121" s="231"/>
      <c r="R1121" s="231"/>
      <c r="S1121" s="231" t="s">
        <v>453</v>
      </c>
      <c r="T1121" s="231"/>
    </row>
    <row r="1122" spans="1:20" ht="14">
      <c r="A1122" s="231">
        <v>1121</v>
      </c>
      <c r="B1122" s="235" t="s">
        <v>52</v>
      </c>
      <c r="C1122" s="231" t="s">
        <v>10</v>
      </c>
      <c r="D1122" s="250" t="s">
        <v>2741</v>
      </c>
      <c r="E1122" s="239"/>
      <c r="F1122" s="231"/>
      <c r="G1122" s="231">
        <v>48</v>
      </c>
      <c r="H1122" s="231" t="s">
        <v>3060</v>
      </c>
      <c r="I1122" s="281">
        <v>0</v>
      </c>
      <c r="J1122" s="249">
        <v>300</v>
      </c>
      <c r="K1122" s="231">
        <f t="shared" si="17"/>
        <v>20</v>
      </c>
      <c r="L1122" s="231"/>
      <c r="M1122" s="231" t="s">
        <v>16</v>
      </c>
      <c r="N1122" s="231"/>
      <c r="O1122" s="231">
        <v>2023</v>
      </c>
      <c r="P1122" s="281"/>
      <c r="Q1122" s="231"/>
      <c r="R1122" s="231"/>
      <c r="S1122" s="231" t="s">
        <v>453</v>
      </c>
      <c r="T1122" s="231"/>
    </row>
    <row r="1123" spans="1:20" ht="14">
      <c r="A1123" s="231">
        <v>1122</v>
      </c>
      <c r="B1123" s="235" t="s">
        <v>52</v>
      </c>
      <c r="C1123" s="231" t="s">
        <v>10</v>
      </c>
      <c r="D1123" s="250" t="s">
        <v>2742</v>
      </c>
      <c r="E1123" s="239"/>
      <c r="F1123" s="231"/>
      <c r="G1123" s="231">
        <v>48</v>
      </c>
      <c r="H1123" s="231" t="s">
        <v>2767</v>
      </c>
      <c r="I1123" s="281">
        <v>0</v>
      </c>
      <c r="J1123" s="249">
        <v>500</v>
      </c>
      <c r="K1123" s="231">
        <f t="shared" si="17"/>
        <v>20</v>
      </c>
      <c r="L1123" s="231"/>
      <c r="M1123" s="231" t="s">
        <v>16</v>
      </c>
      <c r="N1123" s="231"/>
      <c r="O1123" s="231">
        <v>2023</v>
      </c>
      <c r="P1123" s="281"/>
      <c r="Q1123" s="231"/>
      <c r="R1123" s="231"/>
      <c r="S1123" s="231" t="s">
        <v>453</v>
      </c>
      <c r="T1123" s="231"/>
    </row>
    <row r="1124" spans="1:20" ht="14">
      <c r="A1124" s="231">
        <v>1123</v>
      </c>
      <c r="B1124" s="235" t="s">
        <v>52</v>
      </c>
      <c r="C1124" s="231" t="s">
        <v>10</v>
      </c>
      <c r="D1124" s="250" t="s">
        <v>2743</v>
      </c>
      <c r="E1124" s="239"/>
      <c r="F1124" s="231"/>
      <c r="G1124" s="231">
        <v>48</v>
      </c>
      <c r="H1124" s="231" t="s">
        <v>2773</v>
      </c>
      <c r="I1124" s="281">
        <v>0</v>
      </c>
      <c r="J1124" s="249">
        <v>110</v>
      </c>
      <c r="K1124" s="231">
        <f t="shared" si="17"/>
        <v>20</v>
      </c>
      <c r="L1124" s="231"/>
      <c r="M1124" s="231" t="s">
        <v>16</v>
      </c>
      <c r="N1124" s="231"/>
      <c r="O1124" s="231">
        <v>2023</v>
      </c>
      <c r="P1124" s="281"/>
      <c r="Q1124" s="231"/>
      <c r="R1124" s="231"/>
      <c r="S1124" s="231" t="s">
        <v>453</v>
      </c>
      <c r="T1124" s="231"/>
    </row>
    <row r="1125" spans="1:20" ht="14">
      <c r="A1125" s="231">
        <v>1124</v>
      </c>
      <c r="B1125" s="235" t="s">
        <v>52</v>
      </c>
      <c r="C1125" s="231" t="s">
        <v>10</v>
      </c>
      <c r="D1125" s="250" t="s">
        <v>2744</v>
      </c>
      <c r="E1125" s="239"/>
      <c r="F1125" s="231"/>
      <c r="G1125" s="231">
        <v>48</v>
      </c>
      <c r="H1125" s="231" t="s">
        <v>4555</v>
      </c>
      <c r="I1125" s="281">
        <v>0</v>
      </c>
      <c r="J1125" s="249">
        <v>350</v>
      </c>
      <c r="K1125" s="231">
        <f t="shared" si="17"/>
        <v>20</v>
      </c>
      <c r="L1125" s="231"/>
      <c r="M1125" s="231" t="s">
        <v>16</v>
      </c>
      <c r="N1125" s="231"/>
      <c r="O1125" s="231">
        <v>2023</v>
      </c>
      <c r="P1125" s="281"/>
      <c r="Q1125" s="231"/>
      <c r="R1125" s="231"/>
      <c r="S1125" s="231" t="s">
        <v>453</v>
      </c>
      <c r="T1125" s="231"/>
    </row>
    <row r="1126" spans="1:20" ht="14">
      <c r="A1126" s="231">
        <v>1125</v>
      </c>
      <c r="B1126" s="235" t="s">
        <v>52</v>
      </c>
      <c r="C1126" s="231" t="s">
        <v>10</v>
      </c>
      <c r="D1126" s="250" t="s">
        <v>2745</v>
      </c>
      <c r="E1126" s="239"/>
      <c r="F1126" s="231"/>
      <c r="G1126" s="231">
        <v>48</v>
      </c>
      <c r="H1126" s="231" t="s">
        <v>4555</v>
      </c>
      <c r="I1126" s="281">
        <v>0</v>
      </c>
      <c r="J1126" s="249">
        <v>350</v>
      </c>
      <c r="K1126" s="231">
        <f t="shared" si="17"/>
        <v>20</v>
      </c>
      <c r="L1126" s="231"/>
      <c r="M1126" s="231" t="s">
        <v>16</v>
      </c>
      <c r="N1126" s="231"/>
      <c r="O1126" s="231">
        <v>2023</v>
      </c>
      <c r="P1126" s="281"/>
      <c r="Q1126" s="231"/>
      <c r="R1126" s="231"/>
      <c r="S1126" s="231" t="s">
        <v>453</v>
      </c>
      <c r="T1126" s="231"/>
    </row>
    <row r="1127" spans="1:20" ht="14">
      <c r="A1127" s="231">
        <v>1126</v>
      </c>
      <c r="B1127" s="235" t="s">
        <v>52</v>
      </c>
      <c r="C1127" s="231" t="s">
        <v>10</v>
      </c>
      <c r="D1127" s="250" t="s">
        <v>2746</v>
      </c>
      <c r="E1127" s="239"/>
      <c r="F1127" s="231"/>
      <c r="G1127" s="231">
        <v>2</v>
      </c>
      <c r="H1127" s="231" t="s">
        <v>4555</v>
      </c>
      <c r="I1127" s="281">
        <v>0</v>
      </c>
      <c r="J1127" s="249">
        <v>1700</v>
      </c>
      <c r="K1127" s="231">
        <f t="shared" si="17"/>
        <v>20</v>
      </c>
      <c r="L1127" s="231"/>
      <c r="M1127" s="231" t="s">
        <v>16</v>
      </c>
      <c r="N1127" s="231"/>
      <c r="O1127" s="231">
        <v>2023</v>
      </c>
      <c r="P1127" s="281"/>
      <c r="Q1127" s="231"/>
      <c r="R1127" s="231"/>
      <c r="S1127" s="231" t="s">
        <v>453</v>
      </c>
      <c r="T1127" s="231"/>
    </row>
    <row r="1128" spans="1:20" ht="14">
      <c r="A1128" s="231">
        <v>1127</v>
      </c>
      <c r="B1128" s="235" t="s">
        <v>52</v>
      </c>
      <c r="C1128" s="231" t="s">
        <v>10</v>
      </c>
      <c r="D1128" s="250" t="s">
        <v>2747</v>
      </c>
      <c r="E1128" s="239"/>
      <c r="F1128" s="231"/>
      <c r="G1128" s="231">
        <v>2</v>
      </c>
      <c r="H1128" s="231" t="s">
        <v>4555</v>
      </c>
      <c r="I1128" s="281">
        <v>0</v>
      </c>
      <c r="J1128" s="249">
        <v>350</v>
      </c>
      <c r="K1128" s="231">
        <f t="shared" si="17"/>
        <v>20</v>
      </c>
      <c r="L1128" s="231"/>
      <c r="M1128" s="231" t="s">
        <v>16</v>
      </c>
      <c r="N1128" s="231"/>
      <c r="O1128" s="231">
        <v>2023</v>
      </c>
      <c r="P1128" s="281"/>
      <c r="Q1128" s="231"/>
      <c r="R1128" s="231"/>
      <c r="S1128" s="231" t="s">
        <v>453</v>
      </c>
      <c r="T1128" s="231"/>
    </row>
    <row r="1129" spans="1:20" ht="14">
      <c r="A1129" s="231">
        <v>1128</v>
      </c>
      <c r="B1129" s="235" t="s">
        <v>52</v>
      </c>
      <c r="C1129" s="231" t="s">
        <v>10</v>
      </c>
      <c r="D1129" s="250" t="s">
        <v>2748</v>
      </c>
      <c r="E1129" s="239"/>
      <c r="F1129" s="231"/>
      <c r="G1129" s="231">
        <v>2</v>
      </c>
      <c r="H1129" s="231" t="s">
        <v>166</v>
      </c>
      <c r="I1129" s="281">
        <v>0</v>
      </c>
      <c r="J1129" s="249">
        <v>450</v>
      </c>
      <c r="K1129" s="231">
        <f t="shared" si="17"/>
        <v>20</v>
      </c>
      <c r="L1129" s="231"/>
      <c r="M1129" s="231" t="s">
        <v>16</v>
      </c>
      <c r="N1129" s="231"/>
      <c r="O1129" s="231">
        <v>2023</v>
      </c>
      <c r="P1129" s="281"/>
      <c r="Q1129" s="231"/>
      <c r="R1129" s="231"/>
      <c r="S1129" s="231" t="s">
        <v>453</v>
      </c>
      <c r="T1129" s="231"/>
    </row>
    <row r="1130" spans="1:20" ht="14">
      <c r="A1130" s="231">
        <v>1129</v>
      </c>
      <c r="B1130" s="235" t="s">
        <v>52</v>
      </c>
      <c r="C1130" s="231" t="s">
        <v>10</v>
      </c>
      <c r="D1130" s="250" t="s">
        <v>2749</v>
      </c>
      <c r="E1130" s="239"/>
      <c r="F1130" s="231"/>
      <c r="G1130" s="231">
        <v>2</v>
      </c>
      <c r="H1130" s="231" t="s">
        <v>4555</v>
      </c>
      <c r="I1130" s="281">
        <v>0</v>
      </c>
      <c r="J1130" s="249">
        <v>300</v>
      </c>
      <c r="K1130" s="231">
        <f t="shared" si="17"/>
        <v>20</v>
      </c>
      <c r="L1130" s="231"/>
      <c r="M1130" s="231" t="s">
        <v>16</v>
      </c>
      <c r="N1130" s="231"/>
      <c r="O1130" s="231">
        <v>2023</v>
      </c>
      <c r="P1130" s="281"/>
      <c r="Q1130" s="231"/>
      <c r="R1130" s="231"/>
      <c r="S1130" s="231" t="s">
        <v>453</v>
      </c>
      <c r="T1130" s="231"/>
    </row>
    <row r="1131" spans="1:20" ht="14">
      <c r="A1131" s="231">
        <v>1130</v>
      </c>
      <c r="B1131" s="235" t="s">
        <v>52</v>
      </c>
      <c r="C1131" s="231" t="s">
        <v>10</v>
      </c>
      <c r="D1131" s="250" t="s">
        <v>2750</v>
      </c>
      <c r="E1131" s="239"/>
      <c r="F1131" s="231"/>
      <c r="G1131" s="231">
        <v>2</v>
      </c>
      <c r="H1131" s="231" t="s">
        <v>4555</v>
      </c>
      <c r="I1131" s="281">
        <v>0</v>
      </c>
      <c r="J1131" s="249">
        <v>300</v>
      </c>
      <c r="K1131" s="231">
        <f t="shared" si="17"/>
        <v>20</v>
      </c>
      <c r="L1131" s="231"/>
      <c r="M1131" s="231" t="s">
        <v>16</v>
      </c>
      <c r="N1131" s="231"/>
      <c r="O1131" s="231">
        <v>2023</v>
      </c>
      <c r="P1131" s="281"/>
      <c r="Q1131" s="231"/>
      <c r="R1131" s="231"/>
      <c r="S1131" s="231" t="s">
        <v>453</v>
      </c>
      <c r="T1131" s="231"/>
    </row>
    <row r="1132" spans="1:20" ht="14">
      <c r="A1132" s="231">
        <v>1131</v>
      </c>
      <c r="B1132" s="235" t="s">
        <v>52</v>
      </c>
      <c r="C1132" s="231" t="s">
        <v>10</v>
      </c>
      <c r="D1132" s="250" t="s">
        <v>2751</v>
      </c>
      <c r="E1132" s="239"/>
      <c r="F1132" s="231"/>
      <c r="G1132" s="231">
        <v>2</v>
      </c>
      <c r="H1132" s="239" t="s">
        <v>2763</v>
      </c>
      <c r="I1132" s="281">
        <v>0</v>
      </c>
      <c r="J1132" s="249">
        <v>300</v>
      </c>
      <c r="K1132" s="231">
        <f t="shared" si="17"/>
        <v>20</v>
      </c>
      <c r="L1132" s="231"/>
      <c r="M1132" s="231" t="s">
        <v>16</v>
      </c>
      <c r="N1132" s="231"/>
      <c r="O1132" s="231">
        <v>2023</v>
      </c>
      <c r="P1132" s="281"/>
      <c r="Q1132" s="231"/>
      <c r="R1132" s="231"/>
      <c r="S1132" s="231" t="s">
        <v>453</v>
      </c>
      <c r="T1132" s="231"/>
    </row>
    <row r="1133" spans="1:20" ht="14">
      <c r="A1133" s="231">
        <v>1132</v>
      </c>
      <c r="B1133" s="235" t="s">
        <v>52</v>
      </c>
      <c r="C1133" s="239" t="s">
        <v>10</v>
      </c>
      <c r="D1133" s="250" t="s">
        <v>2760</v>
      </c>
      <c r="E1133" s="239"/>
      <c r="F1133" s="231"/>
      <c r="G1133" s="231">
        <v>2</v>
      </c>
      <c r="H1133" s="231" t="s">
        <v>2761</v>
      </c>
      <c r="I1133" s="281">
        <v>0</v>
      </c>
      <c r="J1133" s="249">
        <v>4500</v>
      </c>
      <c r="K1133" s="231">
        <f t="shared" si="17"/>
        <v>20</v>
      </c>
      <c r="L1133" s="231"/>
      <c r="M1133" s="299" t="s">
        <v>15</v>
      </c>
      <c r="N1133" s="231"/>
      <c r="O1133" s="231">
        <v>2024</v>
      </c>
      <c r="P1133" s="285">
        <v>45329</v>
      </c>
      <c r="Q1133" s="231"/>
      <c r="R1133" s="231"/>
      <c r="S1133" s="231" t="s">
        <v>453</v>
      </c>
      <c r="T1133" s="231"/>
    </row>
    <row r="1134" spans="1:20" ht="14">
      <c r="A1134" s="231">
        <v>1133</v>
      </c>
      <c r="B1134" s="235" t="s">
        <v>52</v>
      </c>
      <c r="C1134" s="239" t="s">
        <v>10</v>
      </c>
      <c r="D1134" s="250" t="s">
        <v>2762</v>
      </c>
      <c r="E1134" s="239"/>
      <c r="F1134" s="231"/>
      <c r="G1134" s="231">
        <v>2</v>
      </c>
      <c r="H1134" s="239" t="s">
        <v>2763</v>
      </c>
      <c r="I1134" s="281">
        <v>0</v>
      </c>
      <c r="J1134" s="249">
        <v>300</v>
      </c>
      <c r="K1134" s="231">
        <f t="shared" si="17"/>
        <v>20</v>
      </c>
      <c r="L1134" s="231"/>
      <c r="M1134" s="239" t="s">
        <v>16</v>
      </c>
      <c r="N1134" s="231"/>
      <c r="O1134" s="231">
        <v>2024</v>
      </c>
      <c r="P1134" s="285">
        <v>45321</v>
      </c>
      <c r="Q1134" s="231"/>
      <c r="R1134" s="231"/>
      <c r="S1134" s="231" t="s">
        <v>453</v>
      </c>
      <c r="T1134" s="231"/>
    </row>
    <row r="1135" spans="1:20" ht="14">
      <c r="A1135" s="231">
        <v>1134</v>
      </c>
      <c r="B1135" s="235" t="s">
        <v>52</v>
      </c>
      <c r="C1135" s="239" t="s">
        <v>10</v>
      </c>
      <c r="D1135" s="250" t="s">
        <v>2764</v>
      </c>
      <c r="E1135" s="239"/>
      <c r="F1135" s="231"/>
      <c r="G1135" s="231">
        <v>2</v>
      </c>
      <c r="H1135" s="239" t="s">
        <v>2765</v>
      </c>
      <c r="I1135" s="281">
        <v>0</v>
      </c>
      <c r="J1135" s="249">
        <v>1200</v>
      </c>
      <c r="K1135" s="231">
        <f t="shared" si="17"/>
        <v>10</v>
      </c>
      <c r="L1135" s="231"/>
      <c r="M1135" s="299" t="s">
        <v>15</v>
      </c>
      <c r="N1135" s="231"/>
      <c r="O1135" s="231">
        <v>2024</v>
      </c>
      <c r="P1135" s="285">
        <v>45314</v>
      </c>
      <c r="Q1135" s="231"/>
      <c r="R1135" s="231"/>
      <c r="S1135" s="231" t="s">
        <v>453</v>
      </c>
      <c r="T1135" s="231"/>
    </row>
    <row r="1136" spans="1:20" ht="14">
      <c r="A1136" s="231">
        <v>1135</v>
      </c>
      <c r="B1136" s="235" t="s">
        <v>52</v>
      </c>
      <c r="C1136" s="239" t="s">
        <v>10</v>
      </c>
      <c r="D1136" s="250" t="s">
        <v>2766</v>
      </c>
      <c r="E1136" s="239"/>
      <c r="F1136" s="231"/>
      <c r="G1136" s="231">
        <v>48</v>
      </c>
      <c r="H1136" s="239" t="s">
        <v>2767</v>
      </c>
      <c r="I1136" s="281">
        <v>0</v>
      </c>
      <c r="J1136" s="249">
        <v>350</v>
      </c>
      <c r="K1136" s="231">
        <f t="shared" si="17"/>
        <v>20</v>
      </c>
      <c r="L1136" s="231"/>
      <c r="M1136" s="239" t="s">
        <v>16</v>
      </c>
      <c r="N1136" s="231"/>
      <c r="O1136" s="231">
        <v>2024</v>
      </c>
      <c r="P1136" s="285">
        <v>45317</v>
      </c>
      <c r="Q1136" s="231"/>
      <c r="R1136" s="231"/>
      <c r="S1136" s="231" t="s">
        <v>453</v>
      </c>
      <c r="T1136" s="231"/>
    </row>
    <row r="1137" spans="1:20" ht="14">
      <c r="A1137" s="231">
        <v>1136</v>
      </c>
      <c r="B1137" s="235" t="s">
        <v>52</v>
      </c>
      <c r="C1137" s="239" t="s">
        <v>10</v>
      </c>
      <c r="D1137" s="250" t="s">
        <v>2769</v>
      </c>
      <c r="E1137" s="239"/>
      <c r="F1137" s="231"/>
      <c r="G1137" s="231">
        <v>48</v>
      </c>
      <c r="H1137" s="231" t="s">
        <v>2770</v>
      </c>
      <c r="I1137" s="281">
        <v>350</v>
      </c>
      <c r="J1137" s="249">
        <v>0</v>
      </c>
      <c r="K1137" s="231">
        <f t="shared" si="17"/>
        <v>20</v>
      </c>
      <c r="L1137" s="231"/>
      <c r="M1137" s="239" t="s">
        <v>16</v>
      </c>
      <c r="N1137" s="231"/>
      <c r="O1137" s="231">
        <v>2024</v>
      </c>
      <c r="P1137" s="285">
        <v>45302</v>
      </c>
      <c r="Q1137" s="231"/>
      <c r="R1137" s="231"/>
      <c r="S1137" s="231" t="s">
        <v>453</v>
      </c>
      <c r="T1137" s="231"/>
    </row>
    <row r="1138" spans="1:20" ht="14">
      <c r="A1138" s="231">
        <v>1137</v>
      </c>
      <c r="B1138" s="235" t="s">
        <v>52</v>
      </c>
      <c r="C1138" s="239" t="s">
        <v>10</v>
      </c>
      <c r="D1138" s="250" t="s">
        <v>2772</v>
      </c>
      <c r="E1138" s="239"/>
      <c r="F1138" s="231"/>
      <c r="G1138" s="231">
        <v>48</v>
      </c>
      <c r="H1138" s="231" t="s">
        <v>2773</v>
      </c>
      <c r="I1138" s="281">
        <v>0</v>
      </c>
      <c r="J1138" s="249">
        <v>1250</v>
      </c>
      <c r="K1138" s="231">
        <f t="shared" si="17"/>
        <v>20</v>
      </c>
      <c r="L1138" s="231"/>
      <c r="M1138" s="239" t="s">
        <v>16</v>
      </c>
      <c r="N1138" s="231"/>
      <c r="O1138" s="231">
        <v>2024</v>
      </c>
      <c r="P1138" s="285">
        <v>45310</v>
      </c>
      <c r="Q1138" s="231"/>
      <c r="R1138" s="231"/>
      <c r="S1138" s="231" t="s">
        <v>453</v>
      </c>
      <c r="T1138" s="231"/>
    </row>
    <row r="1139" spans="1:20" ht="14">
      <c r="A1139" s="231">
        <v>1138</v>
      </c>
      <c r="B1139" s="235" t="s">
        <v>52</v>
      </c>
      <c r="C1139" s="239" t="s">
        <v>10</v>
      </c>
      <c r="D1139" s="250" t="s">
        <v>2774</v>
      </c>
      <c r="E1139" s="239"/>
      <c r="F1139" s="231"/>
      <c r="G1139" s="231">
        <v>48</v>
      </c>
      <c r="H1139" s="231" t="s">
        <v>2773</v>
      </c>
      <c r="I1139" s="281">
        <v>0</v>
      </c>
      <c r="J1139" s="249">
        <v>650</v>
      </c>
      <c r="K1139" s="231">
        <f t="shared" si="17"/>
        <v>20</v>
      </c>
      <c r="L1139" s="231"/>
      <c r="M1139" s="239" t="s">
        <v>16</v>
      </c>
      <c r="N1139" s="231"/>
      <c r="O1139" s="231">
        <v>2024</v>
      </c>
      <c r="P1139" s="285">
        <v>45316</v>
      </c>
      <c r="Q1139" s="231"/>
      <c r="R1139" s="231"/>
      <c r="S1139" s="231" t="s">
        <v>453</v>
      </c>
      <c r="T1139" s="231"/>
    </row>
    <row r="1140" spans="1:20" ht="14">
      <c r="A1140" s="231">
        <v>1139</v>
      </c>
      <c r="B1140" s="235" t="s">
        <v>52</v>
      </c>
      <c r="C1140" s="239" t="s">
        <v>10</v>
      </c>
      <c r="D1140" s="250" t="s">
        <v>2775</v>
      </c>
      <c r="E1140" s="239"/>
      <c r="F1140" s="239"/>
      <c r="G1140" s="231">
        <v>48</v>
      </c>
      <c r="H1140" s="231" t="s">
        <v>2776</v>
      </c>
      <c r="I1140" s="281">
        <v>0</v>
      </c>
      <c r="J1140" s="249">
        <v>900</v>
      </c>
      <c r="K1140" s="231">
        <f t="shared" si="17"/>
        <v>20</v>
      </c>
      <c r="L1140" s="231"/>
      <c r="M1140" s="239" t="s">
        <v>16</v>
      </c>
      <c r="N1140" s="239"/>
      <c r="O1140" s="231">
        <v>2024</v>
      </c>
      <c r="P1140" s="285">
        <v>45307</v>
      </c>
      <c r="Q1140" s="231"/>
      <c r="R1140" s="239"/>
      <c r="S1140" s="231" t="s">
        <v>453</v>
      </c>
      <c r="T1140" s="231"/>
    </row>
    <row r="1141" spans="1:20" ht="14">
      <c r="A1141" s="231">
        <v>1140</v>
      </c>
      <c r="B1141" s="235" t="s">
        <v>52</v>
      </c>
      <c r="C1141" s="239" t="s">
        <v>10</v>
      </c>
      <c r="D1141" s="250" t="s">
        <v>2777</v>
      </c>
      <c r="E1141" s="239"/>
      <c r="F1141" s="239"/>
      <c r="G1141" s="231">
        <v>48</v>
      </c>
      <c r="H1141" s="231" t="s">
        <v>2763</v>
      </c>
      <c r="I1141" s="281">
        <v>0</v>
      </c>
      <c r="J1141" s="249">
        <v>300</v>
      </c>
      <c r="K1141" s="231">
        <f t="shared" si="17"/>
        <v>20</v>
      </c>
      <c r="L1141" s="231"/>
      <c r="M1141" s="239" t="s">
        <v>16</v>
      </c>
      <c r="N1141" s="239"/>
      <c r="O1141" s="231">
        <v>2024</v>
      </c>
      <c r="P1141" s="285">
        <v>45324</v>
      </c>
      <c r="Q1141" s="231"/>
      <c r="R1141" s="239"/>
      <c r="S1141" s="231" t="s">
        <v>453</v>
      </c>
      <c r="T1141" s="231"/>
    </row>
    <row r="1142" spans="1:20" ht="14">
      <c r="A1142" s="231">
        <v>1141</v>
      </c>
      <c r="B1142" s="235" t="s">
        <v>52</v>
      </c>
      <c r="C1142" s="239" t="s">
        <v>10</v>
      </c>
      <c r="D1142" s="250" t="s">
        <v>2778</v>
      </c>
      <c r="E1142" s="239"/>
      <c r="F1142" s="239"/>
      <c r="G1142" s="231">
        <v>48</v>
      </c>
      <c r="H1142" s="231" t="s">
        <v>2779</v>
      </c>
      <c r="I1142" s="281">
        <v>0</v>
      </c>
      <c r="J1142" s="249">
        <v>650</v>
      </c>
      <c r="K1142" s="231">
        <f t="shared" si="17"/>
        <v>20</v>
      </c>
      <c r="L1142" s="231"/>
      <c r="M1142" s="239" t="s">
        <v>16</v>
      </c>
      <c r="N1142" s="239"/>
      <c r="O1142" s="231">
        <v>2024</v>
      </c>
      <c r="P1142" s="285">
        <v>45295</v>
      </c>
      <c r="Q1142" s="231"/>
      <c r="R1142" s="239"/>
      <c r="S1142" s="231" t="s">
        <v>453</v>
      </c>
      <c r="T1142" s="231"/>
    </row>
    <row r="1143" spans="1:20" ht="14">
      <c r="A1143" s="231">
        <v>1142</v>
      </c>
      <c r="B1143" s="235" t="s">
        <v>52</v>
      </c>
      <c r="C1143" s="239" t="s">
        <v>10</v>
      </c>
      <c r="D1143" s="250" t="s">
        <v>2780</v>
      </c>
      <c r="E1143" s="239"/>
      <c r="F1143" s="239"/>
      <c r="G1143" s="231">
        <v>48</v>
      </c>
      <c r="H1143" s="231" t="s">
        <v>2781</v>
      </c>
      <c r="I1143" s="281">
        <v>0</v>
      </c>
      <c r="J1143" s="249">
        <v>1300</v>
      </c>
      <c r="K1143" s="231">
        <f t="shared" si="17"/>
        <v>20</v>
      </c>
      <c r="L1143" s="231"/>
      <c r="M1143" s="239" t="s">
        <v>16</v>
      </c>
      <c r="N1143" s="239"/>
      <c r="O1143" s="231">
        <v>2024</v>
      </c>
      <c r="P1143" s="285">
        <v>45303</v>
      </c>
      <c r="Q1143" s="231"/>
      <c r="R1143" s="239"/>
      <c r="S1143" s="231" t="s">
        <v>453</v>
      </c>
      <c r="T1143" s="231"/>
    </row>
    <row r="1144" spans="1:20" ht="14">
      <c r="A1144" s="231">
        <v>1143</v>
      </c>
      <c r="B1144" s="235" t="s">
        <v>52</v>
      </c>
      <c r="C1144" s="239" t="s">
        <v>10</v>
      </c>
      <c r="D1144" s="250" t="s">
        <v>2782</v>
      </c>
      <c r="E1144" s="239"/>
      <c r="F1144" s="239"/>
      <c r="G1144" s="231">
        <v>48</v>
      </c>
      <c r="H1144" s="231" t="s">
        <v>2783</v>
      </c>
      <c r="I1144" s="281">
        <v>0</v>
      </c>
      <c r="J1144" s="249">
        <v>350</v>
      </c>
      <c r="K1144" s="231">
        <f t="shared" si="17"/>
        <v>20</v>
      </c>
      <c r="L1144" s="231"/>
      <c r="M1144" s="239" t="s">
        <v>16</v>
      </c>
      <c r="N1144" s="239"/>
      <c r="O1144" s="231">
        <v>2024</v>
      </c>
      <c r="P1144" s="285">
        <v>45301</v>
      </c>
      <c r="Q1144" s="231"/>
      <c r="R1144" s="239"/>
      <c r="S1144" s="231" t="s">
        <v>453</v>
      </c>
      <c r="T1144" s="231"/>
    </row>
    <row r="1145" spans="1:20" ht="14">
      <c r="A1145" s="231">
        <v>1144</v>
      </c>
      <c r="B1145" s="235" t="s">
        <v>52</v>
      </c>
      <c r="C1145" s="239" t="s">
        <v>10</v>
      </c>
      <c r="D1145" s="250" t="s">
        <v>2784</v>
      </c>
      <c r="E1145" s="239"/>
      <c r="F1145" s="239"/>
      <c r="G1145" s="231">
        <v>48</v>
      </c>
      <c r="H1145" s="231" t="s">
        <v>2785</v>
      </c>
      <c r="I1145" s="281">
        <v>0</v>
      </c>
      <c r="J1145" s="249">
        <v>800</v>
      </c>
      <c r="K1145" s="231">
        <f t="shared" si="17"/>
        <v>20</v>
      </c>
      <c r="L1145" s="231"/>
      <c r="M1145" s="239" t="s">
        <v>16</v>
      </c>
      <c r="N1145" s="239"/>
      <c r="O1145" s="231">
        <v>2024</v>
      </c>
      <c r="P1145" s="285">
        <v>45306</v>
      </c>
      <c r="Q1145" s="231"/>
      <c r="R1145" s="239"/>
      <c r="S1145" s="231" t="s">
        <v>453</v>
      </c>
      <c r="T1145" s="231"/>
    </row>
    <row r="1146" spans="1:20" ht="14">
      <c r="A1146" s="231">
        <v>1145</v>
      </c>
      <c r="B1146" s="235" t="s">
        <v>52</v>
      </c>
      <c r="C1146" s="239" t="s">
        <v>10</v>
      </c>
      <c r="D1146" s="250" t="s">
        <v>2786</v>
      </c>
      <c r="E1146" s="239"/>
      <c r="F1146" s="239"/>
      <c r="G1146" s="231">
        <v>48</v>
      </c>
      <c r="H1146" s="231" t="s">
        <v>2773</v>
      </c>
      <c r="I1146" s="281">
        <v>0</v>
      </c>
      <c r="J1146" s="249">
        <v>600</v>
      </c>
      <c r="K1146" s="231">
        <f t="shared" si="17"/>
        <v>20</v>
      </c>
      <c r="L1146" s="231"/>
      <c r="M1146" s="239" t="s">
        <v>16</v>
      </c>
      <c r="N1146" s="239"/>
      <c r="O1146" s="231">
        <v>2024</v>
      </c>
      <c r="P1146" s="285">
        <v>45309</v>
      </c>
      <c r="Q1146" s="231"/>
      <c r="R1146" s="239"/>
      <c r="S1146" s="231" t="s">
        <v>453</v>
      </c>
      <c r="T1146" s="231"/>
    </row>
    <row r="1147" spans="1:20" ht="14">
      <c r="A1147" s="231">
        <v>1146</v>
      </c>
      <c r="B1147" s="235" t="s">
        <v>52</v>
      </c>
      <c r="C1147" s="239" t="s">
        <v>10</v>
      </c>
      <c r="D1147" s="250" t="s">
        <v>2787</v>
      </c>
      <c r="E1147" s="239"/>
      <c r="F1147" s="239"/>
      <c r="G1147" s="231">
        <v>48</v>
      </c>
      <c r="H1147" s="231" t="s">
        <v>2773</v>
      </c>
      <c r="I1147" s="281">
        <v>0</v>
      </c>
      <c r="J1147" s="249">
        <v>1000</v>
      </c>
      <c r="K1147" s="231">
        <f t="shared" si="17"/>
        <v>10</v>
      </c>
      <c r="L1147" s="231"/>
      <c r="M1147" s="299" t="s">
        <v>15</v>
      </c>
      <c r="N1147" s="239"/>
      <c r="O1147" s="231">
        <v>2024</v>
      </c>
      <c r="P1147" s="285">
        <v>45310</v>
      </c>
      <c r="Q1147" s="231"/>
      <c r="R1147" s="239"/>
      <c r="S1147" s="231" t="s">
        <v>453</v>
      </c>
      <c r="T1147" s="231"/>
    </row>
    <row r="1148" spans="1:20" ht="14">
      <c r="A1148" s="231">
        <v>1147</v>
      </c>
      <c r="B1148" s="235" t="s">
        <v>52</v>
      </c>
      <c r="C1148" s="239" t="s">
        <v>10</v>
      </c>
      <c r="D1148" s="250" t="s">
        <v>2788</v>
      </c>
      <c r="E1148" s="239"/>
      <c r="F1148" s="239"/>
      <c r="G1148" s="231">
        <v>48</v>
      </c>
      <c r="H1148" s="231" t="s">
        <v>2789</v>
      </c>
      <c r="I1148" s="281">
        <v>0</v>
      </c>
      <c r="J1148" s="249">
        <v>650</v>
      </c>
      <c r="K1148" s="231">
        <f t="shared" si="17"/>
        <v>20</v>
      </c>
      <c r="L1148" s="231"/>
      <c r="M1148" s="239" t="s">
        <v>16</v>
      </c>
      <c r="N1148" s="239"/>
      <c r="O1148" s="231">
        <v>2024</v>
      </c>
      <c r="P1148" s="285">
        <v>45320</v>
      </c>
      <c r="Q1148" s="231"/>
      <c r="R1148" s="239"/>
      <c r="S1148" s="231" t="s">
        <v>453</v>
      </c>
      <c r="T1148" s="231"/>
    </row>
    <row r="1149" spans="1:20" ht="14">
      <c r="A1149" s="231">
        <v>1148</v>
      </c>
      <c r="B1149" s="235" t="s">
        <v>52</v>
      </c>
      <c r="C1149" s="239" t="s">
        <v>10</v>
      </c>
      <c r="D1149" s="250" t="s">
        <v>2790</v>
      </c>
      <c r="E1149" s="239"/>
      <c r="F1149" s="239"/>
      <c r="G1149" s="239">
        <v>2</v>
      </c>
      <c r="H1149" s="231" t="s">
        <v>2763</v>
      </c>
      <c r="I1149" s="281">
        <v>0</v>
      </c>
      <c r="J1149" s="249">
        <v>500</v>
      </c>
      <c r="K1149" s="231">
        <f t="shared" si="17"/>
        <v>20</v>
      </c>
      <c r="L1149" s="231"/>
      <c r="M1149" s="239" t="s">
        <v>16</v>
      </c>
      <c r="N1149" s="239"/>
      <c r="O1149" s="231">
        <v>2024</v>
      </c>
      <c r="P1149" s="285">
        <v>45302</v>
      </c>
      <c r="Q1149" s="231"/>
      <c r="R1149" s="239"/>
      <c r="S1149" s="231" t="s">
        <v>453</v>
      </c>
      <c r="T1149" s="231"/>
    </row>
    <row r="1150" spans="1:20" ht="14">
      <c r="A1150" s="231">
        <v>1149</v>
      </c>
      <c r="B1150" s="235" t="s">
        <v>52</v>
      </c>
      <c r="C1150" s="239" t="s">
        <v>10</v>
      </c>
      <c r="D1150" s="250" t="s">
        <v>2791</v>
      </c>
      <c r="E1150" s="239"/>
      <c r="F1150" s="239"/>
      <c r="G1150" s="239">
        <v>48</v>
      </c>
      <c r="H1150" s="231" t="s">
        <v>2763</v>
      </c>
      <c r="I1150" s="281">
        <v>0</v>
      </c>
      <c r="J1150" s="249">
        <v>650</v>
      </c>
      <c r="K1150" s="231">
        <f t="shared" si="17"/>
        <v>10</v>
      </c>
      <c r="L1150" s="231"/>
      <c r="M1150" s="299" t="s">
        <v>15</v>
      </c>
      <c r="N1150" s="239"/>
      <c r="O1150" s="231">
        <v>2024</v>
      </c>
      <c r="P1150" s="285">
        <v>45351</v>
      </c>
      <c r="Q1150" s="231"/>
      <c r="R1150" s="239"/>
      <c r="S1150" s="231" t="s">
        <v>453</v>
      </c>
      <c r="T1150" s="231"/>
    </row>
    <row r="1151" spans="1:20" ht="14">
      <c r="A1151" s="231">
        <v>1150</v>
      </c>
      <c r="B1151" s="235" t="s">
        <v>52</v>
      </c>
      <c r="C1151" s="239" t="s">
        <v>10</v>
      </c>
      <c r="D1151" s="250" t="s">
        <v>2792</v>
      </c>
      <c r="E1151" s="239"/>
      <c r="F1151" s="239"/>
      <c r="G1151" s="239">
        <v>2</v>
      </c>
      <c r="H1151" s="231" t="s">
        <v>2773</v>
      </c>
      <c r="I1151" s="281">
        <v>0</v>
      </c>
      <c r="J1151" s="249">
        <v>400</v>
      </c>
      <c r="K1151" s="231">
        <f t="shared" si="17"/>
        <v>10</v>
      </c>
      <c r="L1151" s="231"/>
      <c r="M1151" s="299" t="s">
        <v>15</v>
      </c>
      <c r="N1151" s="239"/>
      <c r="O1151" s="231">
        <v>2024</v>
      </c>
      <c r="P1151" s="285">
        <v>45296</v>
      </c>
      <c r="Q1151" s="231"/>
      <c r="R1151" s="239"/>
      <c r="S1151" s="231" t="s">
        <v>453</v>
      </c>
      <c r="T1151" s="231"/>
    </row>
    <row r="1152" spans="1:20" ht="14">
      <c r="A1152" s="231">
        <v>1151</v>
      </c>
      <c r="B1152" s="235" t="s">
        <v>51</v>
      </c>
      <c r="C1152" s="239" t="s">
        <v>10</v>
      </c>
      <c r="D1152" s="250" t="s">
        <v>2793</v>
      </c>
      <c r="E1152" s="239"/>
      <c r="F1152" s="239"/>
      <c r="G1152" s="231">
        <v>48</v>
      </c>
      <c r="H1152" s="231" t="s">
        <v>2794</v>
      </c>
      <c r="I1152" s="281">
        <v>0</v>
      </c>
      <c r="J1152" s="249">
        <v>1000</v>
      </c>
      <c r="K1152" s="231">
        <f t="shared" ref="K1152:K1215" si="18">IF(M1152="ONT",20,IF(M1152="N/A","N/A",IF(M1152="MIKROTIK",IF(J1152&lt;3000,10,IF(3000&lt;J1152&gt;10000,20,IF(10000&lt;J1152&gt;20000,40,IF(20000&lt;J1152&gt;40000,60,IF(J1152&gt;40000,80,IF(J1152&lt;300,3,)))))))))</f>
        <v>10</v>
      </c>
      <c r="L1152" s="231"/>
      <c r="M1152" s="299" t="s">
        <v>15</v>
      </c>
      <c r="N1152" s="239"/>
      <c r="O1152" s="231">
        <v>2024</v>
      </c>
      <c r="P1152" s="285">
        <v>45346</v>
      </c>
      <c r="Q1152" s="231"/>
      <c r="R1152" s="239"/>
      <c r="S1152" s="231" t="s">
        <v>453</v>
      </c>
      <c r="T1152" s="231"/>
    </row>
    <row r="1153" spans="1:20" ht="14">
      <c r="A1153" s="231">
        <v>1152</v>
      </c>
      <c r="B1153" s="235" t="s">
        <v>52</v>
      </c>
      <c r="C1153" s="239" t="s">
        <v>10</v>
      </c>
      <c r="D1153" s="250" t="s">
        <v>2795</v>
      </c>
      <c r="E1153" s="239"/>
      <c r="F1153" s="239"/>
      <c r="G1153" s="231">
        <v>48</v>
      </c>
      <c r="H1153" s="231" t="s">
        <v>2765</v>
      </c>
      <c r="I1153" s="281">
        <v>350</v>
      </c>
      <c r="J1153" s="249">
        <v>0</v>
      </c>
      <c r="K1153" s="231">
        <f t="shared" si="18"/>
        <v>20</v>
      </c>
      <c r="L1153" s="231"/>
      <c r="M1153" s="239" t="s">
        <v>16</v>
      </c>
      <c r="N1153" s="239"/>
      <c r="O1153" s="231">
        <v>2024</v>
      </c>
      <c r="P1153" s="285">
        <v>45303</v>
      </c>
      <c r="Q1153" s="231" t="s">
        <v>2771</v>
      </c>
      <c r="R1153" s="239"/>
      <c r="S1153" s="231" t="s">
        <v>453</v>
      </c>
      <c r="T1153" s="231"/>
    </row>
    <row r="1154" spans="1:20" ht="14">
      <c r="A1154" s="231">
        <v>1153</v>
      </c>
      <c r="B1154" s="235" t="s">
        <v>50</v>
      </c>
      <c r="C1154" s="239" t="s">
        <v>10</v>
      </c>
      <c r="D1154" s="250" t="s">
        <v>2796</v>
      </c>
      <c r="E1154" s="239"/>
      <c r="F1154" s="239"/>
      <c r="G1154" s="231">
        <v>48</v>
      </c>
      <c r="H1154" s="231" t="s">
        <v>2797</v>
      </c>
      <c r="I1154" s="281">
        <v>0</v>
      </c>
      <c r="J1154" s="249">
        <v>1200</v>
      </c>
      <c r="K1154" s="231">
        <f t="shared" si="18"/>
        <v>10</v>
      </c>
      <c r="L1154" s="231"/>
      <c r="M1154" s="299" t="s">
        <v>15</v>
      </c>
      <c r="N1154" s="239"/>
      <c r="O1154" s="231">
        <v>2024</v>
      </c>
      <c r="P1154" s="285">
        <v>45317</v>
      </c>
      <c r="Q1154" s="231"/>
      <c r="R1154" s="239"/>
      <c r="S1154" s="231" t="s">
        <v>453</v>
      </c>
      <c r="T1154" s="231"/>
    </row>
    <row r="1155" spans="1:20" ht="14">
      <c r="A1155" s="231">
        <v>1154</v>
      </c>
      <c r="B1155" s="235" t="s">
        <v>49</v>
      </c>
      <c r="C1155" s="239" t="s">
        <v>10</v>
      </c>
      <c r="D1155" s="250" t="s">
        <v>2798</v>
      </c>
      <c r="E1155" s="239"/>
      <c r="F1155" s="239"/>
      <c r="G1155" s="231">
        <v>48</v>
      </c>
      <c r="H1155" s="231" t="s">
        <v>2799</v>
      </c>
      <c r="I1155" s="281">
        <v>0</v>
      </c>
      <c r="J1155" s="249">
        <v>650</v>
      </c>
      <c r="K1155" s="231">
        <f t="shared" si="18"/>
        <v>20</v>
      </c>
      <c r="L1155" s="231"/>
      <c r="M1155" s="239" t="s">
        <v>16</v>
      </c>
      <c r="N1155" s="239"/>
      <c r="O1155" s="231">
        <v>2024</v>
      </c>
      <c r="P1155" s="285">
        <v>45309</v>
      </c>
      <c r="Q1155" s="231"/>
      <c r="R1155" s="239"/>
      <c r="S1155" s="231" t="s">
        <v>453</v>
      </c>
      <c r="T1155" s="231"/>
    </row>
    <row r="1156" spans="1:20" ht="14">
      <c r="A1156" s="231">
        <v>1155</v>
      </c>
      <c r="B1156" s="235" t="s">
        <v>52</v>
      </c>
      <c r="C1156" s="239" t="s">
        <v>10</v>
      </c>
      <c r="D1156" s="250" t="s">
        <v>2800</v>
      </c>
      <c r="E1156" s="239"/>
      <c r="F1156" s="239"/>
      <c r="G1156" s="231">
        <v>48</v>
      </c>
      <c r="H1156" s="231" t="s">
        <v>2801</v>
      </c>
      <c r="I1156" s="281">
        <v>0</v>
      </c>
      <c r="J1156" s="249">
        <v>2200</v>
      </c>
      <c r="K1156" s="231">
        <f t="shared" si="18"/>
        <v>10</v>
      </c>
      <c r="L1156" s="231"/>
      <c r="M1156" s="299" t="s">
        <v>15</v>
      </c>
      <c r="N1156" s="239"/>
      <c r="O1156" s="231">
        <v>2024</v>
      </c>
      <c r="P1156" s="285">
        <v>45335</v>
      </c>
      <c r="Q1156" s="231"/>
      <c r="R1156" s="239"/>
      <c r="S1156" s="231" t="s">
        <v>453</v>
      </c>
      <c r="T1156" s="231"/>
    </row>
    <row r="1157" spans="1:20" ht="14">
      <c r="A1157" s="231">
        <v>1156</v>
      </c>
      <c r="B1157" s="235" t="s">
        <v>52</v>
      </c>
      <c r="C1157" s="239" t="s">
        <v>10</v>
      </c>
      <c r="D1157" s="250" t="s">
        <v>2803</v>
      </c>
      <c r="E1157" s="239"/>
      <c r="F1157" s="239"/>
      <c r="G1157" s="231">
        <v>48</v>
      </c>
      <c r="H1157" s="231" t="s">
        <v>1440</v>
      </c>
      <c r="I1157" s="281">
        <v>150</v>
      </c>
      <c r="J1157" s="249">
        <v>0</v>
      </c>
      <c r="K1157" s="231">
        <f t="shared" si="18"/>
        <v>20</v>
      </c>
      <c r="L1157" s="231"/>
      <c r="M1157" s="239" t="s">
        <v>16</v>
      </c>
      <c r="N1157" s="239"/>
      <c r="O1157" s="231">
        <v>2024</v>
      </c>
      <c r="P1157" s="285">
        <v>45337</v>
      </c>
      <c r="Q1157" s="231"/>
      <c r="R1157" s="239"/>
      <c r="S1157" s="231" t="s">
        <v>453</v>
      </c>
      <c r="T1157" s="231"/>
    </row>
    <row r="1158" spans="1:20" ht="14">
      <c r="A1158" s="231">
        <v>1157</v>
      </c>
      <c r="B1158" s="235" t="s">
        <v>52</v>
      </c>
      <c r="C1158" s="239" t="s">
        <v>10</v>
      </c>
      <c r="D1158" s="250" t="s">
        <v>2804</v>
      </c>
      <c r="E1158" s="239"/>
      <c r="F1158" s="239"/>
      <c r="G1158" s="231">
        <v>48</v>
      </c>
      <c r="H1158" s="231" t="s">
        <v>2805</v>
      </c>
      <c r="I1158" s="281">
        <v>0</v>
      </c>
      <c r="J1158" s="249">
        <v>600</v>
      </c>
      <c r="K1158" s="231">
        <f t="shared" si="18"/>
        <v>20</v>
      </c>
      <c r="L1158" s="231"/>
      <c r="M1158" s="239" t="s">
        <v>16</v>
      </c>
      <c r="N1158" s="239"/>
      <c r="O1158" s="231">
        <v>2024</v>
      </c>
      <c r="P1158" s="285">
        <v>45350</v>
      </c>
      <c r="Q1158" s="231"/>
      <c r="R1158" s="239"/>
      <c r="S1158" s="231" t="s">
        <v>453</v>
      </c>
      <c r="T1158" s="231"/>
    </row>
    <row r="1159" spans="1:20" ht="14">
      <c r="A1159" s="231">
        <v>1158</v>
      </c>
      <c r="B1159" s="235" t="s">
        <v>52</v>
      </c>
      <c r="C1159" s="239" t="s">
        <v>10</v>
      </c>
      <c r="D1159" s="250" t="s">
        <v>2806</v>
      </c>
      <c r="E1159" s="239"/>
      <c r="F1159" s="239"/>
      <c r="G1159" s="231">
        <v>48</v>
      </c>
      <c r="H1159" s="231" t="s">
        <v>2807</v>
      </c>
      <c r="I1159" s="281">
        <v>0</v>
      </c>
      <c r="J1159" s="249">
        <v>700</v>
      </c>
      <c r="K1159" s="231">
        <f t="shared" si="18"/>
        <v>10</v>
      </c>
      <c r="L1159" s="231"/>
      <c r="M1159" s="299" t="s">
        <v>15</v>
      </c>
      <c r="N1159" s="239"/>
      <c r="O1159" s="231">
        <v>2024</v>
      </c>
      <c r="P1159" s="285">
        <v>45330</v>
      </c>
      <c r="Q1159" s="231"/>
      <c r="R1159" s="239"/>
      <c r="S1159" s="231" t="s">
        <v>453</v>
      </c>
      <c r="T1159" s="231"/>
    </row>
    <row r="1160" spans="1:20" ht="14">
      <c r="A1160" s="231">
        <v>1159</v>
      </c>
      <c r="B1160" s="235" t="s">
        <v>52</v>
      </c>
      <c r="C1160" s="239" t="s">
        <v>10</v>
      </c>
      <c r="D1160" s="250" t="s">
        <v>2808</v>
      </c>
      <c r="E1160" s="239"/>
      <c r="F1160" s="239"/>
      <c r="G1160" s="231">
        <v>2</v>
      </c>
      <c r="H1160" s="231" t="s">
        <v>2809</v>
      </c>
      <c r="I1160" s="281">
        <v>0</v>
      </c>
      <c r="J1160" s="249">
        <v>700</v>
      </c>
      <c r="K1160" s="231">
        <f t="shared" si="18"/>
        <v>20</v>
      </c>
      <c r="L1160" s="231"/>
      <c r="M1160" s="239" t="s">
        <v>16</v>
      </c>
      <c r="N1160" s="239"/>
      <c r="O1160" s="231">
        <v>2024</v>
      </c>
      <c r="P1160" s="285">
        <v>45303</v>
      </c>
      <c r="Q1160" s="231"/>
      <c r="R1160" s="239"/>
      <c r="S1160" s="231" t="s">
        <v>453</v>
      </c>
      <c r="T1160" s="231"/>
    </row>
    <row r="1161" spans="1:20" ht="14">
      <c r="A1161" s="231">
        <v>1160</v>
      </c>
      <c r="B1161" s="235" t="s">
        <v>52</v>
      </c>
      <c r="C1161" s="239" t="s">
        <v>10</v>
      </c>
      <c r="D1161" s="250" t="s">
        <v>2810</v>
      </c>
      <c r="E1161" s="239"/>
      <c r="F1161" s="239"/>
      <c r="G1161" s="231">
        <v>48</v>
      </c>
      <c r="H1161" s="231" t="s">
        <v>2809</v>
      </c>
      <c r="I1161" s="281">
        <v>0</v>
      </c>
      <c r="J1161" s="249">
        <v>150</v>
      </c>
      <c r="K1161" s="231">
        <f t="shared" si="18"/>
        <v>20</v>
      </c>
      <c r="L1161" s="231"/>
      <c r="M1161" s="239" t="s">
        <v>16</v>
      </c>
      <c r="N1161" s="239"/>
      <c r="O1161" s="231">
        <v>2024</v>
      </c>
      <c r="P1161" s="285">
        <v>45310</v>
      </c>
      <c r="Q1161" s="231" t="s">
        <v>2771</v>
      </c>
      <c r="R1161" s="239"/>
      <c r="S1161" s="231" t="s">
        <v>453</v>
      </c>
      <c r="T1161" s="231"/>
    </row>
    <row r="1162" spans="1:20" ht="14">
      <c r="A1162" s="231">
        <v>1161</v>
      </c>
      <c r="B1162" s="235" t="s">
        <v>52</v>
      </c>
      <c r="C1162" s="239" t="s">
        <v>10</v>
      </c>
      <c r="D1162" s="250" t="s">
        <v>2811</v>
      </c>
      <c r="E1162" s="239"/>
      <c r="F1162" s="239"/>
      <c r="G1162" s="231">
        <v>48</v>
      </c>
      <c r="H1162" s="231" t="s">
        <v>2812</v>
      </c>
      <c r="I1162" s="281">
        <v>0</v>
      </c>
      <c r="J1162" s="249">
        <v>300</v>
      </c>
      <c r="K1162" s="231">
        <f t="shared" si="18"/>
        <v>10</v>
      </c>
      <c r="L1162" s="231"/>
      <c r="M1162" s="299" t="s">
        <v>15</v>
      </c>
      <c r="N1162" s="239"/>
      <c r="O1162" s="231">
        <v>2024</v>
      </c>
      <c r="P1162" s="285">
        <v>45302</v>
      </c>
      <c r="Q1162" s="231"/>
      <c r="R1162" s="239"/>
      <c r="S1162" s="231" t="s">
        <v>453</v>
      </c>
      <c r="T1162" s="231"/>
    </row>
    <row r="1163" spans="1:20" ht="14">
      <c r="A1163" s="231">
        <v>1162</v>
      </c>
      <c r="B1163" s="235" t="s">
        <v>50</v>
      </c>
      <c r="C1163" s="239" t="s">
        <v>10</v>
      </c>
      <c r="D1163" s="250" t="s">
        <v>2813</v>
      </c>
      <c r="E1163" s="239"/>
      <c r="F1163" s="239"/>
      <c r="G1163" s="231">
        <v>48</v>
      </c>
      <c r="H1163" s="231" t="s">
        <v>205</v>
      </c>
      <c r="I1163" s="281">
        <v>0</v>
      </c>
      <c r="J1163" s="249">
        <v>300</v>
      </c>
      <c r="K1163" s="231">
        <f t="shared" si="18"/>
        <v>10</v>
      </c>
      <c r="L1163" s="231"/>
      <c r="M1163" s="299" t="s">
        <v>15</v>
      </c>
      <c r="N1163" s="239"/>
      <c r="O1163" s="231">
        <v>2024</v>
      </c>
      <c r="P1163" s="285">
        <v>45299</v>
      </c>
      <c r="Q1163" s="231"/>
      <c r="R1163" s="239"/>
      <c r="S1163" s="231" t="s">
        <v>453</v>
      </c>
      <c r="T1163" s="231"/>
    </row>
    <row r="1164" spans="1:20" ht="14">
      <c r="A1164" s="231">
        <v>1163</v>
      </c>
      <c r="B1164" s="235" t="s">
        <v>52</v>
      </c>
      <c r="C1164" s="239" t="s">
        <v>10</v>
      </c>
      <c r="D1164" s="250" t="s">
        <v>2814</v>
      </c>
      <c r="E1164" s="239"/>
      <c r="F1164" s="239"/>
      <c r="G1164" s="231">
        <v>48</v>
      </c>
      <c r="H1164" s="231" t="s">
        <v>2812</v>
      </c>
      <c r="I1164" s="281">
        <v>0</v>
      </c>
      <c r="J1164" s="249">
        <v>620</v>
      </c>
      <c r="K1164" s="231">
        <f t="shared" si="18"/>
        <v>20</v>
      </c>
      <c r="L1164" s="231"/>
      <c r="M1164" s="239" t="s">
        <v>16</v>
      </c>
      <c r="N1164" s="239"/>
      <c r="O1164" s="231">
        <v>2024</v>
      </c>
      <c r="P1164" s="285">
        <v>45310</v>
      </c>
      <c r="Q1164" s="231" t="s">
        <v>2771</v>
      </c>
      <c r="R1164" s="239"/>
      <c r="S1164" s="231" t="s">
        <v>453</v>
      </c>
      <c r="T1164" s="231"/>
    </row>
    <row r="1165" spans="1:20" ht="14">
      <c r="A1165" s="231">
        <v>1164</v>
      </c>
      <c r="B1165" s="235" t="s">
        <v>52</v>
      </c>
      <c r="C1165" s="239" t="s">
        <v>10</v>
      </c>
      <c r="D1165" s="250" t="s">
        <v>2815</v>
      </c>
      <c r="E1165" s="239"/>
      <c r="F1165" s="239"/>
      <c r="G1165" s="231">
        <v>48</v>
      </c>
      <c r="H1165" s="231" t="s">
        <v>2812</v>
      </c>
      <c r="I1165" s="281">
        <v>0</v>
      </c>
      <c r="J1165" s="249">
        <v>650</v>
      </c>
      <c r="K1165" s="231">
        <f t="shared" si="18"/>
        <v>20</v>
      </c>
      <c r="L1165" s="231"/>
      <c r="M1165" s="239" t="s">
        <v>16</v>
      </c>
      <c r="N1165" s="239"/>
      <c r="O1165" s="231">
        <v>2024</v>
      </c>
      <c r="P1165" s="285">
        <v>45349</v>
      </c>
      <c r="Q1165" s="231"/>
      <c r="R1165" s="239"/>
      <c r="S1165" s="231" t="s">
        <v>453</v>
      </c>
      <c r="T1165" s="231"/>
    </row>
    <row r="1166" spans="1:20" ht="14">
      <c r="A1166" s="231">
        <v>1165</v>
      </c>
      <c r="B1166" s="235" t="s">
        <v>52</v>
      </c>
      <c r="C1166" s="239" t="s">
        <v>10</v>
      </c>
      <c r="D1166" s="250" t="s">
        <v>2816</v>
      </c>
      <c r="E1166" s="239"/>
      <c r="F1166" s="239"/>
      <c r="G1166" s="231">
        <v>48</v>
      </c>
      <c r="H1166" s="231" t="s">
        <v>2770</v>
      </c>
      <c r="I1166" s="281">
        <v>0</v>
      </c>
      <c r="J1166" s="249">
        <v>500</v>
      </c>
      <c r="K1166" s="231">
        <f t="shared" si="18"/>
        <v>20</v>
      </c>
      <c r="L1166" s="231"/>
      <c r="M1166" s="239" t="s">
        <v>16</v>
      </c>
      <c r="N1166" s="239"/>
      <c r="O1166" s="231">
        <v>2024</v>
      </c>
      <c r="P1166" s="285">
        <v>45296</v>
      </c>
      <c r="Q1166" s="231"/>
      <c r="R1166" s="239"/>
      <c r="S1166" s="231" t="s">
        <v>453</v>
      </c>
      <c r="T1166" s="231"/>
    </row>
    <row r="1167" spans="1:20" ht="14">
      <c r="A1167" s="231">
        <v>1166</v>
      </c>
      <c r="B1167" s="235" t="s">
        <v>52</v>
      </c>
      <c r="C1167" s="239" t="s">
        <v>10</v>
      </c>
      <c r="D1167" s="250" t="s">
        <v>2817</v>
      </c>
      <c r="E1167" s="239"/>
      <c r="F1167" s="239"/>
      <c r="G1167" s="231">
        <v>48</v>
      </c>
      <c r="H1167" s="231" t="s">
        <v>2767</v>
      </c>
      <c r="I1167" s="281">
        <v>0</v>
      </c>
      <c r="J1167" s="249">
        <v>300</v>
      </c>
      <c r="K1167" s="231">
        <f t="shared" si="18"/>
        <v>20</v>
      </c>
      <c r="L1167" s="231"/>
      <c r="M1167" s="239" t="s">
        <v>16</v>
      </c>
      <c r="N1167" s="239"/>
      <c r="O1167" s="231">
        <v>2024</v>
      </c>
      <c r="P1167" s="285">
        <v>45316</v>
      </c>
      <c r="Q1167" s="231"/>
      <c r="R1167" s="239"/>
      <c r="S1167" s="231" t="s">
        <v>453</v>
      </c>
      <c r="T1167" s="231"/>
    </row>
    <row r="1168" spans="1:20" ht="14">
      <c r="A1168" s="231">
        <v>1167</v>
      </c>
      <c r="B1168" s="235" t="s">
        <v>52</v>
      </c>
      <c r="C1168" s="239" t="s">
        <v>10</v>
      </c>
      <c r="D1168" s="250" t="s">
        <v>2818</v>
      </c>
      <c r="E1168" s="239"/>
      <c r="F1168" s="239"/>
      <c r="G1168" s="231">
        <v>48</v>
      </c>
      <c r="H1168" s="231" t="s">
        <v>2767</v>
      </c>
      <c r="I1168" s="281">
        <v>0</v>
      </c>
      <c r="J1168" s="249">
        <v>100</v>
      </c>
      <c r="K1168" s="231">
        <f t="shared" si="18"/>
        <v>20</v>
      </c>
      <c r="L1168" s="231"/>
      <c r="M1168" s="239" t="s">
        <v>16</v>
      </c>
      <c r="N1168" s="239"/>
      <c r="O1168" s="231">
        <v>2024</v>
      </c>
      <c r="P1168" s="285">
        <v>45325</v>
      </c>
      <c r="Q1168" s="231"/>
      <c r="R1168" s="239"/>
      <c r="S1168" s="231" t="s">
        <v>453</v>
      </c>
      <c r="T1168" s="231"/>
    </row>
    <row r="1169" spans="1:20" ht="14">
      <c r="A1169" s="231">
        <v>1168</v>
      </c>
      <c r="B1169" s="235" t="s">
        <v>53</v>
      </c>
      <c r="C1169" s="239" t="s">
        <v>10</v>
      </c>
      <c r="D1169" s="250" t="s">
        <v>2819</v>
      </c>
      <c r="E1169" s="239"/>
      <c r="F1169" s="239"/>
      <c r="G1169" s="231">
        <v>2</v>
      </c>
      <c r="H1169" s="231" t="s">
        <v>213</v>
      </c>
      <c r="I1169" s="281">
        <v>0</v>
      </c>
      <c r="J1169" s="249">
        <v>1300</v>
      </c>
      <c r="K1169" s="231">
        <f t="shared" si="18"/>
        <v>10</v>
      </c>
      <c r="L1169" s="231"/>
      <c r="M1169" s="299" t="s">
        <v>15</v>
      </c>
      <c r="N1169" s="239"/>
      <c r="O1169" s="231">
        <v>2024</v>
      </c>
      <c r="P1169" s="285">
        <v>45315</v>
      </c>
      <c r="Q1169" s="231" t="s">
        <v>2771</v>
      </c>
      <c r="R1169" s="239"/>
      <c r="S1169" s="231" t="s">
        <v>453</v>
      </c>
      <c r="T1169" s="231"/>
    </row>
    <row r="1170" spans="1:20" ht="14">
      <c r="A1170" s="231">
        <v>1169</v>
      </c>
      <c r="B1170" s="235" t="s">
        <v>52</v>
      </c>
      <c r="C1170" s="239" t="s">
        <v>10</v>
      </c>
      <c r="D1170" s="250" t="s">
        <v>2820</v>
      </c>
      <c r="E1170" s="239"/>
      <c r="F1170" s="239"/>
      <c r="G1170" s="231">
        <v>48</v>
      </c>
      <c r="H1170" s="231" t="s">
        <v>2809</v>
      </c>
      <c r="I1170" s="281">
        <v>0</v>
      </c>
      <c r="J1170" s="249">
        <v>250</v>
      </c>
      <c r="K1170" s="231">
        <f t="shared" si="18"/>
        <v>20</v>
      </c>
      <c r="L1170" s="231"/>
      <c r="M1170" s="239" t="s">
        <v>16</v>
      </c>
      <c r="N1170" s="239"/>
      <c r="O1170" s="231">
        <v>2024</v>
      </c>
      <c r="P1170" s="285">
        <v>45299</v>
      </c>
      <c r="Q1170" s="231"/>
      <c r="R1170" s="239"/>
      <c r="S1170" s="231" t="s">
        <v>453</v>
      </c>
      <c r="T1170" s="231"/>
    </row>
    <row r="1171" spans="1:20" ht="14">
      <c r="A1171" s="231">
        <v>1170</v>
      </c>
      <c r="B1171" s="235" t="s">
        <v>52</v>
      </c>
      <c r="C1171" s="239" t="s">
        <v>10</v>
      </c>
      <c r="D1171" s="250" t="s">
        <v>2821</v>
      </c>
      <c r="E1171" s="239"/>
      <c r="F1171" s="239"/>
      <c r="G1171" s="231">
        <v>48</v>
      </c>
      <c r="H1171" s="231" t="s">
        <v>2822</v>
      </c>
      <c r="I1171" s="281">
        <v>0</v>
      </c>
      <c r="J1171" s="249">
        <v>400</v>
      </c>
      <c r="K1171" s="231">
        <f t="shared" si="18"/>
        <v>10</v>
      </c>
      <c r="L1171" s="231"/>
      <c r="M1171" s="299" t="s">
        <v>15</v>
      </c>
      <c r="N1171" s="239"/>
      <c r="O1171" s="231">
        <v>2024</v>
      </c>
      <c r="P1171" s="285">
        <v>45329</v>
      </c>
      <c r="Q1171" s="231"/>
      <c r="R1171" s="239"/>
      <c r="S1171" s="231" t="s">
        <v>453</v>
      </c>
      <c r="T1171" s="231"/>
    </row>
    <row r="1172" spans="1:20" ht="14">
      <c r="A1172" s="231">
        <v>1171</v>
      </c>
      <c r="B1172" s="235" t="s">
        <v>52</v>
      </c>
      <c r="C1172" s="239" t="s">
        <v>10</v>
      </c>
      <c r="D1172" s="250" t="s">
        <v>2823</v>
      </c>
      <c r="E1172" s="239"/>
      <c r="F1172" s="239"/>
      <c r="G1172" s="231">
        <v>48</v>
      </c>
      <c r="H1172" s="231" t="s">
        <v>4563</v>
      </c>
      <c r="I1172" s="281">
        <v>0</v>
      </c>
      <c r="J1172" s="249">
        <v>700</v>
      </c>
      <c r="K1172" s="231">
        <f t="shared" si="18"/>
        <v>20</v>
      </c>
      <c r="L1172" s="231"/>
      <c r="M1172" s="239" t="s">
        <v>16</v>
      </c>
      <c r="N1172" s="239"/>
      <c r="O1172" s="231">
        <v>2024</v>
      </c>
      <c r="P1172" s="285">
        <v>45313</v>
      </c>
      <c r="Q1172" s="231" t="s">
        <v>2802</v>
      </c>
      <c r="R1172" s="239"/>
      <c r="S1172" s="231" t="s">
        <v>453</v>
      </c>
      <c r="T1172" s="231"/>
    </row>
    <row r="1173" spans="1:20" ht="14">
      <c r="A1173" s="231">
        <v>1172</v>
      </c>
      <c r="B1173" s="235" t="s">
        <v>52</v>
      </c>
      <c r="C1173" s="239" t="s">
        <v>10</v>
      </c>
      <c r="D1173" s="250" t="s">
        <v>2824</v>
      </c>
      <c r="E1173" s="239"/>
      <c r="F1173" s="239"/>
      <c r="G1173" s="231">
        <v>2</v>
      </c>
      <c r="H1173" s="231" t="s">
        <v>148</v>
      </c>
      <c r="I1173" s="281">
        <v>0</v>
      </c>
      <c r="J1173" s="249">
        <v>800</v>
      </c>
      <c r="K1173" s="231">
        <f t="shared" si="18"/>
        <v>20</v>
      </c>
      <c r="L1173" s="231"/>
      <c r="M1173" s="239" t="s">
        <v>16</v>
      </c>
      <c r="N1173" s="239"/>
      <c r="O1173" s="231">
        <v>2024</v>
      </c>
      <c r="P1173" s="285">
        <v>45322</v>
      </c>
      <c r="Q1173" s="231" t="s">
        <v>2802</v>
      </c>
      <c r="R1173" s="239"/>
      <c r="S1173" s="231" t="s">
        <v>453</v>
      </c>
      <c r="T1173" s="231"/>
    </row>
    <row r="1174" spans="1:20" ht="14">
      <c r="A1174" s="231">
        <v>1173</v>
      </c>
      <c r="B1174" s="235" t="s">
        <v>52</v>
      </c>
      <c r="C1174" s="239" t="s">
        <v>10</v>
      </c>
      <c r="D1174" s="250" t="s">
        <v>2825</v>
      </c>
      <c r="E1174" s="239"/>
      <c r="F1174" s="239"/>
      <c r="G1174" s="231">
        <v>48</v>
      </c>
      <c r="H1174" s="231" t="s">
        <v>4555</v>
      </c>
      <c r="I1174" s="281">
        <v>0</v>
      </c>
      <c r="J1174" s="249">
        <v>300</v>
      </c>
      <c r="K1174" s="231">
        <f t="shared" si="18"/>
        <v>20</v>
      </c>
      <c r="L1174" s="231"/>
      <c r="M1174" s="239" t="s">
        <v>16</v>
      </c>
      <c r="N1174" s="239"/>
      <c r="O1174" s="231">
        <v>2024</v>
      </c>
      <c r="P1174" s="285">
        <v>45296</v>
      </c>
      <c r="Q1174" s="231" t="s">
        <v>2802</v>
      </c>
      <c r="R1174" s="239"/>
      <c r="S1174" s="231" t="s">
        <v>453</v>
      </c>
      <c r="T1174" s="231"/>
    </row>
    <row r="1175" spans="1:20" ht="14">
      <c r="A1175" s="231">
        <v>1174</v>
      </c>
      <c r="B1175" s="235" t="s">
        <v>52</v>
      </c>
      <c r="C1175" s="239" t="s">
        <v>10</v>
      </c>
      <c r="D1175" s="250" t="s">
        <v>2826</v>
      </c>
      <c r="E1175" s="239"/>
      <c r="F1175" s="239"/>
      <c r="G1175" s="231">
        <v>48</v>
      </c>
      <c r="H1175" s="231" t="s">
        <v>4555</v>
      </c>
      <c r="I1175" s="281">
        <v>0</v>
      </c>
      <c r="J1175" s="249">
        <v>300</v>
      </c>
      <c r="K1175" s="231">
        <f t="shared" si="18"/>
        <v>20</v>
      </c>
      <c r="L1175" s="231"/>
      <c r="M1175" s="239" t="s">
        <v>16</v>
      </c>
      <c r="N1175" s="239"/>
      <c r="O1175" s="231">
        <v>2024</v>
      </c>
      <c r="P1175" s="285">
        <v>45304</v>
      </c>
      <c r="Q1175" s="231" t="s">
        <v>2802</v>
      </c>
      <c r="R1175" s="239"/>
      <c r="S1175" s="231" t="s">
        <v>453</v>
      </c>
      <c r="T1175" s="231"/>
    </row>
    <row r="1176" spans="1:20" ht="14">
      <c r="A1176" s="231">
        <v>1175</v>
      </c>
      <c r="B1176" s="235" t="s">
        <v>52</v>
      </c>
      <c r="C1176" s="239" t="s">
        <v>10</v>
      </c>
      <c r="D1176" s="250" t="s">
        <v>2827</v>
      </c>
      <c r="E1176" s="239"/>
      <c r="F1176" s="239"/>
      <c r="G1176" s="231">
        <v>48</v>
      </c>
      <c r="H1176" s="231" t="s">
        <v>2763</v>
      </c>
      <c r="I1176" s="281">
        <v>0</v>
      </c>
      <c r="J1176" s="249">
        <v>2000</v>
      </c>
      <c r="K1176" s="231">
        <f t="shared" si="18"/>
        <v>20</v>
      </c>
      <c r="L1176" s="231"/>
      <c r="M1176" s="239" t="s">
        <v>16</v>
      </c>
      <c r="N1176" s="239"/>
      <c r="O1176" s="231">
        <v>2024</v>
      </c>
      <c r="P1176" s="285">
        <v>45313</v>
      </c>
      <c r="Q1176" s="231" t="s">
        <v>2771</v>
      </c>
      <c r="R1176" s="239"/>
      <c r="S1176" s="231" t="s">
        <v>453</v>
      </c>
      <c r="T1176" s="231"/>
    </row>
    <row r="1177" spans="1:20" ht="14">
      <c r="A1177" s="231">
        <v>1176</v>
      </c>
      <c r="B1177" s="235" t="s">
        <v>52</v>
      </c>
      <c r="C1177" s="239" t="s">
        <v>10</v>
      </c>
      <c r="D1177" s="250" t="s">
        <v>2828</v>
      </c>
      <c r="E1177" s="239"/>
      <c r="F1177" s="239"/>
      <c r="G1177" s="231">
        <v>2</v>
      </c>
      <c r="H1177" s="231" t="s">
        <v>2763</v>
      </c>
      <c r="I1177" s="281">
        <v>0</v>
      </c>
      <c r="J1177" s="249">
        <v>300</v>
      </c>
      <c r="K1177" s="231">
        <f t="shared" si="18"/>
        <v>20</v>
      </c>
      <c r="L1177" s="231"/>
      <c r="M1177" s="239" t="s">
        <v>16</v>
      </c>
      <c r="N1177" s="239"/>
      <c r="O1177" s="231">
        <v>2024</v>
      </c>
      <c r="P1177" s="285">
        <v>45313</v>
      </c>
      <c r="Q1177" s="231" t="s">
        <v>2771</v>
      </c>
      <c r="R1177" s="239"/>
      <c r="S1177" s="231" t="s">
        <v>453</v>
      </c>
      <c r="T1177" s="231"/>
    </row>
    <row r="1178" spans="1:20" ht="14">
      <c r="A1178" s="231">
        <v>1177</v>
      </c>
      <c r="B1178" s="235" t="s">
        <v>52</v>
      </c>
      <c r="C1178" s="239" t="s">
        <v>10</v>
      </c>
      <c r="D1178" s="250" t="s">
        <v>2829</v>
      </c>
      <c r="E1178" s="239"/>
      <c r="F1178" s="239"/>
      <c r="G1178" s="231">
        <v>48</v>
      </c>
      <c r="H1178" s="231" t="s">
        <v>3060</v>
      </c>
      <c r="I1178" s="281">
        <v>0</v>
      </c>
      <c r="J1178" s="249">
        <v>150</v>
      </c>
      <c r="K1178" s="231">
        <f t="shared" si="18"/>
        <v>20</v>
      </c>
      <c r="L1178" s="231"/>
      <c r="M1178" s="239" t="s">
        <v>16</v>
      </c>
      <c r="N1178" s="239"/>
      <c r="O1178" s="231">
        <v>2024</v>
      </c>
      <c r="P1178" s="285">
        <v>45302</v>
      </c>
      <c r="Q1178" s="231" t="s">
        <v>2771</v>
      </c>
      <c r="R1178" s="239"/>
      <c r="S1178" s="231" t="s">
        <v>453</v>
      </c>
      <c r="T1178" s="231"/>
    </row>
    <row r="1179" spans="1:20" ht="14">
      <c r="A1179" s="231">
        <v>1178</v>
      </c>
      <c r="B1179" s="235" t="s">
        <v>52</v>
      </c>
      <c r="C1179" s="239" t="s">
        <v>10</v>
      </c>
      <c r="D1179" s="250" t="s">
        <v>2830</v>
      </c>
      <c r="E1179" s="239"/>
      <c r="F1179" s="239"/>
      <c r="G1179" s="231">
        <v>48</v>
      </c>
      <c r="H1179" s="231" t="s">
        <v>2853</v>
      </c>
      <c r="I1179" s="281">
        <v>0</v>
      </c>
      <c r="J1179" s="249">
        <v>2400</v>
      </c>
      <c r="K1179" s="231">
        <f t="shared" si="18"/>
        <v>10</v>
      </c>
      <c r="L1179" s="231"/>
      <c r="M1179" s="299" t="s">
        <v>15</v>
      </c>
      <c r="N1179" s="239"/>
      <c r="O1179" s="231">
        <v>2024</v>
      </c>
      <c r="P1179" s="285">
        <v>45313</v>
      </c>
      <c r="Q1179" s="231"/>
      <c r="R1179" s="239"/>
      <c r="S1179" s="231" t="s">
        <v>453</v>
      </c>
      <c r="T1179" s="231"/>
    </row>
    <row r="1180" spans="1:20" ht="14">
      <c r="A1180" s="231">
        <v>1179</v>
      </c>
      <c r="B1180" s="235" t="s">
        <v>52</v>
      </c>
      <c r="C1180" s="239" t="s">
        <v>10</v>
      </c>
      <c r="D1180" s="250" t="s">
        <v>2831</v>
      </c>
      <c r="E1180" s="239"/>
      <c r="F1180" s="239"/>
      <c r="G1180" s="231">
        <v>48</v>
      </c>
      <c r="H1180" s="231" t="s">
        <v>2773</v>
      </c>
      <c r="I1180" s="281">
        <v>0</v>
      </c>
      <c r="J1180" s="249">
        <v>300</v>
      </c>
      <c r="K1180" s="231">
        <f t="shared" si="18"/>
        <v>20</v>
      </c>
      <c r="L1180" s="231"/>
      <c r="M1180" s="239" t="s">
        <v>16</v>
      </c>
      <c r="N1180" s="239"/>
      <c r="O1180" s="231">
        <v>2024</v>
      </c>
      <c r="P1180" s="285">
        <v>45303</v>
      </c>
      <c r="Q1180" s="231" t="s">
        <v>2771</v>
      </c>
      <c r="R1180" s="239"/>
      <c r="S1180" s="231" t="s">
        <v>453</v>
      </c>
      <c r="T1180" s="231"/>
    </row>
    <row r="1181" spans="1:20" ht="14">
      <c r="A1181" s="231">
        <v>1180</v>
      </c>
      <c r="B1181" s="235" t="s">
        <v>52</v>
      </c>
      <c r="C1181" s="239" t="s">
        <v>10</v>
      </c>
      <c r="D1181" s="250" t="s">
        <v>2832</v>
      </c>
      <c r="E1181" s="239"/>
      <c r="F1181" s="231"/>
      <c r="G1181" s="231">
        <v>48</v>
      </c>
      <c r="H1181" s="231" t="s">
        <v>4269</v>
      </c>
      <c r="I1181" s="281">
        <v>0</v>
      </c>
      <c r="J1181" s="249">
        <v>500</v>
      </c>
      <c r="K1181" s="231">
        <f t="shared" si="18"/>
        <v>20</v>
      </c>
      <c r="L1181" s="231"/>
      <c r="M1181" s="239" t="s">
        <v>16</v>
      </c>
      <c r="N1181" s="239"/>
      <c r="O1181" s="231">
        <v>2024</v>
      </c>
      <c r="P1181" s="285">
        <v>45324</v>
      </c>
      <c r="Q1181" s="231" t="s">
        <v>2802</v>
      </c>
      <c r="R1181" s="239"/>
      <c r="S1181" s="231" t="s">
        <v>453</v>
      </c>
      <c r="T1181" s="231"/>
    </row>
    <row r="1182" spans="1:20" ht="14">
      <c r="A1182" s="231">
        <v>1181</v>
      </c>
      <c r="B1182" s="235" t="s">
        <v>52</v>
      </c>
      <c r="C1182" s="239" t="s">
        <v>10</v>
      </c>
      <c r="D1182" s="250" t="s">
        <v>2833</v>
      </c>
      <c r="E1182" s="239"/>
      <c r="F1182" s="231"/>
      <c r="G1182" s="231">
        <v>48</v>
      </c>
      <c r="H1182" s="231" t="s">
        <v>3524</v>
      </c>
      <c r="I1182" s="281">
        <v>0</v>
      </c>
      <c r="J1182" s="249">
        <v>400</v>
      </c>
      <c r="K1182" s="231">
        <f t="shared" si="18"/>
        <v>20</v>
      </c>
      <c r="L1182" s="231"/>
      <c r="M1182" s="239" t="s">
        <v>16</v>
      </c>
      <c r="N1182" s="239"/>
      <c r="O1182" s="231">
        <v>2024</v>
      </c>
      <c r="P1182" s="285">
        <v>45332</v>
      </c>
      <c r="Q1182" s="231" t="s">
        <v>2771</v>
      </c>
      <c r="R1182" s="239"/>
      <c r="S1182" s="231" t="s">
        <v>453</v>
      </c>
      <c r="T1182" s="231"/>
    </row>
    <row r="1183" spans="1:20" ht="14">
      <c r="A1183" s="231">
        <v>1182</v>
      </c>
      <c r="B1183" s="235" t="s">
        <v>52</v>
      </c>
      <c r="C1183" s="239" t="s">
        <v>10</v>
      </c>
      <c r="D1183" s="250" t="s">
        <v>2834</v>
      </c>
      <c r="E1183" s="239"/>
      <c r="F1183" s="231"/>
      <c r="G1183" s="231">
        <v>2</v>
      </c>
      <c r="H1183" s="231" t="s">
        <v>2763</v>
      </c>
      <c r="I1183" s="281">
        <v>0</v>
      </c>
      <c r="J1183" s="249">
        <v>300</v>
      </c>
      <c r="K1183" s="231">
        <f t="shared" si="18"/>
        <v>20</v>
      </c>
      <c r="L1183" s="231"/>
      <c r="M1183" s="239" t="s">
        <v>16</v>
      </c>
      <c r="N1183" s="239"/>
      <c r="O1183" s="231">
        <v>2024</v>
      </c>
      <c r="P1183" s="285">
        <v>45310</v>
      </c>
      <c r="Q1183" s="231"/>
      <c r="R1183" s="239"/>
      <c r="S1183" s="231" t="s">
        <v>453</v>
      </c>
      <c r="T1183" s="231"/>
    </row>
    <row r="1184" spans="1:20" ht="14">
      <c r="A1184" s="231">
        <v>1183</v>
      </c>
      <c r="B1184" s="235" t="s">
        <v>52</v>
      </c>
      <c r="C1184" s="239" t="s">
        <v>10</v>
      </c>
      <c r="D1184" s="250" t="s">
        <v>2835</v>
      </c>
      <c r="E1184" s="239"/>
      <c r="F1184" s="231"/>
      <c r="G1184" s="231">
        <v>2</v>
      </c>
      <c r="H1184" s="231" t="s">
        <v>4555</v>
      </c>
      <c r="I1184" s="281">
        <v>0</v>
      </c>
      <c r="J1184" s="249">
        <v>300</v>
      </c>
      <c r="K1184" s="231">
        <f t="shared" si="18"/>
        <v>20</v>
      </c>
      <c r="L1184" s="231"/>
      <c r="M1184" s="239" t="s">
        <v>16</v>
      </c>
      <c r="N1184" s="239"/>
      <c r="O1184" s="231">
        <v>2024</v>
      </c>
      <c r="P1184" s="285">
        <v>45313</v>
      </c>
      <c r="Q1184" s="231"/>
      <c r="R1184" s="239"/>
      <c r="S1184" s="231" t="s">
        <v>453</v>
      </c>
      <c r="T1184" s="231"/>
    </row>
    <row r="1185" spans="1:20" ht="14">
      <c r="A1185" s="231">
        <v>1184</v>
      </c>
      <c r="B1185" s="235" t="s">
        <v>52</v>
      </c>
      <c r="C1185" s="239" t="s">
        <v>10</v>
      </c>
      <c r="D1185" s="250" t="s">
        <v>2836</v>
      </c>
      <c r="E1185" s="239"/>
      <c r="F1185" s="231"/>
      <c r="G1185" s="231">
        <v>48</v>
      </c>
      <c r="H1185" s="231" t="s">
        <v>4555</v>
      </c>
      <c r="I1185" s="281">
        <v>0</v>
      </c>
      <c r="J1185" s="249">
        <v>300</v>
      </c>
      <c r="K1185" s="231">
        <f t="shared" si="18"/>
        <v>20</v>
      </c>
      <c r="L1185" s="231"/>
      <c r="M1185" s="239" t="s">
        <v>16</v>
      </c>
      <c r="N1185" s="239"/>
      <c r="O1185" s="231">
        <v>2024</v>
      </c>
      <c r="P1185" s="285">
        <v>45316</v>
      </c>
      <c r="Q1185" s="231"/>
      <c r="R1185" s="239"/>
      <c r="S1185" s="231" t="s">
        <v>453</v>
      </c>
      <c r="T1185" s="231"/>
    </row>
    <row r="1186" spans="1:20" ht="14">
      <c r="A1186" s="231">
        <v>1185</v>
      </c>
      <c r="B1186" s="235" t="s">
        <v>52</v>
      </c>
      <c r="C1186" s="239" t="s">
        <v>10</v>
      </c>
      <c r="D1186" s="250" t="s">
        <v>2837</v>
      </c>
      <c r="E1186" s="239"/>
      <c r="F1186" s="231"/>
      <c r="G1186" s="231">
        <v>2</v>
      </c>
      <c r="H1186" s="231" t="s">
        <v>4555</v>
      </c>
      <c r="I1186" s="281">
        <v>0</v>
      </c>
      <c r="J1186" s="249">
        <v>1310</v>
      </c>
      <c r="K1186" s="231">
        <f t="shared" si="18"/>
        <v>20</v>
      </c>
      <c r="L1186" s="231"/>
      <c r="M1186" s="239" t="s">
        <v>16</v>
      </c>
      <c r="N1186" s="239"/>
      <c r="O1186" s="231">
        <v>2024</v>
      </c>
      <c r="P1186" s="285">
        <v>45313</v>
      </c>
      <c r="Q1186" s="231"/>
      <c r="R1186" s="239"/>
      <c r="S1186" s="231" t="s">
        <v>453</v>
      </c>
      <c r="T1186" s="231"/>
    </row>
    <row r="1187" spans="1:20" ht="14">
      <c r="A1187" s="231">
        <v>1186</v>
      </c>
      <c r="B1187" s="235" t="s">
        <v>52</v>
      </c>
      <c r="C1187" s="239" t="s">
        <v>10</v>
      </c>
      <c r="D1187" s="250" t="s">
        <v>2838</v>
      </c>
      <c r="E1187" s="239"/>
      <c r="F1187" s="231"/>
      <c r="G1187" s="231">
        <v>48</v>
      </c>
      <c r="H1187" s="231" t="s">
        <v>2822</v>
      </c>
      <c r="I1187" s="281">
        <v>0</v>
      </c>
      <c r="J1187" s="249">
        <v>550</v>
      </c>
      <c r="K1187" s="231">
        <f t="shared" si="18"/>
        <v>10</v>
      </c>
      <c r="L1187" s="231"/>
      <c r="M1187" s="299" t="s">
        <v>15</v>
      </c>
      <c r="N1187" s="239"/>
      <c r="O1187" s="231">
        <v>2024</v>
      </c>
      <c r="P1187" s="285">
        <v>45328</v>
      </c>
      <c r="Q1187" s="231"/>
      <c r="R1187" s="239"/>
      <c r="S1187" s="231" t="s">
        <v>453</v>
      </c>
      <c r="T1187" s="231"/>
    </row>
    <row r="1188" spans="1:20" ht="14">
      <c r="A1188" s="231">
        <v>1187</v>
      </c>
      <c r="B1188" s="235" t="s">
        <v>52</v>
      </c>
      <c r="C1188" s="239" t="s">
        <v>10</v>
      </c>
      <c r="D1188" s="250" t="s">
        <v>2839</v>
      </c>
      <c r="E1188" s="239"/>
      <c r="F1188" s="231"/>
      <c r="G1188" s="231">
        <v>48</v>
      </c>
      <c r="H1188" s="231" t="s">
        <v>582</v>
      </c>
      <c r="I1188" s="281">
        <v>0</v>
      </c>
      <c r="J1188" s="249">
        <v>350</v>
      </c>
      <c r="K1188" s="231">
        <f t="shared" si="18"/>
        <v>20</v>
      </c>
      <c r="L1188" s="231"/>
      <c r="M1188" s="239" t="s">
        <v>16</v>
      </c>
      <c r="N1188" s="239"/>
      <c r="O1188" s="231">
        <v>2024</v>
      </c>
      <c r="P1188" s="285">
        <v>45325</v>
      </c>
      <c r="Q1188" s="231"/>
      <c r="R1188" s="239"/>
      <c r="S1188" s="231" t="s">
        <v>453</v>
      </c>
      <c r="T1188" s="231"/>
    </row>
    <row r="1189" spans="1:20" ht="14">
      <c r="A1189" s="231">
        <v>1188</v>
      </c>
      <c r="B1189" s="235" t="s">
        <v>52</v>
      </c>
      <c r="C1189" s="239" t="s">
        <v>10</v>
      </c>
      <c r="D1189" s="250" t="s">
        <v>4712</v>
      </c>
      <c r="E1189" s="239"/>
      <c r="F1189" s="231"/>
      <c r="G1189" s="231">
        <v>48</v>
      </c>
      <c r="H1189" s="231" t="s">
        <v>2789</v>
      </c>
      <c r="I1189" s="281">
        <v>0</v>
      </c>
      <c r="J1189" s="249">
        <v>3500</v>
      </c>
      <c r="K1189" s="231">
        <f t="shared" si="18"/>
        <v>20</v>
      </c>
      <c r="L1189" s="231"/>
      <c r="M1189" s="299" t="s">
        <v>15</v>
      </c>
      <c r="N1189" s="239"/>
      <c r="O1189" s="231">
        <v>2024</v>
      </c>
      <c r="P1189" s="285">
        <v>45332</v>
      </c>
      <c r="Q1189" s="231"/>
      <c r="R1189" s="239"/>
      <c r="S1189" s="231" t="s">
        <v>453</v>
      </c>
      <c r="T1189" s="231"/>
    </row>
    <row r="1190" spans="1:20" ht="14">
      <c r="A1190" s="231">
        <v>1189</v>
      </c>
      <c r="B1190" s="235" t="s">
        <v>52</v>
      </c>
      <c r="C1190" s="239" t="s">
        <v>10</v>
      </c>
      <c r="D1190" s="250" t="s">
        <v>2840</v>
      </c>
      <c r="E1190" s="239"/>
      <c r="F1190" s="231"/>
      <c r="G1190" s="231">
        <v>2</v>
      </c>
      <c r="H1190" s="231" t="s">
        <v>2773</v>
      </c>
      <c r="I1190" s="281">
        <v>0</v>
      </c>
      <c r="J1190" s="249">
        <v>350</v>
      </c>
      <c r="K1190" s="231">
        <f t="shared" si="18"/>
        <v>20</v>
      </c>
      <c r="L1190" s="231"/>
      <c r="M1190" s="239" t="s">
        <v>16</v>
      </c>
      <c r="N1190" s="239"/>
      <c r="O1190" s="231">
        <v>2024</v>
      </c>
      <c r="P1190" s="285">
        <v>45332</v>
      </c>
      <c r="Q1190" s="231"/>
      <c r="R1190" s="239"/>
      <c r="S1190" s="231" t="s">
        <v>453</v>
      </c>
      <c r="T1190" s="231"/>
    </row>
    <row r="1191" spans="1:20" ht="14">
      <c r="A1191" s="231">
        <v>1190</v>
      </c>
      <c r="B1191" s="235" t="s">
        <v>52</v>
      </c>
      <c r="C1191" s="239" t="s">
        <v>10</v>
      </c>
      <c r="D1191" s="250" t="s">
        <v>2841</v>
      </c>
      <c r="E1191" s="239"/>
      <c r="F1191" s="231"/>
      <c r="G1191" s="231">
        <v>2</v>
      </c>
      <c r="H1191" s="231" t="s">
        <v>3542</v>
      </c>
      <c r="I1191" s="281">
        <v>0</v>
      </c>
      <c r="J1191" s="249">
        <v>700</v>
      </c>
      <c r="K1191" s="231">
        <f t="shared" si="18"/>
        <v>20</v>
      </c>
      <c r="L1191" s="231"/>
      <c r="M1191" s="239" t="s">
        <v>16</v>
      </c>
      <c r="N1191" s="239"/>
      <c r="O1191" s="231">
        <v>2024</v>
      </c>
      <c r="P1191" s="285">
        <v>45317</v>
      </c>
      <c r="Q1191" s="231"/>
      <c r="R1191" s="239"/>
      <c r="S1191" s="231" t="s">
        <v>453</v>
      </c>
      <c r="T1191" s="231"/>
    </row>
    <row r="1192" spans="1:20" ht="14">
      <c r="A1192" s="231">
        <v>1191</v>
      </c>
      <c r="B1192" s="235" t="s">
        <v>52</v>
      </c>
      <c r="C1192" s="239" t="s">
        <v>10</v>
      </c>
      <c r="D1192" s="250" t="s">
        <v>2842</v>
      </c>
      <c r="E1192" s="239"/>
      <c r="F1192" s="231"/>
      <c r="G1192" s="231">
        <v>48</v>
      </c>
      <c r="H1192" s="231" t="s">
        <v>4265</v>
      </c>
      <c r="I1192" s="281">
        <v>0</v>
      </c>
      <c r="J1192" s="249">
        <v>500</v>
      </c>
      <c r="K1192" s="231">
        <f t="shared" si="18"/>
        <v>20</v>
      </c>
      <c r="L1192" s="231"/>
      <c r="M1192" s="239" t="s">
        <v>16</v>
      </c>
      <c r="N1192" s="239"/>
      <c r="O1192" s="231">
        <v>2024</v>
      </c>
      <c r="P1192" s="325">
        <v>45324</v>
      </c>
      <c r="Q1192" s="231"/>
      <c r="R1192" s="239"/>
      <c r="S1192" s="231" t="s">
        <v>453</v>
      </c>
      <c r="T1192" s="231"/>
    </row>
    <row r="1193" spans="1:20" ht="14">
      <c r="A1193" s="231">
        <v>1192</v>
      </c>
      <c r="B1193" s="235" t="s">
        <v>55</v>
      </c>
      <c r="C1193" s="239" t="s">
        <v>10</v>
      </c>
      <c r="D1193" s="250" t="s">
        <v>2843</v>
      </c>
      <c r="E1193" s="239"/>
      <c r="F1193" s="231"/>
      <c r="G1193" s="231">
        <v>2</v>
      </c>
      <c r="H1193" s="231" t="s">
        <v>140</v>
      </c>
      <c r="I1193" s="281">
        <v>0</v>
      </c>
      <c r="J1193" s="249">
        <v>500</v>
      </c>
      <c r="K1193" s="231">
        <f t="shared" si="18"/>
        <v>20</v>
      </c>
      <c r="L1193" s="231"/>
      <c r="M1193" s="239" t="s">
        <v>16</v>
      </c>
      <c r="N1193" s="239"/>
      <c r="O1193" s="231">
        <v>2024</v>
      </c>
      <c r="P1193" s="325">
        <v>45324</v>
      </c>
      <c r="Q1193" s="231"/>
      <c r="R1193" s="239"/>
      <c r="S1193" s="231" t="s">
        <v>453</v>
      </c>
      <c r="T1193" s="231"/>
    </row>
    <row r="1194" spans="1:20" ht="14">
      <c r="A1194" s="231">
        <v>1193</v>
      </c>
      <c r="B1194" s="235" t="s">
        <v>52</v>
      </c>
      <c r="C1194" s="239" t="s">
        <v>10</v>
      </c>
      <c r="D1194" s="250" t="s">
        <v>2844</v>
      </c>
      <c r="E1194" s="239"/>
      <c r="F1194" s="231"/>
      <c r="G1194" s="231">
        <v>2</v>
      </c>
      <c r="H1194" s="231" t="s">
        <v>2773</v>
      </c>
      <c r="I1194" s="281">
        <v>0</v>
      </c>
      <c r="J1194" s="249">
        <v>450</v>
      </c>
      <c r="K1194" s="231">
        <f t="shared" si="18"/>
        <v>20</v>
      </c>
      <c r="L1194" s="231"/>
      <c r="M1194" s="239" t="s">
        <v>16</v>
      </c>
      <c r="N1194" s="239"/>
      <c r="O1194" s="231">
        <v>2024</v>
      </c>
      <c r="P1194" s="325">
        <v>45324</v>
      </c>
      <c r="Q1194" s="231"/>
      <c r="R1194" s="239"/>
      <c r="S1194" s="231" t="s">
        <v>453</v>
      </c>
      <c r="T1194" s="231"/>
    </row>
    <row r="1195" spans="1:20" ht="14">
      <c r="A1195" s="231">
        <v>1194</v>
      </c>
      <c r="B1195" s="235" t="s">
        <v>52</v>
      </c>
      <c r="C1195" s="239" t="s">
        <v>10</v>
      </c>
      <c r="D1195" s="250" t="s">
        <v>2845</v>
      </c>
      <c r="E1195" s="239"/>
      <c r="F1195" s="231"/>
      <c r="G1195" s="231">
        <v>48</v>
      </c>
      <c r="H1195" s="231" t="s">
        <v>2773</v>
      </c>
      <c r="I1195" s="281">
        <v>0</v>
      </c>
      <c r="J1195" s="249">
        <v>350</v>
      </c>
      <c r="K1195" s="231">
        <f t="shared" si="18"/>
        <v>20</v>
      </c>
      <c r="L1195" s="231"/>
      <c r="M1195" s="239" t="s">
        <v>16</v>
      </c>
      <c r="N1195" s="239"/>
      <c r="O1195" s="231">
        <v>2024</v>
      </c>
      <c r="P1195" s="325">
        <v>45320</v>
      </c>
      <c r="Q1195" s="231"/>
      <c r="R1195" s="239"/>
      <c r="S1195" s="231" t="s">
        <v>453</v>
      </c>
      <c r="T1195" s="231"/>
    </row>
    <row r="1196" spans="1:20" ht="14">
      <c r="A1196" s="231">
        <v>1195</v>
      </c>
      <c r="B1196" s="235" t="s">
        <v>52</v>
      </c>
      <c r="C1196" s="239" t="s">
        <v>10</v>
      </c>
      <c r="D1196" s="250" t="s">
        <v>2846</v>
      </c>
      <c r="E1196" s="239"/>
      <c r="F1196" s="231"/>
      <c r="G1196" s="231">
        <v>2</v>
      </c>
      <c r="H1196" s="231" t="s">
        <v>3060</v>
      </c>
      <c r="I1196" s="281">
        <v>0</v>
      </c>
      <c r="J1196" s="249">
        <v>300</v>
      </c>
      <c r="K1196" s="231">
        <f t="shared" si="18"/>
        <v>20</v>
      </c>
      <c r="L1196" s="231"/>
      <c r="M1196" s="239" t="s">
        <v>16</v>
      </c>
      <c r="N1196" s="239"/>
      <c r="O1196" s="231">
        <v>2024</v>
      </c>
      <c r="P1196" s="325">
        <v>45343</v>
      </c>
      <c r="Q1196" s="231"/>
      <c r="R1196" s="239"/>
      <c r="S1196" s="231" t="s">
        <v>453</v>
      </c>
      <c r="T1196" s="231"/>
    </row>
    <row r="1197" spans="1:20" ht="14">
      <c r="A1197" s="231">
        <v>1196</v>
      </c>
      <c r="B1197" s="235" t="s">
        <v>52</v>
      </c>
      <c r="C1197" s="239" t="s">
        <v>10</v>
      </c>
      <c r="D1197" s="250" t="s">
        <v>2847</v>
      </c>
      <c r="E1197" s="239"/>
      <c r="F1197" s="231"/>
      <c r="G1197" s="231">
        <v>48</v>
      </c>
      <c r="H1197" s="231" t="s">
        <v>2763</v>
      </c>
      <c r="I1197" s="281">
        <v>0</v>
      </c>
      <c r="J1197" s="249">
        <v>300</v>
      </c>
      <c r="K1197" s="231">
        <f t="shared" si="18"/>
        <v>20</v>
      </c>
      <c r="L1197" s="231"/>
      <c r="M1197" s="239" t="s">
        <v>16</v>
      </c>
      <c r="N1197" s="239"/>
      <c r="O1197" s="231">
        <v>2024</v>
      </c>
      <c r="P1197" s="325">
        <v>45330</v>
      </c>
      <c r="Q1197" s="231"/>
      <c r="R1197" s="239"/>
      <c r="S1197" s="231" t="s">
        <v>453</v>
      </c>
      <c r="T1197" s="231"/>
    </row>
    <row r="1198" spans="1:20" ht="14">
      <c r="A1198" s="231">
        <v>1197</v>
      </c>
      <c r="B1198" s="235" t="s">
        <v>52</v>
      </c>
      <c r="C1198" s="239" t="s">
        <v>10</v>
      </c>
      <c r="D1198" s="250" t="s">
        <v>2848</v>
      </c>
      <c r="E1198" s="239"/>
      <c r="F1198" s="231"/>
      <c r="G1198" s="231">
        <v>48</v>
      </c>
      <c r="H1198" s="231" t="s">
        <v>189</v>
      </c>
      <c r="I1198" s="281">
        <v>0</v>
      </c>
      <c r="J1198" s="249">
        <v>300</v>
      </c>
      <c r="K1198" s="231">
        <f t="shared" si="18"/>
        <v>20</v>
      </c>
      <c r="L1198" s="231"/>
      <c r="M1198" s="239" t="s">
        <v>16</v>
      </c>
      <c r="N1198" s="239"/>
      <c r="O1198" s="231">
        <v>2024</v>
      </c>
      <c r="P1198" s="325">
        <v>45355</v>
      </c>
      <c r="Q1198" s="231"/>
      <c r="R1198" s="239"/>
      <c r="S1198" s="231" t="s">
        <v>453</v>
      </c>
      <c r="T1198" s="231"/>
    </row>
    <row r="1199" spans="1:20" ht="14">
      <c r="A1199" s="231">
        <v>1198</v>
      </c>
      <c r="B1199" s="235" t="s">
        <v>52</v>
      </c>
      <c r="C1199" s="239" t="s">
        <v>10</v>
      </c>
      <c r="D1199" s="250" t="s">
        <v>2849</v>
      </c>
      <c r="E1199" s="239"/>
      <c r="F1199" s="231"/>
      <c r="G1199" s="231">
        <v>48</v>
      </c>
      <c r="H1199" s="231" t="s">
        <v>2763</v>
      </c>
      <c r="I1199" s="281">
        <v>0</v>
      </c>
      <c r="J1199" s="249">
        <v>500</v>
      </c>
      <c r="K1199" s="231">
        <f t="shared" si="18"/>
        <v>20</v>
      </c>
      <c r="L1199" s="231"/>
      <c r="M1199" s="239" t="s">
        <v>16</v>
      </c>
      <c r="N1199" s="239"/>
      <c r="O1199" s="231">
        <v>2024</v>
      </c>
      <c r="P1199" s="325">
        <v>45341</v>
      </c>
      <c r="Q1199" s="231"/>
      <c r="R1199" s="239"/>
      <c r="S1199" s="231" t="s">
        <v>453</v>
      </c>
      <c r="T1199" s="231"/>
    </row>
    <row r="1200" spans="1:20" ht="14">
      <c r="A1200" s="231">
        <v>1199</v>
      </c>
      <c r="B1200" s="235" t="s">
        <v>52</v>
      </c>
      <c r="C1200" s="239" t="s">
        <v>10</v>
      </c>
      <c r="D1200" s="250" t="s">
        <v>2850</v>
      </c>
      <c r="E1200" s="239"/>
      <c r="F1200" s="231"/>
      <c r="G1200" s="231">
        <v>48</v>
      </c>
      <c r="H1200" s="231" t="s">
        <v>3063</v>
      </c>
      <c r="I1200" s="281">
        <v>0</v>
      </c>
      <c r="J1200" s="249">
        <v>850</v>
      </c>
      <c r="K1200" s="231">
        <f t="shared" si="18"/>
        <v>20</v>
      </c>
      <c r="L1200" s="231"/>
      <c r="M1200" s="239" t="s">
        <v>16</v>
      </c>
      <c r="N1200" s="239"/>
      <c r="O1200" s="231">
        <v>2024</v>
      </c>
      <c r="P1200" s="325">
        <v>45344</v>
      </c>
      <c r="Q1200" s="231"/>
      <c r="R1200" s="239"/>
      <c r="S1200" s="231" t="s">
        <v>453</v>
      </c>
      <c r="T1200" s="231"/>
    </row>
    <row r="1201" spans="1:20" ht="14">
      <c r="A1201" s="231">
        <v>1200</v>
      </c>
      <c r="B1201" s="235" t="s">
        <v>52</v>
      </c>
      <c r="C1201" s="239" t="s">
        <v>10</v>
      </c>
      <c r="D1201" s="250" t="s">
        <v>2851</v>
      </c>
      <c r="E1201" s="239"/>
      <c r="F1201" s="231"/>
      <c r="G1201" s="231">
        <v>48</v>
      </c>
      <c r="H1201" s="231" t="s">
        <v>2763</v>
      </c>
      <c r="I1201" s="281">
        <v>0</v>
      </c>
      <c r="J1201" s="249">
        <v>150</v>
      </c>
      <c r="K1201" s="231">
        <f t="shared" si="18"/>
        <v>20</v>
      </c>
      <c r="L1201" s="231"/>
      <c r="M1201" s="239" t="s">
        <v>16</v>
      </c>
      <c r="N1201" s="239"/>
      <c r="O1201" s="231">
        <v>2024</v>
      </c>
      <c r="P1201" s="325">
        <v>45337</v>
      </c>
      <c r="Q1201" s="231"/>
      <c r="R1201" s="239"/>
      <c r="S1201" s="231" t="s">
        <v>453</v>
      </c>
      <c r="T1201" s="231"/>
    </row>
    <row r="1202" spans="1:20" ht="14">
      <c r="A1202" s="231">
        <v>1201</v>
      </c>
      <c r="B1202" s="235" t="s">
        <v>52</v>
      </c>
      <c r="C1202" s="239" t="s">
        <v>10</v>
      </c>
      <c r="D1202" s="250" t="s">
        <v>2852</v>
      </c>
      <c r="E1202" s="239"/>
      <c r="F1202" s="231"/>
      <c r="G1202" s="231">
        <v>48</v>
      </c>
      <c r="H1202" s="231" t="s">
        <v>2853</v>
      </c>
      <c r="I1202" s="281">
        <v>0</v>
      </c>
      <c r="J1202" s="249">
        <v>350</v>
      </c>
      <c r="K1202" s="231">
        <f t="shared" si="18"/>
        <v>20</v>
      </c>
      <c r="L1202" s="231"/>
      <c r="M1202" s="239" t="s">
        <v>16</v>
      </c>
      <c r="N1202" s="239"/>
      <c r="O1202" s="231">
        <v>2024</v>
      </c>
      <c r="P1202" s="325">
        <v>45341</v>
      </c>
      <c r="Q1202" s="231"/>
      <c r="R1202" s="239"/>
      <c r="S1202" s="231" t="s">
        <v>453</v>
      </c>
      <c r="T1202" s="231"/>
    </row>
    <row r="1203" spans="1:20" ht="14">
      <c r="A1203" s="231">
        <v>1202</v>
      </c>
      <c r="B1203" s="235" t="s">
        <v>52</v>
      </c>
      <c r="C1203" s="239" t="s">
        <v>10</v>
      </c>
      <c r="D1203" s="250" t="s">
        <v>2854</v>
      </c>
      <c r="E1203" s="239"/>
      <c r="F1203" s="231"/>
      <c r="G1203" s="231">
        <v>48</v>
      </c>
      <c r="H1203" s="231" t="s">
        <v>187</v>
      </c>
      <c r="I1203" s="281">
        <v>0</v>
      </c>
      <c r="J1203" s="249">
        <v>350</v>
      </c>
      <c r="K1203" s="231">
        <f t="shared" si="18"/>
        <v>10</v>
      </c>
      <c r="L1203" s="231"/>
      <c r="M1203" s="299" t="s">
        <v>15</v>
      </c>
      <c r="N1203" s="239"/>
      <c r="O1203" s="231">
        <v>2024</v>
      </c>
      <c r="P1203" s="325">
        <v>45343</v>
      </c>
      <c r="Q1203" s="231"/>
      <c r="R1203" s="239"/>
      <c r="S1203" s="231" t="s">
        <v>453</v>
      </c>
      <c r="T1203" s="231"/>
    </row>
    <row r="1204" spans="1:20" ht="14">
      <c r="A1204" s="231">
        <v>1203</v>
      </c>
      <c r="B1204" s="235" t="s">
        <v>52</v>
      </c>
      <c r="C1204" s="239" t="s">
        <v>10</v>
      </c>
      <c r="D1204" s="250" t="s">
        <v>2855</v>
      </c>
      <c r="E1204" s="239"/>
      <c r="F1204" s="231"/>
      <c r="G1204" s="231">
        <v>2</v>
      </c>
      <c r="H1204" s="231" t="s">
        <v>2773</v>
      </c>
      <c r="I1204" s="281">
        <v>0</v>
      </c>
      <c r="J1204" s="249">
        <v>300</v>
      </c>
      <c r="K1204" s="231">
        <f t="shared" si="18"/>
        <v>20</v>
      </c>
      <c r="L1204" s="231"/>
      <c r="M1204" s="239" t="s">
        <v>16</v>
      </c>
      <c r="N1204" s="239"/>
      <c r="O1204" s="231">
        <v>2024</v>
      </c>
      <c r="P1204" s="325">
        <v>45325</v>
      </c>
      <c r="Q1204" s="231"/>
      <c r="R1204" s="239"/>
      <c r="S1204" s="231" t="s">
        <v>453</v>
      </c>
      <c r="T1204" s="231"/>
    </row>
    <row r="1205" spans="1:20" ht="14">
      <c r="A1205" s="231">
        <v>1204</v>
      </c>
      <c r="B1205" s="235" t="s">
        <v>52</v>
      </c>
      <c r="C1205" s="239" t="s">
        <v>10</v>
      </c>
      <c r="D1205" s="250" t="s">
        <v>2856</v>
      </c>
      <c r="E1205" s="239"/>
      <c r="F1205" s="231"/>
      <c r="G1205" s="231">
        <v>48</v>
      </c>
      <c r="H1205" s="231" t="s">
        <v>2765</v>
      </c>
      <c r="I1205" s="281">
        <v>0</v>
      </c>
      <c r="J1205" s="249">
        <v>300</v>
      </c>
      <c r="K1205" s="231">
        <f t="shared" si="18"/>
        <v>20</v>
      </c>
      <c r="L1205" s="231"/>
      <c r="M1205" s="239" t="s">
        <v>16</v>
      </c>
      <c r="N1205" s="239"/>
      <c r="O1205" s="231">
        <v>2024</v>
      </c>
      <c r="P1205" s="325">
        <v>45352</v>
      </c>
      <c r="Q1205" s="231"/>
      <c r="R1205" s="239"/>
      <c r="S1205" s="231" t="s">
        <v>453</v>
      </c>
      <c r="T1205" s="231"/>
    </row>
    <row r="1206" spans="1:20" ht="14">
      <c r="A1206" s="231">
        <v>1205</v>
      </c>
      <c r="B1206" s="235" t="s">
        <v>49</v>
      </c>
      <c r="C1206" s="239" t="s">
        <v>10</v>
      </c>
      <c r="D1206" s="250" t="s">
        <v>2857</v>
      </c>
      <c r="E1206" s="239"/>
      <c r="F1206" s="231"/>
      <c r="G1206" s="231">
        <v>2</v>
      </c>
      <c r="H1206" s="231" t="s">
        <v>452</v>
      </c>
      <c r="I1206" s="281">
        <v>0</v>
      </c>
      <c r="J1206" s="249">
        <v>500</v>
      </c>
      <c r="K1206" s="231">
        <f t="shared" si="18"/>
        <v>20</v>
      </c>
      <c r="L1206" s="231"/>
      <c r="M1206" s="239" t="s">
        <v>16</v>
      </c>
      <c r="N1206" s="239"/>
      <c r="O1206" s="231">
        <v>2024</v>
      </c>
      <c r="P1206" s="325">
        <v>45359</v>
      </c>
      <c r="Q1206" s="231"/>
      <c r="R1206" s="239"/>
      <c r="S1206" s="231" t="s">
        <v>453</v>
      </c>
      <c r="T1206" s="231"/>
    </row>
    <row r="1207" spans="1:20" ht="14">
      <c r="A1207" s="231">
        <v>1206</v>
      </c>
      <c r="B1207" s="235" t="s">
        <v>52</v>
      </c>
      <c r="C1207" s="239" t="s">
        <v>10</v>
      </c>
      <c r="D1207" s="250" t="s">
        <v>2858</v>
      </c>
      <c r="E1207" s="239"/>
      <c r="F1207" s="231"/>
      <c r="G1207" s="231">
        <v>48</v>
      </c>
      <c r="H1207" s="231" t="s">
        <v>2859</v>
      </c>
      <c r="I1207" s="281">
        <v>0</v>
      </c>
      <c r="J1207" s="249">
        <v>1800</v>
      </c>
      <c r="K1207" s="231">
        <f t="shared" si="18"/>
        <v>20</v>
      </c>
      <c r="L1207" s="231"/>
      <c r="M1207" s="239" t="s">
        <v>16</v>
      </c>
      <c r="N1207" s="239"/>
      <c r="O1207" s="231">
        <v>2024</v>
      </c>
      <c r="P1207" s="285">
        <v>45346</v>
      </c>
      <c r="Q1207" s="231"/>
      <c r="R1207" s="239"/>
      <c r="S1207" s="231" t="s">
        <v>453</v>
      </c>
      <c r="T1207" s="231"/>
    </row>
    <row r="1208" spans="1:20" ht="14">
      <c r="A1208" s="231">
        <v>1207</v>
      </c>
      <c r="B1208" s="235" t="s">
        <v>52</v>
      </c>
      <c r="C1208" s="239" t="s">
        <v>10</v>
      </c>
      <c r="D1208" s="250" t="s">
        <v>2860</v>
      </c>
      <c r="E1208" s="239"/>
      <c r="F1208" s="231"/>
      <c r="G1208" s="231">
        <v>48</v>
      </c>
      <c r="H1208" s="231" t="s">
        <v>2763</v>
      </c>
      <c r="I1208" s="281">
        <v>0</v>
      </c>
      <c r="J1208" s="249">
        <v>500</v>
      </c>
      <c r="K1208" s="231">
        <f t="shared" si="18"/>
        <v>20</v>
      </c>
      <c r="L1208" s="231"/>
      <c r="M1208" s="239" t="s">
        <v>16</v>
      </c>
      <c r="N1208" s="239"/>
      <c r="O1208" s="231">
        <v>2024</v>
      </c>
      <c r="P1208" s="285">
        <v>45363</v>
      </c>
      <c r="Q1208" s="325"/>
      <c r="R1208" s="239"/>
      <c r="S1208" s="231" t="s">
        <v>453</v>
      </c>
      <c r="T1208" s="231"/>
    </row>
    <row r="1209" spans="1:20" ht="14">
      <c r="A1209" s="231">
        <v>1208</v>
      </c>
      <c r="B1209" s="235" t="s">
        <v>52</v>
      </c>
      <c r="C1209" s="239" t="s">
        <v>10</v>
      </c>
      <c r="D1209" s="250" t="s">
        <v>2861</v>
      </c>
      <c r="E1209" s="239"/>
      <c r="F1209" s="231"/>
      <c r="G1209" s="231">
        <v>48</v>
      </c>
      <c r="H1209" s="231" t="s">
        <v>2763</v>
      </c>
      <c r="I1209" s="281">
        <v>0</v>
      </c>
      <c r="J1209" s="249">
        <v>400</v>
      </c>
      <c r="K1209" s="231">
        <f t="shared" si="18"/>
        <v>20</v>
      </c>
      <c r="L1209" s="231"/>
      <c r="M1209" s="239" t="s">
        <v>16</v>
      </c>
      <c r="N1209" s="239"/>
      <c r="O1209" s="231">
        <v>2024</v>
      </c>
      <c r="P1209" s="285">
        <v>45351</v>
      </c>
      <c r="Q1209" s="325"/>
      <c r="R1209" s="239"/>
      <c r="S1209" s="231" t="s">
        <v>453</v>
      </c>
      <c r="T1209" s="231"/>
    </row>
    <row r="1210" spans="1:20" ht="14">
      <c r="A1210" s="231">
        <v>1209</v>
      </c>
      <c r="B1210" s="235" t="s">
        <v>52</v>
      </c>
      <c r="C1210" s="239" t="s">
        <v>10</v>
      </c>
      <c r="D1210" s="250" t="s">
        <v>2862</v>
      </c>
      <c r="E1210" s="239"/>
      <c r="F1210" s="231"/>
      <c r="G1210" s="231">
        <v>48</v>
      </c>
      <c r="H1210" s="231" t="s">
        <v>2773</v>
      </c>
      <c r="I1210" s="281">
        <v>0</v>
      </c>
      <c r="J1210" s="249">
        <v>250</v>
      </c>
      <c r="K1210" s="231">
        <f t="shared" si="18"/>
        <v>20</v>
      </c>
      <c r="L1210" s="231"/>
      <c r="M1210" s="239" t="s">
        <v>16</v>
      </c>
      <c r="N1210" s="239"/>
      <c r="O1210" s="231">
        <v>2024</v>
      </c>
      <c r="P1210" s="285">
        <v>45328</v>
      </c>
      <c r="Q1210" s="325"/>
      <c r="R1210" s="239"/>
      <c r="S1210" s="231" t="s">
        <v>453</v>
      </c>
      <c r="T1210" s="231"/>
    </row>
    <row r="1211" spans="1:20" ht="14">
      <c r="A1211" s="231">
        <v>1210</v>
      </c>
      <c r="B1211" s="235" t="s">
        <v>52</v>
      </c>
      <c r="C1211" s="239" t="s">
        <v>10</v>
      </c>
      <c r="D1211" s="250" t="s">
        <v>2863</v>
      </c>
      <c r="E1211" s="239"/>
      <c r="F1211" s="231"/>
      <c r="G1211" s="231">
        <v>2</v>
      </c>
      <c r="H1211" s="231" t="s">
        <v>187</v>
      </c>
      <c r="I1211" s="281">
        <v>0</v>
      </c>
      <c r="J1211" s="249">
        <v>350</v>
      </c>
      <c r="K1211" s="231">
        <f t="shared" si="18"/>
        <v>20</v>
      </c>
      <c r="L1211" s="231"/>
      <c r="M1211" s="239" t="s">
        <v>16</v>
      </c>
      <c r="N1211" s="239"/>
      <c r="O1211" s="231">
        <v>2024</v>
      </c>
      <c r="P1211" s="285">
        <v>45337</v>
      </c>
      <c r="Q1211" s="325"/>
      <c r="R1211" s="239"/>
      <c r="S1211" s="231" t="s">
        <v>453</v>
      </c>
      <c r="T1211" s="231"/>
    </row>
    <row r="1212" spans="1:20" ht="14">
      <c r="A1212" s="231">
        <v>1211</v>
      </c>
      <c r="B1212" s="235" t="s">
        <v>52</v>
      </c>
      <c r="C1212" s="239" t="s">
        <v>10</v>
      </c>
      <c r="D1212" s="250" t="s">
        <v>2865</v>
      </c>
      <c r="E1212" s="239"/>
      <c r="F1212" s="231"/>
      <c r="G1212" s="231">
        <v>48</v>
      </c>
      <c r="H1212" s="231" t="s">
        <v>2767</v>
      </c>
      <c r="I1212" s="281">
        <v>0</v>
      </c>
      <c r="J1212" s="249">
        <v>300</v>
      </c>
      <c r="K1212" s="231">
        <f t="shared" si="18"/>
        <v>20</v>
      </c>
      <c r="L1212" s="231"/>
      <c r="M1212" s="239" t="s">
        <v>16</v>
      </c>
      <c r="N1212" s="239"/>
      <c r="O1212" s="231">
        <v>2024</v>
      </c>
      <c r="P1212" s="285">
        <v>45335</v>
      </c>
      <c r="Q1212" s="325"/>
      <c r="R1212" s="239"/>
      <c r="S1212" s="231" t="s">
        <v>453</v>
      </c>
      <c r="T1212" s="231"/>
    </row>
    <row r="1213" spans="1:20" ht="14">
      <c r="A1213" s="231">
        <v>1212</v>
      </c>
      <c r="B1213" s="235" t="s">
        <v>52</v>
      </c>
      <c r="C1213" s="239" t="s">
        <v>10</v>
      </c>
      <c r="D1213" s="250" t="s">
        <v>2866</v>
      </c>
      <c r="E1213" s="239"/>
      <c r="F1213" s="231"/>
      <c r="G1213" s="231">
        <v>2</v>
      </c>
      <c r="H1213" s="231" t="s">
        <v>2767</v>
      </c>
      <c r="I1213" s="281">
        <v>0</v>
      </c>
      <c r="J1213" s="249">
        <v>350</v>
      </c>
      <c r="K1213" s="231">
        <f t="shared" si="18"/>
        <v>20</v>
      </c>
      <c r="L1213" s="231"/>
      <c r="M1213" s="239" t="s">
        <v>16</v>
      </c>
      <c r="N1213" s="239"/>
      <c r="O1213" s="231">
        <v>2024</v>
      </c>
      <c r="P1213" s="285">
        <v>45337</v>
      </c>
      <c r="Q1213" s="325"/>
      <c r="R1213" s="239"/>
      <c r="S1213" s="231" t="s">
        <v>453</v>
      </c>
      <c r="T1213" s="231"/>
    </row>
    <row r="1214" spans="1:20" ht="14">
      <c r="A1214" s="231">
        <v>1213</v>
      </c>
      <c r="B1214" s="235" t="s">
        <v>52</v>
      </c>
      <c r="C1214" s="239" t="s">
        <v>10</v>
      </c>
      <c r="D1214" s="250" t="s">
        <v>2867</v>
      </c>
      <c r="E1214" s="239"/>
      <c r="F1214" s="231"/>
      <c r="G1214" s="231">
        <v>2</v>
      </c>
      <c r="H1214" s="231" t="s">
        <v>2783</v>
      </c>
      <c r="I1214" s="281">
        <v>0</v>
      </c>
      <c r="J1214" s="249">
        <v>350</v>
      </c>
      <c r="K1214" s="231">
        <f t="shared" si="18"/>
        <v>20</v>
      </c>
      <c r="L1214" s="231"/>
      <c r="M1214" s="239" t="s">
        <v>16</v>
      </c>
      <c r="N1214" s="239"/>
      <c r="O1214" s="231">
        <v>2024</v>
      </c>
      <c r="P1214" s="285">
        <v>45349</v>
      </c>
      <c r="Q1214" s="325"/>
      <c r="R1214" s="239"/>
      <c r="S1214" s="231" t="s">
        <v>453</v>
      </c>
      <c r="T1214" s="231"/>
    </row>
    <row r="1215" spans="1:20" ht="14">
      <c r="A1215" s="231">
        <v>1214</v>
      </c>
      <c r="B1215" s="235" t="s">
        <v>52</v>
      </c>
      <c r="C1215" s="239" t="s">
        <v>10</v>
      </c>
      <c r="D1215" s="250" t="s">
        <v>2868</v>
      </c>
      <c r="E1215" s="239"/>
      <c r="F1215" s="231"/>
      <c r="G1215" s="231">
        <v>48</v>
      </c>
      <c r="H1215" s="231" t="s">
        <v>2763</v>
      </c>
      <c r="I1215" s="281">
        <v>0</v>
      </c>
      <c r="J1215" s="249">
        <v>150</v>
      </c>
      <c r="K1215" s="231">
        <f t="shared" si="18"/>
        <v>20</v>
      </c>
      <c r="L1215" s="231"/>
      <c r="M1215" s="239" t="s">
        <v>16</v>
      </c>
      <c r="N1215" s="239"/>
      <c r="O1215" s="231">
        <v>2024</v>
      </c>
      <c r="P1215" s="285">
        <v>45344</v>
      </c>
      <c r="Q1215" s="325"/>
      <c r="R1215" s="239"/>
      <c r="S1215" s="231" t="s">
        <v>453</v>
      </c>
      <c r="T1215" s="231"/>
    </row>
    <row r="1216" spans="1:20" ht="14">
      <c r="A1216" s="231">
        <v>1215</v>
      </c>
      <c r="B1216" s="235" t="s">
        <v>52</v>
      </c>
      <c r="C1216" s="239" t="s">
        <v>10</v>
      </c>
      <c r="D1216" s="250" t="s">
        <v>2869</v>
      </c>
      <c r="E1216" s="239"/>
      <c r="F1216" s="231"/>
      <c r="G1216" s="231">
        <v>48</v>
      </c>
      <c r="H1216" s="231" t="s">
        <v>2773</v>
      </c>
      <c r="I1216" s="281">
        <v>0</v>
      </c>
      <c r="J1216" s="249">
        <v>250</v>
      </c>
      <c r="K1216" s="231">
        <f t="shared" ref="K1216:K1279" si="19">IF(M1216="ONT",20,IF(M1216="N/A","N/A",IF(M1216="MIKROTIK",IF(J1216&lt;3000,10,IF(3000&lt;J1216&gt;10000,20,IF(10000&lt;J1216&gt;20000,40,IF(20000&lt;J1216&gt;40000,60,IF(J1216&gt;40000,80,IF(J1216&lt;300,3,)))))))))</f>
        <v>20</v>
      </c>
      <c r="L1216" s="231"/>
      <c r="M1216" s="239" t="s">
        <v>16</v>
      </c>
      <c r="N1216" s="239"/>
      <c r="O1216" s="231">
        <v>2024</v>
      </c>
      <c r="P1216" s="285">
        <v>45336</v>
      </c>
      <c r="Q1216" s="325"/>
      <c r="R1216" s="239"/>
      <c r="S1216" s="231" t="s">
        <v>453</v>
      </c>
      <c r="T1216" s="231"/>
    </row>
    <row r="1217" spans="1:20" ht="14">
      <c r="A1217" s="231">
        <v>1216</v>
      </c>
      <c r="B1217" s="235" t="s">
        <v>52</v>
      </c>
      <c r="C1217" s="239" t="s">
        <v>10</v>
      </c>
      <c r="D1217" s="250" t="s">
        <v>2870</v>
      </c>
      <c r="E1217" s="239"/>
      <c r="F1217" s="231"/>
      <c r="G1217" s="231">
        <v>48</v>
      </c>
      <c r="H1217" s="231" t="s">
        <v>2773</v>
      </c>
      <c r="I1217" s="281">
        <v>0</v>
      </c>
      <c r="J1217" s="249">
        <v>250</v>
      </c>
      <c r="K1217" s="231">
        <f t="shared" si="19"/>
        <v>20</v>
      </c>
      <c r="L1217" s="231"/>
      <c r="M1217" s="239" t="s">
        <v>16</v>
      </c>
      <c r="N1217" s="239"/>
      <c r="O1217" s="231">
        <v>2024</v>
      </c>
      <c r="P1217" s="285">
        <v>45336</v>
      </c>
      <c r="Q1217" s="325"/>
      <c r="R1217" s="239"/>
      <c r="S1217" s="231" t="s">
        <v>453</v>
      </c>
      <c r="T1217" s="231"/>
    </row>
    <row r="1218" spans="1:20" ht="14">
      <c r="A1218" s="231">
        <v>1217</v>
      </c>
      <c r="B1218" s="235" t="s">
        <v>51</v>
      </c>
      <c r="C1218" s="239" t="s">
        <v>10</v>
      </c>
      <c r="D1218" s="250" t="s">
        <v>2871</v>
      </c>
      <c r="E1218" s="239"/>
      <c r="F1218" s="231"/>
      <c r="G1218" s="231">
        <v>48</v>
      </c>
      <c r="H1218" s="231" t="s">
        <v>160</v>
      </c>
      <c r="I1218" s="281">
        <v>0</v>
      </c>
      <c r="J1218" s="249">
        <v>350</v>
      </c>
      <c r="K1218" s="231">
        <f t="shared" si="19"/>
        <v>10</v>
      </c>
      <c r="L1218" s="231"/>
      <c r="M1218" s="299" t="s">
        <v>15</v>
      </c>
      <c r="N1218" s="239"/>
      <c r="O1218" s="231">
        <v>2024</v>
      </c>
      <c r="P1218" s="285">
        <v>45341</v>
      </c>
      <c r="Q1218" s="325"/>
      <c r="R1218" s="239"/>
      <c r="S1218" s="231" t="s">
        <v>453</v>
      </c>
      <c r="T1218" s="231"/>
    </row>
    <row r="1219" spans="1:20" ht="14">
      <c r="A1219" s="231">
        <v>1218</v>
      </c>
      <c r="B1219" s="235" t="s">
        <v>52</v>
      </c>
      <c r="C1219" s="239" t="s">
        <v>10</v>
      </c>
      <c r="D1219" s="250" t="s">
        <v>2872</v>
      </c>
      <c r="E1219" s="239"/>
      <c r="F1219" s="231"/>
      <c r="G1219" s="231">
        <v>2</v>
      </c>
      <c r="H1219" s="231" t="s">
        <v>2875</v>
      </c>
      <c r="I1219" s="281">
        <v>0</v>
      </c>
      <c r="J1219" s="249">
        <v>300</v>
      </c>
      <c r="K1219" s="231">
        <f t="shared" si="19"/>
        <v>20</v>
      </c>
      <c r="L1219" s="231"/>
      <c r="M1219" s="239" t="s">
        <v>16</v>
      </c>
      <c r="N1219" s="239"/>
      <c r="O1219" s="231">
        <v>2024</v>
      </c>
      <c r="P1219" s="285">
        <v>45351</v>
      </c>
      <c r="Q1219" s="325"/>
      <c r="R1219" s="239"/>
      <c r="S1219" s="231" t="s">
        <v>453</v>
      </c>
      <c r="T1219" s="231"/>
    </row>
    <row r="1220" spans="1:20" ht="14">
      <c r="A1220" s="231">
        <v>1219</v>
      </c>
      <c r="B1220" s="235" t="s">
        <v>52</v>
      </c>
      <c r="C1220" s="239" t="s">
        <v>10</v>
      </c>
      <c r="D1220" s="250" t="s">
        <v>2873</v>
      </c>
      <c r="E1220" s="239"/>
      <c r="F1220" s="231"/>
      <c r="G1220" s="231">
        <v>48</v>
      </c>
      <c r="H1220" s="231" t="s">
        <v>4564</v>
      </c>
      <c r="I1220" s="281">
        <v>0</v>
      </c>
      <c r="J1220" s="249">
        <v>600</v>
      </c>
      <c r="K1220" s="231">
        <f t="shared" si="19"/>
        <v>20</v>
      </c>
      <c r="L1220" s="231"/>
      <c r="M1220" s="239" t="s">
        <v>16</v>
      </c>
      <c r="N1220" s="239"/>
      <c r="O1220" s="231">
        <v>2024</v>
      </c>
      <c r="P1220" s="285">
        <v>45345</v>
      </c>
      <c r="Q1220" s="325"/>
      <c r="R1220" s="239"/>
      <c r="S1220" s="231" t="s">
        <v>453</v>
      </c>
      <c r="T1220" s="231"/>
    </row>
    <row r="1221" spans="1:20" ht="14">
      <c r="A1221" s="231">
        <v>1220</v>
      </c>
      <c r="B1221" s="235" t="s">
        <v>52</v>
      </c>
      <c r="C1221" s="239" t="s">
        <v>10</v>
      </c>
      <c r="D1221" s="250" t="s">
        <v>2874</v>
      </c>
      <c r="E1221" s="239"/>
      <c r="F1221" s="231"/>
      <c r="G1221" s="231">
        <v>2</v>
      </c>
      <c r="H1221" s="231" t="s">
        <v>2875</v>
      </c>
      <c r="I1221" s="281">
        <v>0</v>
      </c>
      <c r="J1221" s="249">
        <v>300</v>
      </c>
      <c r="K1221" s="231">
        <f t="shared" si="19"/>
        <v>20</v>
      </c>
      <c r="L1221" s="231"/>
      <c r="M1221" s="239" t="s">
        <v>16</v>
      </c>
      <c r="N1221" s="239"/>
      <c r="O1221" s="231">
        <v>2024</v>
      </c>
      <c r="P1221" s="285">
        <v>45352</v>
      </c>
      <c r="Q1221" s="325"/>
      <c r="R1221" s="239"/>
      <c r="S1221" s="231" t="s">
        <v>453</v>
      </c>
      <c r="T1221" s="231"/>
    </row>
    <row r="1222" spans="1:20" ht="14">
      <c r="A1222" s="231">
        <v>1221</v>
      </c>
      <c r="B1222" s="235" t="s">
        <v>52</v>
      </c>
      <c r="C1222" s="239" t="s">
        <v>10</v>
      </c>
      <c r="D1222" s="250" t="s">
        <v>2876</v>
      </c>
      <c r="E1222" s="239"/>
      <c r="F1222" s="231"/>
      <c r="G1222" s="231">
        <v>48</v>
      </c>
      <c r="H1222" s="231" t="s">
        <v>2877</v>
      </c>
      <c r="I1222" s="281">
        <v>0</v>
      </c>
      <c r="J1222" s="249">
        <v>1500</v>
      </c>
      <c r="K1222" s="231">
        <f t="shared" si="19"/>
        <v>20</v>
      </c>
      <c r="L1222" s="231"/>
      <c r="M1222" s="239" t="s">
        <v>16</v>
      </c>
      <c r="N1222" s="239"/>
      <c r="O1222" s="231">
        <v>2024</v>
      </c>
      <c r="P1222" s="285">
        <v>45355</v>
      </c>
      <c r="Q1222" s="325"/>
      <c r="R1222" s="239"/>
      <c r="S1222" s="231" t="s">
        <v>453</v>
      </c>
      <c r="T1222" s="231"/>
    </row>
    <row r="1223" spans="1:20" ht="14">
      <c r="A1223" s="231">
        <v>1222</v>
      </c>
      <c r="B1223" s="235" t="s">
        <v>52</v>
      </c>
      <c r="C1223" s="239" t="s">
        <v>10</v>
      </c>
      <c r="D1223" s="250" t="s">
        <v>2878</v>
      </c>
      <c r="E1223" s="239"/>
      <c r="F1223" s="231"/>
      <c r="G1223" s="231">
        <v>48</v>
      </c>
      <c r="H1223" s="231" t="s">
        <v>3583</v>
      </c>
      <c r="I1223" s="281">
        <v>0</v>
      </c>
      <c r="J1223" s="249">
        <v>350</v>
      </c>
      <c r="K1223" s="231">
        <f t="shared" si="19"/>
        <v>20</v>
      </c>
      <c r="L1223" s="231"/>
      <c r="M1223" s="239" t="s">
        <v>16</v>
      </c>
      <c r="N1223" s="239"/>
      <c r="O1223" s="231">
        <v>2024</v>
      </c>
      <c r="P1223" s="285">
        <v>45351</v>
      </c>
      <c r="Q1223" s="231"/>
      <c r="R1223" s="239"/>
      <c r="S1223" s="231" t="s">
        <v>453</v>
      </c>
      <c r="T1223" s="231"/>
    </row>
    <row r="1224" spans="1:20" ht="14">
      <c r="A1224" s="231">
        <v>1223</v>
      </c>
      <c r="B1224" s="235" t="s">
        <v>52</v>
      </c>
      <c r="C1224" s="231" t="s">
        <v>10</v>
      </c>
      <c r="D1224" s="250" t="s">
        <v>2879</v>
      </c>
      <c r="E1224" s="239"/>
      <c r="F1224" s="231"/>
      <c r="G1224" s="231">
        <v>48</v>
      </c>
      <c r="H1224" s="231" t="s">
        <v>2776</v>
      </c>
      <c r="I1224" s="281">
        <v>0</v>
      </c>
      <c r="J1224" s="249">
        <v>350</v>
      </c>
      <c r="K1224" s="231">
        <f t="shared" si="19"/>
        <v>20</v>
      </c>
      <c r="L1224" s="231"/>
      <c r="M1224" s="239" t="s">
        <v>16</v>
      </c>
      <c r="N1224" s="239"/>
      <c r="O1224" s="231">
        <v>2024</v>
      </c>
      <c r="P1224" s="285">
        <v>45345</v>
      </c>
      <c r="Q1224" s="231"/>
      <c r="R1224" s="239"/>
      <c r="S1224" s="231" t="s">
        <v>453</v>
      </c>
      <c r="T1224" s="231"/>
    </row>
    <row r="1225" spans="1:20" ht="14">
      <c r="A1225" s="231">
        <v>1224</v>
      </c>
      <c r="B1225" s="235" t="s">
        <v>52</v>
      </c>
      <c r="C1225" s="231" t="s">
        <v>10</v>
      </c>
      <c r="D1225" s="250" t="s">
        <v>2880</v>
      </c>
      <c r="E1225" s="239"/>
      <c r="F1225" s="231"/>
      <c r="G1225" s="231">
        <v>48</v>
      </c>
      <c r="H1225" s="231" t="s">
        <v>3060</v>
      </c>
      <c r="I1225" s="281">
        <v>0</v>
      </c>
      <c r="J1225" s="249">
        <v>350</v>
      </c>
      <c r="K1225" s="231">
        <f t="shared" si="19"/>
        <v>20</v>
      </c>
      <c r="L1225" s="231"/>
      <c r="M1225" s="239" t="s">
        <v>16</v>
      </c>
      <c r="N1225" s="239"/>
      <c r="O1225" s="231">
        <v>2024</v>
      </c>
      <c r="P1225" s="285">
        <v>45343</v>
      </c>
      <c r="Q1225" s="231"/>
      <c r="R1225" s="239"/>
      <c r="S1225" s="231" t="s">
        <v>453</v>
      </c>
      <c r="T1225" s="231"/>
    </row>
    <row r="1226" spans="1:20" ht="14">
      <c r="A1226" s="231">
        <v>1225</v>
      </c>
      <c r="B1226" s="235" t="s">
        <v>52</v>
      </c>
      <c r="C1226" s="231" t="s">
        <v>10</v>
      </c>
      <c r="D1226" s="250" t="s">
        <v>2881</v>
      </c>
      <c r="E1226" s="239"/>
      <c r="F1226" s="231"/>
      <c r="G1226" s="231">
        <v>2</v>
      </c>
      <c r="H1226" s="231" t="s">
        <v>4565</v>
      </c>
      <c r="I1226" s="281">
        <v>0</v>
      </c>
      <c r="J1226" s="249">
        <v>500</v>
      </c>
      <c r="K1226" s="231">
        <f t="shared" si="19"/>
        <v>20</v>
      </c>
      <c r="L1226" s="231"/>
      <c r="M1226" s="239" t="s">
        <v>16</v>
      </c>
      <c r="N1226" s="239"/>
      <c r="O1226" s="231">
        <v>2024</v>
      </c>
      <c r="P1226" s="285">
        <v>45381</v>
      </c>
      <c r="Q1226" s="231"/>
      <c r="R1226" s="239"/>
      <c r="S1226" s="231" t="s">
        <v>453</v>
      </c>
      <c r="T1226" s="231"/>
    </row>
    <row r="1227" spans="1:20" ht="14">
      <c r="A1227" s="231">
        <v>1226</v>
      </c>
      <c r="B1227" s="235" t="s">
        <v>52</v>
      </c>
      <c r="C1227" s="231" t="s">
        <v>10</v>
      </c>
      <c r="D1227" s="250" t="s">
        <v>2882</v>
      </c>
      <c r="E1227" s="239"/>
      <c r="F1227" s="231"/>
      <c r="G1227" s="231">
        <v>48</v>
      </c>
      <c r="H1227" s="231" t="s">
        <v>3063</v>
      </c>
      <c r="I1227" s="281">
        <v>0</v>
      </c>
      <c r="J1227" s="249">
        <v>500</v>
      </c>
      <c r="K1227" s="231">
        <f t="shared" si="19"/>
        <v>20</v>
      </c>
      <c r="L1227" s="231"/>
      <c r="M1227" s="239" t="s">
        <v>16</v>
      </c>
      <c r="N1227" s="239"/>
      <c r="O1227" s="231">
        <v>2024</v>
      </c>
      <c r="P1227" s="285">
        <v>45348</v>
      </c>
      <c r="Q1227" s="231"/>
      <c r="R1227" s="239"/>
      <c r="S1227" s="231" t="s">
        <v>453</v>
      </c>
      <c r="T1227" s="231"/>
    </row>
    <row r="1228" spans="1:20" ht="14">
      <c r="A1228" s="231">
        <v>1227</v>
      </c>
      <c r="B1228" s="235" t="s">
        <v>52</v>
      </c>
      <c r="C1228" s="231" t="s">
        <v>10</v>
      </c>
      <c r="D1228" s="250" t="s">
        <v>2883</v>
      </c>
      <c r="E1228" s="239"/>
      <c r="F1228" s="231"/>
      <c r="G1228" s="231">
        <v>48</v>
      </c>
      <c r="H1228" s="231" t="s">
        <v>2877</v>
      </c>
      <c r="I1228" s="281">
        <v>0</v>
      </c>
      <c r="J1228" s="249">
        <v>300</v>
      </c>
      <c r="K1228" s="231">
        <f t="shared" si="19"/>
        <v>20</v>
      </c>
      <c r="L1228" s="231"/>
      <c r="M1228" s="239" t="s">
        <v>16</v>
      </c>
      <c r="N1228" s="239"/>
      <c r="O1228" s="231">
        <v>2024</v>
      </c>
      <c r="P1228" s="285">
        <v>45348</v>
      </c>
      <c r="Q1228" s="231"/>
      <c r="R1228" s="239"/>
      <c r="S1228" s="231" t="s">
        <v>453</v>
      </c>
      <c r="T1228" s="231"/>
    </row>
    <row r="1229" spans="1:20" ht="14">
      <c r="A1229" s="231">
        <v>1228</v>
      </c>
      <c r="B1229" s="235" t="s">
        <v>52</v>
      </c>
      <c r="C1229" s="231" t="s">
        <v>10</v>
      </c>
      <c r="D1229" s="250" t="s">
        <v>2884</v>
      </c>
      <c r="E1229" s="239"/>
      <c r="F1229" s="231"/>
      <c r="G1229" s="231">
        <v>48</v>
      </c>
      <c r="H1229" s="231" t="s">
        <v>185</v>
      </c>
      <c r="I1229" s="281">
        <v>0</v>
      </c>
      <c r="J1229" s="249">
        <v>1000</v>
      </c>
      <c r="K1229" s="231">
        <v>20</v>
      </c>
      <c r="L1229" s="231"/>
      <c r="M1229" s="299" t="s">
        <v>15</v>
      </c>
      <c r="N1229" s="239"/>
      <c r="O1229" s="231">
        <v>2024</v>
      </c>
      <c r="P1229" s="285">
        <v>45364</v>
      </c>
      <c r="Q1229" s="231"/>
      <c r="R1229" s="239"/>
      <c r="S1229" s="231" t="s">
        <v>453</v>
      </c>
      <c r="T1229" s="231"/>
    </row>
    <row r="1230" spans="1:20" ht="14">
      <c r="A1230" s="231">
        <v>1229</v>
      </c>
      <c r="B1230" s="235" t="s">
        <v>52</v>
      </c>
      <c r="C1230" s="231" t="s">
        <v>10</v>
      </c>
      <c r="D1230" s="250" t="s">
        <v>2885</v>
      </c>
      <c r="E1230" s="239"/>
      <c r="F1230" s="231"/>
      <c r="G1230" s="231">
        <v>48</v>
      </c>
      <c r="H1230" s="231" t="s">
        <v>4566</v>
      </c>
      <c r="I1230" s="281">
        <v>0</v>
      </c>
      <c r="J1230" s="249">
        <v>400</v>
      </c>
      <c r="K1230" s="231">
        <f t="shared" si="19"/>
        <v>20</v>
      </c>
      <c r="L1230" s="231"/>
      <c r="M1230" s="239" t="s">
        <v>16</v>
      </c>
      <c r="N1230" s="239"/>
      <c r="O1230" s="231">
        <v>2024</v>
      </c>
      <c r="P1230" s="285">
        <v>45348</v>
      </c>
      <c r="Q1230" s="231"/>
      <c r="R1230" s="239"/>
      <c r="S1230" s="231" t="s">
        <v>453</v>
      </c>
      <c r="T1230" s="231"/>
    </row>
    <row r="1231" spans="1:20" ht="14">
      <c r="A1231" s="231">
        <v>1230</v>
      </c>
      <c r="B1231" s="235" t="s">
        <v>53</v>
      </c>
      <c r="C1231" s="231" t="s">
        <v>10</v>
      </c>
      <c r="D1231" s="250" t="s">
        <v>2886</v>
      </c>
      <c r="E1231" s="239"/>
      <c r="F1231" s="231"/>
      <c r="G1231" s="231">
        <v>48</v>
      </c>
      <c r="H1231" s="231" t="s">
        <v>4559</v>
      </c>
      <c r="I1231" s="281">
        <v>0</v>
      </c>
      <c r="J1231" s="249">
        <v>300</v>
      </c>
      <c r="K1231" s="231">
        <v>20</v>
      </c>
      <c r="L1231" s="231"/>
      <c r="M1231" s="299" t="s">
        <v>15</v>
      </c>
      <c r="N1231" s="239"/>
      <c r="O1231" s="231">
        <v>2024</v>
      </c>
      <c r="P1231" s="285">
        <v>45342</v>
      </c>
      <c r="Q1231" s="231"/>
      <c r="R1231" s="239"/>
      <c r="S1231" s="231" t="s">
        <v>453</v>
      </c>
      <c r="T1231" s="231"/>
    </row>
    <row r="1232" spans="1:20" ht="14">
      <c r="A1232" s="231">
        <v>1231</v>
      </c>
      <c r="B1232" s="235" t="s">
        <v>52</v>
      </c>
      <c r="C1232" s="231" t="s">
        <v>10</v>
      </c>
      <c r="D1232" s="250" t="s">
        <v>2887</v>
      </c>
      <c r="E1232" s="239"/>
      <c r="F1232" s="231"/>
      <c r="G1232" s="231">
        <v>48</v>
      </c>
      <c r="H1232" s="231" t="s">
        <v>4259</v>
      </c>
      <c r="I1232" s="281">
        <v>0</v>
      </c>
      <c r="J1232" s="249">
        <v>800</v>
      </c>
      <c r="K1232" s="231">
        <v>40</v>
      </c>
      <c r="L1232" s="231"/>
      <c r="M1232" s="299" t="s">
        <v>3276</v>
      </c>
      <c r="N1232" s="239"/>
      <c r="O1232" s="231">
        <v>2024</v>
      </c>
      <c r="P1232" s="285">
        <v>45379</v>
      </c>
      <c r="Q1232" s="231"/>
      <c r="R1232" s="239"/>
      <c r="S1232" s="231" t="s">
        <v>453</v>
      </c>
      <c r="T1232" s="231"/>
    </row>
    <row r="1233" spans="1:20" ht="14">
      <c r="A1233" s="231">
        <v>1232</v>
      </c>
      <c r="B1233" s="235" t="s">
        <v>52</v>
      </c>
      <c r="C1233" s="231" t="s">
        <v>10</v>
      </c>
      <c r="D1233" s="250" t="s">
        <v>2888</v>
      </c>
      <c r="E1233" s="239"/>
      <c r="F1233" s="231"/>
      <c r="G1233" s="231">
        <v>48</v>
      </c>
      <c r="H1233" s="231" t="s">
        <v>2763</v>
      </c>
      <c r="I1233" s="281">
        <v>0</v>
      </c>
      <c r="J1233" s="249">
        <v>500</v>
      </c>
      <c r="K1233" s="231">
        <v>20</v>
      </c>
      <c r="L1233" s="231"/>
      <c r="M1233" s="299" t="s">
        <v>15</v>
      </c>
      <c r="N1233" s="239"/>
      <c r="O1233" s="231">
        <v>2024</v>
      </c>
      <c r="P1233" s="285">
        <v>45374</v>
      </c>
      <c r="Q1233" s="231"/>
      <c r="R1233" s="239"/>
      <c r="S1233" s="231" t="s">
        <v>453</v>
      </c>
      <c r="T1233" s="231"/>
    </row>
    <row r="1234" spans="1:20" ht="14">
      <c r="A1234" s="231">
        <v>1233</v>
      </c>
      <c r="B1234" s="235" t="s">
        <v>52</v>
      </c>
      <c r="C1234" s="231" t="s">
        <v>10</v>
      </c>
      <c r="D1234" s="250" t="s">
        <v>2890</v>
      </c>
      <c r="E1234" s="239"/>
      <c r="F1234" s="231"/>
      <c r="G1234" s="231">
        <v>48</v>
      </c>
      <c r="H1234" s="231" t="s">
        <v>2892</v>
      </c>
      <c r="I1234" s="281">
        <v>0</v>
      </c>
      <c r="J1234" s="249">
        <v>2000</v>
      </c>
      <c r="K1234" s="231">
        <v>20</v>
      </c>
      <c r="L1234" s="231"/>
      <c r="M1234" s="299" t="s">
        <v>15</v>
      </c>
      <c r="N1234" s="239"/>
      <c r="O1234" s="231">
        <v>2024</v>
      </c>
      <c r="P1234" s="285">
        <v>45386</v>
      </c>
      <c r="Q1234" s="231"/>
      <c r="R1234" s="239"/>
      <c r="S1234" s="231" t="s">
        <v>453</v>
      </c>
      <c r="T1234" s="231"/>
    </row>
    <row r="1235" spans="1:20" ht="14">
      <c r="A1235" s="231">
        <v>1234</v>
      </c>
      <c r="B1235" s="235" t="s">
        <v>52</v>
      </c>
      <c r="C1235" s="231" t="s">
        <v>10</v>
      </c>
      <c r="D1235" s="250" t="s">
        <v>2893</v>
      </c>
      <c r="E1235" s="239"/>
      <c r="F1235" s="231"/>
      <c r="G1235" s="231">
        <v>48</v>
      </c>
      <c r="H1235" s="231" t="s">
        <v>2894</v>
      </c>
      <c r="I1235" s="281">
        <v>0</v>
      </c>
      <c r="J1235" s="249">
        <v>700</v>
      </c>
      <c r="K1235" s="231">
        <f t="shared" si="19"/>
        <v>20</v>
      </c>
      <c r="L1235" s="231"/>
      <c r="M1235" s="231" t="s">
        <v>16</v>
      </c>
      <c r="N1235" s="239"/>
      <c r="O1235" s="231">
        <v>2024</v>
      </c>
      <c r="P1235" s="285">
        <v>45386</v>
      </c>
      <c r="Q1235" s="231"/>
      <c r="R1235" s="239"/>
      <c r="S1235" s="231" t="s">
        <v>453</v>
      </c>
      <c r="T1235" s="231"/>
    </row>
    <row r="1236" spans="1:20" ht="14">
      <c r="A1236" s="231">
        <v>1235</v>
      </c>
      <c r="B1236" s="235" t="s">
        <v>52</v>
      </c>
      <c r="C1236" s="231" t="s">
        <v>10</v>
      </c>
      <c r="D1236" s="250" t="s">
        <v>2895</v>
      </c>
      <c r="E1236" s="239"/>
      <c r="F1236" s="231"/>
      <c r="G1236" s="231">
        <v>48</v>
      </c>
      <c r="H1236" s="231" t="s">
        <v>4259</v>
      </c>
      <c r="I1236" s="281">
        <v>0</v>
      </c>
      <c r="J1236" s="249">
        <v>450</v>
      </c>
      <c r="K1236" s="231">
        <v>40</v>
      </c>
      <c r="L1236" s="231"/>
      <c r="M1236" s="299" t="s">
        <v>3437</v>
      </c>
      <c r="N1236" s="239"/>
      <c r="O1236" s="231">
        <v>2024</v>
      </c>
      <c r="P1236" s="285">
        <v>45371</v>
      </c>
      <c r="Q1236" s="231"/>
      <c r="R1236" s="239"/>
      <c r="S1236" s="231" t="s">
        <v>453</v>
      </c>
      <c r="T1236" s="231"/>
    </row>
    <row r="1237" spans="1:20" ht="14">
      <c r="A1237" s="231">
        <v>1236</v>
      </c>
      <c r="B1237" s="235" t="s">
        <v>52</v>
      </c>
      <c r="C1237" s="231" t="s">
        <v>10</v>
      </c>
      <c r="D1237" s="250" t="s">
        <v>2897</v>
      </c>
      <c r="E1237" s="239"/>
      <c r="F1237" s="231"/>
      <c r="G1237" s="231">
        <v>48</v>
      </c>
      <c r="H1237" s="231" t="s">
        <v>2763</v>
      </c>
      <c r="I1237" s="281">
        <v>0</v>
      </c>
      <c r="J1237" s="249">
        <v>350</v>
      </c>
      <c r="K1237" s="231">
        <f t="shared" si="19"/>
        <v>20</v>
      </c>
      <c r="L1237" s="231"/>
      <c r="M1237" s="231" t="s">
        <v>16</v>
      </c>
      <c r="N1237" s="239"/>
      <c r="O1237" s="231">
        <v>2024</v>
      </c>
      <c r="P1237" s="285">
        <v>45384</v>
      </c>
      <c r="Q1237" s="231"/>
      <c r="R1237" s="239"/>
      <c r="S1237" s="231" t="s">
        <v>453</v>
      </c>
      <c r="T1237" s="231"/>
    </row>
    <row r="1238" spans="1:20" ht="14">
      <c r="A1238" s="231">
        <v>1237</v>
      </c>
      <c r="B1238" s="235" t="s">
        <v>52</v>
      </c>
      <c r="C1238" s="231" t="s">
        <v>10</v>
      </c>
      <c r="D1238" s="250" t="s">
        <v>2899</v>
      </c>
      <c r="E1238" s="239"/>
      <c r="F1238" s="231"/>
      <c r="G1238" s="231">
        <v>2</v>
      </c>
      <c r="H1238" s="231" t="s">
        <v>2789</v>
      </c>
      <c r="I1238" s="281">
        <v>0</v>
      </c>
      <c r="J1238" s="249">
        <v>350</v>
      </c>
      <c r="K1238" s="231">
        <f t="shared" si="19"/>
        <v>20</v>
      </c>
      <c r="L1238" s="231"/>
      <c r="M1238" s="231" t="s">
        <v>16</v>
      </c>
      <c r="N1238" s="239"/>
      <c r="O1238" s="231">
        <v>2024</v>
      </c>
      <c r="P1238" s="285">
        <v>45381</v>
      </c>
      <c r="Q1238" s="231"/>
      <c r="R1238" s="239"/>
      <c r="S1238" s="231" t="s">
        <v>453</v>
      </c>
      <c r="T1238" s="231"/>
    </row>
    <row r="1239" spans="1:20" ht="14">
      <c r="A1239" s="231">
        <v>1238</v>
      </c>
      <c r="B1239" s="235" t="s">
        <v>52</v>
      </c>
      <c r="C1239" s="231" t="s">
        <v>10</v>
      </c>
      <c r="D1239" s="250" t="s">
        <v>2901</v>
      </c>
      <c r="E1239" s="239"/>
      <c r="F1239" s="231"/>
      <c r="G1239" s="231">
        <v>48</v>
      </c>
      <c r="H1239" s="231" t="s">
        <v>2773</v>
      </c>
      <c r="I1239" s="281">
        <v>0</v>
      </c>
      <c r="J1239" s="249">
        <v>300</v>
      </c>
      <c r="K1239" s="231">
        <f t="shared" si="19"/>
        <v>20</v>
      </c>
      <c r="L1239" s="231"/>
      <c r="M1239" s="231" t="s">
        <v>16</v>
      </c>
      <c r="N1239" s="239"/>
      <c r="O1239" s="231">
        <v>2024</v>
      </c>
      <c r="P1239" s="285">
        <v>45376</v>
      </c>
      <c r="Q1239" s="231"/>
      <c r="R1239" s="239"/>
      <c r="S1239" s="231" t="s">
        <v>453</v>
      </c>
      <c r="T1239" s="231"/>
    </row>
    <row r="1240" spans="1:20" ht="14">
      <c r="A1240" s="231">
        <v>1239</v>
      </c>
      <c r="B1240" s="235" t="s">
        <v>55</v>
      </c>
      <c r="C1240" s="231" t="s">
        <v>10</v>
      </c>
      <c r="D1240" s="250" t="s">
        <v>2903</v>
      </c>
      <c r="E1240" s="239"/>
      <c r="F1240" s="231"/>
      <c r="G1240" s="231">
        <v>48</v>
      </c>
      <c r="H1240" s="231" t="s">
        <v>2894</v>
      </c>
      <c r="I1240" s="281">
        <v>0</v>
      </c>
      <c r="J1240" s="249">
        <v>650</v>
      </c>
      <c r="K1240" s="231" t="b">
        <f t="shared" si="19"/>
        <v>0</v>
      </c>
      <c r="L1240" s="231"/>
      <c r="M1240" s="231" t="s">
        <v>3437</v>
      </c>
      <c r="N1240" s="239"/>
      <c r="O1240" s="231">
        <v>2024</v>
      </c>
      <c r="P1240" s="285">
        <v>45475</v>
      </c>
      <c r="Q1240" s="231"/>
      <c r="R1240" s="239"/>
      <c r="S1240" s="231" t="s">
        <v>453</v>
      </c>
      <c r="T1240" s="231"/>
    </row>
    <row r="1241" spans="1:20" ht="14">
      <c r="A1241" s="231">
        <v>1240</v>
      </c>
      <c r="B1241" s="235" t="s">
        <v>55</v>
      </c>
      <c r="C1241" s="240" t="s">
        <v>10</v>
      </c>
      <c r="D1241" s="250" t="s">
        <v>2904</v>
      </c>
      <c r="E1241" s="239"/>
      <c r="F1241" s="231"/>
      <c r="G1241" s="231">
        <v>2</v>
      </c>
      <c r="H1241" s="240" t="s">
        <v>2894</v>
      </c>
      <c r="I1241" s="281">
        <v>0</v>
      </c>
      <c r="J1241" s="260">
        <v>0</v>
      </c>
      <c r="K1241" s="231">
        <f t="shared" si="19"/>
        <v>20</v>
      </c>
      <c r="L1241" s="231"/>
      <c r="M1241" s="240" t="s">
        <v>16</v>
      </c>
      <c r="N1241" s="239"/>
      <c r="O1241" s="240">
        <v>2024</v>
      </c>
      <c r="P1241" s="326">
        <v>45366</v>
      </c>
      <c r="Q1241" s="231"/>
      <c r="R1241" s="231"/>
      <c r="S1241" s="231" t="s">
        <v>453</v>
      </c>
      <c r="T1241" s="231"/>
    </row>
    <row r="1242" spans="1:20" ht="14">
      <c r="A1242" s="231">
        <v>1241</v>
      </c>
      <c r="B1242" s="235" t="s">
        <v>52</v>
      </c>
      <c r="C1242" s="231" t="s">
        <v>10</v>
      </c>
      <c r="D1242" s="250" t="s">
        <v>2905</v>
      </c>
      <c r="E1242" s="239"/>
      <c r="F1242" s="231"/>
      <c r="G1242" s="231">
        <v>48</v>
      </c>
      <c r="H1242" s="231" t="s">
        <v>452</v>
      </c>
      <c r="I1242" s="281">
        <v>0</v>
      </c>
      <c r="J1242" s="249">
        <v>450</v>
      </c>
      <c r="K1242" s="231">
        <f t="shared" si="19"/>
        <v>20</v>
      </c>
      <c r="L1242" s="231"/>
      <c r="M1242" s="231" t="s">
        <v>16</v>
      </c>
      <c r="N1242" s="231"/>
      <c r="O1242" s="231">
        <v>2024</v>
      </c>
      <c r="P1242" s="285">
        <v>45372</v>
      </c>
      <c r="Q1242" s="231"/>
      <c r="R1242" s="231"/>
      <c r="S1242" s="231" t="s">
        <v>453</v>
      </c>
      <c r="T1242" s="231"/>
    </row>
    <row r="1243" spans="1:20" ht="14">
      <c r="A1243" s="231">
        <v>1242</v>
      </c>
      <c r="B1243" s="235" t="s">
        <v>52</v>
      </c>
      <c r="C1243" s="231" t="s">
        <v>10</v>
      </c>
      <c r="D1243" s="250" t="s">
        <v>2906</v>
      </c>
      <c r="E1243" s="239"/>
      <c r="F1243" s="231"/>
      <c r="G1243" s="231">
        <v>48</v>
      </c>
      <c r="H1243" s="231" t="s">
        <v>2980</v>
      </c>
      <c r="I1243" s="281">
        <v>0</v>
      </c>
      <c r="J1243" s="249">
        <v>400</v>
      </c>
      <c r="K1243" s="231">
        <f t="shared" si="19"/>
        <v>20</v>
      </c>
      <c r="L1243" s="231"/>
      <c r="M1243" s="231" t="s">
        <v>16</v>
      </c>
      <c r="N1243" s="239"/>
      <c r="O1243" s="231">
        <v>2024</v>
      </c>
      <c r="P1243" s="285">
        <v>45371</v>
      </c>
      <c r="Q1243" s="231"/>
      <c r="R1243" s="231"/>
      <c r="S1243" s="231" t="s">
        <v>453</v>
      </c>
      <c r="T1243" s="231"/>
    </row>
    <row r="1244" spans="1:20" ht="14">
      <c r="A1244" s="231">
        <v>1243</v>
      </c>
      <c r="B1244" s="235" t="s">
        <v>52</v>
      </c>
      <c r="C1244" s="231" t="s">
        <v>10</v>
      </c>
      <c r="D1244" s="250" t="s">
        <v>2907</v>
      </c>
      <c r="E1244" s="239"/>
      <c r="F1244" s="231"/>
      <c r="G1244" s="231">
        <v>48</v>
      </c>
      <c r="H1244" s="231" t="s">
        <v>4555</v>
      </c>
      <c r="I1244" s="281">
        <v>0</v>
      </c>
      <c r="J1244" s="249">
        <v>350</v>
      </c>
      <c r="K1244" s="231">
        <f t="shared" si="19"/>
        <v>20</v>
      </c>
      <c r="L1244" s="231"/>
      <c r="M1244" s="231" t="s">
        <v>16</v>
      </c>
      <c r="N1244" s="231"/>
      <c r="O1244" s="231">
        <v>2024</v>
      </c>
      <c r="P1244" s="285">
        <v>45371</v>
      </c>
      <c r="Q1244" s="231"/>
      <c r="R1244" s="231"/>
      <c r="S1244" s="231" t="s">
        <v>453</v>
      </c>
      <c r="T1244" s="231"/>
    </row>
    <row r="1245" spans="1:20" ht="14">
      <c r="A1245" s="231">
        <v>1244</v>
      </c>
      <c r="B1245" s="235" t="s">
        <v>55</v>
      </c>
      <c r="C1245" s="231" t="s">
        <v>10</v>
      </c>
      <c r="D1245" s="250" t="s">
        <v>2908</v>
      </c>
      <c r="E1245" s="239"/>
      <c r="F1245" s="231"/>
      <c r="G1245" s="231">
        <v>48</v>
      </c>
      <c r="H1245" s="231" t="s">
        <v>2894</v>
      </c>
      <c r="I1245" s="281">
        <v>0</v>
      </c>
      <c r="J1245" s="249">
        <v>500</v>
      </c>
      <c r="K1245" s="231" t="b">
        <f t="shared" si="19"/>
        <v>0</v>
      </c>
      <c r="L1245" s="231"/>
      <c r="M1245" s="231" t="s">
        <v>3437</v>
      </c>
      <c r="N1245" s="239"/>
      <c r="O1245" s="231">
        <v>2024</v>
      </c>
      <c r="P1245" s="285">
        <v>45375</v>
      </c>
      <c r="Q1245" s="231"/>
      <c r="R1245" s="231"/>
      <c r="S1245" s="231" t="s">
        <v>453</v>
      </c>
      <c r="T1245" s="231"/>
    </row>
    <row r="1246" spans="1:20" ht="14">
      <c r="A1246" s="231">
        <v>1245</v>
      </c>
      <c r="B1246" s="235" t="s">
        <v>52</v>
      </c>
      <c r="C1246" s="231" t="s">
        <v>10</v>
      </c>
      <c r="D1246" s="250" t="s">
        <v>2909</v>
      </c>
      <c r="E1246" s="239"/>
      <c r="F1246" s="231"/>
      <c r="G1246" s="231">
        <v>48</v>
      </c>
      <c r="H1246" s="231" t="s">
        <v>3060</v>
      </c>
      <c r="I1246" s="281">
        <v>0</v>
      </c>
      <c r="J1246" s="249">
        <v>400</v>
      </c>
      <c r="K1246" s="231">
        <v>10</v>
      </c>
      <c r="L1246" s="231"/>
      <c r="M1246" s="299" t="s">
        <v>3276</v>
      </c>
      <c r="N1246" s="231"/>
      <c r="O1246" s="231">
        <v>2024</v>
      </c>
      <c r="P1246" s="285">
        <v>45375</v>
      </c>
      <c r="Q1246" s="231"/>
      <c r="R1246" s="231"/>
      <c r="S1246" s="231" t="s">
        <v>453</v>
      </c>
      <c r="T1246" s="231"/>
    </row>
    <row r="1247" spans="1:20" ht="14">
      <c r="A1247" s="231">
        <v>1246</v>
      </c>
      <c r="B1247" s="235" t="s">
        <v>52</v>
      </c>
      <c r="C1247" s="231" t="s">
        <v>10</v>
      </c>
      <c r="D1247" s="250" t="s">
        <v>2910</v>
      </c>
      <c r="E1247" s="239"/>
      <c r="F1247" s="231"/>
      <c r="G1247" s="231">
        <v>48</v>
      </c>
      <c r="H1247" s="231" t="s">
        <v>3060</v>
      </c>
      <c r="I1247" s="281">
        <v>0</v>
      </c>
      <c r="J1247" s="249">
        <v>200</v>
      </c>
      <c r="K1247" s="231">
        <f t="shared" si="19"/>
        <v>20</v>
      </c>
      <c r="L1247" s="231"/>
      <c r="M1247" s="231" t="s">
        <v>16</v>
      </c>
      <c r="N1247" s="239"/>
      <c r="O1247" s="231">
        <v>2024</v>
      </c>
      <c r="P1247" s="285">
        <v>45372</v>
      </c>
      <c r="Q1247" s="231"/>
      <c r="R1247" s="231"/>
      <c r="S1247" s="231" t="s">
        <v>453</v>
      </c>
      <c r="T1247" s="231"/>
    </row>
    <row r="1248" spans="1:20" ht="14">
      <c r="A1248" s="231">
        <v>1247</v>
      </c>
      <c r="B1248" s="235" t="s">
        <v>52</v>
      </c>
      <c r="C1248" s="231" t="s">
        <v>10</v>
      </c>
      <c r="D1248" s="250" t="s">
        <v>2911</v>
      </c>
      <c r="E1248" s="239"/>
      <c r="F1248" s="231"/>
      <c r="G1248" s="231">
        <v>48</v>
      </c>
      <c r="H1248" s="231" t="s">
        <v>4555</v>
      </c>
      <c r="I1248" s="281">
        <v>0</v>
      </c>
      <c r="J1248" s="249">
        <v>250</v>
      </c>
      <c r="K1248" s="231">
        <f t="shared" si="19"/>
        <v>20</v>
      </c>
      <c r="L1248" s="231"/>
      <c r="M1248" s="231" t="s">
        <v>16</v>
      </c>
      <c r="N1248" s="231"/>
      <c r="O1248" s="231">
        <v>2024</v>
      </c>
      <c r="P1248" s="285">
        <v>45372</v>
      </c>
      <c r="Q1248" s="231"/>
      <c r="R1248" s="231"/>
      <c r="S1248" s="231" t="s">
        <v>453</v>
      </c>
      <c r="T1248" s="231"/>
    </row>
    <row r="1249" spans="1:20" ht="14">
      <c r="A1249" s="231">
        <v>1248</v>
      </c>
      <c r="B1249" s="235" t="s">
        <v>52</v>
      </c>
      <c r="C1249" s="231" t="s">
        <v>10</v>
      </c>
      <c r="D1249" s="250" t="s">
        <v>2912</v>
      </c>
      <c r="E1249" s="239"/>
      <c r="F1249" s="231"/>
      <c r="G1249" s="231">
        <v>48</v>
      </c>
      <c r="H1249" s="231" t="s">
        <v>4555</v>
      </c>
      <c r="I1249" s="281">
        <v>0</v>
      </c>
      <c r="J1249" s="249">
        <v>250</v>
      </c>
      <c r="K1249" s="231">
        <f t="shared" si="19"/>
        <v>20</v>
      </c>
      <c r="L1249" s="231"/>
      <c r="M1249" s="231" t="s">
        <v>16</v>
      </c>
      <c r="N1249" s="239"/>
      <c r="O1249" s="231">
        <v>2024</v>
      </c>
      <c r="P1249" s="285">
        <v>45371</v>
      </c>
      <c r="Q1249" s="231"/>
      <c r="R1249" s="231"/>
      <c r="S1249" s="231" t="s">
        <v>453</v>
      </c>
      <c r="T1249" s="231"/>
    </row>
    <row r="1250" spans="1:20" ht="14">
      <c r="A1250" s="231">
        <v>1249</v>
      </c>
      <c r="B1250" s="235" t="s">
        <v>52</v>
      </c>
      <c r="C1250" s="231" t="s">
        <v>10</v>
      </c>
      <c r="D1250" s="250" t="s">
        <v>2913</v>
      </c>
      <c r="E1250" s="239" t="s">
        <v>2889</v>
      </c>
      <c r="F1250" s="231"/>
      <c r="G1250" s="231">
        <v>48</v>
      </c>
      <c r="H1250" s="231" t="s">
        <v>2877</v>
      </c>
      <c r="I1250" s="281">
        <v>0</v>
      </c>
      <c r="J1250" s="249">
        <v>200</v>
      </c>
      <c r="K1250" s="231">
        <v>60</v>
      </c>
      <c r="L1250" s="231"/>
      <c r="M1250" s="299" t="s">
        <v>15</v>
      </c>
      <c r="N1250" s="231"/>
      <c r="O1250" s="231">
        <v>2024</v>
      </c>
      <c r="P1250" s="285">
        <v>45376</v>
      </c>
      <c r="Q1250" s="231"/>
      <c r="R1250" s="231"/>
      <c r="S1250" s="231" t="s">
        <v>453</v>
      </c>
      <c r="T1250" s="231"/>
    </row>
    <row r="1251" spans="1:20" ht="14">
      <c r="A1251" s="231">
        <v>1250</v>
      </c>
      <c r="B1251" s="235" t="s">
        <v>52</v>
      </c>
      <c r="C1251" s="231" t="s">
        <v>10</v>
      </c>
      <c r="D1251" s="250" t="s">
        <v>2915</v>
      </c>
      <c r="E1251" s="239" t="s">
        <v>2891</v>
      </c>
      <c r="F1251" s="231"/>
      <c r="G1251" s="231">
        <v>48</v>
      </c>
      <c r="H1251" s="231" t="s">
        <v>2773</v>
      </c>
      <c r="I1251" s="281">
        <v>0</v>
      </c>
      <c r="J1251" s="249">
        <v>200</v>
      </c>
      <c r="K1251" s="231">
        <f t="shared" si="19"/>
        <v>20</v>
      </c>
      <c r="L1251" s="231"/>
      <c r="M1251" s="231" t="s">
        <v>16</v>
      </c>
      <c r="N1251" s="239"/>
      <c r="O1251" s="231">
        <v>2024</v>
      </c>
      <c r="P1251" s="285">
        <v>45372</v>
      </c>
      <c r="Q1251" s="231"/>
      <c r="R1251" s="231"/>
      <c r="S1251" s="231" t="s">
        <v>453</v>
      </c>
      <c r="T1251" s="231"/>
    </row>
    <row r="1252" spans="1:20" ht="14">
      <c r="A1252" s="231">
        <v>1251</v>
      </c>
      <c r="B1252" s="235" t="s">
        <v>52</v>
      </c>
      <c r="C1252" s="231" t="s">
        <v>10</v>
      </c>
      <c r="D1252" s="250" t="s">
        <v>2916</v>
      </c>
      <c r="E1252" s="239"/>
      <c r="F1252" s="231"/>
      <c r="G1252" s="231">
        <v>48</v>
      </c>
      <c r="H1252" s="231" t="s">
        <v>2773</v>
      </c>
      <c r="I1252" s="281">
        <v>0</v>
      </c>
      <c r="J1252" s="249">
        <v>250</v>
      </c>
      <c r="K1252" s="231">
        <f t="shared" si="19"/>
        <v>20</v>
      </c>
      <c r="L1252" s="231"/>
      <c r="M1252" s="231" t="s">
        <v>16</v>
      </c>
      <c r="N1252" s="231"/>
      <c r="O1252" s="231">
        <v>2024</v>
      </c>
      <c r="P1252" s="285">
        <v>45372</v>
      </c>
      <c r="Q1252" s="231"/>
      <c r="R1252" s="231"/>
      <c r="S1252" s="231" t="s">
        <v>453</v>
      </c>
      <c r="T1252" s="231"/>
    </row>
    <row r="1253" spans="1:20" ht="14">
      <c r="A1253" s="231">
        <v>1252</v>
      </c>
      <c r="B1253" s="235" t="s">
        <v>52</v>
      </c>
      <c r="C1253" s="231" t="s">
        <v>10</v>
      </c>
      <c r="D1253" s="250" t="s">
        <v>2917</v>
      </c>
      <c r="E1253" s="239" t="s">
        <v>2896</v>
      </c>
      <c r="F1253" s="231"/>
      <c r="G1253" s="231">
        <v>2</v>
      </c>
      <c r="H1253" s="231" t="s">
        <v>2773</v>
      </c>
      <c r="I1253" s="281">
        <v>0</v>
      </c>
      <c r="J1253" s="249">
        <v>300</v>
      </c>
      <c r="K1253" s="231">
        <f t="shared" si="19"/>
        <v>20</v>
      </c>
      <c r="L1253" s="231"/>
      <c r="M1253" s="231" t="s">
        <v>16</v>
      </c>
      <c r="N1253" s="239"/>
      <c r="O1253" s="231">
        <v>2024</v>
      </c>
      <c r="P1253" s="285">
        <v>45371</v>
      </c>
      <c r="Q1253" s="231"/>
      <c r="R1253" s="231"/>
      <c r="S1253" s="231" t="s">
        <v>453</v>
      </c>
      <c r="T1253" s="231"/>
    </row>
    <row r="1254" spans="1:20" ht="14">
      <c r="A1254" s="231">
        <v>1253</v>
      </c>
      <c r="B1254" s="235" t="s">
        <v>52</v>
      </c>
      <c r="C1254" s="231" t="s">
        <v>10</v>
      </c>
      <c r="D1254" s="250" t="s">
        <v>2918</v>
      </c>
      <c r="E1254" s="239" t="s">
        <v>2898</v>
      </c>
      <c r="F1254" s="231"/>
      <c r="G1254" s="231">
        <v>48</v>
      </c>
      <c r="H1254" s="231" t="s">
        <v>2773</v>
      </c>
      <c r="I1254" s="281">
        <v>0</v>
      </c>
      <c r="J1254" s="249">
        <v>350</v>
      </c>
      <c r="K1254" s="231">
        <f t="shared" si="19"/>
        <v>20</v>
      </c>
      <c r="L1254" s="231"/>
      <c r="M1254" s="231" t="s">
        <v>16</v>
      </c>
      <c r="N1254" s="231"/>
      <c r="O1254" s="231">
        <v>2024</v>
      </c>
      <c r="P1254" s="285">
        <v>45360</v>
      </c>
      <c r="Q1254" s="231"/>
      <c r="R1254" s="231"/>
      <c r="S1254" s="231" t="s">
        <v>453</v>
      </c>
      <c r="T1254" s="231"/>
    </row>
    <row r="1255" spans="1:20" ht="14">
      <c r="A1255" s="231">
        <v>1254</v>
      </c>
      <c r="B1255" s="235" t="s">
        <v>52</v>
      </c>
      <c r="C1255" s="231" t="s">
        <v>10</v>
      </c>
      <c r="D1255" s="250" t="s">
        <v>2919</v>
      </c>
      <c r="E1255" s="239" t="s">
        <v>2900</v>
      </c>
      <c r="F1255" s="231"/>
      <c r="G1255" s="231">
        <v>2</v>
      </c>
      <c r="H1255" s="231" t="s">
        <v>2773</v>
      </c>
      <c r="I1255" s="281">
        <v>0</v>
      </c>
      <c r="J1255" s="249">
        <v>1250</v>
      </c>
      <c r="K1255" s="231">
        <v>20</v>
      </c>
      <c r="L1255" s="231"/>
      <c r="M1255" s="299" t="s">
        <v>15</v>
      </c>
      <c r="N1255" s="239"/>
      <c r="O1255" s="231">
        <v>2024</v>
      </c>
      <c r="P1255" s="285">
        <v>45370</v>
      </c>
      <c r="Q1255" s="231"/>
      <c r="R1255" s="231"/>
      <c r="S1255" s="231" t="s">
        <v>453</v>
      </c>
      <c r="T1255" s="231"/>
    </row>
    <row r="1256" spans="1:20" ht="14">
      <c r="A1256" s="231">
        <v>1255</v>
      </c>
      <c r="B1256" s="235" t="s">
        <v>52</v>
      </c>
      <c r="C1256" s="231" t="s">
        <v>10</v>
      </c>
      <c r="D1256" s="250" t="s">
        <v>2920</v>
      </c>
      <c r="E1256" s="237" t="s">
        <v>2902</v>
      </c>
      <c r="F1256" s="231"/>
      <c r="G1256" s="231">
        <v>48</v>
      </c>
      <c r="H1256" s="231" t="s">
        <v>4269</v>
      </c>
      <c r="I1256" s="281">
        <v>0</v>
      </c>
      <c r="J1256" s="249">
        <v>400</v>
      </c>
      <c r="K1256" s="231">
        <f t="shared" si="19"/>
        <v>20</v>
      </c>
      <c r="L1256" s="231"/>
      <c r="M1256" s="231" t="s">
        <v>16</v>
      </c>
      <c r="N1256" s="231"/>
      <c r="O1256" s="231">
        <v>2024</v>
      </c>
      <c r="P1256" s="285">
        <v>45399</v>
      </c>
      <c r="Q1256" s="231"/>
      <c r="R1256" s="231"/>
      <c r="S1256" s="231" t="s">
        <v>453</v>
      </c>
      <c r="T1256" s="231"/>
    </row>
    <row r="1257" spans="1:20" ht="14">
      <c r="A1257" s="231">
        <v>1256</v>
      </c>
      <c r="B1257" s="235" t="s">
        <v>49</v>
      </c>
      <c r="C1257" s="231" t="s">
        <v>10</v>
      </c>
      <c r="D1257" s="250" t="s">
        <v>2921</v>
      </c>
      <c r="E1257" s="239"/>
      <c r="F1257" s="231"/>
      <c r="G1257" s="231">
        <v>48</v>
      </c>
      <c r="H1257" s="231" t="s">
        <v>2923</v>
      </c>
      <c r="I1257" s="281">
        <v>0</v>
      </c>
      <c r="J1257" s="249">
        <v>5600</v>
      </c>
      <c r="K1257" s="231">
        <v>80</v>
      </c>
      <c r="L1257" s="231"/>
      <c r="M1257" s="299" t="s">
        <v>15</v>
      </c>
      <c r="N1257" s="239"/>
      <c r="O1257" s="231">
        <v>2024</v>
      </c>
      <c r="P1257" s="285">
        <v>45399</v>
      </c>
      <c r="Q1257" s="231"/>
      <c r="R1257" s="231"/>
      <c r="S1257" s="231" t="s">
        <v>453</v>
      </c>
      <c r="T1257" s="231"/>
    </row>
    <row r="1258" spans="1:20" ht="14">
      <c r="A1258" s="231">
        <v>1257</v>
      </c>
      <c r="B1258" s="235" t="s">
        <v>52</v>
      </c>
      <c r="C1258" s="231" t="s">
        <v>10</v>
      </c>
      <c r="D1258" s="250" t="s">
        <v>2922</v>
      </c>
      <c r="E1258" s="259"/>
      <c r="F1258" s="240"/>
      <c r="G1258" s="240">
        <v>48</v>
      </c>
      <c r="H1258" s="231" t="s">
        <v>2923</v>
      </c>
      <c r="I1258" s="281">
        <v>0</v>
      </c>
      <c r="J1258" s="249">
        <v>650</v>
      </c>
      <c r="K1258" s="231">
        <v>60</v>
      </c>
      <c r="L1258" s="231"/>
      <c r="M1258" s="299" t="s">
        <v>15</v>
      </c>
      <c r="N1258" s="240"/>
      <c r="O1258" s="231">
        <v>2024</v>
      </c>
      <c r="P1258" s="285">
        <v>45391</v>
      </c>
      <c r="Q1258" s="240"/>
      <c r="R1258" s="240"/>
      <c r="S1258" s="240" t="s">
        <v>453</v>
      </c>
      <c r="T1258" s="231"/>
    </row>
    <row r="1259" spans="1:20" ht="14">
      <c r="A1259" s="231">
        <v>1258</v>
      </c>
      <c r="B1259" s="235" t="s">
        <v>52</v>
      </c>
      <c r="C1259" s="231" t="s">
        <v>10</v>
      </c>
      <c r="D1259" s="250" t="s">
        <v>2924</v>
      </c>
      <c r="E1259" s="239"/>
      <c r="F1259" s="231"/>
      <c r="G1259" s="231">
        <v>48</v>
      </c>
      <c r="H1259" s="231" t="s">
        <v>2773</v>
      </c>
      <c r="I1259" s="281">
        <v>0</v>
      </c>
      <c r="J1259" s="249">
        <v>400</v>
      </c>
      <c r="K1259" s="231">
        <f t="shared" si="19"/>
        <v>20</v>
      </c>
      <c r="L1259" s="231"/>
      <c r="M1259" s="231" t="s">
        <v>16</v>
      </c>
      <c r="N1259" s="239"/>
      <c r="O1259" s="231">
        <v>2024</v>
      </c>
      <c r="P1259" s="285">
        <v>45390</v>
      </c>
      <c r="Q1259" s="231"/>
      <c r="R1259" s="231"/>
      <c r="S1259" s="231" t="s">
        <v>453</v>
      </c>
      <c r="T1259" s="231"/>
    </row>
    <row r="1260" spans="1:20" ht="14">
      <c r="A1260" s="231">
        <v>1259</v>
      </c>
      <c r="B1260" s="235" t="s">
        <v>52</v>
      </c>
      <c r="C1260" s="231" t="s">
        <v>10</v>
      </c>
      <c r="D1260" s="250" t="s">
        <v>2926</v>
      </c>
      <c r="E1260" s="239"/>
      <c r="F1260" s="231"/>
      <c r="G1260" s="231">
        <v>48</v>
      </c>
      <c r="H1260" s="231" t="s">
        <v>2763</v>
      </c>
      <c r="I1260" s="281">
        <v>0</v>
      </c>
      <c r="J1260" s="249">
        <v>300</v>
      </c>
      <c r="K1260" s="231">
        <f t="shared" si="19"/>
        <v>20</v>
      </c>
      <c r="L1260" s="231"/>
      <c r="M1260" s="231" t="s">
        <v>16</v>
      </c>
      <c r="N1260" s="231"/>
      <c r="O1260" s="231">
        <v>2024</v>
      </c>
      <c r="P1260" s="285">
        <v>45390</v>
      </c>
      <c r="Q1260" s="231"/>
      <c r="R1260" s="231"/>
      <c r="S1260" s="231" t="s">
        <v>453</v>
      </c>
      <c r="T1260" s="231"/>
    </row>
    <row r="1261" spans="1:20" ht="14">
      <c r="A1261" s="231">
        <v>1260</v>
      </c>
      <c r="B1261" s="235" t="s">
        <v>52</v>
      </c>
      <c r="C1261" s="231" t="s">
        <v>10</v>
      </c>
      <c r="D1261" s="250" t="s">
        <v>2927</v>
      </c>
      <c r="E1261" s="239"/>
      <c r="F1261" s="231"/>
      <c r="G1261" s="231">
        <v>48</v>
      </c>
      <c r="H1261" s="231" t="s">
        <v>2783</v>
      </c>
      <c r="I1261" s="281">
        <v>0</v>
      </c>
      <c r="J1261" s="249">
        <v>300</v>
      </c>
      <c r="K1261" s="231">
        <f t="shared" si="19"/>
        <v>20</v>
      </c>
      <c r="L1261" s="231"/>
      <c r="M1261" s="231" t="s">
        <v>16</v>
      </c>
      <c r="N1261" s="239"/>
      <c r="O1261" s="231">
        <v>2024</v>
      </c>
      <c r="P1261" s="285">
        <v>45390</v>
      </c>
      <c r="Q1261" s="231"/>
      <c r="R1261" s="231"/>
      <c r="S1261" s="231" t="s">
        <v>453</v>
      </c>
      <c r="T1261" s="231"/>
    </row>
    <row r="1262" spans="1:20" ht="14">
      <c r="A1262" s="231">
        <v>1261</v>
      </c>
      <c r="B1262" s="235" t="s">
        <v>52</v>
      </c>
      <c r="C1262" s="231" t="s">
        <v>10</v>
      </c>
      <c r="D1262" s="250" t="s">
        <v>2929</v>
      </c>
      <c r="E1262" s="239"/>
      <c r="F1262" s="231"/>
      <c r="G1262" s="231">
        <v>48</v>
      </c>
      <c r="H1262" s="231" t="s">
        <v>4265</v>
      </c>
      <c r="I1262" s="281">
        <v>0</v>
      </c>
      <c r="J1262" s="249">
        <v>350</v>
      </c>
      <c r="K1262" s="231">
        <f t="shared" si="19"/>
        <v>20</v>
      </c>
      <c r="L1262" s="231"/>
      <c r="M1262" s="231" t="s">
        <v>16</v>
      </c>
      <c r="N1262" s="231"/>
      <c r="O1262" s="231">
        <v>2024</v>
      </c>
      <c r="P1262" s="285">
        <v>45390</v>
      </c>
      <c r="Q1262" s="231"/>
      <c r="R1262" s="231"/>
      <c r="S1262" s="231" t="s">
        <v>453</v>
      </c>
      <c r="T1262" s="231"/>
    </row>
    <row r="1263" spans="1:20" ht="14">
      <c r="A1263" s="231">
        <v>1262</v>
      </c>
      <c r="B1263" s="235" t="s">
        <v>52</v>
      </c>
      <c r="C1263" s="231" t="s">
        <v>10</v>
      </c>
      <c r="D1263" s="250" t="s">
        <v>2930</v>
      </c>
      <c r="E1263" s="239"/>
      <c r="F1263" s="231"/>
      <c r="G1263" s="231">
        <v>48</v>
      </c>
      <c r="H1263" s="231" t="s">
        <v>2875</v>
      </c>
      <c r="I1263" s="281">
        <v>0</v>
      </c>
      <c r="J1263" s="249">
        <v>400</v>
      </c>
      <c r="K1263" s="231">
        <f t="shared" si="19"/>
        <v>20</v>
      </c>
      <c r="L1263" s="231"/>
      <c r="M1263" s="231" t="s">
        <v>16</v>
      </c>
      <c r="N1263" s="239"/>
      <c r="O1263" s="231">
        <v>2024</v>
      </c>
      <c r="P1263" s="285">
        <v>45391</v>
      </c>
      <c r="Q1263" s="231"/>
      <c r="R1263" s="231"/>
      <c r="S1263" s="231" t="s">
        <v>453</v>
      </c>
      <c r="T1263" s="231"/>
    </row>
    <row r="1264" spans="1:20" ht="14">
      <c r="A1264" s="231">
        <v>1263</v>
      </c>
      <c r="B1264" s="235" t="s">
        <v>52</v>
      </c>
      <c r="C1264" s="231" t="s">
        <v>10</v>
      </c>
      <c r="D1264" s="250" t="s">
        <v>2931</v>
      </c>
      <c r="E1264" s="239"/>
      <c r="F1264" s="231"/>
      <c r="G1264" s="231">
        <v>2</v>
      </c>
      <c r="H1264" s="231" t="s">
        <v>2776</v>
      </c>
      <c r="I1264" s="281">
        <v>0</v>
      </c>
      <c r="J1264" s="249">
        <v>300</v>
      </c>
      <c r="K1264" s="231">
        <v>40</v>
      </c>
      <c r="L1264" s="231"/>
      <c r="M1264" s="299" t="s">
        <v>15</v>
      </c>
      <c r="N1264" s="231"/>
      <c r="O1264" s="231">
        <v>2024</v>
      </c>
      <c r="P1264" s="285">
        <v>45397</v>
      </c>
      <c r="Q1264" s="231"/>
      <c r="R1264" s="231"/>
      <c r="S1264" s="231" t="s">
        <v>453</v>
      </c>
      <c r="T1264" s="231"/>
    </row>
    <row r="1265" spans="1:20" ht="14">
      <c r="A1265" s="231">
        <v>1264</v>
      </c>
      <c r="B1265" s="235" t="s">
        <v>52</v>
      </c>
      <c r="C1265" s="231" t="s">
        <v>10</v>
      </c>
      <c r="D1265" s="250" t="s">
        <v>2933</v>
      </c>
      <c r="E1265" s="239"/>
      <c r="F1265" s="231"/>
      <c r="G1265" s="231">
        <v>2</v>
      </c>
      <c r="H1265" s="231" t="s">
        <v>4585</v>
      </c>
      <c r="I1265" s="281">
        <v>0</v>
      </c>
      <c r="J1265" s="249">
        <v>600</v>
      </c>
      <c r="K1265" s="231">
        <v>20</v>
      </c>
      <c r="L1265" s="231"/>
      <c r="M1265" s="299" t="s">
        <v>3276</v>
      </c>
      <c r="N1265" s="239"/>
      <c r="O1265" s="231">
        <v>2024</v>
      </c>
      <c r="P1265" s="285">
        <v>45397</v>
      </c>
      <c r="Q1265" s="231"/>
      <c r="R1265" s="231"/>
      <c r="S1265" s="231" t="s">
        <v>453</v>
      </c>
      <c r="T1265" s="231"/>
    </row>
    <row r="1266" spans="1:20" ht="14">
      <c r="A1266" s="231">
        <v>1265</v>
      </c>
      <c r="B1266" s="235" t="s">
        <v>52</v>
      </c>
      <c r="C1266" s="231" t="s">
        <v>10</v>
      </c>
      <c r="D1266" s="250" t="s">
        <v>2935</v>
      </c>
      <c r="E1266" s="239"/>
      <c r="F1266" s="231"/>
      <c r="G1266" s="231">
        <v>2</v>
      </c>
      <c r="H1266" s="231" t="s">
        <v>2937</v>
      </c>
      <c r="I1266" s="281">
        <v>0</v>
      </c>
      <c r="J1266" s="249">
        <v>300</v>
      </c>
      <c r="K1266" s="231">
        <v>20</v>
      </c>
      <c r="L1266" s="231"/>
      <c r="M1266" s="299" t="s">
        <v>15</v>
      </c>
      <c r="N1266" s="231"/>
      <c r="O1266" s="231">
        <v>2024</v>
      </c>
      <c r="P1266" s="285">
        <v>45390</v>
      </c>
      <c r="Q1266" s="231"/>
      <c r="R1266" s="231"/>
      <c r="S1266" s="231" t="s">
        <v>453</v>
      </c>
      <c r="T1266" s="231"/>
    </row>
    <row r="1267" spans="1:20" ht="14">
      <c r="A1267" s="231">
        <v>1266</v>
      </c>
      <c r="B1267" s="235" t="s">
        <v>52</v>
      </c>
      <c r="C1267" s="231" t="s">
        <v>10</v>
      </c>
      <c r="D1267" s="250" t="s">
        <v>2938</v>
      </c>
      <c r="E1267" s="239" t="s">
        <v>2914</v>
      </c>
      <c r="F1267" s="231"/>
      <c r="G1267" s="231">
        <v>48</v>
      </c>
      <c r="H1267" s="231" t="s">
        <v>2940</v>
      </c>
      <c r="I1267" s="281">
        <v>0</v>
      </c>
      <c r="J1267" s="249">
        <v>300</v>
      </c>
      <c r="K1267" s="231">
        <v>20</v>
      </c>
      <c r="L1267" s="231"/>
      <c r="M1267" s="299" t="s">
        <v>15</v>
      </c>
      <c r="N1267" s="239"/>
      <c r="O1267" s="231">
        <v>2024</v>
      </c>
      <c r="P1267" s="285">
        <v>45406</v>
      </c>
      <c r="Q1267" s="231"/>
      <c r="R1267" s="231"/>
      <c r="S1267" s="231" t="s">
        <v>453</v>
      </c>
      <c r="T1267" s="231"/>
    </row>
    <row r="1268" spans="1:20" ht="14">
      <c r="A1268" s="231">
        <v>1267</v>
      </c>
      <c r="B1268" s="235" t="s">
        <v>52</v>
      </c>
      <c r="C1268" s="231" t="s">
        <v>10</v>
      </c>
      <c r="D1268" s="250" t="s">
        <v>2941</v>
      </c>
      <c r="E1268" s="239"/>
      <c r="F1268" s="231"/>
      <c r="G1268" s="231">
        <v>2</v>
      </c>
      <c r="H1268" s="231" t="s">
        <v>2943</v>
      </c>
      <c r="I1268" s="281">
        <v>0</v>
      </c>
      <c r="J1268" s="249">
        <v>300</v>
      </c>
      <c r="K1268" s="231">
        <v>40</v>
      </c>
      <c r="L1268" s="231"/>
      <c r="M1268" s="231" t="s">
        <v>706</v>
      </c>
      <c r="N1268" s="231"/>
      <c r="O1268" s="231">
        <v>2024</v>
      </c>
      <c r="P1268" s="285">
        <v>45404</v>
      </c>
      <c r="Q1268" s="231"/>
      <c r="R1268" s="231"/>
      <c r="S1268" s="231" t="s">
        <v>453</v>
      </c>
      <c r="T1268" s="231"/>
    </row>
    <row r="1269" spans="1:20" ht="14">
      <c r="A1269" s="231">
        <v>1268</v>
      </c>
      <c r="B1269" s="235" t="s">
        <v>52</v>
      </c>
      <c r="C1269" s="231" t="s">
        <v>10</v>
      </c>
      <c r="D1269" s="250" t="s">
        <v>2944</v>
      </c>
      <c r="E1269" s="239"/>
      <c r="F1269" s="231"/>
      <c r="G1269" s="231">
        <v>2</v>
      </c>
      <c r="H1269" s="231" t="s">
        <v>582</v>
      </c>
      <c r="I1269" s="281">
        <v>0</v>
      </c>
      <c r="J1269" s="249">
        <v>350</v>
      </c>
      <c r="K1269" s="231">
        <f t="shared" si="19"/>
        <v>20</v>
      </c>
      <c r="L1269" s="231"/>
      <c r="M1269" s="231" t="s">
        <v>16</v>
      </c>
      <c r="N1269" s="239"/>
      <c r="O1269" s="231">
        <v>2024</v>
      </c>
      <c r="P1269" s="285">
        <v>45400</v>
      </c>
      <c r="Q1269" s="231"/>
      <c r="R1269" s="231"/>
      <c r="S1269" s="231" t="s">
        <v>453</v>
      </c>
      <c r="T1269" s="231"/>
    </row>
    <row r="1270" spans="1:20" ht="14">
      <c r="A1270" s="231">
        <v>1269</v>
      </c>
      <c r="B1270" s="235" t="s">
        <v>52</v>
      </c>
      <c r="C1270" s="231" t="s">
        <v>10</v>
      </c>
      <c r="D1270" s="250" t="s">
        <v>2946</v>
      </c>
      <c r="E1270" s="239"/>
      <c r="F1270" s="231"/>
      <c r="G1270" s="231">
        <v>2</v>
      </c>
      <c r="H1270" s="231" t="s">
        <v>3542</v>
      </c>
      <c r="I1270" s="281">
        <v>0</v>
      </c>
      <c r="J1270" s="249">
        <v>300</v>
      </c>
      <c r="K1270" s="231">
        <v>20</v>
      </c>
      <c r="L1270" s="231"/>
      <c r="M1270" s="299" t="s">
        <v>15</v>
      </c>
      <c r="N1270" s="231"/>
      <c r="O1270" s="231">
        <v>2024</v>
      </c>
      <c r="P1270" s="285">
        <v>45400</v>
      </c>
      <c r="Q1270" s="231"/>
      <c r="R1270" s="231"/>
      <c r="S1270" s="231" t="s">
        <v>453</v>
      </c>
      <c r="T1270" s="231"/>
    </row>
    <row r="1271" spans="1:20" ht="14">
      <c r="A1271" s="231">
        <v>1270</v>
      </c>
      <c r="B1271" s="235" t="s">
        <v>55</v>
      </c>
      <c r="C1271" s="231" t="s">
        <v>10</v>
      </c>
      <c r="D1271" s="250" t="s">
        <v>2948</v>
      </c>
      <c r="E1271" s="239"/>
      <c r="F1271" s="231"/>
      <c r="G1271" s="231">
        <v>2</v>
      </c>
      <c r="H1271" s="231" t="s">
        <v>4570</v>
      </c>
      <c r="I1271" s="281">
        <v>0</v>
      </c>
      <c r="J1271" s="249">
        <v>150</v>
      </c>
      <c r="K1271" s="231">
        <f t="shared" si="19"/>
        <v>20</v>
      </c>
      <c r="L1271" s="231"/>
      <c r="M1271" s="231" t="s">
        <v>16</v>
      </c>
      <c r="N1271" s="239"/>
      <c r="O1271" s="231">
        <v>2024</v>
      </c>
      <c r="P1271" s="285">
        <v>45400</v>
      </c>
      <c r="Q1271" s="231"/>
      <c r="R1271" s="231"/>
      <c r="S1271" s="231" t="s">
        <v>453</v>
      </c>
      <c r="T1271" s="231"/>
    </row>
    <row r="1272" spans="1:20" ht="14">
      <c r="A1272" s="231">
        <v>1271</v>
      </c>
      <c r="B1272" s="235" t="s">
        <v>52</v>
      </c>
      <c r="C1272" s="231" t="s">
        <v>10</v>
      </c>
      <c r="D1272" s="250" t="s">
        <v>2950</v>
      </c>
      <c r="E1272" s="239"/>
      <c r="F1272" s="231"/>
      <c r="G1272" s="231" cm="1">
        <f t="array" ref="G1272">_xlfn.IFS(J1272&lt;301,2,J1272&gt;300,48)</f>
        <v>48</v>
      </c>
      <c r="H1272" s="231" t="s">
        <v>4571</v>
      </c>
      <c r="I1272" s="281">
        <v>0</v>
      </c>
      <c r="J1272" s="249">
        <v>650</v>
      </c>
      <c r="K1272" s="231">
        <f t="shared" si="19"/>
        <v>20</v>
      </c>
      <c r="L1272" s="231"/>
      <c r="M1272" s="231" t="s">
        <v>16</v>
      </c>
      <c r="N1272" s="231"/>
      <c r="O1272" s="231">
        <v>2024</v>
      </c>
      <c r="P1272" s="285">
        <v>45399</v>
      </c>
      <c r="Q1272" s="231"/>
      <c r="R1272" s="231"/>
      <c r="S1272" s="231" t="s">
        <v>453</v>
      </c>
      <c r="T1272" s="231"/>
    </row>
    <row r="1273" spans="1:20" ht="14">
      <c r="A1273" s="231">
        <v>1272</v>
      </c>
      <c r="B1273" s="235" t="s">
        <v>52</v>
      </c>
      <c r="C1273" s="231" t="s">
        <v>10</v>
      </c>
      <c r="D1273" s="250" t="s">
        <v>2951</v>
      </c>
      <c r="E1273" s="239"/>
      <c r="F1273" s="231"/>
      <c r="G1273" s="231" cm="1">
        <f t="array" ref="G1273">_xlfn.IFS(J1273&lt;301,2,J1273&gt;300,48)</f>
        <v>48</v>
      </c>
      <c r="H1273" s="231" t="s">
        <v>2894</v>
      </c>
      <c r="I1273" s="281">
        <v>0</v>
      </c>
      <c r="J1273" s="249">
        <v>650</v>
      </c>
      <c r="K1273" s="231">
        <f t="shared" si="19"/>
        <v>20</v>
      </c>
      <c r="L1273" s="231"/>
      <c r="M1273" s="231" t="s">
        <v>16</v>
      </c>
      <c r="N1273" s="231"/>
      <c r="O1273" s="231">
        <v>2024</v>
      </c>
      <c r="P1273" s="285">
        <v>45400</v>
      </c>
      <c r="Q1273" s="231"/>
      <c r="R1273" s="231"/>
      <c r="S1273" s="231" t="s">
        <v>453</v>
      </c>
      <c r="T1273" s="231"/>
    </row>
    <row r="1274" spans="1:20" ht="14">
      <c r="A1274" s="231">
        <v>1273</v>
      </c>
      <c r="B1274" s="235" t="s">
        <v>52</v>
      </c>
      <c r="C1274" s="231" t="s">
        <v>10</v>
      </c>
      <c r="D1274" s="250" t="s">
        <v>2953</v>
      </c>
      <c r="E1274" s="239"/>
      <c r="F1274" s="231"/>
      <c r="G1274" s="231" cm="1">
        <f t="array" ref="G1274">_xlfn.IFS(J1274&lt;301,2,J1274&gt;300,48)</f>
        <v>48</v>
      </c>
      <c r="H1274" s="231" t="s">
        <v>2894</v>
      </c>
      <c r="I1274" s="281">
        <v>0</v>
      </c>
      <c r="J1274" s="249">
        <v>600</v>
      </c>
      <c r="K1274" s="231">
        <f t="shared" si="19"/>
        <v>20</v>
      </c>
      <c r="L1274" s="231"/>
      <c r="M1274" s="231" t="s">
        <v>16</v>
      </c>
      <c r="N1274" s="231"/>
      <c r="O1274" s="231">
        <v>2024</v>
      </c>
      <c r="P1274" s="285">
        <v>45406</v>
      </c>
      <c r="Q1274" s="231"/>
      <c r="R1274" s="231"/>
      <c r="S1274" s="231" t="s">
        <v>453</v>
      </c>
      <c r="T1274" s="231"/>
    </row>
    <row r="1275" spans="1:20" ht="14">
      <c r="A1275" s="231">
        <v>1274</v>
      </c>
      <c r="B1275" s="235" t="s">
        <v>52</v>
      </c>
      <c r="C1275" s="231" t="s">
        <v>10</v>
      </c>
      <c r="D1275" s="250" t="s">
        <v>2955</v>
      </c>
      <c r="E1275" s="239"/>
      <c r="F1275" s="231"/>
      <c r="G1275" s="231">
        <v>48</v>
      </c>
      <c r="H1275" s="231" t="s">
        <v>3608</v>
      </c>
      <c r="I1275" s="281">
        <v>0</v>
      </c>
      <c r="J1275" s="249">
        <v>500</v>
      </c>
      <c r="K1275" s="231">
        <f t="shared" si="19"/>
        <v>20</v>
      </c>
      <c r="L1275" s="231"/>
      <c r="M1275" s="231" t="s">
        <v>16</v>
      </c>
      <c r="N1275" s="231"/>
      <c r="O1275" s="231">
        <v>2024</v>
      </c>
      <c r="P1275" s="285">
        <v>45406</v>
      </c>
      <c r="Q1275" s="231"/>
      <c r="R1275" s="231"/>
      <c r="S1275" s="231" t="s">
        <v>453</v>
      </c>
      <c r="T1275" s="231"/>
    </row>
    <row r="1276" spans="1:20" ht="14">
      <c r="A1276" s="231">
        <v>1275</v>
      </c>
      <c r="B1276" s="235" t="s">
        <v>52</v>
      </c>
      <c r="C1276" s="231" t="s">
        <v>10</v>
      </c>
      <c r="D1276" s="250" t="s">
        <v>2957</v>
      </c>
      <c r="E1276" s="239" t="s">
        <v>2925</v>
      </c>
      <c r="F1276" s="231"/>
      <c r="G1276" s="231" cm="1">
        <f t="array" ref="G1276">_xlfn.IFS(J1275&lt;301,2,J1275&gt;300,48)</f>
        <v>48</v>
      </c>
      <c r="H1276" s="231" t="s">
        <v>2789</v>
      </c>
      <c r="I1276" s="281">
        <v>0</v>
      </c>
      <c r="J1276" s="249">
        <v>400</v>
      </c>
      <c r="K1276" s="231">
        <f t="shared" si="19"/>
        <v>20</v>
      </c>
      <c r="L1276" s="231"/>
      <c r="M1276" s="231" t="s">
        <v>16</v>
      </c>
      <c r="N1276" s="231"/>
      <c r="O1276" s="231">
        <v>2024</v>
      </c>
      <c r="P1276" s="285">
        <v>45387</v>
      </c>
      <c r="Q1276" s="231"/>
      <c r="R1276" s="231"/>
      <c r="S1276" s="231" t="s">
        <v>453</v>
      </c>
      <c r="T1276" s="231"/>
    </row>
    <row r="1277" spans="1:20" ht="14">
      <c r="A1277" s="231">
        <v>1276</v>
      </c>
      <c r="B1277" s="235" t="s">
        <v>52</v>
      </c>
      <c r="C1277" s="231" t="s">
        <v>10</v>
      </c>
      <c r="D1277" s="250" t="s">
        <v>2959</v>
      </c>
      <c r="E1277" s="239"/>
      <c r="F1277" s="231"/>
      <c r="G1277" s="231" cm="1">
        <f t="array" ref="G1277">_xlfn.IFS(J1276&lt;301,2,J1276&gt;300,48)</f>
        <v>48</v>
      </c>
      <c r="H1277" s="231" t="s">
        <v>2773</v>
      </c>
      <c r="I1277" s="281">
        <v>0</v>
      </c>
      <c r="J1277" s="249">
        <v>250</v>
      </c>
      <c r="K1277" s="231">
        <f t="shared" si="19"/>
        <v>20</v>
      </c>
      <c r="L1277" s="231"/>
      <c r="M1277" s="231" t="s">
        <v>16</v>
      </c>
      <c r="N1277" s="231"/>
      <c r="O1277" s="231">
        <v>2024</v>
      </c>
      <c r="P1277" s="285">
        <v>45394</v>
      </c>
      <c r="Q1277" s="231"/>
      <c r="R1277" s="231"/>
      <c r="S1277" s="231" t="s">
        <v>453</v>
      </c>
      <c r="T1277" s="231"/>
    </row>
    <row r="1278" spans="1:20" ht="14">
      <c r="A1278" s="231">
        <v>1277</v>
      </c>
      <c r="B1278" s="235" t="s">
        <v>52</v>
      </c>
      <c r="C1278" s="231" t="s">
        <v>10</v>
      </c>
      <c r="D1278" s="250" t="s">
        <v>2960</v>
      </c>
      <c r="E1278" s="239" t="s">
        <v>2928</v>
      </c>
      <c r="F1278" s="231"/>
      <c r="G1278" s="231" cm="1">
        <f t="array" ref="G1278">_xlfn.IFS(J1277&lt;301,2,J1277&gt;300,48)</f>
        <v>2</v>
      </c>
      <c r="H1278" s="231" t="s">
        <v>2877</v>
      </c>
      <c r="I1278" s="281">
        <v>0</v>
      </c>
      <c r="J1278" s="249">
        <v>250</v>
      </c>
      <c r="K1278" s="231">
        <v>60</v>
      </c>
      <c r="L1278" s="231"/>
      <c r="M1278" s="299" t="s">
        <v>15</v>
      </c>
      <c r="N1278" s="231"/>
      <c r="O1278" s="231">
        <v>2024</v>
      </c>
      <c r="P1278" s="285">
        <v>45376</v>
      </c>
      <c r="Q1278" s="231"/>
      <c r="R1278" s="231"/>
      <c r="S1278" s="231" t="s">
        <v>453</v>
      </c>
      <c r="T1278" s="231"/>
    </row>
    <row r="1279" spans="1:20" ht="14">
      <c r="A1279" s="231">
        <v>1278</v>
      </c>
      <c r="B1279" s="235" t="s">
        <v>52</v>
      </c>
      <c r="C1279" s="231" t="s">
        <v>10</v>
      </c>
      <c r="D1279" s="250" t="s">
        <v>2962</v>
      </c>
      <c r="E1279" s="239"/>
      <c r="F1279" s="231"/>
      <c r="G1279" s="231" cm="1">
        <f t="array" ref="G1279">_xlfn.IFS(J1278&lt;301,2,J1278&gt;300,48)</f>
        <v>2</v>
      </c>
      <c r="H1279" s="231" t="s">
        <v>4555</v>
      </c>
      <c r="I1279" s="281">
        <v>0</v>
      </c>
      <c r="J1279" s="249">
        <v>3000</v>
      </c>
      <c r="K1279" s="231">
        <f t="shared" si="19"/>
        <v>20</v>
      </c>
      <c r="L1279" s="231"/>
      <c r="M1279" s="231" t="s">
        <v>16</v>
      </c>
      <c r="N1279" s="231"/>
      <c r="O1279" s="231">
        <v>2024</v>
      </c>
      <c r="P1279" s="285">
        <v>45406</v>
      </c>
      <c r="Q1279" s="231"/>
      <c r="R1279" s="231"/>
      <c r="S1279" s="231" t="s">
        <v>453</v>
      </c>
      <c r="T1279" s="231"/>
    </row>
    <row r="1280" spans="1:20" ht="14">
      <c r="A1280" s="231">
        <v>1279</v>
      </c>
      <c r="B1280" s="235" t="s">
        <v>52</v>
      </c>
      <c r="C1280" s="231" t="s">
        <v>10</v>
      </c>
      <c r="D1280" s="250" t="s">
        <v>2964</v>
      </c>
      <c r="E1280" s="239"/>
      <c r="F1280" s="231"/>
      <c r="G1280" s="231" cm="1">
        <f t="array" ref="G1280">_xlfn.IFS(J1279&lt;301,2,J1279&gt;300,48)</f>
        <v>48</v>
      </c>
      <c r="H1280" s="231" t="s">
        <v>2789</v>
      </c>
      <c r="I1280" s="281">
        <v>0</v>
      </c>
      <c r="J1280" s="249">
        <v>300</v>
      </c>
      <c r="K1280" s="231">
        <f t="shared" ref="K1280:K1284" si="20">IF(M1280="ONT",20,IF(M1280="N/A","N/A",IF(M1280="MIKROTIK",IF(J1280&lt;3000,10,IF(3000&lt;J1280&gt;10000,20,IF(10000&lt;J1280&gt;20000,40,IF(20000&lt;J1280&gt;40000,60,IF(J1280&gt;40000,80,IF(J1280&lt;300,3,)))))))))</f>
        <v>20</v>
      </c>
      <c r="L1280" s="231"/>
      <c r="M1280" s="231" t="s">
        <v>16</v>
      </c>
      <c r="N1280" s="231"/>
      <c r="O1280" s="231">
        <v>2024</v>
      </c>
      <c r="P1280" s="285">
        <v>45395</v>
      </c>
      <c r="Q1280" s="231"/>
      <c r="R1280" s="231"/>
      <c r="S1280" s="231" t="s">
        <v>453</v>
      </c>
      <c r="T1280" s="231"/>
    </row>
    <row r="1281" spans="1:20" ht="14">
      <c r="A1281" s="231">
        <v>1280</v>
      </c>
      <c r="B1281" s="235" t="s">
        <v>52</v>
      </c>
      <c r="C1281" s="231" t="s">
        <v>10</v>
      </c>
      <c r="D1281" s="250" t="s">
        <v>2966</v>
      </c>
      <c r="E1281" s="239" t="s">
        <v>2932</v>
      </c>
      <c r="F1281" s="231"/>
      <c r="G1281" s="231" cm="1">
        <f t="array" ref="G1281">_xlfn.IFS(J1280&lt;301,2,J1280&gt;300,48)</f>
        <v>2</v>
      </c>
      <c r="H1281" s="231" t="s">
        <v>2773</v>
      </c>
      <c r="I1281" s="281">
        <v>0</v>
      </c>
      <c r="J1281" s="249">
        <v>800</v>
      </c>
      <c r="K1281" s="231">
        <f t="shared" si="20"/>
        <v>20</v>
      </c>
      <c r="L1281" s="231"/>
      <c r="M1281" s="231" t="s">
        <v>16</v>
      </c>
      <c r="N1281" s="231"/>
      <c r="O1281" s="231">
        <v>2024</v>
      </c>
      <c r="P1281" s="285">
        <v>45400</v>
      </c>
      <c r="Q1281" s="231"/>
      <c r="R1281" s="231"/>
      <c r="S1281" s="231" t="s">
        <v>453</v>
      </c>
      <c r="T1281" s="231"/>
    </row>
    <row r="1282" spans="1:20" ht="14">
      <c r="A1282" s="231">
        <v>1281</v>
      </c>
      <c r="B1282" s="235" t="s">
        <v>52</v>
      </c>
      <c r="C1282" s="231" t="s">
        <v>10</v>
      </c>
      <c r="D1282" s="250" t="s">
        <v>2967</v>
      </c>
      <c r="E1282" s="239" t="s">
        <v>2934</v>
      </c>
      <c r="F1282" s="231"/>
      <c r="G1282" s="231" cm="1">
        <f t="array" ref="G1282">_xlfn.IFS(J1281&lt;301,2,J1281&gt;300,48)</f>
        <v>48</v>
      </c>
      <c r="H1282" s="231" t="s">
        <v>3060</v>
      </c>
      <c r="I1282" s="281">
        <v>0</v>
      </c>
      <c r="J1282" s="249">
        <v>250</v>
      </c>
      <c r="K1282" s="231">
        <v>40</v>
      </c>
      <c r="L1282" s="231"/>
      <c r="M1282" s="299" t="s">
        <v>15</v>
      </c>
      <c r="N1282" s="231"/>
      <c r="O1282" s="231">
        <v>2024</v>
      </c>
      <c r="P1282" s="285">
        <v>45384</v>
      </c>
      <c r="Q1282" s="231"/>
      <c r="R1282" s="231"/>
      <c r="S1282" s="231" t="s">
        <v>453</v>
      </c>
      <c r="T1282" s="231"/>
    </row>
    <row r="1283" spans="1:20" ht="14">
      <c r="A1283" s="231">
        <v>1282</v>
      </c>
      <c r="B1283" s="235" t="s">
        <v>52</v>
      </c>
      <c r="C1283" s="231" t="s">
        <v>10</v>
      </c>
      <c r="D1283" s="250" t="s">
        <v>2969</v>
      </c>
      <c r="E1283" s="239" t="s">
        <v>2936</v>
      </c>
      <c r="F1283" s="231"/>
      <c r="G1283" s="231" cm="1">
        <f t="array" ref="G1283">_xlfn.IFS(J1282&lt;301,2,J1282&gt;300,48)</f>
        <v>2</v>
      </c>
      <c r="H1283" s="231" t="s">
        <v>4577</v>
      </c>
      <c r="I1283" s="281">
        <v>0</v>
      </c>
      <c r="J1283" s="249">
        <v>800</v>
      </c>
      <c r="K1283" s="231">
        <f t="shared" si="20"/>
        <v>20</v>
      </c>
      <c r="L1283" s="231"/>
      <c r="M1283" s="231" t="s">
        <v>16</v>
      </c>
      <c r="N1283" s="231"/>
      <c r="O1283" s="231">
        <v>2024</v>
      </c>
      <c r="P1283" s="285">
        <v>45369</v>
      </c>
      <c r="Q1283" s="231"/>
      <c r="R1283" s="231"/>
      <c r="S1283" s="231" t="s">
        <v>453</v>
      </c>
      <c r="T1283" s="231"/>
    </row>
    <row r="1284" spans="1:20" ht="14">
      <c r="A1284" s="231">
        <v>1283</v>
      </c>
      <c r="B1284" s="235" t="s">
        <v>52</v>
      </c>
      <c r="C1284" s="231" t="s">
        <v>10</v>
      </c>
      <c r="D1284" s="250" t="s">
        <v>2973</v>
      </c>
      <c r="E1284" s="239" t="s">
        <v>2939</v>
      </c>
      <c r="F1284" s="231"/>
      <c r="G1284" s="231" cm="1">
        <f t="array" ref="G1284">_xlfn.IFS(J1283&lt;301,2,J1283&gt;300,48)</f>
        <v>48</v>
      </c>
      <c r="H1284" s="231" t="s">
        <v>2976</v>
      </c>
      <c r="I1284" s="281">
        <v>0</v>
      </c>
      <c r="J1284" s="249">
        <v>1300</v>
      </c>
      <c r="K1284" s="231">
        <f t="shared" si="20"/>
        <v>20</v>
      </c>
      <c r="L1284" s="231"/>
      <c r="M1284" s="231" t="s">
        <v>16</v>
      </c>
      <c r="N1284" s="231"/>
      <c r="O1284" s="231">
        <v>2024</v>
      </c>
      <c r="P1284" s="285">
        <v>45379</v>
      </c>
      <c r="Q1284" s="231"/>
      <c r="R1284" s="231"/>
      <c r="S1284" s="231" t="s">
        <v>453</v>
      </c>
      <c r="T1284" s="231"/>
    </row>
    <row r="1285" spans="1:20" ht="14">
      <c r="A1285" s="231">
        <v>1284</v>
      </c>
      <c r="B1285" s="235" t="s">
        <v>52</v>
      </c>
      <c r="C1285" s="231" t="s">
        <v>10</v>
      </c>
      <c r="D1285" s="250" t="s">
        <v>2977</v>
      </c>
      <c r="E1285" s="239" t="s">
        <v>2942</v>
      </c>
      <c r="F1285" s="231"/>
      <c r="G1285" s="231" cm="1">
        <f t="array" ref="G1285">_xlfn.IFS(J1284&lt;301,2,J1284&gt;300,48)</f>
        <v>48</v>
      </c>
      <c r="H1285" s="231" t="s">
        <v>2980</v>
      </c>
      <c r="I1285" s="281">
        <v>0</v>
      </c>
      <c r="J1285" s="249">
        <v>300</v>
      </c>
      <c r="K1285" s="231">
        <v>20</v>
      </c>
      <c r="L1285" s="231"/>
      <c r="M1285" s="299" t="s">
        <v>15</v>
      </c>
      <c r="N1285" s="231"/>
      <c r="O1285" s="231">
        <v>2024</v>
      </c>
      <c r="P1285" s="285">
        <v>45477</v>
      </c>
      <c r="Q1285" s="231"/>
      <c r="R1285" s="231"/>
      <c r="S1285" s="231" t="s">
        <v>453</v>
      </c>
      <c r="T1285" s="231"/>
    </row>
    <row r="1286" spans="1:20" ht="14">
      <c r="A1286" s="231">
        <v>1285</v>
      </c>
      <c r="B1286" s="235" t="s">
        <v>52</v>
      </c>
      <c r="C1286" s="231" t="s">
        <v>10</v>
      </c>
      <c r="D1286" s="250" t="s">
        <v>2981</v>
      </c>
      <c r="E1286" s="239" t="s">
        <v>2945</v>
      </c>
      <c r="F1286" s="231"/>
      <c r="G1286" s="231" cm="1">
        <f t="array" ref="G1286">_xlfn.IFS(J1285&lt;301,2,J1285&gt;300,48)</f>
        <v>2</v>
      </c>
      <c r="H1286" s="231" t="s">
        <v>2877</v>
      </c>
      <c r="I1286" s="281">
        <v>0</v>
      </c>
      <c r="J1286" s="249">
        <v>500</v>
      </c>
      <c r="K1286" s="231" t="s">
        <v>456</v>
      </c>
      <c r="L1286" s="231"/>
      <c r="M1286" s="231" t="s">
        <v>456</v>
      </c>
      <c r="N1286" s="231"/>
      <c r="O1286" s="231">
        <v>2024</v>
      </c>
      <c r="P1286" s="285">
        <v>45402</v>
      </c>
      <c r="Q1286" s="231"/>
      <c r="R1286" s="231"/>
      <c r="S1286" s="231" t="s">
        <v>453</v>
      </c>
      <c r="T1286" s="231"/>
    </row>
    <row r="1287" spans="1:20" ht="14">
      <c r="A1287" s="231">
        <v>1286</v>
      </c>
      <c r="B1287" s="235" t="s">
        <v>50</v>
      </c>
      <c r="C1287" s="231" t="s">
        <v>10</v>
      </c>
      <c r="D1287" s="250" t="s">
        <v>2982</v>
      </c>
      <c r="E1287" s="239" t="s">
        <v>2947</v>
      </c>
      <c r="F1287" s="231"/>
      <c r="G1287" s="231" cm="1">
        <f t="array" ref="G1287">_xlfn.IFS(J1286&lt;301,2,J1286&gt;300,48)</f>
        <v>48</v>
      </c>
      <c r="H1287" s="231" t="s">
        <v>140</v>
      </c>
      <c r="I1287" s="281">
        <v>0</v>
      </c>
      <c r="J1287" s="249">
        <v>200</v>
      </c>
      <c r="K1287" s="231">
        <f>IF(M1287="ONT",20,IF(M1287="N/A","N/A",IF(M1287="MIKROTIK",IF(J1287&lt;3000,10,IF(3000&lt;J1287&gt;10000,20,IF(10000&lt;J1287&gt;20000,40,IF(20000&lt;J1287&gt;40000,60,IF(J1287&gt;40000,80,IF(J1287&lt;300,3,)))))))))</f>
        <v>10</v>
      </c>
      <c r="L1287" s="231"/>
      <c r="M1287" s="299" t="s">
        <v>15</v>
      </c>
      <c r="N1287" s="231"/>
      <c r="O1287" s="231">
        <v>2024</v>
      </c>
      <c r="P1287" s="285">
        <v>45422</v>
      </c>
      <c r="Q1287" s="231"/>
      <c r="R1287" s="231"/>
      <c r="S1287" s="231" t="s">
        <v>453</v>
      </c>
      <c r="T1287" s="231"/>
    </row>
    <row r="1288" spans="1:20" ht="14">
      <c r="A1288" s="231">
        <v>1287</v>
      </c>
      <c r="B1288" s="235" t="s">
        <v>49</v>
      </c>
      <c r="C1288" s="262" t="s">
        <v>10</v>
      </c>
      <c r="D1288" s="250" t="s">
        <v>2985</v>
      </c>
      <c r="E1288" s="237" t="s">
        <v>2949</v>
      </c>
      <c r="F1288" s="231"/>
      <c r="G1288" s="231" cm="1">
        <f t="array" ref="G1288">_xlfn.IFS(J1287&lt;301,2,J1287&gt;300,48)</f>
        <v>2</v>
      </c>
      <c r="H1288" s="231" t="s">
        <v>452</v>
      </c>
      <c r="I1288" s="281">
        <v>0</v>
      </c>
      <c r="J1288" s="249">
        <v>650</v>
      </c>
      <c r="K1288" s="231">
        <f>IF(M1288="ONT",20,IF(M1288="N/A","N/A",IF(M1288="MIKROTIK",IF(J1288&lt;3000,10,IF(3000&lt;J1288&gt;10000,20,IF(10000&lt;J1288&gt;20000,40,IF(20000&lt;J1288&gt;40000,60,IF(J1288&gt;40000,80,IF(J1288&lt;300,3,)))))))))</f>
        <v>10</v>
      </c>
      <c r="L1288" s="231"/>
      <c r="M1288" s="299" t="s">
        <v>15</v>
      </c>
      <c r="N1288" s="231"/>
      <c r="O1288" s="231">
        <v>2024</v>
      </c>
      <c r="P1288" s="285">
        <v>45391</v>
      </c>
      <c r="Q1288" s="231"/>
      <c r="R1288" s="231"/>
      <c r="S1288" s="231" t="s">
        <v>453</v>
      </c>
      <c r="T1288" s="231"/>
    </row>
    <row r="1289" spans="1:20" ht="14">
      <c r="A1289" s="231">
        <v>1288</v>
      </c>
      <c r="B1289" s="235" t="s">
        <v>52</v>
      </c>
      <c r="C1289" s="243" t="s">
        <v>10</v>
      </c>
      <c r="D1289" s="250" t="s">
        <v>2987</v>
      </c>
      <c r="E1289" s="237" t="s">
        <v>2949</v>
      </c>
      <c r="F1289" s="231"/>
      <c r="G1289" s="231" cm="1">
        <f t="array" ref="G1289">_xlfn.IFS(J1288&lt;301,2,J1288&gt;300,48)</f>
        <v>48</v>
      </c>
      <c r="H1289" s="231" t="s">
        <v>4256</v>
      </c>
      <c r="I1289" s="281">
        <v>0</v>
      </c>
      <c r="J1289" s="249">
        <v>500</v>
      </c>
      <c r="K1289" s="231">
        <f>IF(M1289="ONT",20,IF(M1289="N/A","N/A",IF(M1289="MIKROTIK",IF(J1289&lt;3000,10,IF(3000&lt;J1289&gt;10000,20,IF(10000&lt;J1289&gt;20000,40,IF(20000&lt;J1289&gt;40000,60,IF(J1289&gt;40000,80,IF(J1289&lt;300,3,)))))))))</f>
        <v>20</v>
      </c>
      <c r="L1289" s="231"/>
      <c r="M1289" s="231" t="s">
        <v>16</v>
      </c>
      <c r="N1289" s="231"/>
      <c r="O1289" s="231">
        <v>2024</v>
      </c>
      <c r="P1289" s="285">
        <v>45405</v>
      </c>
      <c r="Q1289" s="231"/>
      <c r="R1289" s="231"/>
      <c r="S1289" s="231" t="s">
        <v>453</v>
      </c>
      <c r="T1289" s="231"/>
    </row>
    <row r="1290" spans="1:20" ht="14">
      <c r="A1290" s="231">
        <v>1289</v>
      </c>
      <c r="B1290" s="235" t="s">
        <v>52</v>
      </c>
      <c r="C1290" s="243" t="s">
        <v>10</v>
      </c>
      <c r="D1290" s="250" t="s">
        <v>2989</v>
      </c>
      <c r="E1290" s="237" t="s">
        <v>2952</v>
      </c>
      <c r="F1290" s="231"/>
      <c r="G1290" s="231" cm="1">
        <f t="array" ref="G1290">_xlfn.IFS(J1289&lt;301,2,J1289&gt;300,48)</f>
        <v>48</v>
      </c>
      <c r="H1290" s="231" t="s">
        <v>2773</v>
      </c>
      <c r="I1290" s="281">
        <v>0</v>
      </c>
      <c r="J1290" s="249">
        <v>370</v>
      </c>
      <c r="K1290" s="231">
        <f>IF(M1290="ONT",20,IF(M1290="N/A","N/A",IF(M1290="MIKROTIK",IF(J1290&lt;3000,10,IF(3000&lt;J1290&gt;10000,20,IF(10000&lt;J1290&gt;20000,40,IF(20000&lt;J1290&gt;40000,60,IF(J1290&gt;40000,80,IF(J1290&lt;300,3,)))))))))</f>
        <v>20</v>
      </c>
      <c r="L1290" s="231"/>
      <c r="M1290" s="231" t="s">
        <v>16</v>
      </c>
      <c r="N1290" s="231"/>
      <c r="O1290" s="231">
        <v>2024</v>
      </c>
      <c r="P1290" s="285">
        <v>45407</v>
      </c>
      <c r="Q1290" s="231"/>
      <c r="R1290" s="231"/>
      <c r="S1290" s="231" t="s">
        <v>453</v>
      </c>
      <c r="T1290" s="231"/>
    </row>
    <row r="1291" spans="1:20" ht="14">
      <c r="A1291" s="231">
        <v>1290</v>
      </c>
      <c r="B1291" s="235" t="s">
        <v>52</v>
      </c>
      <c r="C1291" s="243" t="s">
        <v>10</v>
      </c>
      <c r="D1291" s="250" t="s">
        <v>2992</v>
      </c>
      <c r="E1291" s="237" t="s">
        <v>2954</v>
      </c>
      <c r="F1291" s="231"/>
      <c r="G1291" s="231" cm="1">
        <f t="array" ref="G1291">_xlfn.IFS(J1290&lt;301,2,J1290&gt;300,48)</f>
        <v>48</v>
      </c>
      <c r="H1291" s="231" t="s">
        <v>3060</v>
      </c>
      <c r="I1291" s="281">
        <v>0</v>
      </c>
      <c r="J1291" s="249">
        <v>800</v>
      </c>
      <c r="K1291" s="231">
        <v>20</v>
      </c>
      <c r="L1291" s="231"/>
      <c r="M1291" s="299" t="s">
        <v>3276</v>
      </c>
      <c r="N1291" s="231"/>
      <c r="O1291" s="231">
        <v>2024</v>
      </c>
      <c r="P1291" s="285">
        <v>45384</v>
      </c>
      <c r="Q1291" s="231"/>
      <c r="R1291" s="231"/>
      <c r="S1291" s="231" t="s">
        <v>453</v>
      </c>
      <c r="T1291" s="231"/>
    </row>
    <row r="1292" spans="1:20" ht="14">
      <c r="A1292" s="231">
        <v>1291</v>
      </c>
      <c r="B1292" s="235" t="s">
        <v>52</v>
      </c>
      <c r="C1292" s="243" t="s">
        <v>10</v>
      </c>
      <c r="D1292" s="250" t="s">
        <v>2994</v>
      </c>
      <c r="E1292" s="239" t="s">
        <v>2956</v>
      </c>
      <c r="F1292" s="231"/>
      <c r="G1292" s="231" cm="1">
        <f t="array" ref="G1292">_xlfn.IFS(J1291&lt;301,2,J1291&gt;300,48)</f>
        <v>48</v>
      </c>
      <c r="H1292" s="231" t="s">
        <v>2773</v>
      </c>
      <c r="I1292" s="281">
        <v>0</v>
      </c>
      <c r="J1292" s="249">
        <v>300</v>
      </c>
      <c r="K1292" s="231">
        <f t="shared" ref="K1292:K1300" si="21">IF(M1292="ONT",20,IF(M1292="N/A","N/A",IF(M1292="MIKROTIK",IF(J1292&lt;3000,10,IF(3000&lt;J1292&gt;10000,20,IF(10000&lt;J1292&gt;20000,40,IF(20000&lt;J1292&gt;40000,60,IF(J1292&gt;40000,80,IF(J1292&lt;300,3,)))))))))</f>
        <v>20</v>
      </c>
      <c r="L1292" s="231"/>
      <c r="M1292" s="231" t="s">
        <v>16</v>
      </c>
      <c r="N1292" s="231"/>
      <c r="O1292" s="231">
        <v>2024</v>
      </c>
      <c r="P1292" s="285">
        <v>45412</v>
      </c>
      <c r="Q1292" s="231"/>
      <c r="R1292" s="231"/>
      <c r="S1292" s="231" t="s">
        <v>453</v>
      </c>
      <c r="T1292" s="231"/>
    </row>
    <row r="1293" spans="1:20" ht="14">
      <c r="A1293" s="231">
        <v>1292</v>
      </c>
      <c r="B1293" s="235" t="s">
        <v>52</v>
      </c>
      <c r="C1293" s="243" t="s">
        <v>10</v>
      </c>
      <c r="D1293" s="250" t="s">
        <v>2996</v>
      </c>
      <c r="E1293" s="237" t="s">
        <v>2958</v>
      </c>
      <c r="F1293" s="231"/>
      <c r="G1293" s="231" cm="1">
        <f t="array" ref="G1293">_xlfn.IFS(J1292&lt;301,2,J1292&gt;300,48)</f>
        <v>2</v>
      </c>
      <c r="H1293" s="231" t="s">
        <v>2853</v>
      </c>
      <c r="I1293" s="281">
        <v>0</v>
      </c>
      <c r="J1293" s="249">
        <v>500</v>
      </c>
      <c r="K1293" s="231">
        <f t="shared" si="21"/>
        <v>20</v>
      </c>
      <c r="L1293" s="231"/>
      <c r="M1293" s="231" t="s">
        <v>16</v>
      </c>
      <c r="N1293" s="231"/>
      <c r="O1293" s="231">
        <v>2024</v>
      </c>
      <c r="P1293" s="285">
        <v>45408</v>
      </c>
      <c r="Q1293" s="231"/>
      <c r="R1293" s="231"/>
      <c r="S1293" s="231" t="s">
        <v>453</v>
      </c>
      <c r="T1293" s="231"/>
    </row>
    <row r="1294" spans="1:20" ht="14">
      <c r="A1294" s="231">
        <v>1293</v>
      </c>
      <c r="B1294" s="235" t="s">
        <v>52</v>
      </c>
      <c r="C1294" s="243" t="s">
        <v>10</v>
      </c>
      <c r="D1294" s="250" t="s">
        <v>2999</v>
      </c>
      <c r="E1294" s="239"/>
      <c r="F1294" s="231"/>
      <c r="G1294" s="231" cm="1">
        <f t="array" ref="G1294">_xlfn.IFS(J1293&lt;301,2,J1293&gt;300,48)</f>
        <v>48</v>
      </c>
      <c r="H1294" s="231" t="s">
        <v>2763</v>
      </c>
      <c r="I1294" s="281">
        <v>0</v>
      </c>
      <c r="J1294" s="249">
        <v>1100</v>
      </c>
      <c r="K1294" s="231">
        <f t="shared" si="21"/>
        <v>20</v>
      </c>
      <c r="L1294" s="231"/>
      <c r="M1294" s="231" t="s">
        <v>16</v>
      </c>
      <c r="N1294" s="231"/>
      <c r="O1294" s="231">
        <v>2024</v>
      </c>
      <c r="P1294" s="285">
        <v>45412</v>
      </c>
      <c r="Q1294" s="231"/>
      <c r="R1294" s="231"/>
      <c r="S1294" s="231" t="s">
        <v>453</v>
      </c>
      <c r="T1294" s="231"/>
    </row>
    <row r="1295" spans="1:20" ht="14">
      <c r="A1295" s="231">
        <v>1294</v>
      </c>
      <c r="B1295" s="235" t="s">
        <v>52</v>
      </c>
      <c r="C1295" s="243" t="s">
        <v>10</v>
      </c>
      <c r="D1295" s="250" t="s">
        <v>3002</v>
      </c>
      <c r="E1295" s="239" t="s">
        <v>2961</v>
      </c>
      <c r="F1295" s="231"/>
      <c r="G1295" s="231" cm="1">
        <f t="array" ref="G1295">_xlfn.IFS(J1294&lt;301,2,J1294&gt;300,48)</f>
        <v>48</v>
      </c>
      <c r="H1295" s="231" t="s">
        <v>4586</v>
      </c>
      <c r="I1295" s="281">
        <v>0</v>
      </c>
      <c r="J1295" s="249">
        <v>3000</v>
      </c>
      <c r="K1295" s="231">
        <f t="shared" si="21"/>
        <v>20</v>
      </c>
      <c r="L1295" s="231"/>
      <c r="M1295" s="299" t="s">
        <v>15</v>
      </c>
      <c r="N1295" s="231"/>
      <c r="O1295" s="231">
        <v>2024</v>
      </c>
      <c r="P1295" s="285">
        <v>45397</v>
      </c>
      <c r="Q1295" s="231"/>
      <c r="R1295" s="231"/>
      <c r="S1295" s="231" t="s">
        <v>453</v>
      </c>
      <c r="T1295" s="231"/>
    </row>
    <row r="1296" spans="1:20" ht="14">
      <c r="A1296" s="231">
        <v>1295</v>
      </c>
      <c r="B1296" s="235" t="s">
        <v>52</v>
      </c>
      <c r="C1296" s="243" t="s">
        <v>10</v>
      </c>
      <c r="D1296" s="250" t="s">
        <v>3003</v>
      </c>
      <c r="E1296" s="237" t="s">
        <v>2963</v>
      </c>
      <c r="F1296" s="231"/>
      <c r="G1296" s="231" cm="1">
        <f t="array" ref="G1296">_xlfn.IFS(J1295&lt;301,2,J1295&gt;300,48)</f>
        <v>48</v>
      </c>
      <c r="H1296" s="231" t="s">
        <v>3542</v>
      </c>
      <c r="I1296" s="281">
        <v>0</v>
      </c>
      <c r="J1296" s="249">
        <v>300</v>
      </c>
      <c r="K1296" s="231">
        <f t="shared" si="21"/>
        <v>20</v>
      </c>
      <c r="L1296" s="231"/>
      <c r="M1296" s="231" t="s">
        <v>16</v>
      </c>
      <c r="N1296" s="231"/>
      <c r="O1296" s="231">
        <v>2024</v>
      </c>
      <c r="P1296" s="285">
        <v>45412</v>
      </c>
      <c r="Q1296" s="231"/>
      <c r="R1296" s="231"/>
      <c r="S1296" s="231" t="s">
        <v>453</v>
      </c>
      <c r="T1296" s="231"/>
    </row>
    <row r="1297" spans="1:20" ht="14">
      <c r="A1297" s="231">
        <v>1296</v>
      </c>
      <c r="B1297" s="235" t="s">
        <v>52</v>
      </c>
      <c r="C1297" s="243" t="s">
        <v>10</v>
      </c>
      <c r="D1297" s="250" t="s">
        <v>3005</v>
      </c>
      <c r="E1297" s="237" t="s">
        <v>2965</v>
      </c>
      <c r="F1297" s="231"/>
      <c r="G1297" s="231" cm="1">
        <f t="array" ref="G1297">_xlfn.IFS(J1296&lt;301,2,J1296&gt;300,48)</f>
        <v>2</v>
      </c>
      <c r="H1297" s="231" t="s">
        <v>2763</v>
      </c>
      <c r="I1297" s="281">
        <v>0</v>
      </c>
      <c r="J1297" s="249">
        <v>800</v>
      </c>
      <c r="K1297" s="231">
        <f t="shared" si="21"/>
        <v>20</v>
      </c>
      <c r="L1297" s="231"/>
      <c r="M1297" s="231" t="s">
        <v>16</v>
      </c>
      <c r="N1297" s="231"/>
      <c r="O1297" s="231">
        <v>2024</v>
      </c>
      <c r="P1297" s="285">
        <v>45411</v>
      </c>
      <c r="Q1297" s="231"/>
      <c r="R1297" s="231"/>
      <c r="S1297" s="231" t="s">
        <v>453</v>
      </c>
      <c r="T1297" s="231"/>
    </row>
    <row r="1298" spans="1:20" ht="14">
      <c r="A1298" s="231">
        <v>1297</v>
      </c>
      <c r="B1298" s="235" t="s">
        <v>52</v>
      </c>
      <c r="C1298" s="243" t="s">
        <v>10</v>
      </c>
      <c r="D1298" s="250" t="s">
        <v>3007</v>
      </c>
      <c r="E1298" s="239"/>
      <c r="F1298" s="231"/>
      <c r="G1298" s="231" cm="1">
        <f t="array" ref="G1298">_xlfn.IFS(J1297&lt;301,2,J1297&gt;300,48)</f>
        <v>48</v>
      </c>
      <c r="H1298" s="231" t="s">
        <v>2773</v>
      </c>
      <c r="I1298" s="281">
        <v>0</v>
      </c>
      <c r="J1298" s="249">
        <v>120</v>
      </c>
      <c r="K1298" s="231">
        <f t="shared" si="21"/>
        <v>20</v>
      </c>
      <c r="L1298" s="231"/>
      <c r="M1298" s="231" t="s">
        <v>16</v>
      </c>
      <c r="N1298" s="231"/>
      <c r="O1298" s="231">
        <v>2024</v>
      </c>
      <c r="P1298" s="285">
        <v>45399</v>
      </c>
      <c r="Q1298" s="231"/>
      <c r="R1298" s="231"/>
      <c r="S1298" s="231" t="s">
        <v>453</v>
      </c>
      <c r="T1298" s="231"/>
    </row>
    <row r="1299" spans="1:20" ht="14">
      <c r="A1299" s="231">
        <v>1298</v>
      </c>
      <c r="B1299" s="258" t="s">
        <v>55</v>
      </c>
      <c r="C1299" s="243" t="s">
        <v>10</v>
      </c>
      <c r="D1299" s="250" t="s">
        <v>3008</v>
      </c>
      <c r="E1299" s="239" t="s">
        <v>2968</v>
      </c>
      <c r="F1299" s="231"/>
      <c r="G1299" s="231" cm="1">
        <f t="array" ref="G1299">_xlfn.IFS(J1298&lt;301,2,J1298&gt;300,48)</f>
        <v>2</v>
      </c>
      <c r="H1299" s="231" t="s">
        <v>2894</v>
      </c>
      <c r="I1299" s="281">
        <v>0</v>
      </c>
      <c r="J1299" s="249">
        <v>300</v>
      </c>
      <c r="K1299" s="231" t="b">
        <f t="shared" si="21"/>
        <v>0</v>
      </c>
      <c r="L1299" s="231"/>
      <c r="M1299" s="231" t="s">
        <v>3276</v>
      </c>
      <c r="N1299" s="231"/>
      <c r="O1299" s="231">
        <v>2024</v>
      </c>
      <c r="P1299" s="285">
        <v>45412</v>
      </c>
      <c r="Q1299" s="231"/>
      <c r="R1299" s="231"/>
      <c r="S1299" s="231" t="s">
        <v>453</v>
      </c>
      <c r="T1299" s="231"/>
    </row>
    <row r="1300" spans="1:20" ht="14">
      <c r="A1300" s="231">
        <v>1299</v>
      </c>
      <c r="B1300" s="235" t="s">
        <v>52</v>
      </c>
      <c r="C1300" s="243" t="s">
        <v>10</v>
      </c>
      <c r="D1300" s="250" t="s">
        <v>3009</v>
      </c>
      <c r="E1300" s="239" t="s">
        <v>2970</v>
      </c>
      <c r="F1300" s="231" t="s">
        <v>2396</v>
      </c>
      <c r="G1300" s="231" cm="1">
        <f t="array" ref="G1300">_xlfn.IFS(J1299&lt;301,2,J1299&gt;300,48)</f>
        <v>2</v>
      </c>
      <c r="H1300" s="231" t="s">
        <v>166</v>
      </c>
      <c r="I1300" s="281">
        <v>0</v>
      </c>
      <c r="J1300" s="249">
        <v>80</v>
      </c>
      <c r="K1300" s="231">
        <f t="shared" si="21"/>
        <v>20</v>
      </c>
      <c r="L1300" s="231"/>
      <c r="M1300" s="231" t="s">
        <v>16</v>
      </c>
      <c r="N1300" s="231"/>
      <c r="O1300" s="231">
        <v>2024</v>
      </c>
      <c r="P1300" s="285">
        <v>45422</v>
      </c>
      <c r="Q1300" s="231"/>
      <c r="R1300" s="231"/>
      <c r="S1300" s="231" t="s">
        <v>453</v>
      </c>
      <c r="T1300" s="231"/>
    </row>
    <row r="1301" spans="1:20" ht="14">
      <c r="A1301" s="231">
        <v>1300</v>
      </c>
      <c r="B1301" s="235" t="s">
        <v>50</v>
      </c>
      <c r="C1301" s="243" t="s">
        <v>10</v>
      </c>
      <c r="D1301" s="250" t="s">
        <v>3010</v>
      </c>
      <c r="E1301" s="239"/>
      <c r="F1301" s="231"/>
      <c r="G1301" s="231">
        <v>48</v>
      </c>
      <c r="H1301" s="231" t="s">
        <v>2892</v>
      </c>
      <c r="I1301" s="281">
        <v>0</v>
      </c>
      <c r="J1301" s="249">
        <v>1450</v>
      </c>
      <c r="K1301" s="231">
        <v>20</v>
      </c>
      <c r="L1301" s="231"/>
      <c r="M1301" s="299" t="s">
        <v>15</v>
      </c>
      <c r="N1301" s="231"/>
      <c r="O1301" s="231">
        <v>2024</v>
      </c>
      <c r="P1301" s="285">
        <v>45434</v>
      </c>
      <c r="Q1301" s="231"/>
      <c r="R1301" s="231"/>
      <c r="S1301" s="231" t="s">
        <v>453</v>
      </c>
      <c r="T1301" s="231"/>
    </row>
    <row r="1302" spans="1:20" ht="14">
      <c r="A1302" s="231">
        <v>1301</v>
      </c>
      <c r="B1302" s="235" t="s">
        <v>52</v>
      </c>
      <c r="C1302" s="243" t="s">
        <v>10</v>
      </c>
      <c r="D1302" s="250" t="s">
        <v>3011</v>
      </c>
      <c r="E1302" s="239" t="s">
        <v>2974</v>
      </c>
      <c r="F1302" s="231" t="s">
        <v>2975</v>
      </c>
      <c r="G1302" s="231" cm="1">
        <f t="array" ref="G1302">_xlfn.IFS(J1302&lt;301,2,J1302&gt;300,48)</f>
        <v>2</v>
      </c>
      <c r="H1302" s="231" t="s">
        <v>4265</v>
      </c>
      <c r="I1302" s="281">
        <v>0</v>
      </c>
      <c r="J1302" s="249">
        <v>180</v>
      </c>
      <c r="K1302" s="231">
        <f t="shared" ref="K1302:K1308" si="22">IF(M1302="ONT",20,IF(M1302="N/A","N/A",IF(M1302="MIKROTIK",IF(J1302&lt;3000,10,IF(3000&lt;J1302&gt;10000,20,IF(10000&lt;J1302&gt;20000,40,IF(20000&lt;J1302&gt;40000,60,IF(J1302&gt;40000,80,IF(J1302&lt;300,3,)))))))))</f>
        <v>20</v>
      </c>
      <c r="L1302" s="231"/>
      <c r="M1302" s="231" t="s">
        <v>16</v>
      </c>
      <c r="N1302" s="231"/>
      <c r="O1302" s="231">
        <v>2024</v>
      </c>
      <c r="P1302" s="285">
        <v>45429</v>
      </c>
      <c r="Q1302" s="231"/>
      <c r="R1302" s="231"/>
      <c r="S1302" s="261" t="s">
        <v>453</v>
      </c>
      <c r="T1302" s="231"/>
    </row>
    <row r="1303" spans="1:20" ht="14">
      <c r="A1303" s="231">
        <v>1302</v>
      </c>
      <c r="B1303" s="235" t="s">
        <v>55</v>
      </c>
      <c r="C1303" s="243" t="s">
        <v>10</v>
      </c>
      <c r="D1303" s="250" t="s">
        <v>3012</v>
      </c>
      <c r="E1303" s="239" t="s">
        <v>2978</v>
      </c>
      <c r="F1303" s="231" t="s">
        <v>2979</v>
      </c>
      <c r="G1303" s="231" cm="1">
        <f t="array" ref="G1303">_xlfn.IFS(J1303&lt;301,2,J1303&gt;300,48)</f>
        <v>2</v>
      </c>
      <c r="H1303" s="231" t="s">
        <v>2894</v>
      </c>
      <c r="I1303" s="281">
        <v>0</v>
      </c>
      <c r="J1303" s="249">
        <v>80</v>
      </c>
      <c r="K1303" s="231">
        <f t="shared" si="22"/>
        <v>20</v>
      </c>
      <c r="L1303" s="231"/>
      <c r="M1303" s="231" t="s">
        <v>16</v>
      </c>
      <c r="N1303" s="231"/>
      <c r="O1303" s="231">
        <v>2024</v>
      </c>
      <c r="P1303" s="285">
        <v>45429</v>
      </c>
      <c r="Q1303" s="231"/>
      <c r="R1303" s="231"/>
      <c r="S1303" s="261" t="s">
        <v>453</v>
      </c>
      <c r="T1303" s="231"/>
    </row>
    <row r="1304" spans="1:20" ht="14">
      <c r="A1304" s="231">
        <v>1303</v>
      </c>
      <c r="B1304" s="235" t="s">
        <v>52</v>
      </c>
      <c r="C1304" s="243" t="s">
        <v>10</v>
      </c>
      <c r="D1304" s="250" t="s">
        <v>3013</v>
      </c>
      <c r="E1304" s="239"/>
      <c r="F1304" s="231"/>
      <c r="G1304" s="231" cm="1">
        <f t="array" ref="G1304">_xlfn.IFS(J1304&lt;301,2,J1304&gt;300,48)</f>
        <v>2</v>
      </c>
      <c r="H1304" s="231" t="s">
        <v>4555</v>
      </c>
      <c r="I1304" s="281">
        <v>0</v>
      </c>
      <c r="J1304" s="249">
        <v>300</v>
      </c>
      <c r="K1304" s="231">
        <f t="shared" si="22"/>
        <v>20</v>
      </c>
      <c r="L1304" s="231"/>
      <c r="M1304" s="231" t="s">
        <v>16</v>
      </c>
      <c r="N1304" s="231"/>
      <c r="O1304" s="231">
        <v>2024</v>
      </c>
      <c r="P1304" s="285">
        <v>45426</v>
      </c>
      <c r="Q1304" s="231"/>
      <c r="R1304" s="231"/>
      <c r="S1304" s="261" t="s">
        <v>457</v>
      </c>
      <c r="T1304" s="231"/>
    </row>
    <row r="1305" spans="1:20" ht="14">
      <c r="A1305" s="231">
        <v>1304</v>
      </c>
      <c r="B1305" s="235" t="s">
        <v>52</v>
      </c>
      <c r="C1305" s="243" t="s">
        <v>10</v>
      </c>
      <c r="D1305" s="250" t="s">
        <v>3014</v>
      </c>
      <c r="E1305" s="237" t="s">
        <v>2983</v>
      </c>
      <c r="F1305" s="231" t="s">
        <v>2984</v>
      </c>
      <c r="G1305" s="231" cm="1">
        <f t="array" ref="G1305">_xlfn.IFS(J1305&lt;301,2,J1305&gt;300,48)</f>
        <v>48</v>
      </c>
      <c r="H1305" s="231" t="s">
        <v>4555</v>
      </c>
      <c r="I1305" s="281">
        <v>0</v>
      </c>
      <c r="J1305" s="249">
        <v>350</v>
      </c>
      <c r="K1305" s="231">
        <f t="shared" si="22"/>
        <v>20</v>
      </c>
      <c r="L1305" s="231"/>
      <c r="M1305" s="231" t="s">
        <v>16</v>
      </c>
      <c r="N1305" s="231"/>
      <c r="O1305" s="231">
        <v>2024</v>
      </c>
      <c r="P1305" s="285">
        <v>45427</v>
      </c>
      <c r="Q1305" s="231"/>
      <c r="R1305" s="231"/>
      <c r="S1305" s="261" t="s">
        <v>457</v>
      </c>
      <c r="T1305" s="231"/>
    </row>
    <row r="1306" spans="1:20" ht="14">
      <c r="A1306" s="231">
        <v>1305</v>
      </c>
      <c r="B1306" s="235" t="s">
        <v>52</v>
      </c>
      <c r="C1306" s="243" t="s">
        <v>10</v>
      </c>
      <c r="D1306" s="250" t="s">
        <v>3015</v>
      </c>
      <c r="E1306" s="239" t="s">
        <v>2986</v>
      </c>
      <c r="F1306" s="231" t="s">
        <v>2979</v>
      </c>
      <c r="G1306" s="231" cm="1">
        <f t="array" ref="G1306">_xlfn.IFS(J1306&lt;301,2,J1306&gt;300,48)</f>
        <v>2</v>
      </c>
      <c r="H1306" s="231" t="s">
        <v>4555</v>
      </c>
      <c r="I1306" s="281">
        <v>0</v>
      </c>
      <c r="J1306" s="249">
        <v>300</v>
      </c>
      <c r="K1306" s="231">
        <f t="shared" si="22"/>
        <v>20</v>
      </c>
      <c r="L1306" s="231"/>
      <c r="M1306" s="231" t="s">
        <v>16</v>
      </c>
      <c r="N1306" s="231"/>
      <c r="O1306" s="231">
        <v>2024</v>
      </c>
      <c r="P1306" s="285">
        <v>45436</v>
      </c>
      <c r="Q1306" s="231"/>
      <c r="R1306" s="231"/>
      <c r="S1306" s="241" t="s">
        <v>453</v>
      </c>
      <c r="T1306" s="231"/>
    </row>
    <row r="1307" spans="1:20" ht="14">
      <c r="A1307" s="231">
        <v>1306</v>
      </c>
      <c r="B1307" s="235" t="s">
        <v>49</v>
      </c>
      <c r="C1307" s="243" t="s">
        <v>10</v>
      </c>
      <c r="D1307" s="250" t="s">
        <v>3016</v>
      </c>
      <c r="E1307" s="237" t="s">
        <v>2988</v>
      </c>
      <c r="F1307" s="231" t="s">
        <v>2979</v>
      </c>
      <c r="G1307" s="231" cm="1">
        <f t="array" ref="G1307">_xlfn.IFS(J1307&lt;301,2,J1307&gt;300,48)</f>
        <v>48</v>
      </c>
      <c r="H1307" s="231" t="s">
        <v>3017</v>
      </c>
      <c r="I1307" s="281">
        <v>0</v>
      </c>
      <c r="J1307" s="249">
        <v>600</v>
      </c>
      <c r="K1307" s="231">
        <f t="shared" si="22"/>
        <v>20</v>
      </c>
      <c r="L1307" s="231"/>
      <c r="M1307" s="231" t="s">
        <v>16</v>
      </c>
      <c r="N1307" s="231"/>
      <c r="O1307" s="231">
        <v>2024</v>
      </c>
      <c r="P1307" s="285">
        <v>45436</v>
      </c>
      <c r="Q1307" s="231"/>
      <c r="R1307" s="231"/>
      <c r="S1307" s="241" t="s">
        <v>453</v>
      </c>
      <c r="T1307" s="231"/>
    </row>
    <row r="1308" spans="1:20" ht="14">
      <c r="A1308" s="231">
        <v>1307</v>
      </c>
      <c r="B1308" s="235" t="s">
        <v>52</v>
      </c>
      <c r="C1308" s="243" t="s">
        <v>10</v>
      </c>
      <c r="D1308" s="250" t="s">
        <v>3018</v>
      </c>
      <c r="E1308" s="239" t="s">
        <v>2990</v>
      </c>
      <c r="F1308" s="231" t="s">
        <v>2991</v>
      </c>
      <c r="G1308" s="231" cm="1">
        <f t="array" ref="G1308">_xlfn.IFS(J1308&lt;301,2,J1308&gt;300,48)</f>
        <v>2</v>
      </c>
      <c r="H1308" s="231" t="s">
        <v>2773</v>
      </c>
      <c r="I1308" s="281">
        <v>0</v>
      </c>
      <c r="J1308" s="249">
        <v>300</v>
      </c>
      <c r="K1308" s="231">
        <f t="shared" si="22"/>
        <v>20</v>
      </c>
      <c r="L1308" s="231"/>
      <c r="M1308" s="231" t="s">
        <v>16</v>
      </c>
      <c r="N1308" s="231"/>
      <c r="O1308" s="231">
        <v>2024</v>
      </c>
      <c r="P1308" s="285">
        <v>45436</v>
      </c>
      <c r="Q1308" s="231"/>
      <c r="R1308" s="231"/>
      <c r="S1308" s="241" t="s">
        <v>453</v>
      </c>
      <c r="T1308" s="231"/>
    </row>
    <row r="1309" spans="1:20" ht="14">
      <c r="A1309" s="231">
        <v>1308</v>
      </c>
      <c r="B1309" s="235" t="s">
        <v>51</v>
      </c>
      <c r="C1309" s="243" t="s">
        <v>10</v>
      </c>
      <c r="D1309" s="250" t="s">
        <v>3019</v>
      </c>
      <c r="E1309" s="237" t="s">
        <v>2993</v>
      </c>
      <c r="F1309" s="231" t="s">
        <v>2975</v>
      </c>
      <c r="G1309" s="231" cm="1">
        <f t="array" ref="G1309">_xlfn.IFS(J1309&lt;301,2,J1309&gt;300,48)</f>
        <v>48</v>
      </c>
      <c r="H1309" s="231" t="s">
        <v>148</v>
      </c>
      <c r="I1309" s="281">
        <v>0</v>
      </c>
      <c r="J1309" s="249">
        <v>1000</v>
      </c>
      <c r="K1309" s="231">
        <f>IF(M1309="ONT",20,IF(M1309="N/A","N/A",IF(M1309="MIKROTIK",IF(J1309&lt;3000,10,IF(3000&lt;J1309&gt;10000,20,IF(10000&lt;J1309&gt;20000,40,IF(20000&lt;J1309&gt;40000,60,IF(J1309&gt;40000,80,IF(J1309&lt;300,3,)))))))))</f>
        <v>20</v>
      </c>
      <c r="L1309" s="231"/>
      <c r="M1309" s="231" t="s">
        <v>16</v>
      </c>
      <c r="N1309" s="231"/>
      <c r="O1309" s="231">
        <v>2024</v>
      </c>
      <c r="P1309" s="285">
        <v>45432</v>
      </c>
      <c r="Q1309" s="231"/>
      <c r="R1309" s="231"/>
      <c r="S1309" s="241" t="s">
        <v>453</v>
      </c>
      <c r="T1309" s="231"/>
    </row>
    <row r="1310" spans="1:20" ht="14">
      <c r="A1310" s="231">
        <v>1309</v>
      </c>
      <c r="B1310" s="235" t="s">
        <v>53</v>
      </c>
      <c r="C1310" s="243" t="s">
        <v>10</v>
      </c>
      <c r="D1310" s="250" t="s">
        <v>3021</v>
      </c>
      <c r="E1310" s="239" t="s">
        <v>2995</v>
      </c>
      <c r="F1310" s="237" t="s">
        <v>2344</v>
      </c>
      <c r="G1310" s="231" cm="1">
        <f t="array" ref="G1310">_xlfn.IFS(J1310&lt;301,2,J1310&gt;300,48)</f>
        <v>48</v>
      </c>
      <c r="H1310" s="231" t="s">
        <v>3024</v>
      </c>
      <c r="I1310" s="281">
        <v>0</v>
      </c>
      <c r="J1310" s="249">
        <v>420</v>
      </c>
      <c r="K1310" s="231">
        <v>20</v>
      </c>
      <c r="L1310" s="231"/>
      <c r="M1310" s="299" t="s">
        <v>15</v>
      </c>
      <c r="N1310" s="231"/>
      <c r="O1310" s="231">
        <v>2024</v>
      </c>
      <c r="P1310" s="285">
        <v>45432</v>
      </c>
      <c r="Q1310" s="231"/>
      <c r="R1310" s="231"/>
      <c r="S1310" s="241" t="s">
        <v>453</v>
      </c>
      <c r="T1310" s="231"/>
    </row>
    <row r="1311" spans="1:20" ht="14">
      <c r="A1311" s="231">
        <v>1310</v>
      </c>
      <c r="B1311" s="235" t="s">
        <v>52</v>
      </c>
      <c r="C1311" s="243" t="s">
        <v>10</v>
      </c>
      <c r="D1311" s="250" t="s">
        <v>3025</v>
      </c>
      <c r="E1311" s="239" t="s">
        <v>2997</v>
      </c>
      <c r="F1311" s="231" t="s">
        <v>2998</v>
      </c>
      <c r="G1311" s="231" cm="1">
        <f t="array" ref="G1311">_xlfn.IFS(J1311&lt;301,2,J1311&gt;300,48)</f>
        <v>48</v>
      </c>
      <c r="H1311" s="231" t="s">
        <v>3053</v>
      </c>
      <c r="I1311" s="281">
        <v>0</v>
      </c>
      <c r="J1311" s="249">
        <v>350</v>
      </c>
      <c r="K1311" s="231">
        <f t="shared" ref="K1311:K1317" si="23">IF(M1311="ONT",20,IF(M1311="N/A","N/A",IF(M1311="MIKROTIK",IF(J1311&lt;3000,10,IF(3000&lt;J1311&gt;10000,20,IF(10000&lt;J1311&gt;20000,40,IF(20000&lt;J1311&gt;40000,60,IF(J1311&gt;40000,80,IF(J1311&lt;300,3,)))))))))</f>
        <v>20</v>
      </c>
      <c r="L1311" s="231"/>
      <c r="M1311" s="231" t="s">
        <v>16</v>
      </c>
      <c r="N1311" s="231"/>
      <c r="O1311" s="231">
        <v>2024</v>
      </c>
      <c r="P1311" s="285">
        <v>45436</v>
      </c>
      <c r="Q1311" s="231"/>
      <c r="R1311" s="231"/>
      <c r="S1311" s="241" t="s">
        <v>453</v>
      </c>
      <c r="T1311" s="231"/>
    </row>
    <row r="1312" spans="1:20" ht="14">
      <c r="A1312" s="231">
        <v>1311</v>
      </c>
      <c r="B1312" s="235" t="s">
        <v>52</v>
      </c>
      <c r="C1312" s="243" t="s">
        <v>10</v>
      </c>
      <c r="D1312" s="250" t="s">
        <v>3028</v>
      </c>
      <c r="E1312" s="239" t="s">
        <v>3000</v>
      </c>
      <c r="F1312" s="231" t="s">
        <v>3001</v>
      </c>
      <c r="G1312" s="231" cm="1">
        <f t="array" ref="G1312">_xlfn.IFS(J1312&lt;301,2,J1312&gt;300,48)</f>
        <v>48</v>
      </c>
      <c r="H1312" s="231" t="s">
        <v>3053</v>
      </c>
      <c r="I1312" s="281">
        <v>0</v>
      </c>
      <c r="J1312" s="249">
        <v>350</v>
      </c>
      <c r="K1312" s="231">
        <f t="shared" si="23"/>
        <v>20</v>
      </c>
      <c r="L1312" s="231"/>
      <c r="M1312" s="231" t="s">
        <v>16</v>
      </c>
      <c r="N1312" s="231"/>
      <c r="O1312" s="231">
        <v>2024</v>
      </c>
      <c r="P1312" s="285">
        <v>45436</v>
      </c>
      <c r="Q1312" s="231"/>
      <c r="R1312" s="231"/>
      <c r="S1312" s="241" t="s">
        <v>453</v>
      </c>
      <c r="T1312" s="231"/>
    </row>
    <row r="1313" spans="1:20" ht="14">
      <c r="A1313" s="231">
        <v>1312</v>
      </c>
      <c r="B1313" s="235" t="s">
        <v>52</v>
      </c>
      <c r="C1313" s="243" t="s">
        <v>10</v>
      </c>
      <c r="D1313" s="250" t="s">
        <v>3029</v>
      </c>
      <c r="E1313" s="239"/>
      <c r="F1313" s="231"/>
      <c r="G1313" s="231" cm="1">
        <f t="array" ref="G1313">_xlfn.IFS(J1313&lt;301,2,J1313&gt;300,48)</f>
        <v>48</v>
      </c>
      <c r="H1313" s="231" t="s">
        <v>3053</v>
      </c>
      <c r="I1313" s="281">
        <v>0</v>
      </c>
      <c r="J1313" s="249">
        <v>350</v>
      </c>
      <c r="K1313" s="231">
        <f t="shared" si="23"/>
        <v>20</v>
      </c>
      <c r="L1313" s="231"/>
      <c r="M1313" s="231" t="s">
        <v>16</v>
      </c>
      <c r="N1313" s="231"/>
      <c r="O1313" s="231">
        <v>2024</v>
      </c>
      <c r="P1313" s="285">
        <v>45436</v>
      </c>
      <c r="Q1313" s="231"/>
      <c r="R1313" s="231"/>
      <c r="S1313" s="241" t="s">
        <v>453</v>
      </c>
      <c r="T1313" s="231"/>
    </row>
    <row r="1314" spans="1:20" ht="14">
      <c r="A1314" s="231">
        <v>1313</v>
      </c>
      <c r="B1314" s="235" t="s">
        <v>52</v>
      </c>
      <c r="C1314" s="243" t="s">
        <v>10</v>
      </c>
      <c r="D1314" s="250" t="s">
        <v>3032</v>
      </c>
      <c r="E1314" s="239" t="s">
        <v>3004</v>
      </c>
      <c r="F1314" s="231" t="s">
        <v>2998</v>
      </c>
      <c r="G1314" s="231" cm="1">
        <f t="array" ref="G1314">_xlfn.IFS(J1314&lt;301,2,J1314&gt;300,48)</f>
        <v>48</v>
      </c>
      <c r="H1314" s="231" t="s">
        <v>3053</v>
      </c>
      <c r="I1314" s="281">
        <v>0</v>
      </c>
      <c r="J1314" s="249">
        <v>350</v>
      </c>
      <c r="K1314" s="231">
        <f t="shared" si="23"/>
        <v>20</v>
      </c>
      <c r="L1314" s="231"/>
      <c r="M1314" s="231" t="s">
        <v>16</v>
      </c>
      <c r="N1314" s="231"/>
      <c r="O1314" s="231">
        <v>2024</v>
      </c>
      <c r="P1314" s="285">
        <v>45440</v>
      </c>
      <c r="Q1314" s="231"/>
      <c r="R1314" s="231"/>
      <c r="S1314" s="241" t="s">
        <v>453</v>
      </c>
      <c r="T1314" s="231"/>
    </row>
    <row r="1315" spans="1:20" ht="14">
      <c r="A1315" s="231">
        <v>1314</v>
      </c>
      <c r="B1315" s="235" t="s">
        <v>52</v>
      </c>
      <c r="C1315" s="243" t="s">
        <v>10</v>
      </c>
      <c r="D1315" s="250" t="s">
        <v>3034</v>
      </c>
      <c r="E1315" s="263" t="s">
        <v>3006</v>
      </c>
      <c r="F1315" s="231"/>
      <c r="G1315" s="231" cm="1">
        <f t="array" ref="G1315">_xlfn.IFS(J1315&lt;301,2,J1315&gt;300,48)</f>
        <v>48</v>
      </c>
      <c r="H1315" s="231" t="s">
        <v>3053</v>
      </c>
      <c r="I1315" s="281">
        <v>0</v>
      </c>
      <c r="J1315" s="249">
        <v>350</v>
      </c>
      <c r="K1315" s="231">
        <f t="shared" si="23"/>
        <v>20</v>
      </c>
      <c r="L1315" s="231"/>
      <c r="M1315" s="231" t="s">
        <v>16</v>
      </c>
      <c r="N1315" s="231"/>
      <c r="O1315" s="231">
        <v>2024</v>
      </c>
      <c r="P1315" s="285">
        <v>45471</v>
      </c>
      <c r="Q1315" s="231"/>
      <c r="R1315" s="231"/>
      <c r="S1315" s="241" t="s">
        <v>453</v>
      </c>
      <c r="T1315" s="231"/>
    </row>
    <row r="1316" spans="1:20" ht="14">
      <c r="A1316" s="231">
        <v>1315</v>
      </c>
      <c r="B1316" s="235" t="s">
        <v>49</v>
      </c>
      <c r="C1316" s="243" t="s">
        <v>10</v>
      </c>
      <c r="D1316" s="250" t="s">
        <v>3035</v>
      </c>
      <c r="E1316" s="239"/>
      <c r="F1316" s="231"/>
      <c r="G1316" s="231" cm="1">
        <f t="array" ref="G1316">_xlfn.IFS(J1316&lt;301,2,J1316&gt;300,48)</f>
        <v>48</v>
      </c>
      <c r="H1316" s="231" t="s">
        <v>452</v>
      </c>
      <c r="I1316" s="281">
        <v>0</v>
      </c>
      <c r="J1316" s="249">
        <v>1000</v>
      </c>
      <c r="K1316" s="231">
        <f t="shared" si="23"/>
        <v>20</v>
      </c>
      <c r="L1316" s="231"/>
      <c r="M1316" s="231" t="s">
        <v>16</v>
      </c>
      <c r="N1316" s="231"/>
      <c r="O1316" s="231">
        <v>2024</v>
      </c>
      <c r="P1316" s="285">
        <v>45467</v>
      </c>
      <c r="Q1316" s="231"/>
      <c r="R1316" s="231"/>
      <c r="S1316" s="241" t="s">
        <v>453</v>
      </c>
      <c r="T1316" s="231"/>
    </row>
    <row r="1317" spans="1:20" ht="14">
      <c r="A1317" s="231">
        <v>1316</v>
      </c>
      <c r="B1317" s="235" t="s">
        <v>52</v>
      </c>
      <c r="C1317" s="243" t="s">
        <v>10</v>
      </c>
      <c r="D1317" s="250" t="s">
        <v>3037</v>
      </c>
      <c r="E1317" s="239"/>
      <c r="F1317" s="231"/>
      <c r="G1317" s="231" cm="1">
        <f t="array" ref="G1317">_xlfn.IFS(J1317&lt;301,2,J1317&gt;300,48)</f>
        <v>48</v>
      </c>
      <c r="H1317" s="231" t="s">
        <v>2812</v>
      </c>
      <c r="I1317" s="281">
        <v>0</v>
      </c>
      <c r="J1317" s="249">
        <v>800</v>
      </c>
      <c r="K1317" s="231">
        <f t="shared" si="23"/>
        <v>20</v>
      </c>
      <c r="L1317" s="231"/>
      <c r="M1317" s="231" t="s">
        <v>16</v>
      </c>
      <c r="N1317" s="231"/>
      <c r="O1317" s="231">
        <v>2024</v>
      </c>
      <c r="P1317" s="285">
        <v>45449</v>
      </c>
      <c r="Q1317" s="231"/>
      <c r="R1317" s="231"/>
      <c r="S1317" s="241" t="s">
        <v>453</v>
      </c>
      <c r="T1317" s="231"/>
    </row>
    <row r="1318" spans="1:20" ht="14">
      <c r="A1318" s="231">
        <v>1317</v>
      </c>
      <c r="B1318" s="235" t="s">
        <v>52</v>
      </c>
      <c r="C1318" s="243" t="s">
        <v>10</v>
      </c>
      <c r="D1318" s="250" t="s">
        <v>3040</v>
      </c>
      <c r="E1318" s="239"/>
      <c r="F1318" s="231"/>
      <c r="G1318" s="231" cm="1">
        <f t="array" ref="G1318">_xlfn.IFS(J1318&lt;301,2,J1318&gt;300,48)</f>
        <v>2</v>
      </c>
      <c r="H1318" s="231" t="s">
        <v>4587</v>
      </c>
      <c r="I1318" s="281">
        <v>0</v>
      </c>
      <c r="J1318" s="249">
        <v>300</v>
      </c>
      <c r="K1318" s="231">
        <v>40</v>
      </c>
      <c r="L1318" s="231"/>
      <c r="M1318" s="299" t="s">
        <v>15</v>
      </c>
      <c r="N1318" s="231"/>
      <c r="O1318" s="231">
        <v>2024</v>
      </c>
      <c r="P1318" s="285">
        <v>45422</v>
      </c>
      <c r="Q1318" s="231"/>
      <c r="R1318" s="231"/>
      <c r="S1318" s="241" t="s">
        <v>453</v>
      </c>
      <c r="T1318" s="231"/>
    </row>
    <row r="1319" spans="1:20" ht="14">
      <c r="A1319" s="231">
        <v>1318</v>
      </c>
      <c r="B1319" s="235" t="s">
        <v>49</v>
      </c>
      <c r="C1319" s="243" t="s">
        <v>10</v>
      </c>
      <c r="D1319" s="250" t="s">
        <v>3043</v>
      </c>
      <c r="E1319" s="239"/>
      <c r="F1319" s="231"/>
      <c r="G1319" s="231" cm="1">
        <f t="array" ref="G1319">_xlfn.IFS(J1319&lt;301,2,J1319&gt;300,48)</f>
        <v>48</v>
      </c>
      <c r="H1319" s="231" t="s">
        <v>543</v>
      </c>
      <c r="I1319" s="281">
        <v>0</v>
      </c>
      <c r="J1319" s="249">
        <v>500</v>
      </c>
      <c r="K1319" s="231">
        <f>IF(M1319="ONT",20,IF(M1319="N/A","N/A",IF(M1319="MIKROTIK",IF(J1319&lt;3000,10,IF(3000&lt;J1319&gt;10000,20,IF(10000&lt;J1319&gt;20000,40,IF(20000&lt;J1319&gt;40000,60,IF(J1319&gt;40000,80,IF(J1319&lt;300,3,)))))))))</f>
        <v>20</v>
      </c>
      <c r="L1319" s="231"/>
      <c r="M1319" s="231" t="s">
        <v>16</v>
      </c>
      <c r="N1319" s="231"/>
      <c r="O1319" s="231">
        <v>2024</v>
      </c>
      <c r="P1319" s="285">
        <v>45463</v>
      </c>
      <c r="Q1319" s="231"/>
      <c r="R1319" s="231"/>
      <c r="S1319" s="241" t="s">
        <v>453</v>
      </c>
      <c r="T1319" s="231"/>
    </row>
    <row r="1320" spans="1:20" ht="14">
      <c r="A1320" s="231">
        <v>1319</v>
      </c>
      <c r="B1320" s="235" t="s">
        <v>52</v>
      </c>
      <c r="C1320" s="243" t="s">
        <v>10</v>
      </c>
      <c r="D1320" s="250" t="s">
        <v>4713</v>
      </c>
      <c r="E1320" s="237"/>
      <c r="F1320" s="231"/>
      <c r="G1320" s="231" cm="1">
        <f t="array" ref="G1320">_xlfn.IFS(J1320&lt;301,2,J1320&gt;300,48)</f>
        <v>48</v>
      </c>
      <c r="H1320" s="231" t="s">
        <v>2976</v>
      </c>
      <c r="I1320" s="281">
        <v>0</v>
      </c>
      <c r="J1320" s="249">
        <v>450</v>
      </c>
      <c r="K1320" s="231">
        <f>IF(M1320="ONT",20,IF(M1320="N/A","N/A",IF(M1320="MIKROTIK",IF(J1320&lt;3000,10,IF(3000&lt;J1320&gt;10000,20,IF(10000&lt;J1320&gt;20000,40,IF(20000&lt;J1320&gt;40000,60,IF(J1320&gt;40000,80,IF(J1320&lt;300,3,)))))))))</f>
        <v>20</v>
      </c>
      <c r="L1320" s="231"/>
      <c r="M1320" s="231" t="s">
        <v>16</v>
      </c>
      <c r="N1320" s="231"/>
      <c r="O1320" s="231">
        <v>2024</v>
      </c>
      <c r="P1320" s="285">
        <v>45415</v>
      </c>
      <c r="Q1320" s="231"/>
      <c r="R1320" s="231"/>
      <c r="S1320" s="241" t="s">
        <v>453</v>
      </c>
      <c r="T1320" s="231"/>
    </row>
    <row r="1321" spans="1:20" ht="14">
      <c r="A1321" s="231">
        <v>1320</v>
      </c>
      <c r="B1321" s="235" t="s">
        <v>52</v>
      </c>
      <c r="C1321" s="243" t="s">
        <v>10</v>
      </c>
      <c r="D1321" s="250" t="s">
        <v>3046</v>
      </c>
      <c r="E1321" s="239"/>
      <c r="F1321" s="231"/>
      <c r="G1321" s="231" cm="1">
        <f t="array" ref="G1321">_xlfn.IFS(J1321&lt;301,2,J1321&gt;300,48)</f>
        <v>48</v>
      </c>
      <c r="H1321" s="231" t="s">
        <v>2980</v>
      </c>
      <c r="I1321" s="281">
        <v>0</v>
      </c>
      <c r="J1321" s="249">
        <v>350</v>
      </c>
      <c r="K1321" s="231">
        <v>40</v>
      </c>
      <c r="L1321" s="231"/>
      <c r="M1321" s="299" t="s">
        <v>15</v>
      </c>
      <c r="N1321" s="231"/>
      <c r="O1321" s="231">
        <v>2024</v>
      </c>
      <c r="P1321" s="285">
        <v>45477</v>
      </c>
      <c r="Q1321" s="231"/>
      <c r="R1321" s="231"/>
      <c r="S1321" s="241" t="s">
        <v>453</v>
      </c>
      <c r="T1321" s="231"/>
    </row>
    <row r="1322" spans="1:20" ht="14">
      <c r="A1322" s="231">
        <v>1321</v>
      </c>
      <c r="B1322" s="235" t="s">
        <v>52</v>
      </c>
      <c r="C1322" s="243" t="s">
        <v>10</v>
      </c>
      <c r="D1322" s="250" t="s">
        <v>3048</v>
      </c>
      <c r="E1322" s="239"/>
      <c r="F1322" s="231"/>
      <c r="G1322" s="231" cm="1">
        <f t="array" ref="G1322">_xlfn.IFS(J1322&lt;301,2,J1322&gt;300,48)</f>
        <v>48</v>
      </c>
      <c r="H1322" s="231" t="s">
        <v>3053</v>
      </c>
      <c r="I1322" s="281">
        <v>0</v>
      </c>
      <c r="J1322" s="249">
        <v>820</v>
      </c>
      <c r="K1322" s="231">
        <f t="shared" ref="K1322:K1335" si="24">IF(M1322="ONT",20,IF(M1322="N/A","N/A",IF(M1322="MIKROTIK",IF(J1322&lt;3000,10,IF(3000&lt;J1322&gt;10000,20,IF(10000&lt;J1322&gt;20000,40,IF(20000&lt;J1322&gt;40000,60,IF(J1322&gt;40000,80,IF(J1322&lt;300,3,)))))))))</f>
        <v>20</v>
      </c>
      <c r="L1322" s="231"/>
      <c r="M1322" s="231" t="s">
        <v>16</v>
      </c>
      <c r="N1322" s="231"/>
      <c r="O1322" s="231">
        <v>2024</v>
      </c>
      <c r="P1322" s="285">
        <v>45418</v>
      </c>
      <c r="Q1322" s="231"/>
      <c r="R1322" s="231"/>
      <c r="S1322" s="241" t="s">
        <v>453</v>
      </c>
      <c r="T1322" s="231"/>
    </row>
    <row r="1323" spans="1:20" ht="14">
      <c r="A1323" s="231">
        <v>1322</v>
      </c>
      <c r="B1323" s="235" t="s">
        <v>52</v>
      </c>
      <c r="C1323" s="243" t="s">
        <v>10</v>
      </c>
      <c r="D1323" s="250" t="s">
        <v>3050</v>
      </c>
      <c r="E1323" s="239"/>
      <c r="F1323" s="231"/>
      <c r="G1323" s="231" cm="1">
        <f t="array" ref="G1323">_xlfn.IFS(J1323&lt;301,2,J1323&gt;300,48)</f>
        <v>2</v>
      </c>
      <c r="H1323" s="231" t="s">
        <v>3051</v>
      </c>
      <c r="I1323" s="281">
        <v>0</v>
      </c>
      <c r="J1323" s="249">
        <v>200</v>
      </c>
      <c r="K1323" s="231">
        <f t="shared" si="24"/>
        <v>20</v>
      </c>
      <c r="L1323" s="231"/>
      <c r="M1323" s="231" t="s">
        <v>16</v>
      </c>
      <c r="N1323" s="231"/>
      <c r="O1323" s="231">
        <v>2024</v>
      </c>
      <c r="P1323" s="285">
        <v>45415</v>
      </c>
      <c r="Q1323" s="231"/>
      <c r="R1323" s="231"/>
      <c r="S1323" s="241" t="s">
        <v>453</v>
      </c>
      <c r="T1323" s="231"/>
    </row>
    <row r="1324" spans="1:20" ht="14">
      <c r="A1324" s="231">
        <v>1323</v>
      </c>
      <c r="B1324" s="235" t="s">
        <v>52</v>
      </c>
      <c r="C1324" s="243" t="s">
        <v>10</v>
      </c>
      <c r="D1324" s="250" t="s">
        <v>3052</v>
      </c>
      <c r="E1324" s="239"/>
      <c r="F1324" s="231"/>
      <c r="G1324" s="231" cm="1">
        <f t="array" ref="G1324">_xlfn.IFS(J1324&lt;301,2,J1324&gt;300,48)</f>
        <v>48</v>
      </c>
      <c r="H1324" s="231" t="s">
        <v>3053</v>
      </c>
      <c r="I1324" s="281">
        <v>0</v>
      </c>
      <c r="J1324" s="249">
        <v>350</v>
      </c>
      <c r="K1324" s="231">
        <f t="shared" si="24"/>
        <v>20</v>
      </c>
      <c r="L1324" s="231"/>
      <c r="M1324" s="231" t="s">
        <v>16</v>
      </c>
      <c r="N1324" s="231"/>
      <c r="O1324" s="231">
        <v>2024</v>
      </c>
      <c r="P1324" s="285">
        <v>45436</v>
      </c>
      <c r="Q1324" s="231"/>
      <c r="R1324" s="231"/>
      <c r="S1324" s="241" t="s">
        <v>453</v>
      </c>
      <c r="T1324" s="231"/>
    </row>
    <row r="1325" spans="1:20" ht="14">
      <c r="A1325" s="231">
        <v>1324</v>
      </c>
      <c r="B1325" s="235" t="s">
        <v>52</v>
      </c>
      <c r="C1325" s="243" t="s">
        <v>10</v>
      </c>
      <c r="D1325" s="250" t="s">
        <v>3054</v>
      </c>
      <c r="E1325" s="239"/>
      <c r="F1325" s="231"/>
      <c r="G1325" s="231" cm="1">
        <f t="array" ref="G1325">_xlfn.IFS(J1325&lt;301,2,J1325&gt;300,48)</f>
        <v>48</v>
      </c>
      <c r="H1325" s="231" t="s">
        <v>3060</v>
      </c>
      <c r="I1325" s="281">
        <v>0</v>
      </c>
      <c r="J1325" s="249">
        <v>450</v>
      </c>
      <c r="K1325" s="231">
        <f t="shared" si="24"/>
        <v>20</v>
      </c>
      <c r="L1325" s="231"/>
      <c r="M1325" s="231" t="s">
        <v>16</v>
      </c>
      <c r="N1325" s="231"/>
      <c r="O1325" s="231">
        <v>2024</v>
      </c>
      <c r="P1325" s="285">
        <v>45435</v>
      </c>
      <c r="Q1325" s="231"/>
      <c r="R1325" s="231"/>
      <c r="S1325" s="241" t="s">
        <v>453</v>
      </c>
      <c r="T1325" s="231"/>
    </row>
    <row r="1326" spans="1:20" ht="14">
      <c r="A1326" s="231">
        <v>1325</v>
      </c>
      <c r="B1326" s="235" t="s">
        <v>52</v>
      </c>
      <c r="C1326" s="243" t="s">
        <v>10</v>
      </c>
      <c r="D1326" s="250" t="s">
        <v>3056</v>
      </c>
      <c r="E1326" s="239"/>
      <c r="F1326" s="231"/>
      <c r="G1326" s="231" cm="1">
        <f t="array" ref="G1326">_xlfn.IFS(J1326&lt;301,2,J1326&gt;300,48)</f>
        <v>48</v>
      </c>
      <c r="H1326" s="231" t="s">
        <v>2773</v>
      </c>
      <c r="I1326" s="281">
        <v>0</v>
      </c>
      <c r="J1326" s="249">
        <v>700</v>
      </c>
      <c r="K1326" s="231">
        <f t="shared" si="24"/>
        <v>20</v>
      </c>
      <c r="L1326" s="231"/>
      <c r="M1326" s="231" t="s">
        <v>16</v>
      </c>
      <c r="N1326" s="231"/>
      <c r="O1326" s="231">
        <v>2024</v>
      </c>
      <c r="P1326" s="285">
        <v>45421</v>
      </c>
      <c r="Q1326" s="231"/>
      <c r="R1326" s="231"/>
      <c r="S1326" s="241" t="s">
        <v>453</v>
      </c>
      <c r="T1326" s="231"/>
    </row>
    <row r="1327" spans="1:20" ht="14">
      <c r="A1327" s="231">
        <v>1326</v>
      </c>
      <c r="B1327" s="235" t="s">
        <v>52</v>
      </c>
      <c r="C1327" s="243" t="s">
        <v>10</v>
      </c>
      <c r="D1327" s="250" t="s">
        <v>3057</v>
      </c>
      <c r="E1327" s="239" t="s">
        <v>3020</v>
      </c>
      <c r="F1327" s="231" t="s">
        <v>2335</v>
      </c>
      <c r="G1327" s="231" cm="1">
        <f t="array" ref="G1327">_xlfn.IFS(J1327&lt;301,2,J1327&gt;300,48)</f>
        <v>48</v>
      </c>
      <c r="H1327" s="231" t="s">
        <v>2875</v>
      </c>
      <c r="I1327" s="281">
        <v>0</v>
      </c>
      <c r="J1327" s="249">
        <v>1450</v>
      </c>
      <c r="K1327" s="231">
        <f t="shared" si="24"/>
        <v>20</v>
      </c>
      <c r="L1327" s="231"/>
      <c r="M1327" s="231" t="s">
        <v>16</v>
      </c>
      <c r="N1327" s="231"/>
      <c r="O1327" s="231">
        <v>2024</v>
      </c>
      <c r="P1327" s="285">
        <v>45419</v>
      </c>
      <c r="Q1327" s="231"/>
      <c r="R1327" s="231"/>
      <c r="S1327" s="241" t="s">
        <v>453</v>
      </c>
      <c r="T1327" s="231"/>
    </row>
    <row r="1328" spans="1:20" ht="14">
      <c r="A1328" s="231">
        <v>1327</v>
      </c>
      <c r="B1328" s="235" t="s">
        <v>52</v>
      </c>
      <c r="C1328" s="243" t="s">
        <v>10</v>
      </c>
      <c r="D1328" s="250" t="s">
        <v>3059</v>
      </c>
      <c r="E1328" s="239" t="s">
        <v>3022</v>
      </c>
      <c r="F1328" s="231" t="s">
        <v>3023</v>
      </c>
      <c r="G1328" s="231" cm="1">
        <f t="array" ref="G1328">_xlfn.IFS(J1328&lt;301,2,J1328&gt;300,48)</f>
        <v>48</v>
      </c>
      <c r="H1328" s="231" t="s">
        <v>3060</v>
      </c>
      <c r="I1328" s="281">
        <v>0</v>
      </c>
      <c r="J1328" s="249">
        <v>1050</v>
      </c>
      <c r="K1328" s="231">
        <f t="shared" si="24"/>
        <v>20</v>
      </c>
      <c r="L1328" s="231"/>
      <c r="M1328" s="231" t="s">
        <v>16</v>
      </c>
      <c r="N1328" s="231"/>
      <c r="O1328" s="231">
        <v>2024</v>
      </c>
      <c r="P1328" s="285">
        <v>45434</v>
      </c>
      <c r="Q1328" s="231"/>
      <c r="R1328" s="231"/>
      <c r="S1328" s="241" t="s">
        <v>453</v>
      </c>
      <c r="T1328" s="231"/>
    </row>
    <row r="1329" spans="1:20" ht="14">
      <c r="A1329" s="231">
        <v>1328</v>
      </c>
      <c r="B1329" s="235" t="s">
        <v>52</v>
      </c>
      <c r="C1329" s="243" t="s">
        <v>10</v>
      </c>
      <c r="D1329" s="250" t="s">
        <v>3061</v>
      </c>
      <c r="E1329" s="263" t="s">
        <v>3026</v>
      </c>
      <c r="F1329" s="231" t="s">
        <v>3027</v>
      </c>
      <c r="G1329" s="231" cm="1">
        <f t="array" ref="G1329">_xlfn.IFS(J1329&lt;301,2,J1329&gt;300,48)</f>
        <v>2</v>
      </c>
      <c r="H1329" s="231" t="s">
        <v>3060</v>
      </c>
      <c r="I1329" s="281">
        <v>0</v>
      </c>
      <c r="J1329" s="249">
        <v>300</v>
      </c>
      <c r="K1329" s="231">
        <f t="shared" si="24"/>
        <v>20</v>
      </c>
      <c r="L1329" s="231"/>
      <c r="M1329" s="231" t="s">
        <v>16</v>
      </c>
      <c r="N1329" s="231"/>
      <c r="O1329" s="231">
        <v>2024</v>
      </c>
      <c r="P1329" s="285">
        <v>45435</v>
      </c>
      <c r="Q1329" s="231"/>
      <c r="R1329" s="231"/>
      <c r="S1329" s="241" t="s">
        <v>453</v>
      </c>
      <c r="T1329" s="231"/>
    </row>
    <row r="1330" spans="1:20" ht="14">
      <c r="A1330" s="231">
        <v>1329</v>
      </c>
      <c r="B1330" s="235" t="s">
        <v>52</v>
      </c>
      <c r="C1330" s="243" t="s">
        <v>10</v>
      </c>
      <c r="D1330" s="250" t="s">
        <v>3062</v>
      </c>
      <c r="E1330" s="263" t="s">
        <v>3026</v>
      </c>
      <c r="F1330" s="231" t="s">
        <v>3027</v>
      </c>
      <c r="G1330" s="231" cm="1">
        <f t="array" ref="G1330">_xlfn.IFS(J1330&lt;301,2,J1330&gt;300,48)</f>
        <v>48</v>
      </c>
      <c r="H1330" s="231" t="s">
        <v>3063</v>
      </c>
      <c r="I1330" s="281">
        <v>0</v>
      </c>
      <c r="J1330" s="249">
        <v>350</v>
      </c>
      <c r="K1330" s="231">
        <f t="shared" si="24"/>
        <v>20</v>
      </c>
      <c r="L1330" s="231"/>
      <c r="M1330" s="231" t="s">
        <v>16</v>
      </c>
      <c r="N1330" s="231"/>
      <c r="O1330" s="231">
        <v>2024</v>
      </c>
      <c r="P1330" s="285">
        <v>45471</v>
      </c>
      <c r="Q1330" s="231"/>
      <c r="R1330" s="231"/>
      <c r="S1330" s="241" t="s">
        <v>453</v>
      </c>
      <c r="T1330" s="231"/>
    </row>
    <row r="1331" spans="1:20" ht="14">
      <c r="A1331" s="231">
        <v>1330</v>
      </c>
      <c r="B1331" s="235" t="s">
        <v>52</v>
      </c>
      <c r="C1331" s="243" t="s">
        <v>10</v>
      </c>
      <c r="D1331" s="250" t="s">
        <v>3064</v>
      </c>
      <c r="E1331" s="263" t="s">
        <v>3026</v>
      </c>
      <c r="F1331" s="231" t="s">
        <v>3027</v>
      </c>
      <c r="G1331" s="231" cm="1">
        <f t="array" ref="G1331">_xlfn.IFS(J1331&lt;301,2,J1331&gt;300,48)</f>
        <v>2</v>
      </c>
      <c r="H1331" s="231" t="s">
        <v>3542</v>
      </c>
      <c r="I1331" s="281">
        <v>0</v>
      </c>
      <c r="J1331" s="249">
        <v>300</v>
      </c>
      <c r="K1331" s="231">
        <f t="shared" si="24"/>
        <v>20</v>
      </c>
      <c r="L1331" s="231"/>
      <c r="M1331" s="231" t="s">
        <v>16</v>
      </c>
      <c r="N1331" s="231"/>
      <c r="O1331" s="231">
        <v>2024</v>
      </c>
      <c r="P1331" s="285">
        <v>45412</v>
      </c>
      <c r="Q1331" s="231"/>
      <c r="R1331" s="231"/>
      <c r="S1331" s="241" t="s">
        <v>453</v>
      </c>
      <c r="T1331" s="231"/>
    </row>
    <row r="1332" spans="1:20" ht="14">
      <c r="A1332" s="231">
        <v>1331</v>
      </c>
      <c r="B1332" s="235" t="s">
        <v>52</v>
      </c>
      <c r="C1332" s="243" t="s">
        <v>10</v>
      </c>
      <c r="D1332" s="250" t="s">
        <v>3065</v>
      </c>
      <c r="E1332" s="239"/>
      <c r="F1332" s="231"/>
      <c r="G1332" s="231" cm="1">
        <f t="array" ref="G1332">_xlfn.IFS(J1332&lt;301,2,J1332&gt;300,48)</f>
        <v>2</v>
      </c>
      <c r="H1332" s="231" t="s">
        <v>2773</v>
      </c>
      <c r="I1332" s="281">
        <v>0</v>
      </c>
      <c r="J1332" s="249">
        <v>300</v>
      </c>
      <c r="K1332" s="231">
        <f t="shared" si="24"/>
        <v>20</v>
      </c>
      <c r="L1332" s="231"/>
      <c r="M1332" s="231" t="s">
        <v>16</v>
      </c>
      <c r="N1332" s="231"/>
      <c r="O1332" s="231">
        <v>2024</v>
      </c>
      <c r="P1332" s="285">
        <v>45440</v>
      </c>
      <c r="Q1332" s="231"/>
      <c r="R1332" s="231"/>
      <c r="S1332" s="241" t="s">
        <v>453</v>
      </c>
      <c r="T1332" s="231"/>
    </row>
    <row r="1333" spans="1:20" ht="14">
      <c r="A1333" s="231">
        <v>1332</v>
      </c>
      <c r="B1333" s="235" t="s">
        <v>52</v>
      </c>
      <c r="C1333" s="243" t="s">
        <v>10</v>
      </c>
      <c r="D1333" s="250" t="s">
        <v>3066</v>
      </c>
      <c r="E1333" s="239"/>
      <c r="F1333" s="231"/>
      <c r="G1333" s="231" cm="1">
        <f t="array" ref="G1333">_xlfn.IFS(J1333&lt;301,2,J1333&gt;300,48)</f>
        <v>48</v>
      </c>
      <c r="H1333" s="231" t="s">
        <v>3394</v>
      </c>
      <c r="I1333" s="281">
        <v>0</v>
      </c>
      <c r="J1333" s="249">
        <v>400</v>
      </c>
      <c r="K1333" s="231">
        <f t="shared" si="24"/>
        <v>20</v>
      </c>
      <c r="L1333" s="231"/>
      <c r="M1333" s="231" t="s">
        <v>16</v>
      </c>
      <c r="N1333" s="231"/>
      <c r="O1333" s="231">
        <v>2024</v>
      </c>
      <c r="P1333" s="285">
        <v>45420</v>
      </c>
      <c r="Q1333" s="231"/>
      <c r="R1333" s="231"/>
      <c r="S1333" s="241" t="s">
        <v>453</v>
      </c>
      <c r="T1333" s="231"/>
    </row>
    <row r="1334" spans="1:20" ht="14">
      <c r="A1334" s="231">
        <v>1333</v>
      </c>
      <c r="B1334" s="235" t="s">
        <v>52</v>
      </c>
      <c r="C1334" s="243" t="s">
        <v>10</v>
      </c>
      <c r="D1334" s="250" t="s">
        <v>3067</v>
      </c>
      <c r="E1334" s="264" t="s">
        <v>3033</v>
      </c>
      <c r="F1334" s="231" t="s">
        <v>3027</v>
      </c>
      <c r="G1334" s="231" cm="1">
        <f t="array" ref="G1334">_xlfn.IFS(J1334&lt;301,2,J1334&gt;300,48)</f>
        <v>2</v>
      </c>
      <c r="H1334" s="231" t="s">
        <v>4265</v>
      </c>
      <c r="I1334" s="281">
        <v>0</v>
      </c>
      <c r="J1334" s="249">
        <v>300</v>
      </c>
      <c r="K1334" s="231">
        <f t="shared" si="24"/>
        <v>20</v>
      </c>
      <c r="L1334" s="231"/>
      <c r="M1334" s="231" t="s">
        <v>16</v>
      </c>
      <c r="N1334" s="231"/>
      <c r="O1334" s="231">
        <v>2024</v>
      </c>
      <c r="P1334" s="285">
        <v>45419</v>
      </c>
      <c r="Q1334" s="231"/>
      <c r="R1334" s="231"/>
      <c r="S1334" s="241" t="s">
        <v>453</v>
      </c>
      <c r="T1334" s="231"/>
    </row>
    <row r="1335" spans="1:20" ht="14">
      <c r="A1335" s="231">
        <v>1334</v>
      </c>
      <c r="B1335" s="235" t="s">
        <v>52</v>
      </c>
      <c r="C1335" s="243" t="s">
        <v>10</v>
      </c>
      <c r="D1335" s="250" t="s">
        <v>3068</v>
      </c>
      <c r="E1335" s="239"/>
      <c r="F1335" s="231"/>
      <c r="G1335" s="231" cm="1">
        <f t="array" ref="G1335">_xlfn.IFS(J1335&lt;301,2,J1335&gt;300,48)</f>
        <v>48</v>
      </c>
      <c r="H1335" s="231" t="s">
        <v>2783</v>
      </c>
      <c r="I1335" s="281">
        <v>0</v>
      </c>
      <c r="J1335" s="249">
        <v>450</v>
      </c>
      <c r="K1335" s="231">
        <f t="shared" si="24"/>
        <v>20</v>
      </c>
      <c r="L1335" s="231"/>
      <c r="M1335" s="231" t="s">
        <v>16</v>
      </c>
      <c r="N1335" s="231"/>
      <c r="O1335" s="231">
        <v>2024</v>
      </c>
      <c r="P1335" s="285">
        <v>45433</v>
      </c>
      <c r="Q1335" s="231"/>
      <c r="R1335" s="231"/>
      <c r="S1335" s="241" t="s">
        <v>453</v>
      </c>
      <c r="T1335" s="231"/>
    </row>
    <row r="1336" spans="1:20" ht="14">
      <c r="A1336" s="231">
        <v>1335</v>
      </c>
      <c r="B1336" s="235" t="s">
        <v>52</v>
      </c>
      <c r="C1336" s="243" t="s">
        <v>10</v>
      </c>
      <c r="D1336" s="250" t="s">
        <v>3069</v>
      </c>
      <c r="E1336" s="239" t="s">
        <v>2427</v>
      </c>
      <c r="F1336" s="231" t="s">
        <v>3036</v>
      </c>
      <c r="G1336" s="231" cm="1">
        <f t="array" ref="G1336">_xlfn.IFS(J1336&lt;301,2,J1336&gt;300,48)</f>
        <v>2</v>
      </c>
      <c r="H1336" s="231" t="s">
        <v>3542</v>
      </c>
      <c r="I1336" s="281">
        <v>0</v>
      </c>
      <c r="J1336" s="249">
        <v>250</v>
      </c>
      <c r="K1336" s="231">
        <f>IF(M1336="ONT",20,IF(M1336="N/A","N/A",IF(M1336="MIKROTIK",IF(J1336&lt;3000,10,IF(3000&lt;J1336&gt;10000,20,IF(10000&lt;J1336&gt;20000,40,IF(20000&lt;J1336&gt;40000,60,IF(J1336&gt;40000,80,IF(J1336&lt;300,3,)))))))))</f>
        <v>20</v>
      </c>
      <c r="L1336" s="231"/>
      <c r="M1336" s="231" t="s">
        <v>16</v>
      </c>
      <c r="N1336" s="231"/>
      <c r="O1336" s="231">
        <v>2024</v>
      </c>
      <c r="P1336" s="285">
        <v>45425</v>
      </c>
      <c r="Q1336" s="231"/>
      <c r="R1336" s="231"/>
      <c r="S1336" s="241" t="s">
        <v>453</v>
      </c>
      <c r="T1336" s="231"/>
    </row>
    <row r="1337" spans="1:20" ht="14">
      <c r="A1337" s="231">
        <v>1336</v>
      </c>
      <c r="B1337" s="235" t="s">
        <v>52</v>
      </c>
      <c r="C1337" s="243" t="s">
        <v>10</v>
      </c>
      <c r="D1337" s="250" t="s">
        <v>3070</v>
      </c>
      <c r="E1337" s="239" t="s">
        <v>3038</v>
      </c>
      <c r="F1337" s="231" t="s">
        <v>3039</v>
      </c>
      <c r="G1337" s="231" cm="1">
        <f t="array" ref="G1337">_xlfn.IFS(J1337&lt;301,2,J1337&gt;300,48)</f>
        <v>2</v>
      </c>
      <c r="H1337" s="231" t="s">
        <v>2940</v>
      </c>
      <c r="I1337" s="281">
        <v>0</v>
      </c>
      <c r="J1337" s="249">
        <v>200</v>
      </c>
      <c r="K1337" s="231">
        <f>IF(M1337="ONT",20,IF(M1337="N/A","N/A",IF(M1337="MIKROTIK",IF(J1337&lt;3000,10,IF(3000&lt;J1337&gt;10000,20,IF(10000&lt;J1337&gt;20000,40,IF(20000&lt;J1337&gt;40000,60,IF(J1337&gt;40000,80,IF(J1337&lt;300,3,)))))))))</f>
        <v>20</v>
      </c>
      <c r="L1337" s="231"/>
      <c r="M1337" s="231" t="s">
        <v>16</v>
      </c>
      <c r="N1337" s="231"/>
      <c r="O1337" s="231">
        <v>2024</v>
      </c>
      <c r="P1337" s="285">
        <v>45440</v>
      </c>
      <c r="Q1337" s="231"/>
      <c r="R1337" s="231"/>
      <c r="S1337" s="241" t="s">
        <v>453</v>
      </c>
      <c r="T1337" s="231"/>
    </row>
    <row r="1338" spans="1:20" ht="14">
      <c r="A1338" s="231">
        <v>1337</v>
      </c>
      <c r="B1338" s="235" t="s">
        <v>52</v>
      </c>
      <c r="C1338" s="243" t="s">
        <v>10</v>
      </c>
      <c r="D1338" s="250" t="s">
        <v>3071</v>
      </c>
      <c r="E1338" s="255" t="s">
        <v>3041</v>
      </c>
      <c r="F1338" s="231" t="s">
        <v>3042</v>
      </c>
      <c r="G1338" s="231" cm="1">
        <f t="array" ref="G1338">_xlfn.IFS(J1338&lt;301,2,J1338&gt;300,48)</f>
        <v>2</v>
      </c>
      <c r="H1338" s="231" t="s">
        <v>3072</v>
      </c>
      <c r="I1338" s="281">
        <v>0</v>
      </c>
      <c r="J1338" s="249">
        <v>300</v>
      </c>
      <c r="K1338" s="231">
        <f>IF(M1338="ONT",20,IF(M1338="N/A","N/A",IF(M1338="MIKROTIK",IF(J1338&lt;3000,10,IF(3000&lt;J1338&gt;10000,20,IF(10000&lt;J1338&gt;20000,40,IF(20000&lt;J1338&gt;40000,60,IF(J1338&gt;40000,80,IF(J1338&lt;300,3,)))))))))</f>
        <v>20</v>
      </c>
      <c r="L1338" s="231"/>
      <c r="M1338" s="231" t="s">
        <v>16</v>
      </c>
      <c r="N1338" s="231"/>
      <c r="O1338" s="231">
        <v>2024</v>
      </c>
      <c r="P1338" s="285">
        <v>45421</v>
      </c>
      <c r="Q1338" s="231"/>
      <c r="R1338" s="231"/>
      <c r="S1338" s="241" t="s">
        <v>453</v>
      </c>
      <c r="T1338" s="231"/>
    </row>
    <row r="1339" spans="1:20" ht="14">
      <c r="A1339" s="231">
        <v>1338</v>
      </c>
      <c r="B1339" s="235" t="s">
        <v>52</v>
      </c>
      <c r="C1339" s="243" t="s">
        <v>10</v>
      </c>
      <c r="D1339" s="250" t="s">
        <v>3073</v>
      </c>
      <c r="E1339" s="265" t="s">
        <v>3044</v>
      </c>
      <c r="F1339" s="231" t="s">
        <v>3045</v>
      </c>
      <c r="G1339" s="231" cm="1">
        <f t="array" ref="G1339">_xlfn.IFS(J1339&lt;301,2,J1339&gt;300,48)</f>
        <v>48</v>
      </c>
      <c r="H1339" s="231" t="s">
        <v>148</v>
      </c>
      <c r="I1339" s="281">
        <v>0</v>
      </c>
      <c r="J1339" s="249">
        <v>1700</v>
      </c>
      <c r="K1339" s="231">
        <v>20</v>
      </c>
      <c r="L1339" s="231"/>
      <c r="M1339" s="299" t="s">
        <v>15</v>
      </c>
      <c r="N1339" s="231"/>
      <c r="O1339" s="231">
        <v>2024</v>
      </c>
      <c r="P1339" s="285">
        <v>45513</v>
      </c>
      <c r="Q1339" s="231"/>
      <c r="R1339" s="231"/>
      <c r="S1339" s="241" t="s">
        <v>453</v>
      </c>
      <c r="T1339" s="231"/>
    </row>
    <row r="1340" spans="1:20" ht="14">
      <c r="A1340" s="231">
        <v>1339</v>
      </c>
      <c r="B1340" s="235" t="s">
        <v>53</v>
      </c>
      <c r="C1340" s="243" t="s">
        <v>10</v>
      </c>
      <c r="D1340" s="250" t="s">
        <v>3074</v>
      </c>
      <c r="E1340" s="239"/>
      <c r="F1340" s="231"/>
      <c r="G1340" s="231" cm="1">
        <f t="array" ref="G1340">_xlfn.IFS(J1340&lt;301,2,J1340&gt;300,48)</f>
        <v>2</v>
      </c>
      <c r="H1340" s="231" t="s">
        <v>4559</v>
      </c>
      <c r="I1340" s="281">
        <v>0</v>
      </c>
      <c r="J1340" s="249">
        <v>0</v>
      </c>
      <c r="K1340" s="231">
        <v>20</v>
      </c>
      <c r="L1340" s="231"/>
      <c r="M1340" s="299" t="s">
        <v>15</v>
      </c>
      <c r="N1340" s="231"/>
      <c r="O1340" s="231">
        <v>2024</v>
      </c>
      <c r="P1340" s="285">
        <v>45441</v>
      </c>
      <c r="Q1340" s="231"/>
      <c r="R1340" s="231"/>
      <c r="S1340" s="241" t="s">
        <v>453</v>
      </c>
      <c r="T1340" s="231"/>
    </row>
    <row r="1341" spans="1:20" ht="14">
      <c r="A1341" s="231">
        <v>1340</v>
      </c>
      <c r="B1341" s="235" t="s">
        <v>52</v>
      </c>
      <c r="C1341" s="243" t="s">
        <v>10</v>
      </c>
      <c r="D1341" s="250" t="s">
        <v>3075</v>
      </c>
      <c r="E1341" s="239" t="s">
        <v>3047</v>
      </c>
      <c r="F1341" s="231" t="s">
        <v>2350</v>
      </c>
      <c r="G1341" s="231" cm="1">
        <f t="array" ref="G1341">_xlfn.IFS(J1341&lt;301,2,J1341&gt;300,48)</f>
        <v>48</v>
      </c>
      <c r="H1341" s="231" t="s">
        <v>2763</v>
      </c>
      <c r="I1341" s="281">
        <v>0</v>
      </c>
      <c r="J1341" s="249">
        <v>1100</v>
      </c>
      <c r="K1341" s="231">
        <f>IF(M1341="ONT",20,IF(M1341="N/A","N/A",IF(M1341="MIKROTIK",IF(J1341&lt;3000,10,IF(3000&lt;J1341&gt;10000,20,IF(10000&lt;J1341&gt;20000,40,IF(20000&lt;J1341&gt;40000,60,IF(J1341&gt;40000,80,IF(J1341&lt;300,3,)))))))))</f>
        <v>20</v>
      </c>
      <c r="L1341" s="231"/>
      <c r="M1341" s="231" t="s">
        <v>16</v>
      </c>
      <c r="N1341" s="231"/>
      <c r="O1341" s="231">
        <v>2024</v>
      </c>
      <c r="P1341" s="285">
        <v>45450</v>
      </c>
      <c r="Q1341" s="231"/>
      <c r="R1341" s="231"/>
      <c r="S1341" s="241" t="s">
        <v>453</v>
      </c>
      <c r="T1341" s="231"/>
    </row>
    <row r="1342" spans="1:20" ht="14">
      <c r="A1342" s="231">
        <v>1341</v>
      </c>
      <c r="B1342" s="235" t="s">
        <v>52</v>
      </c>
      <c r="C1342" s="243" t="s">
        <v>10</v>
      </c>
      <c r="D1342" s="250" t="s">
        <v>3076</v>
      </c>
      <c r="E1342" s="263" t="s">
        <v>3049</v>
      </c>
      <c r="F1342" s="231" t="s">
        <v>2350</v>
      </c>
      <c r="G1342" s="231" cm="1">
        <f t="array" ref="G1342">_xlfn.IFS(J1342&lt;301,2,J1342&gt;300,48)</f>
        <v>2</v>
      </c>
      <c r="H1342" s="231" t="s">
        <v>3077</v>
      </c>
      <c r="I1342" s="281">
        <v>0</v>
      </c>
      <c r="J1342" s="249">
        <v>200</v>
      </c>
      <c r="K1342" s="231">
        <f>IF(M1342="ONT",20,IF(M1342="N/A","N/A",IF(M1342="MIKROTIK",IF(J1342&lt;3000,10,IF(3000&lt;J1342&gt;10000,20,IF(10000&lt;J1342&gt;20000,40,IF(20000&lt;J1342&gt;40000,60,IF(J1342&gt;40000,80,IF(J1342&lt;300,3,)))))))))</f>
        <v>20</v>
      </c>
      <c r="L1342" s="231"/>
      <c r="M1342" s="231" t="s">
        <v>16</v>
      </c>
      <c r="N1342" s="231"/>
      <c r="O1342" s="231">
        <v>2024</v>
      </c>
      <c r="P1342" s="285">
        <v>45454</v>
      </c>
      <c r="Q1342" s="231"/>
      <c r="R1342" s="231"/>
      <c r="S1342" s="241" t="s">
        <v>453</v>
      </c>
      <c r="T1342" s="231"/>
    </row>
    <row r="1343" spans="1:20" ht="14">
      <c r="A1343" s="231">
        <v>1342</v>
      </c>
      <c r="B1343" s="235" t="s">
        <v>52</v>
      </c>
      <c r="C1343" s="243" t="s">
        <v>10</v>
      </c>
      <c r="D1343" s="250" t="s">
        <v>3078</v>
      </c>
      <c r="E1343" s="239"/>
      <c r="F1343" s="231"/>
      <c r="G1343" s="231" cm="1">
        <f t="array" ref="G1343">_xlfn.IFS(J1343&lt;301,2,J1343&gt;300,48)</f>
        <v>2</v>
      </c>
      <c r="H1343" s="231" t="s">
        <v>3524</v>
      </c>
      <c r="I1343" s="281">
        <v>0</v>
      </c>
      <c r="J1343" s="249">
        <v>0</v>
      </c>
      <c r="K1343" s="231">
        <f>IF(M1343="ONT",20,IF(M1343="N/A","N/A",IF(M1343="MIKROTIK",IF(J1343&lt;3000,10,IF(3000&lt;J1343&gt;10000,20,IF(10000&lt;J1343&gt;20000,40,IF(20000&lt;J1343&gt;40000,60,IF(J1343&gt;40000,80,IF(J1343&lt;300,3,)))))))))</f>
        <v>20</v>
      </c>
      <c r="L1343" s="231"/>
      <c r="M1343" s="231" t="s">
        <v>16</v>
      </c>
      <c r="N1343" s="231"/>
      <c r="O1343" s="231">
        <v>2024</v>
      </c>
      <c r="P1343" s="285">
        <v>45433</v>
      </c>
      <c r="Q1343" s="231"/>
      <c r="R1343" s="231"/>
      <c r="S1343" s="241" t="s">
        <v>453</v>
      </c>
      <c r="T1343" s="231"/>
    </row>
    <row r="1344" spans="1:20" ht="14">
      <c r="A1344" s="231">
        <v>1343</v>
      </c>
      <c r="B1344" s="235" t="s">
        <v>52</v>
      </c>
      <c r="C1344" s="243" t="s">
        <v>10</v>
      </c>
      <c r="D1344" s="250" t="s">
        <v>3079</v>
      </c>
      <c r="E1344" s="239" t="s">
        <v>3026</v>
      </c>
      <c r="F1344" s="237" t="s">
        <v>3027</v>
      </c>
      <c r="G1344" s="231" cm="1">
        <f t="array" ref="G1344">_xlfn.IFS(J1344&lt;301,2,J1344&gt;300,48)</f>
        <v>2</v>
      </c>
      <c r="H1344" s="231" t="s">
        <v>3111</v>
      </c>
      <c r="I1344" s="281">
        <v>0</v>
      </c>
      <c r="J1344" s="249">
        <v>300</v>
      </c>
      <c r="K1344" s="231">
        <v>40</v>
      </c>
      <c r="L1344" s="231"/>
      <c r="M1344" s="299" t="s">
        <v>15</v>
      </c>
      <c r="N1344" s="231"/>
      <c r="O1344" s="231">
        <v>2024</v>
      </c>
      <c r="P1344" s="285">
        <v>45468</v>
      </c>
      <c r="Q1344" s="231"/>
      <c r="R1344" s="231"/>
      <c r="S1344" s="241" t="s">
        <v>453</v>
      </c>
      <c r="T1344" s="231"/>
    </row>
    <row r="1345" spans="1:20" ht="14">
      <c r="A1345" s="231">
        <v>1344</v>
      </c>
      <c r="B1345" s="235" t="s">
        <v>55</v>
      </c>
      <c r="C1345" s="243" t="s">
        <v>10</v>
      </c>
      <c r="D1345" s="250" t="s">
        <v>3080</v>
      </c>
      <c r="E1345" s="239" t="s">
        <v>3055</v>
      </c>
      <c r="F1345" s="237" t="s">
        <v>2350</v>
      </c>
      <c r="G1345" s="231" cm="1">
        <f t="array" ref="G1345">_xlfn.IFS(J1345&lt;301,2,J1345&gt;300,48)</f>
        <v>48</v>
      </c>
      <c r="H1345" s="231" t="s">
        <v>2894</v>
      </c>
      <c r="I1345" s="281">
        <v>0</v>
      </c>
      <c r="J1345" s="249">
        <v>400</v>
      </c>
      <c r="K1345" s="231">
        <f t="shared" ref="K1345:K1378" si="25">IF(M1345="ONT",20,IF(M1345="N/A","N/A",IF(M1345="MIKROTIK",IF(J1345&lt;3000,10,IF(3000&lt;J1345&gt;10000,20,IF(10000&lt;J1345&gt;20000,40,IF(20000&lt;J1345&gt;40000,60,IF(J1345&gt;40000,80,IF(J1345&lt;300,3,)))))))))</f>
        <v>20</v>
      </c>
      <c r="L1345" s="231"/>
      <c r="M1345" s="231" t="s">
        <v>16</v>
      </c>
      <c r="N1345" s="231"/>
      <c r="O1345" s="231">
        <v>2024</v>
      </c>
      <c r="P1345" s="285">
        <v>45469</v>
      </c>
      <c r="Q1345" s="231"/>
      <c r="R1345" s="231"/>
      <c r="S1345" s="241" t="s">
        <v>453</v>
      </c>
      <c r="T1345" s="231"/>
    </row>
    <row r="1346" spans="1:20" ht="14">
      <c r="A1346" s="231">
        <v>1345</v>
      </c>
      <c r="B1346" s="235" t="s">
        <v>52</v>
      </c>
      <c r="C1346" s="243" t="s">
        <v>10</v>
      </c>
      <c r="D1346" s="250" t="s">
        <v>3081</v>
      </c>
      <c r="E1346" s="239"/>
      <c r="F1346" s="231"/>
      <c r="G1346" s="231" cm="1">
        <f t="array" ref="G1346">_xlfn.IFS(J1346&lt;301,2,J1346&gt;300,48)</f>
        <v>48</v>
      </c>
      <c r="H1346" s="231" t="s">
        <v>2980</v>
      </c>
      <c r="I1346" s="281">
        <v>0</v>
      </c>
      <c r="J1346" s="249">
        <v>700</v>
      </c>
      <c r="K1346" s="231">
        <f t="shared" si="25"/>
        <v>20</v>
      </c>
      <c r="L1346" s="231"/>
      <c r="M1346" s="231" t="s">
        <v>16</v>
      </c>
      <c r="N1346" s="231"/>
      <c r="O1346" s="231">
        <v>2024</v>
      </c>
      <c r="P1346" s="285">
        <v>45467</v>
      </c>
      <c r="Q1346" s="231"/>
      <c r="R1346" s="231"/>
      <c r="S1346" s="241" t="s">
        <v>453</v>
      </c>
      <c r="T1346" s="231"/>
    </row>
    <row r="1347" spans="1:20" ht="14">
      <c r="A1347" s="231">
        <v>1346</v>
      </c>
      <c r="B1347" s="235" t="s">
        <v>55</v>
      </c>
      <c r="C1347" s="243" t="s">
        <v>10</v>
      </c>
      <c r="D1347" s="250" t="s">
        <v>3082</v>
      </c>
      <c r="E1347" s="237" t="s">
        <v>3058</v>
      </c>
      <c r="F1347" s="237" t="s">
        <v>2350</v>
      </c>
      <c r="G1347" s="231" cm="1">
        <f t="array" ref="G1347">_xlfn.IFS(J1347&lt;301,2,J1347&gt;300,48)</f>
        <v>2</v>
      </c>
      <c r="H1347" s="231" t="s">
        <v>2894</v>
      </c>
      <c r="I1347" s="281">
        <v>0</v>
      </c>
      <c r="J1347" s="249">
        <v>300</v>
      </c>
      <c r="K1347" s="231">
        <f t="shared" si="25"/>
        <v>20</v>
      </c>
      <c r="L1347" s="231"/>
      <c r="M1347" s="231" t="s">
        <v>16</v>
      </c>
      <c r="N1347" s="231"/>
      <c r="O1347" s="231">
        <v>2024</v>
      </c>
      <c r="P1347" s="285">
        <v>45428</v>
      </c>
      <c r="Q1347" s="231"/>
      <c r="R1347" s="231"/>
      <c r="S1347" s="241" t="s">
        <v>453</v>
      </c>
      <c r="T1347" s="231"/>
    </row>
    <row r="1348" spans="1:20" ht="14">
      <c r="A1348" s="231">
        <v>1347</v>
      </c>
      <c r="B1348" s="235" t="s">
        <v>52</v>
      </c>
      <c r="C1348" s="243" t="s">
        <v>10</v>
      </c>
      <c r="D1348" s="250" t="s">
        <v>3083</v>
      </c>
      <c r="E1348" s="239"/>
      <c r="F1348" s="231"/>
      <c r="G1348" s="231" cm="1">
        <f t="array" ref="G1348">_xlfn.IFS(J1348&lt;301,2,J1348&gt;300,48)</f>
        <v>2</v>
      </c>
      <c r="H1348" s="231" t="s">
        <v>4265</v>
      </c>
      <c r="I1348" s="281">
        <v>0</v>
      </c>
      <c r="J1348" s="249">
        <v>300</v>
      </c>
      <c r="K1348" s="231">
        <f t="shared" si="25"/>
        <v>20</v>
      </c>
      <c r="L1348" s="231"/>
      <c r="M1348" s="231" t="s">
        <v>16</v>
      </c>
      <c r="N1348" s="231"/>
      <c r="O1348" s="231">
        <v>2024</v>
      </c>
      <c r="P1348" s="285">
        <v>45435</v>
      </c>
      <c r="Q1348" s="231"/>
      <c r="R1348" s="231"/>
      <c r="S1348" s="241" t="s">
        <v>453</v>
      </c>
      <c r="T1348" s="231"/>
    </row>
    <row r="1349" spans="1:20" ht="14">
      <c r="A1349" s="231">
        <v>1348</v>
      </c>
      <c r="B1349" s="235" t="s">
        <v>52</v>
      </c>
      <c r="C1349" s="243" t="s">
        <v>10</v>
      </c>
      <c r="D1349" s="250" t="s">
        <v>3084</v>
      </c>
      <c r="E1349" s="239"/>
      <c r="F1349" s="231"/>
      <c r="G1349" s="231" cm="1">
        <f t="array" ref="G1349">_xlfn.IFS(J1349&lt;301,2,J1349&gt;300,48)</f>
        <v>48</v>
      </c>
      <c r="H1349" s="231" t="s">
        <v>2763</v>
      </c>
      <c r="I1349" s="281">
        <v>0</v>
      </c>
      <c r="J1349" s="249">
        <v>500</v>
      </c>
      <c r="K1349" s="231">
        <f t="shared" si="25"/>
        <v>20</v>
      </c>
      <c r="L1349" s="231"/>
      <c r="M1349" s="231" t="s">
        <v>16</v>
      </c>
      <c r="N1349" s="231"/>
      <c r="O1349" s="231">
        <v>2024</v>
      </c>
      <c r="P1349" s="285">
        <v>45452</v>
      </c>
      <c r="Q1349" s="231"/>
      <c r="R1349" s="231"/>
      <c r="S1349" s="241" t="s">
        <v>453</v>
      </c>
      <c r="T1349" s="231"/>
    </row>
    <row r="1350" spans="1:20" ht="14">
      <c r="A1350" s="231">
        <v>1349</v>
      </c>
      <c r="B1350" s="235" t="s">
        <v>52</v>
      </c>
      <c r="C1350" s="243" t="s">
        <v>10</v>
      </c>
      <c r="D1350" s="250" t="s">
        <v>3085</v>
      </c>
      <c r="E1350" s="239"/>
      <c r="F1350" s="231"/>
      <c r="G1350" s="231" cm="1">
        <f t="array" ref="G1350">_xlfn.IFS(J1350&lt;301,2,J1350&gt;300,48)</f>
        <v>2</v>
      </c>
      <c r="H1350" s="231" t="s">
        <v>3086</v>
      </c>
      <c r="I1350" s="281">
        <v>0</v>
      </c>
      <c r="J1350" s="249">
        <v>300</v>
      </c>
      <c r="K1350" s="231">
        <f t="shared" si="25"/>
        <v>20</v>
      </c>
      <c r="L1350" s="231"/>
      <c r="M1350" s="231" t="s">
        <v>16</v>
      </c>
      <c r="N1350" s="231"/>
      <c r="O1350" s="231">
        <v>2024</v>
      </c>
      <c r="P1350" s="285">
        <v>45436</v>
      </c>
      <c r="Q1350" s="231"/>
      <c r="R1350" s="231"/>
      <c r="S1350" s="241" t="s">
        <v>453</v>
      </c>
      <c r="T1350" s="231"/>
    </row>
    <row r="1351" spans="1:20" ht="14">
      <c r="A1351" s="231">
        <v>1350</v>
      </c>
      <c r="B1351" s="235" t="s">
        <v>51</v>
      </c>
      <c r="C1351" s="243" t="s">
        <v>10</v>
      </c>
      <c r="D1351" s="250" t="s">
        <v>3087</v>
      </c>
      <c r="E1351" s="239"/>
      <c r="F1351" s="231"/>
      <c r="G1351" s="231" cm="1">
        <f t="array" ref="G1351">_xlfn.IFS(J1351&lt;301,2,J1351&gt;300,48)</f>
        <v>2</v>
      </c>
      <c r="H1351" s="231" t="s">
        <v>148</v>
      </c>
      <c r="I1351" s="281">
        <v>0</v>
      </c>
      <c r="J1351" s="249">
        <v>150</v>
      </c>
      <c r="K1351" s="231">
        <f t="shared" si="25"/>
        <v>20</v>
      </c>
      <c r="L1351" s="231"/>
      <c r="M1351" s="231" t="s">
        <v>16</v>
      </c>
      <c r="N1351" s="231"/>
      <c r="O1351" s="231">
        <v>2024</v>
      </c>
      <c r="P1351" s="285">
        <v>45442</v>
      </c>
      <c r="Q1351" s="231"/>
      <c r="R1351" s="231"/>
      <c r="S1351" s="241" t="s">
        <v>453</v>
      </c>
      <c r="T1351" s="231"/>
    </row>
    <row r="1352" spans="1:20" ht="14">
      <c r="A1352" s="231">
        <v>1351</v>
      </c>
      <c r="B1352" s="235" t="s">
        <v>52</v>
      </c>
      <c r="C1352" s="243" t="s">
        <v>10</v>
      </c>
      <c r="D1352" s="237" t="s">
        <v>3088</v>
      </c>
      <c r="E1352" s="239"/>
      <c r="F1352" s="231"/>
      <c r="G1352" s="231" cm="1">
        <f t="array" ref="G1352">_xlfn.IFS(J1352&lt;301,2,J1352&gt;300,48)</f>
        <v>2</v>
      </c>
      <c r="H1352" s="231" t="s">
        <v>2763</v>
      </c>
      <c r="I1352" s="281">
        <v>0</v>
      </c>
      <c r="J1352" s="249">
        <v>150</v>
      </c>
      <c r="K1352" s="231">
        <f t="shared" si="25"/>
        <v>20</v>
      </c>
      <c r="L1352" s="231"/>
      <c r="M1352" s="231" t="s">
        <v>16</v>
      </c>
      <c r="N1352" s="231"/>
      <c r="O1352" s="231">
        <v>2024</v>
      </c>
      <c r="P1352" s="285">
        <v>45450</v>
      </c>
      <c r="Q1352" s="231"/>
      <c r="R1352" s="231"/>
      <c r="S1352" s="241" t="s">
        <v>453</v>
      </c>
      <c r="T1352" s="231"/>
    </row>
    <row r="1353" spans="1:20" ht="14">
      <c r="A1353" s="231">
        <v>1352</v>
      </c>
      <c r="B1353" s="235" t="s">
        <v>52</v>
      </c>
      <c r="C1353" s="243" t="s">
        <v>10</v>
      </c>
      <c r="D1353" s="237" t="s">
        <v>3089</v>
      </c>
      <c r="E1353" s="239"/>
      <c r="F1353" s="231"/>
      <c r="G1353" s="231" cm="1">
        <f t="array" ref="G1353">_xlfn.IFS(J1353&lt;301,2,J1353&gt;300,48)</f>
        <v>2</v>
      </c>
      <c r="H1353" s="231" t="s">
        <v>582</v>
      </c>
      <c r="I1353" s="281">
        <v>0</v>
      </c>
      <c r="J1353" s="249">
        <v>250</v>
      </c>
      <c r="K1353" s="231">
        <f t="shared" si="25"/>
        <v>20</v>
      </c>
      <c r="L1353" s="231"/>
      <c r="M1353" s="231" t="s">
        <v>16</v>
      </c>
      <c r="N1353" s="231"/>
      <c r="O1353" s="231">
        <v>2024</v>
      </c>
      <c r="P1353" s="285">
        <v>45450</v>
      </c>
      <c r="Q1353" s="231"/>
      <c r="R1353" s="231"/>
      <c r="S1353" s="241" t="s">
        <v>453</v>
      </c>
      <c r="T1353" s="231"/>
    </row>
    <row r="1354" spans="1:20" ht="14">
      <c r="A1354" s="231">
        <v>1353</v>
      </c>
      <c r="B1354" s="235" t="s">
        <v>52</v>
      </c>
      <c r="C1354" s="243" t="s">
        <v>10</v>
      </c>
      <c r="D1354" s="237" t="s">
        <v>3090</v>
      </c>
      <c r="E1354" s="239"/>
      <c r="F1354" s="231"/>
      <c r="G1354" s="231" cm="1">
        <f t="array" ref="G1354">_xlfn.IFS(J1354&lt;301,2,J1354&gt;300,48)</f>
        <v>48</v>
      </c>
      <c r="H1354" s="231" t="s">
        <v>3060</v>
      </c>
      <c r="I1354" s="281">
        <v>0</v>
      </c>
      <c r="J1354" s="249">
        <v>2500</v>
      </c>
      <c r="K1354" s="231">
        <f t="shared" si="25"/>
        <v>20</v>
      </c>
      <c r="L1354" s="231"/>
      <c r="M1354" s="231" t="s">
        <v>16</v>
      </c>
      <c r="N1354" s="231"/>
      <c r="O1354" s="231">
        <v>2024</v>
      </c>
      <c r="P1354" s="285">
        <v>45469</v>
      </c>
      <c r="Q1354" s="231"/>
      <c r="R1354" s="231"/>
      <c r="S1354" s="241" t="s">
        <v>453</v>
      </c>
      <c r="T1354" s="231"/>
    </row>
    <row r="1355" spans="1:20" ht="14">
      <c r="A1355" s="231">
        <v>1354</v>
      </c>
      <c r="B1355" s="235" t="s">
        <v>49</v>
      </c>
      <c r="C1355" s="243" t="s">
        <v>10</v>
      </c>
      <c r="D1355" s="237" t="s">
        <v>3091</v>
      </c>
      <c r="E1355" s="239"/>
      <c r="F1355" s="231"/>
      <c r="G1355" s="231" cm="1">
        <f t="array" ref="G1355">_xlfn.IFS(J1355&lt;301,2,J1355&gt;300,48)</f>
        <v>48</v>
      </c>
      <c r="H1355" s="231" t="s">
        <v>4596</v>
      </c>
      <c r="I1355" s="281">
        <v>0</v>
      </c>
      <c r="J1355" s="249">
        <v>1000</v>
      </c>
      <c r="K1355" s="231">
        <f t="shared" si="25"/>
        <v>10</v>
      </c>
      <c r="L1355" s="231"/>
      <c r="M1355" s="299" t="s">
        <v>15</v>
      </c>
      <c r="N1355" s="231"/>
      <c r="O1355" s="231">
        <v>2024</v>
      </c>
      <c r="P1355" s="285">
        <v>45485</v>
      </c>
      <c r="Q1355" s="231"/>
      <c r="R1355" s="231"/>
      <c r="S1355" s="241" t="s">
        <v>453</v>
      </c>
      <c r="T1355" s="231"/>
    </row>
    <row r="1356" spans="1:20" ht="14">
      <c r="A1356" s="231">
        <v>1355</v>
      </c>
      <c r="B1356" s="235" t="s">
        <v>49</v>
      </c>
      <c r="C1356" s="243" t="s">
        <v>10</v>
      </c>
      <c r="D1356" s="237" t="s">
        <v>3092</v>
      </c>
      <c r="E1356" s="239"/>
      <c r="F1356" s="231"/>
      <c r="G1356" s="231" cm="1">
        <f t="array" ref="G1356">_xlfn.IFS(J1356&lt;301,2,J1356&gt;300,48)</f>
        <v>48</v>
      </c>
      <c r="H1356" s="231" t="s">
        <v>452</v>
      </c>
      <c r="I1356" s="281">
        <v>0</v>
      </c>
      <c r="J1356" s="249">
        <v>700</v>
      </c>
      <c r="K1356" s="231">
        <f t="shared" si="25"/>
        <v>20</v>
      </c>
      <c r="L1356" s="231"/>
      <c r="M1356" s="231" t="s">
        <v>16</v>
      </c>
      <c r="N1356" s="231"/>
      <c r="O1356" s="231">
        <v>2024</v>
      </c>
      <c r="P1356" s="285">
        <v>45471</v>
      </c>
      <c r="Q1356" s="231"/>
      <c r="R1356" s="231"/>
      <c r="S1356" s="241" t="s">
        <v>453</v>
      </c>
      <c r="T1356" s="231"/>
    </row>
    <row r="1357" spans="1:20" ht="14">
      <c r="A1357" s="231">
        <v>1356</v>
      </c>
      <c r="B1357" s="235" t="s">
        <v>50</v>
      </c>
      <c r="C1357" s="243" t="s">
        <v>10</v>
      </c>
      <c r="D1357" s="237" t="s">
        <v>3093</v>
      </c>
      <c r="E1357" s="239"/>
      <c r="F1357" s="231"/>
      <c r="G1357" s="231" cm="1">
        <f t="array" ref="G1357">_xlfn.IFS(J1357&lt;301,2,J1357&gt;300,48)</f>
        <v>48</v>
      </c>
      <c r="H1357" s="231" t="s">
        <v>452</v>
      </c>
      <c r="I1357" s="281">
        <v>0</v>
      </c>
      <c r="J1357" s="249">
        <v>1000</v>
      </c>
      <c r="K1357" s="231">
        <f t="shared" si="25"/>
        <v>20</v>
      </c>
      <c r="L1357" s="231"/>
      <c r="M1357" s="231" t="s">
        <v>16</v>
      </c>
      <c r="N1357" s="231"/>
      <c r="O1357" s="231">
        <v>2024</v>
      </c>
      <c r="P1357" s="285">
        <v>45471</v>
      </c>
      <c r="Q1357" s="231"/>
      <c r="R1357" s="231"/>
      <c r="S1357" s="241" t="s">
        <v>453</v>
      </c>
      <c r="T1357" s="231"/>
    </row>
    <row r="1358" spans="1:20" ht="14">
      <c r="A1358" s="231">
        <v>1357</v>
      </c>
      <c r="B1358" s="235" t="s">
        <v>50</v>
      </c>
      <c r="C1358" s="243" t="s">
        <v>10</v>
      </c>
      <c r="D1358" s="237" t="s">
        <v>3094</v>
      </c>
      <c r="E1358" s="239"/>
      <c r="F1358" s="231"/>
      <c r="G1358" s="231" cm="1">
        <f t="array" ref="G1358">_xlfn.IFS(J1358&lt;301,2,J1358&gt;300,48)</f>
        <v>48</v>
      </c>
      <c r="H1358" s="231" t="s">
        <v>140</v>
      </c>
      <c r="I1358" s="281">
        <v>0</v>
      </c>
      <c r="J1358" s="249">
        <v>700</v>
      </c>
      <c r="K1358" s="231">
        <f t="shared" si="25"/>
        <v>10</v>
      </c>
      <c r="L1358" s="231"/>
      <c r="M1358" s="299" t="s">
        <v>15</v>
      </c>
      <c r="N1358" s="231"/>
      <c r="O1358" s="231">
        <v>2024</v>
      </c>
      <c r="P1358" s="285">
        <v>45468</v>
      </c>
      <c r="Q1358" s="231"/>
      <c r="R1358" s="231"/>
      <c r="S1358" s="241" t="s">
        <v>453</v>
      </c>
      <c r="T1358" s="231"/>
    </row>
    <row r="1359" spans="1:20" ht="14">
      <c r="A1359" s="231">
        <v>1358</v>
      </c>
      <c r="B1359" s="235" t="s">
        <v>52</v>
      </c>
      <c r="C1359" s="243" t="s">
        <v>10</v>
      </c>
      <c r="D1359" s="237" t="s">
        <v>3095</v>
      </c>
      <c r="E1359" s="239"/>
      <c r="F1359" s="231"/>
      <c r="G1359" s="231" cm="1">
        <f t="array" ref="G1359">_xlfn.IFS(J1359&lt;301,2,J1359&gt;300,48)</f>
        <v>48</v>
      </c>
      <c r="H1359" s="231" t="s">
        <v>2892</v>
      </c>
      <c r="I1359" s="281">
        <v>0</v>
      </c>
      <c r="J1359" s="249">
        <v>1600</v>
      </c>
      <c r="K1359" s="231">
        <f t="shared" si="25"/>
        <v>10</v>
      </c>
      <c r="L1359" s="231"/>
      <c r="M1359" s="299" t="s">
        <v>15</v>
      </c>
      <c r="N1359" s="231"/>
      <c r="O1359" s="231">
        <v>2024</v>
      </c>
      <c r="P1359" s="285">
        <v>45468</v>
      </c>
      <c r="Q1359" s="231"/>
      <c r="R1359" s="231"/>
      <c r="S1359" s="241" t="s">
        <v>453</v>
      </c>
      <c r="T1359" s="231"/>
    </row>
    <row r="1360" spans="1:20" ht="14">
      <c r="A1360" s="231">
        <v>1359</v>
      </c>
      <c r="B1360" s="235" t="s">
        <v>52</v>
      </c>
      <c r="C1360" s="243" t="s">
        <v>10</v>
      </c>
      <c r="D1360" s="237" t="s">
        <v>3096</v>
      </c>
      <c r="E1360" s="239"/>
      <c r="F1360" s="231"/>
      <c r="G1360" s="231" cm="1">
        <f t="array" ref="G1360">_xlfn.IFS(J1360&lt;301,2,J1360&gt;300,48)</f>
        <v>2</v>
      </c>
      <c r="H1360" s="231" t="s">
        <v>2763</v>
      </c>
      <c r="I1360" s="281">
        <v>0</v>
      </c>
      <c r="J1360" s="249">
        <v>300</v>
      </c>
      <c r="K1360" s="231">
        <f t="shared" si="25"/>
        <v>20</v>
      </c>
      <c r="L1360" s="231"/>
      <c r="M1360" s="231" t="s">
        <v>16</v>
      </c>
      <c r="N1360" s="231"/>
      <c r="O1360" s="231">
        <v>2024</v>
      </c>
      <c r="P1360" s="285">
        <v>45477</v>
      </c>
      <c r="Q1360" s="231"/>
      <c r="R1360" s="231"/>
      <c r="S1360" s="241" t="s">
        <v>453</v>
      </c>
      <c r="T1360" s="231"/>
    </row>
    <row r="1361" spans="1:20" ht="14">
      <c r="A1361" s="231">
        <v>1360</v>
      </c>
      <c r="B1361" s="235" t="s">
        <v>52</v>
      </c>
      <c r="C1361" s="243" t="s">
        <v>10</v>
      </c>
      <c r="D1361" s="237" t="s">
        <v>3097</v>
      </c>
      <c r="E1361" s="239"/>
      <c r="F1361" s="231"/>
      <c r="G1361" s="231" cm="1">
        <f t="array" ref="G1361">_xlfn.IFS(J1361&lt;301,2,J1361&gt;300,48)</f>
        <v>48</v>
      </c>
      <c r="H1361" s="231" t="s">
        <v>582</v>
      </c>
      <c r="I1361" s="281">
        <v>0</v>
      </c>
      <c r="J1361" s="249">
        <v>400</v>
      </c>
      <c r="K1361" s="231">
        <f t="shared" si="25"/>
        <v>20</v>
      </c>
      <c r="L1361" s="231"/>
      <c r="M1361" s="231" t="s">
        <v>16</v>
      </c>
      <c r="N1361" s="231"/>
      <c r="O1361" s="231">
        <v>2024</v>
      </c>
      <c r="P1361" s="285">
        <v>45470</v>
      </c>
      <c r="Q1361" s="231"/>
      <c r="R1361" s="231"/>
      <c r="S1361" s="241" t="s">
        <v>453</v>
      </c>
      <c r="T1361" s="231"/>
    </row>
    <row r="1362" spans="1:20" ht="14">
      <c r="A1362" s="231">
        <v>1361</v>
      </c>
      <c r="B1362" s="235" t="s">
        <v>52</v>
      </c>
      <c r="C1362" s="243" t="s">
        <v>10</v>
      </c>
      <c r="D1362" s="237" t="s">
        <v>3098</v>
      </c>
      <c r="E1362" s="239"/>
      <c r="F1362" s="231"/>
      <c r="G1362" s="231" cm="1">
        <f t="array" ref="G1362">_xlfn.IFS(J1362&lt;301,2,J1362&gt;300,48)</f>
        <v>48</v>
      </c>
      <c r="H1362" s="231" t="s">
        <v>582</v>
      </c>
      <c r="I1362" s="281">
        <v>0</v>
      </c>
      <c r="J1362" s="249">
        <v>350</v>
      </c>
      <c r="K1362" s="231">
        <f t="shared" si="25"/>
        <v>20</v>
      </c>
      <c r="L1362" s="231"/>
      <c r="M1362" s="231" t="s">
        <v>16</v>
      </c>
      <c r="N1362" s="231"/>
      <c r="O1362" s="231">
        <v>2024</v>
      </c>
      <c r="P1362" s="285">
        <v>45447</v>
      </c>
      <c r="Q1362" s="231"/>
      <c r="R1362" s="231"/>
      <c r="S1362" s="241" t="s">
        <v>453</v>
      </c>
      <c r="T1362" s="231"/>
    </row>
    <row r="1363" spans="1:20" ht="14">
      <c r="A1363" s="231">
        <v>1362</v>
      </c>
      <c r="B1363" s="235" t="s">
        <v>55</v>
      </c>
      <c r="C1363" s="243" t="s">
        <v>10</v>
      </c>
      <c r="D1363" s="237" t="s">
        <v>3099</v>
      </c>
      <c r="E1363" s="239"/>
      <c r="F1363" s="231"/>
      <c r="G1363" s="231" cm="1">
        <f t="array" ref="G1363">_xlfn.IFS(J1363&lt;301,2,J1363&gt;300,48)</f>
        <v>48</v>
      </c>
      <c r="H1363" s="231" t="s">
        <v>3100</v>
      </c>
      <c r="I1363" s="281">
        <v>0</v>
      </c>
      <c r="J1363" s="249">
        <v>2500</v>
      </c>
      <c r="K1363" s="231">
        <f t="shared" si="25"/>
        <v>10</v>
      </c>
      <c r="L1363" s="231"/>
      <c r="M1363" s="299" t="s">
        <v>15</v>
      </c>
      <c r="N1363" s="231"/>
      <c r="O1363" s="231">
        <v>2024</v>
      </c>
      <c r="P1363" s="285">
        <v>45449</v>
      </c>
      <c r="Q1363" s="231"/>
      <c r="R1363" s="231"/>
      <c r="S1363" s="241" t="s">
        <v>453</v>
      </c>
      <c r="T1363" s="231"/>
    </row>
    <row r="1364" spans="1:20" ht="14">
      <c r="A1364" s="231">
        <v>1363</v>
      </c>
      <c r="B1364" s="235" t="s">
        <v>52</v>
      </c>
      <c r="C1364" s="243" t="s">
        <v>10</v>
      </c>
      <c r="D1364" s="237" t="s">
        <v>3101</v>
      </c>
      <c r="E1364" s="239"/>
      <c r="F1364" s="231"/>
      <c r="G1364" s="231" cm="1">
        <f t="array" ref="G1364">_xlfn.IFS(J1364&lt;301,2,J1364&gt;300,48)</f>
        <v>48</v>
      </c>
      <c r="H1364" s="231" t="s">
        <v>3051</v>
      </c>
      <c r="I1364" s="281">
        <v>0</v>
      </c>
      <c r="J1364" s="249">
        <v>2200</v>
      </c>
      <c r="K1364" s="231">
        <f t="shared" si="25"/>
        <v>20</v>
      </c>
      <c r="L1364" s="231"/>
      <c r="M1364" s="231" t="s">
        <v>16</v>
      </c>
      <c r="N1364" s="231"/>
      <c r="O1364" s="231">
        <v>2024</v>
      </c>
      <c r="P1364" s="285">
        <v>45462</v>
      </c>
      <c r="Q1364" s="231"/>
      <c r="R1364" s="231"/>
      <c r="S1364" s="241" t="s">
        <v>453</v>
      </c>
      <c r="T1364" s="231"/>
    </row>
    <row r="1365" spans="1:20" ht="14">
      <c r="A1365" s="231">
        <v>1364</v>
      </c>
      <c r="B1365" s="235" t="s">
        <v>51</v>
      </c>
      <c r="C1365" s="243" t="s">
        <v>10</v>
      </c>
      <c r="D1365" s="237" t="s">
        <v>3102</v>
      </c>
      <c r="E1365" s="239"/>
      <c r="F1365" s="231"/>
      <c r="G1365" s="231" cm="1">
        <f t="array" ref="G1365">_xlfn.IFS(J1365&lt;301,2,J1365&gt;300,48)</f>
        <v>48</v>
      </c>
      <c r="H1365" s="231" t="s">
        <v>3643</v>
      </c>
      <c r="I1365" s="281">
        <v>0</v>
      </c>
      <c r="J1365" s="249">
        <v>1000</v>
      </c>
      <c r="K1365" s="231">
        <f t="shared" si="25"/>
        <v>10</v>
      </c>
      <c r="L1365" s="231"/>
      <c r="M1365" s="299" t="s">
        <v>15</v>
      </c>
      <c r="N1365" s="231"/>
      <c r="O1365" s="231">
        <v>2024</v>
      </c>
      <c r="P1365" s="285">
        <v>45462</v>
      </c>
      <c r="Q1365" s="231"/>
      <c r="R1365" s="231"/>
      <c r="S1365" s="241" t="s">
        <v>453</v>
      </c>
      <c r="T1365" s="231"/>
    </row>
    <row r="1366" spans="1:20" ht="14">
      <c r="A1366" s="231">
        <v>1365</v>
      </c>
      <c r="B1366" s="235" t="s">
        <v>52</v>
      </c>
      <c r="C1366" s="243" t="s">
        <v>10</v>
      </c>
      <c r="D1366" s="237" t="s">
        <v>3103</v>
      </c>
      <c r="E1366" s="239"/>
      <c r="F1366" s="231"/>
      <c r="G1366" s="231" cm="1">
        <f t="array" ref="G1366">_xlfn.IFS(J1366&lt;301,2,J1366&gt;300,48)</f>
        <v>2</v>
      </c>
      <c r="H1366" s="231" t="s">
        <v>3620</v>
      </c>
      <c r="I1366" s="281">
        <v>0</v>
      </c>
      <c r="J1366" s="249">
        <v>300</v>
      </c>
      <c r="K1366" s="231">
        <f t="shared" si="25"/>
        <v>20</v>
      </c>
      <c r="L1366" s="231"/>
      <c r="M1366" s="231" t="s">
        <v>16</v>
      </c>
      <c r="N1366" s="231"/>
      <c r="O1366" s="231">
        <v>2024</v>
      </c>
      <c r="P1366" s="285">
        <v>45447</v>
      </c>
      <c r="Q1366" s="231"/>
      <c r="R1366" s="231"/>
      <c r="S1366" s="241" t="s">
        <v>453</v>
      </c>
      <c r="T1366" s="231"/>
    </row>
    <row r="1367" spans="1:20" ht="14">
      <c r="A1367" s="231">
        <v>1366</v>
      </c>
      <c r="B1367" s="235" t="s">
        <v>52</v>
      </c>
      <c r="C1367" s="243" t="s">
        <v>10</v>
      </c>
      <c r="D1367" s="237" t="s">
        <v>3104</v>
      </c>
      <c r="E1367" s="239"/>
      <c r="F1367" s="231"/>
      <c r="G1367" s="231" cm="1">
        <f t="array" ref="G1367">_xlfn.IFS(J1367&lt;301,2,J1367&gt;300,48)</f>
        <v>2</v>
      </c>
      <c r="H1367" s="231" t="s">
        <v>2763</v>
      </c>
      <c r="I1367" s="281">
        <v>0</v>
      </c>
      <c r="J1367" s="249">
        <v>300</v>
      </c>
      <c r="K1367" s="231">
        <f t="shared" si="25"/>
        <v>20</v>
      </c>
      <c r="L1367" s="231"/>
      <c r="M1367" s="231" t="s">
        <v>16</v>
      </c>
      <c r="N1367" s="231"/>
      <c r="O1367" s="231">
        <v>2024</v>
      </c>
      <c r="P1367" s="285">
        <v>45475</v>
      </c>
      <c r="Q1367" s="231"/>
      <c r="R1367" s="231"/>
      <c r="S1367" s="241" t="s">
        <v>453</v>
      </c>
      <c r="T1367" s="231"/>
    </row>
    <row r="1368" spans="1:20" ht="14">
      <c r="A1368" s="231">
        <v>1367</v>
      </c>
      <c r="B1368" s="235" t="s">
        <v>52</v>
      </c>
      <c r="C1368" s="243" t="s">
        <v>10</v>
      </c>
      <c r="D1368" s="237" t="s">
        <v>3105</v>
      </c>
      <c r="E1368" s="239"/>
      <c r="F1368" s="231"/>
      <c r="G1368" s="231" cm="1">
        <f t="array" ref="G1368">_xlfn.IFS(J1368&lt;301,2,J1368&gt;300,48)</f>
        <v>2</v>
      </c>
      <c r="H1368" s="231" t="s">
        <v>3060</v>
      </c>
      <c r="I1368" s="281">
        <v>0</v>
      </c>
      <c r="J1368" s="249">
        <v>300</v>
      </c>
      <c r="K1368" s="231">
        <f t="shared" si="25"/>
        <v>20</v>
      </c>
      <c r="L1368" s="231"/>
      <c r="M1368" s="231" t="s">
        <v>16</v>
      </c>
      <c r="N1368" s="231"/>
      <c r="O1368" s="231">
        <v>2024</v>
      </c>
      <c r="P1368" s="285">
        <v>45450</v>
      </c>
      <c r="Q1368" s="231"/>
      <c r="R1368" s="231"/>
      <c r="S1368" s="241" t="s">
        <v>453</v>
      </c>
      <c r="T1368" s="231"/>
    </row>
    <row r="1369" spans="1:20" ht="14">
      <c r="A1369" s="231">
        <v>1368</v>
      </c>
      <c r="B1369" s="235" t="s">
        <v>52</v>
      </c>
      <c r="C1369" s="243" t="s">
        <v>10</v>
      </c>
      <c r="D1369" s="237" t="s">
        <v>3106</v>
      </c>
      <c r="E1369" s="239"/>
      <c r="F1369" s="231"/>
      <c r="G1369" s="231" cm="1">
        <f t="array" ref="G1369">_xlfn.IFS(J1369&lt;301,2,J1369&gt;300,48)</f>
        <v>2</v>
      </c>
      <c r="H1369" s="231" t="s">
        <v>2773</v>
      </c>
      <c r="I1369" s="281">
        <v>0</v>
      </c>
      <c r="J1369" s="249">
        <v>200</v>
      </c>
      <c r="K1369" s="231">
        <f t="shared" si="25"/>
        <v>20</v>
      </c>
      <c r="L1369" s="231"/>
      <c r="M1369" s="231" t="s">
        <v>16</v>
      </c>
      <c r="N1369" s="231"/>
      <c r="O1369" s="231">
        <v>2024</v>
      </c>
      <c r="P1369" s="285">
        <v>45443</v>
      </c>
      <c r="Q1369" s="231"/>
      <c r="R1369" s="231"/>
      <c r="S1369" s="241" t="s">
        <v>453</v>
      </c>
      <c r="T1369" s="231"/>
    </row>
    <row r="1370" spans="1:20" ht="14">
      <c r="A1370" s="231">
        <v>1369</v>
      </c>
      <c r="B1370" s="235" t="s">
        <v>52</v>
      </c>
      <c r="C1370" s="243" t="s">
        <v>10</v>
      </c>
      <c r="D1370" s="237" t="s">
        <v>3107</v>
      </c>
      <c r="E1370" s="239"/>
      <c r="F1370" s="231"/>
      <c r="G1370" s="231" cm="1">
        <f t="array" ref="G1370">_xlfn.IFS(J1370&lt;301,2,J1370&gt;300,48)</f>
        <v>2</v>
      </c>
      <c r="H1370" s="231" t="s">
        <v>2773</v>
      </c>
      <c r="I1370" s="281">
        <v>0</v>
      </c>
      <c r="J1370" s="249">
        <v>250</v>
      </c>
      <c r="K1370" s="231">
        <f t="shared" si="25"/>
        <v>20</v>
      </c>
      <c r="L1370" s="231"/>
      <c r="M1370" s="231" t="s">
        <v>16</v>
      </c>
      <c r="N1370" s="231"/>
      <c r="O1370" s="231">
        <v>2024</v>
      </c>
      <c r="P1370" s="285">
        <v>45443</v>
      </c>
      <c r="Q1370" s="231"/>
      <c r="R1370" s="231"/>
      <c r="S1370" s="241" t="s">
        <v>453</v>
      </c>
      <c r="T1370" s="231"/>
    </row>
    <row r="1371" spans="1:20" ht="14">
      <c r="A1371" s="231">
        <v>1370</v>
      </c>
      <c r="B1371" s="235" t="s">
        <v>52</v>
      </c>
      <c r="C1371" s="243" t="s">
        <v>10</v>
      </c>
      <c r="D1371" s="237" t="s">
        <v>3108</v>
      </c>
      <c r="E1371" s="239"/>
      <c r="F1371" s="231"/>
      <c r="G1371" s="231" cm="1">
        <f t="array" ref="G1371">_xlfn.IFS(J1371&lt;301,2,J1371&gt;300,48)</f>
        <v>48</v>
      </c>
      <c r="H1371" s="231" t="s">
        <v>2773</v>
      </c>
      <c r="I1371" s="281">
        <v>0</v>
      </c>
      <c r="J1371" s="249">
        <v>700</v>
      </c>
      <c r="K1371" s="231">
        <f t="shared" si="25"/>
        <v>20</v>
      </c>
      <c r="L1371" s="231"/>
      <c r="M1371" s="231" t="s">
        <v>16</v>
      </c>
      <c r="N1371" s="231"/>
      <c r="O1371" s="231">
        <v>2024</v>
      </c>
      <c r="P1371" s="285">
        <v>45462</v>
      </c>
      <c r="Q1371" s="231"/>
      <c r="R1371" s="231"/>
      <c r="S1371" s="241" t="s">
        <v>453</v>
      </c>
      <c r="T1371" s="231"/>
    </row>
    <row r="1372" spans="1:20" ht="14">
      <c r="A1372" s="231">
        <v>1371</v>
      </c>
      <c r="B1372" s="235" t="s">
        <v>52</v>
      </c>
      <c r="C1372" s="243" t="s">
        <v>10</v>
      </c>
      <c r="D1372" s="237" t="s">
        <v>3109</v>
      </c>
      <c r="E1372" s="239"/>
      <c r="F1372" s="231"/>
      <c r="G1372" s="231" cm="1">
        <f t="array" ref="G1372">_xlfn.IFS(J1372&lt;301,2,J1372&gt;300,48)</f>
        <v>48</v>
      </c>
      <c r="H1372" s="231" t="s">
        <v>185</v>
      </c>
      <c r="I1372" s="281">
        <v>0</v>
      </c>
      <c r="J1372" s="249">
        <v>800</v>
      </c>
      <c r="K1372" s="231">
        <f t="shared" si="25"/>
        <v>20</v>
      </c>
      <c r="L1372" s="231"/>
      <c r="M1372" s="231" t="s">
        <v>16</v>
      </c>
      <c r="N1372" s="231"/>
      <c r="O1372" s="231">
        <v>2024</v>
      </c>
      <c r="P1372" s="285">
        <v>45462</v>
      </c>
      <c r="Q1372" s="231"/>
      <c r="R1372" s="231"/>
      <c r="S1372" s="241" t="s">
        <v>453</v>
      </c>
      <c r="T1372" s="231"/>
    </row>
    <row r="1373" spans="1:20" ht="14">
      <c r="A1373" s="231">
        <v>1372</v>
      </c>
      <c r="B1373" s="235" t="s">
        <v>52</v>
      </c>
      <c r="C1373" s="243" t="s">
        <v>10</v>
      </c>
      <c r="D1373" s="237" t="s">
        <v>3110</v>
      </c>
      <c r="E1373" s="239"/>
      <c r="F1373" s="231"/>
      <c r="G1373" s="231" cm="1">
        <f t="array" ref="G1373">_xlfn.IFS(J1373&lt;301,2,J1373&gt;300,48)</f>
        <v>2</v>
      </c>
      <c r="H1373" s="231" t="s">
        <v>3111</v>
      </c>
      <c r="I1373" s="281">
        <v>0</v>
      </c>
      <c r="J1373" s="249">
        <v>250</v>
      </c>
      <c r="K1373" s="231">
        <f t="shared" si="25"/>
        <v>20</v>
      </c>
      <c r="L1373" s="231"/>
      <c r="M1373" s="231" t="s">
        <v>16</v>
      </c>
      <c r="N1373" s="231"/>
      <c r="O1373" s="231">
        <v>2024</v>
      </c>
      <c r="P1373" s="285">
        <v>45475</v>
      </c>
      <c r="Q1373" s="231"/>
      <c r="R1373" s="231"/>
      <c r="S1373" s="241" t="s">
        <v>453</v>
      </c>
      <c r="T1373" s="231"/>
    </row>
    <row r="1374" spans="1:20" ht="14">
      <c r="A1374" s="231">
        <v>1373</v>
      </c>
      <c r="B1374" s="235" t="s">
        <v>52</v>
      </c>
      <c r="C1374" s="243" t="s">
        <v>10</v>
      </c>
      <c r="D1374" s="237" t="s">
        <v>3112</v>
      </c>
      <c r="E1374" s="239"/>
      <c r="F1374" s="231"/>
      <c r="G1374" s="231" cm="1">
        <f t="array" ref="G1374">_xlfn.IFS(J1374&lt;301,2,J1374&gt;300,48)</f>
        <v>48</v>
      </c>
      <c r="H1374" s="231" t="s">
        <v>2783</v>
      </c>
      <c r="I1374" s="281">
        <v>0</v>
      </c>
      <c r="J1374" s="249">
        <v>1800</v>
      </c>
      <c r="K1374" s="231">
        <f t="shared" si="25"/>
        <v>20</v>
      </c>
      <c r="L1374" s="231"/>
      <c r="M1374" s="231" t="s">
        <v>16</v>
      </c>
      <c r="N1374" s="231"/>
      <c r="O1374" s="231">
        <v>2024</v>
      </c>
      <c r="P1374" s="285">
        <v>45467</v>
      </c>
      <c r="Q1374" s="231"/>
      <c r="R1374" s="231"/>
      <c r="S1374" s="241" t="s">
        <v>453</v>
      </c>
      <c r="T1374" s="231"/>
    </row>
    <row r="1375" spans="1:20" ht="14">
      <c r="A1375" s="231">
        <v>1374</v>
      </c>
      <c r="B1375" s="235" t="s">
        <v>52</v>
      </c>
      <c r="C1375" s="243" t="s">
        <v>10</v>
      </c>
      <c r="D1375" s="237" t="s">
        <v>3113</v>
      </c>
      <c r="E1375" s="239"/>
      <c r="F1375" s="231"/>
      <c r="G1375" s="231" cm="1">
        <f t="array" ref="G1375">_xlfn.IFS(J1375&lt;301,2,J1375&gt;300,48)</f>
        <v>48</v>
      </c>
      <c r="H1375" s="231" t="s">
        <v>4542</v>
      </c>
      <c r="I1375" s="281">
        <v>0</v>
      </c>
      <c r="J1375" s="249">
        <v>650</v>
      </c>
      <c r="K1375" s="231">
        <f t="shared" si="25"/>
        <v>20</v>
      </c>
      <c r="L1375" s="231"/>
      <c r="M1375" s="231" t="s">
        <v>16</v>
      </c>
      <c r="N1375" s="231"/>
      <c r="O1375" s="231">
        <v>2024</v>
      </c>
      <c r="P1375" s="285">
        <v>45474</v>
      </c>
      <c r="Q1375" s="231"/>
      <c r="R1375" s="231"/>
      <c r="S1375" s="241" t="s">
        <v>453</v>
      </c>
      <c r="T1375" s="231"/>
    </row>
    <row r="1376" spans="1:20" ht="14">
      <c r="A1376" s="231">
        <v>1375</v>
      </c>
      <c r="B1376" s="235" t="s">
        <v>52</v>
      </c>
      <c r="C1376" s="243" t="s">
        <v>10</v>
      </c>
      <c r="D1376" s="237" t="s">
        <v>3114</v>
      </c>
      <c r="E1376" s="239"/>
      <c r="F1376" s="231"/>
      <c r="G1376" s="231" cm="1">
        <f t="array" ref="G1376">_xlfn.IFS(J1376&lt;301,2,J1376&gt;300,48)</f>
        <v>2</v>
      </c>
      <c r="H1376" s="231" t="s">
        <v>3542</v>
      </c>
      <c r="I1376" s="281">
        <v>0</v>
      </c>
      <c r="J1376" s="249">
        <v>250</v>
      </c>
      <c r="K1376" s="231">
        <f t="shared" si="25"/>
        <v>20</v>
      </c>
      <c r="L1376" s="231"/>
      <c r="M1376" s="231" t="s">
        <v>16</v>
      </c>
      <c r="N1376" s="231"/>
      <c r="O1376" s="231">
        <v>2024</v>
      </c>
      <c r="P1376" s="285">
        <v>45472</v>
      </c>
      <c r="Q1376" s="231"/>
      <c r="R1376" s="231"/>
      <c r="S1376" s="241" t="s">
        <v>453</v>
      </c>
      <c r="T1376" s="231"/>
    </row>
    <row r="1377" spans="1:20" ht="14">
      <c r="A1377" s="231">
        <v>1376</v>
      </c>
      <c r="B1377" s="235" t="s">
        <v>52</v>
      </c>
      <c r="C1377" s="243" t="s">
        <v>10</v>
      </c>
      <c r="D1377" s="237" t="s">
        <v>3115</v>
      </c>
      <c r="E1377" s="239"/>
      <c r="F1377" s="231"/>
      <c r="G1377" s="231" cm="1">
        <f t="array" ref="G1377">_xlfn.IFS(J1377&lt;301,2,J1377&gt;300,48)</f>
        <v>48</v>
      </c>
      <c r="H1377" s="231" t="s">
        <v>2763</v>
      </c>
      <c r="I1377" s="281">
        <v>0</v>
      </c>
      <c r="J1377" s="249">
        <v>400</v>
      </c>
      <c r="K1377" s="231">
        <f t="shared" si="25"/>
        <v>20</v>
      </c>
      <c r="L1377" s="231"/>
      <c r="M1377" s="231" t="s">
        <v>16</v>
      </c>
      <c r="N1377" s="231"/>
      <c r="O1377" s="231">
        <v>2024</v>
      </c>
      <c r="P1377" s="285">
        <v>45476</v>
      </c>
      <c r="Q1377" s="231"/>
      <c r="R1377" s="231"/>
      <c r="S1377" s="241" t="s">
        <v>453</v>
      </c>
      <c r="T1377" s="231"/>
    </row>
    <row r="1378" spans="1:20" ht="14">
      <c r="A1378" s="231">
        <v>1377</v>
      </c>
      <c r="B1378" s="235" t="s">
        <v>49</v>
      </c>
      <c r="C1378" s="243" t="s">
        <v>10</v>
      </c>
      <c r="D1378" s="237" t="s">
        <v>3116</v>
      </c>
      <c r="E1378" s="239"/>
      <c r="F1378" s="231"/>
      <c r="G1378" s="231" cm="1">
        <f t="array" ref="G1378">_xlfn.IFS(J1378&lt;301,2,J1378&gt;300,48)</f>
        <v>48</v>
      </c>
      <c r="H1378" s="231" t="s">
        <v>452</v>
      </c>
      <c r="I1378" s="281">
        <v>0</v>
      </c>
      <c r="J1378" s="249">
        <v>1000</v>
      </c>
      <c r="K1378" s="231">
        <f t="shared" si="25"/>
        <v>10</v>
      </c>
      <c r="L1378" s="231"/>
      <c r="M1378" s="299" t="s">
        <v>15</v>
      </c>
      <c r="N1378" s="231"/>
      <c r="O1378" s="231">
        <v>2024</v>
      </c>
      <c r="P1378" s="285">
        <v>45477</v>
      </c>
      <c r="Q1378" s="231"/>
      <c r="R1378" s="231"/>
      <c r="S1378" s="241" t="s">
        <v>453</v>
      </c>
      <c r="T1378" s="231"/>
    </row>
    <row r="1379" spans="1:20" ht="14">
      <c r="A1379" s="231">
        <v>1378</v>
      </c>
      <c r="B1379" s="235" t="s">
        <v>52</v>
      </c>
      <c r="C1379" s="243" t="s">
        <v>10</v>
      </c>
      <c r="D1379" s="237" t="s">
        <v>3117</v>
      </c>
      <c r="E1379" s="239"/>
      <c r="F1379" s="231"/>
      <c r="G1379" s="231" cm="1">
        <f t="array" ref="G1379">_xlfn.IFS(J1379&lt;301,2,J1379&gt;300,48)</f>
        <v>48</v>
      </c>
      <c r="H1379" s="231" t="s">
        <v>2763</v>
      </c>
      <c r="I1379" s="281">
        <v>0</v>
      </c>
      <c r="J1379" s="249">
        <v>400</v>
      </c>
      <c r="K1379" s="231">
        <f>IF(M1379="ONT",20,IF(M1379="N/A","N/A",IF(M1379="MIKROTIK",IF(J1379&lt;3000,10,IF(3000&lt;J1379&gt;10000,20,IF(10000&lt;J1379&gt;20000,40,IF(20000&lt;J1379&gt;40000,60,IF(J1379&gt;40000,80,IF(J1379&lt;300,3,)))))))))</f>
        <v>20</v>
      </c>
      <c r="L1379" s="231"/>
      <c r="M1379" s="231" t="s">
        <v>16</v>
      </c>
      <c r="N1379" s="231"/>
      <c r="O1379" s="231">
        <v>2024</v>
      </c>
      <c r="P1379" s="285">
        <v>45512</v>
      </c>
      <c r="Q1379" s="231"/>
      <c r="R1379" s="231"/>
      <c r="S1379" s="241" t="s">
        <v>453</v>
      </c>
      <c r="T1379" s="231"/>
    </row>
    <row r="1380" spans="1:20" ht="14">
      <c r="A1380" s="231">
        <v>1379</v>
      </c>
      <c r="B1380" s="235" t="s">
        <v>52</v>
      </c>
      <c r="C1380" s="243" t="s">
        <v>10</v>
      </c>
      <c r="D1380" s="237" t="s">
        <v>3118</v>
      </c>
      <c r="E1380" s="239"/>
      <c r="F1380" s="231"/>
      <c r="G1380" s="231" cm="1">
        <f t="array" ref="G1380">_xlfn.IFS(J1380&lt;301,2,J1380&gt;300,48)</f>
        <v>48</v>
      </c>
      <c r="H1380" s="231" t="s">
        <v>2765</v>
      </c>
      <c r="I1380" s="281">
        <v>0</v>
      </c>
      <c r="J1380" s="249">
        <v>400</v>
      </c>
      <c r="K1380" s="231">
        <f>IF(M1380="ONT",20,IF(M1380="N/A","N/A",IF(M1380="MIKROTIK",IF(J1380&lt;3000,10,IF(3000&lt;J1380&gt;10000,20,IF(10000&lt;J1380&gt;20000,40,IF(20000&lt;J1380&gt;40000,60,IF(J1380&gt;40000,80,IF(J1380&lt;300,3,)))))))))</f>
        <v>20</v>
      </c>
      <c r="L1380" s="231"/>
      <c r="M1380" s="231" t="s">
        <v>16</v>
      </c>
      <c r="N1380" s="231"/>
      <c r="O1380" s="231">
        <v>2024</v>
      </c>
      <c r="P1380" s="285">
        <v>45464</v>
      </c>
      <c r="Q1380" s="231"/>
      <c r="R1380" s="231"/>
      <c r="S1380" s="241" t="s">
        <v>453</v>
      </c>
      <c r="T1380" s="231"/>
    </row>
    <row r="1381" spans="1:20" ht="14">
      <c r="A1381" s="231">
        <v>1380</v>
      </c>
      <c r="B1381" s="235" t="s">
        <v>52</v>
      </c>
      <c r="C1381" s="243" t="s">
        <v>10</v>
      </c>
      <c r="D1381" s="237" t="s">
        <v>3119</v>
      </c>
      <c r="E1381" s="239"/>
      <c r="F1381" s="231"/>
      <c r="G1381" s="231" cm="1">
        <f t="array" ref="G1381">_xlfn.IFS(J1381&lt;301,2,J1381&gt;300,48)</f>
        <v>48</v>
      </c>
      <c r="H1381" s="231" t="s">
        <v>3060</v>
      </c>
      <c r="I1381" s="281">
        <v>0</v>
      </c>
      <c r="J1381" s="249">
        <v>400</v>
      </c>
      <c r="K1381" s="231">
        <f>IF(M1381="ONT",20,IF(M1381="N/A","N/A",IF(M1381="MIKROTIK",IF(J1381&lt;3000,10,IF(3000&lt;J1381&gt;10000,20,IF(10000&lt;J1381&gt;20000,40,IF(20000&lt;J1381&gt;40000,60,IF(J1381&gt;40000,80,IF(J1381&lt;300,3,)))))))))</f>
        <v>20</v>
      </c>
      <c r="L1381" s="231"/>
      <c r="M1381" s="231" t="s">
        <v>16</v>
      </c>
      <c r="N1381" s="231"/>
      <c r="O1381" s="231">
        <v>2024</v>
      </c>
      <c r="P1381" s="285">
        <v>45484</v>
      </c>
      <c r="Q1381" s="231"/>
      <c r="R1381" s="231"/>
      <c r="S1381" s="241" t="s">
        <v>453</v>
      </c>
      <c r="T1381" s="231"/>
    </row>
    <row r="1382" spans="1:20" ht="14">
      <c r="A1382" s="231">
        <v>1381</v>
      </c>
      <c r="B1382" s="235" t="s">
        <v>52</v>
      </c>
      <c r="C1382" s="243" t="s">
        <v>10</v>
      </c>
      <c r="D1382" s="237" t="s">
        <v>3120</v>
      </c>
      <c r="E1382" s="239"/>
      <c r="F1382" s="231"/>
      <c r="G1382" s="231" cm="1">
        <f t="array" ref="G1382">_xlfn.IFS(J1382&lt;301,2,J1382&gt;300,48)</f>
        <v>2</v>
      </c>
      <c r="H1382" s="231" t="s">
        <v>213</v>
      </c>
      <c r="I1382" s="281">
        <v>0</v>
      </c>
      <c r="J1382" s="249">
        <v>300</v>
      </c>
      <c r="K1382" s="231">
        <v>20</v>
      </c>
      <c r="L1382" s="231"/>
      <c r="M1382" s="299" t="s">
        <v>15</v>
      </c>
      <c r="N1382" s="231"/>
      <c r="O1382" s="231">
        <v>2024</v>
      </c>
      <c r="P1382" s="285">
        <v>45463</v>
      </c>
      <c r="Q1382" s="231"/>
      <c r="R1382" s="231"/>
      <c r="S1382" s="241" t="s">
        <v>453</v>
      </c>
      <c r="T1382" s="231"/>
    </row>
    <row r="1383" spans="1:20" ht="14">
      <c r="A1383" s="231">
        <v>1382</v>
      </c>
      <c r="B1383" s="235" t="s">
        <v>52</v>
      </c>
      <c r="C1383" s="243" t="s">
        <v>10</v>
      </c>
      <c r="D1383" s="237" t="s">
        <v>3121</v>
      </c>
      <c r="E1383" s="239"/>
      <c r="F1383" s="231"/>
      <c r="G1383" s="231" cm="1">
        <f t="array" ref="G1383">_xlfn.IFS(J1383&lt;301,2,J1383&gt;300,48)</f>
        <v>48</v>
      </c>
      <c r="H1383" s="231" t="s">
        <v>2877</v>
      </c>
      <c r="I1383" s="281">
        <v>0</v>
      </c>
      <c r="J1383" s="249">
        <v>700</v>
      </c>
      <c r="K1383" s="231">
        <f t="shared" ref="K1383:K1390" si="26">IF(M1383="ONT",20,IF(M1383="N/A","N/A",IF(M1383="MIKROTIK",IF(J1383&lt;3000,10,IF(3000&lt;J1383&gt;10000,20,IF(10000&lt;J1383&gt;20000,40,IF(20000&lt;J1383&gt;40000,60,IF(J1383&gt;40000,80,IF(J1383&lt;300,3,)))))))))</f>
        <v>20</v>
      </c>
      <c r="L1383" s="231"/>
      <c r="M1383" s="231" t="s">
        <v>16</v>
      </c>
      <c r="N1383" s="231"/>
      <c r="O1383" s="231">
        <v>2024</v>
      </c>
      <c r="P1383" s="285">
        <v>45476</v>
      </c>
      <c r="Q1383" s="231"/>
      <c r="R1383" s="231"/>
      <c r="S1383" s="241" t="s">
        <v>453</v>
      </c>
      <c r="T1383" s="231"/>
    </row>
    <row r="1384" spans="1:20" ht="14">
      <c r="A1384" s="231">
        <v>1383</v>
      </c>
      <c r="B1384" s="235" t="s">
        <v>52</v>
      </c>
      <c r="C1384" s="243" t="s">
        <v>10</v>
      </c>
      <c r="D1384" s="237" t="s">
        <v>3122</v>
      </c>
      <c r="E1384" s="239"/>
      <c r="F1384" s="231"/>
      <c r="G1384" s="231" cm="1">
        <f t="array" ref="G1384">_xlfn.IFS(J1384&lt;301,2,J1384&gt;300,48)</f>
        <v>48</v>
      </c>
      <c r="H1384" s="231" t="s">
        <v>2773</v>
      </c>
      <c r="I1384" s="281">
        <v>0</v>
      </c>
      <c r="J1384" s="249">
        <v>350</v>
      </c>
      <c r="K1384" s="231">
        <f t="shared" si="26"/>
        <v>20</v>
      </c>
      <c r="L1384" s="231"/>
      <c r="M1384" s="231" t="s">
        <v>16</v>
      </c>
      <c r="N1384" s="231"/>
      <c r="O1384" s="231">
        <v>2024</v>
      </c>
      <c r="P1384" s="285">
        <v>45472</v>
      </c>
      <c r="Q1384" s="231"/>
      <c r="R1384" s="231"/>
      <c r="S1384" s="241" t="s">
        <v>453</v>
      </c>
      <c r="T1384" s="231"/>
    </row>
    <row r="1385" spans="1:20" ht="14">
      <c r="A1385" s="231">
        <v>1384</v>
      </c>
      <c r="B1385" s="235" t="s">
        <v>52</v>
      </c>
      <c r="C1385" s="243" t="s">
        <v>10</v>
      </c>
      <c r="D1385" s="237" t="s">
        <v>3123</v>
      </c>
      <c r="E1385" s="239"/>
      <c r="F1385" s="231"/>
      <c r="G1385" s="231" cm="1">
        <f t="array" ref="G1385">_xlfn.IFS(J1385&lt;301,2,J1385&gt;300,48)</f>
        <v>2</v>
      </c>
      <c r="H1385" s="231" t="s">
        <v>2763</v>
      </c>
      <c r="I1385" s="281">
        <v>0</v>
      </c>
      <c r="J1385" s="249">
        <v>300</v>
      </c>
      <c r="K1385" s="231">
        <f t="shared" si="26"/>
        <v>20</v>
      </c>
      <c r="L1385" s="231"/>
      <c r="M1385" s="231" t="s">
        <v>16</v>
      </c>
      <c r="N1385" s="231"/>
      <c r="O1385" s="231">
        <v>2024</v>
      </c>
      <c r="P1385" s="285">
        <v>45485</v>
      </c>
      <c r="Q1385" s="231"/>
      <c r="R1385" s="231"/>
      <c r="S1385" s="241" t="s">
        <v>453</v>
      </c>
      <c r="T1385" s="231"/>
    </row>
    <row r="1386" spans="1:20" ht="14">
      <c r="A1386" s="231">
        <v>1385</v>
      </c>
      <c r="B1386" s="235" t="s">
        <v>52</v>
      </c>
      <c r="C1386" s="243" t="s">
        <v>10</v>
      </c>
      <c r="D1386" s="237" t="s">
        <v>3124</v>
      </c>
      <c r="E1386" s="239"/>
      <c r="F1386" s="231"/>
      <c r="G1386" s="231" cm="1">
        <f t="array" ref="G1386">_xlfn.IFS(J1386&lt;301,2,J1386&gt;300,48)</f>
        <v>48</v>
      </c>
      <c r="H1386" s="231" t="s">
        <v>3623</v>
      </c>
      <c r="I1386" s="281">
        <v>0</v>
      </c>
      <c r="J1386" s="249">
        <v>350</v>
      </c>
      <c r="K1386" s="231">
        <f t="shared" si="26"/>
        <v>20</v>
      </c>
      <c r="L1386" s="231"/>
      <c r="M1386" s="231" t="s">
        <v>16</v>
      </c>
      <c r="N1386" s="231"/>
      <c r="O1386" s="231">
        <v>2024</v>
      </c>
      <c r="P1386" s="285">
        <v>45483</v>
      </c>
      <c r="Q1386" s="231"/>
      <c r="R1386" s="231"/>
      <c r="S1386" s="241" t="s">
        <v>453</v>
      </c>
      <c r="T1386" s="231"/>
    </row>
    <row r="1387" spans="1:20" ht="14">
      <c r="A1387" s="231">
        <v>1386</v>
      </c>
      <c r="B1387" s="235" t="s">
        <v>52</v>
      </c>
      <c r="C1387" s="243" t="s">
        <v>10</v>
      </c>
      <c r="D1387" s="237" t="s">
        <v>3125</v>
      </c>
      <c r="E1387" s="239"/>
      <c r="F1387" s="231"/>
      <c r="G1387" s="231" cm="1">
        <f t="array" ref="G1387">_xlfn.IFS(J1387&lt;301,2,J1387&gt;300,48)</f>
        <v>48</v>
      </c>
      <c r="H1387" s="231" t="s">
        <v>3623</v>
      </c>
      <c r="I1387" s="281">
        <v>0</v>
      </c>
      <c r="J1387" s="249">
        <v>350</v>
      </c>
      <c r="K1387" s="231">
        <f t="shared" si="26"/>
        <v>20</v>
      </c>
      <c r="L1387" s="231"/>
      <c r="M1387" s="231" t="s">
        <v>16</v>
      </c>
      <c r="N1387" s="231"/>
      <c r="O1387" s="231">
        <v>2024</v>
      </c>
      <c r="P1387" s="285">
        <v>45483</v>
      </c>
      <c r="Q1387" s="231"/>
      <c r="R1387" s="231"/>
      <c r="S1387" s="241" t="s">
        <v>453</v>
      </c>
      <c r="T1387" s="231"/>
    </row>
    <row r="1388" spans="1:20" ht="14">
      <c r="A1388" s="231">
        <v>1387</v>
      </c>
      <c r="B1388" s="235" t="s">
        <v>52</v>
      </c>
      <c r="C1388" s="243" t="s">
        <v>10</v>
      </c>
      <c r="D1388" s="237" t="s">
        <v>3126</v>
      </c>
      <c r="E1388" s="239"/>
      <c r="F1388" s="231"/>
      <c r="G1388" s="231" cm="1">
        <f t="array" ref="G1388">_xlfn.IFS(J1388&lt;301,2,J1388&gt;300,48)</f>
        <v>48</v>
      </c>
      <c r="H1388" s="231" t="s">
        <v>4588</v>
      </c>
      <c r="I1388" s="281">
        <v>0</v>
      </c>
      <c r="J1388" s="249">
        <v>400</v>
      </c>
      <c r="K1388" s="231">
        <f t="shared" si="26"/>
        <v>10</v>
      </c>
      <c r="L1388" s="231"/>
      <c r="M1388" s="299" t="s">
        <v>15</v>
      </c>
      <c r="N1388" s="231"/>
      <c r="O1388" s="231">
        <v>2024</v>
      </c>
      <c r="P1388" s="285">
        <v>45477</v>
      </c>
      <c r="Q1388" s="231"/>
      <c r="R1388" s="231"/>
      <c r="S1388" s="241" t="s">
        <v>453</v>
      </c>
      <c r="T1388" s="231"/>
    </row>
    <row r="1389" spans="1:20" ht="14">
      <c r="A1389" s="231">
        <v>1388</v>
      </c>
      <c r="B1389" s="231" t="s">
        <v>52</v>
      </c>
      <c r="C1389" s="231" t="s">
        <v>10</v>
      </c>
      <c r="D1389" s="237" t="s">
        <v>3127</v>
      </c>
      <c r="E1389" s="239"/>
      <c r="F1389" s="231"/>
      <c r="G1389" s="231" cm="1">
        <f t="array" ref="G1389">_xlfn.IFS(J1389&lt;301,2,J1389&gt;300,48)</f>
        <v>48</v>
      </c>
      <c r="H1389" s="231" t="s">
        <v>2783</v>
      </c>
      <c r="I1389" s="281">
        <v>0</v>
      </c>
      <c r="J1389" s="266">
        <v>700</v>
      </c>
      <c r="K1389" s="231">
        <f t="shared" si="26"/>
        <v>20</v>
      </c>
      <c r="L1389" s="231"/>
      <c r="M1389" s="231" t="s">
        <v>16</v>
      </c>
      <c r="N1389" s="231"/>
      <c r="O1389" s="231">
        <v>2024</v>
      </c>
      <c r="P1389" s="285">
        <v>45537</v>
      </c>
      <c r="Q1389" s="231"/>
      <c r="R1389" s="231"/>
      <c r="S1389" s="241" t="s">
        <v>453</v>
      </c>
      <c r="T1389" s="231"/>
    </row>
    <row r="1390" spans="1:20" ht="14">
      <c r="A1390" s="231">
        <v>1389</v>
      </c>
      <c r="B1390" s="231" t="s">
        <v>49</v>
      </c>
      <c r="C1390" s="231" t="s">
        <v>10</v>
      </c>
      <c r="D1390" s="237" t="s">
        <v>3128</v>
      </c>
      <c r="E1390" s="239"/>
      <c r="F1390" s="231"/>
      <c r="G1390" s="231" cm="1">
        <f t="array" ref="G1390">_xlfn.IFS(J1390&lt;301,2,J1390&gt;300,48)</f>
        <v>48</v>
      </c>
      <c r="H1390" s="231" t="s">
        <v>4556</v>
      </c>
      <c r="I1390" s="281">
        <v>0</v>
      </c>
      <c r="J1390" s="249">
        <v>350</v>
      </c>
      <c r="K1390" s="231">
        <f t="shared" si="26"/>
        <v>20</v>
      </c>
      <c r="L1390" s="231"/>
      <c r="M1390" s="231" t="s">
        <v>16</v>
      </c>
      <c r="N1390" s="231"/>
      <c r="O1390" s="231">
        <v>2025</v>
      </c>
      <c r="P1390" s="285">
        <v>45677</v>
      </c>
      <c r="Q1390" s="231"/>
      <c r="R1390" s="231"/>
      <c r="S1390" s="241" t="s">
        <v>453</v>
      </c>
      <c r="T1390" s="231"/>
    </row>
    <row r="1391" spans="1:20" ht="14">
      <c r="A1391" s="231">
        <v>1390</v>
      </c>
      <c r="B1391" s="231" t="s">
        <v>52</v>
      </c>
      <c r="C1391" s="231" t="s">
        <v>10</v>
      </c>
      <c r="D1391" s="237" t="s">
        <v>3129</v>
      </c>
      <c r="E1391" s="239"/>
      <c r="F1391" s="231"/>
      <c r="G1391" s="231" cm="1">
        <f t="array" ref="G1391">_xlfn.IFS(J1391&lt;301,2,J1391&gt;300,48)</f>
        <v>48</v>
      </c>
      <c r="H1391" s="231" t="s">
        <v>2776</v>
      </c>
      <c r="I1391" s="281">
        <v>0</v>
      </c>
      <c r="J1391" s="249">
        <v>350</v>
      </c>
      <c r="K1391" s="231">
        <v>20</v>
      </c>
      <c r="L1391" s="231"/>
      <c r="M1391" s="299" t="s">
        <v>15</v>
      </c>
      <c r="N1391" s="231"/>
      <c r="O1391" s="231">
        <v>2024</v>
      </c>
      <c r="P1391" s="285">
        <v>45512</v>
      </c>
      <c r="Q1391" s="231"/>
      <c r="R1391" s="231"/>
      <c r="S1391" s="241" t="s">
        <v>453</v>
      </c>
      <c r="T1391" s="231"/>
    </row>
    <row r="1392" spans="1:20" ht="14">
      <c r="A1392" s="231">
        <v>1391</v>
      </c>
      <c r="B1392" s="231" t="s">
        <v>52</v>
      </c>
      <c r="C1392" s="231" t="s">
        <v>10</v>
      </c>
      <c r="D1392" s="237" t="s">
        <v>3130</v>
      </c>
      <c r="E1392" s="239"/>
      <c r="F1392" s="231"/>
      <c r="G1392" s="231" cm="1">
        <f t="array" ref="G1392">_xlfn.IFS(J1392&lt;301,2,J1392&gt;300,48)</f>
        <v>48</v>
      </c>
      <c r="H1392" s="231" t="s">
        <v>2980</v>
      </c>
      <c r="I1392" s="281">
        <v>0</v>
      </c>
      <c r="J1392" s="249">
        <v>700</v>
      </c>
      <c r="K1392" s="231">
        <f t="shared" ref="K1392:K1400" si="27">IF(M1392="ONT",20,IF(M1392="N/A","N/A",IF(M1392="MIKROTIK",IF(J1392&lt;3000,10,IF(3000&lt;J1392&gt;10000,20,IF(10000&lt;J1392&gt;20000,40,IF(20000&lt;J1392&gt;40000,60,IF(J1392&gt;40000,80,IF(J1392&lt;300,3,)))))))))</f>
        <v>20</v>
      </c>
      <c r="L1392" s="231"/>
      <c r="M1392" s="231" t="s">
        <v>16</v>
      </c>
      <c r="N1392" s="231"/>
      <c r="O1392" s="231">
        <v>2024</v>
      </c>
      <c r="P1392" s="285">
        <v>45511</v>
      </c>
      <c r="Q1392" s="231"/>
      <c r="R1392" s="231"/>
      <c r="S1392" s="241" t="s">
        <v>453</v>
      </c>
      <c r="T1392" s="231"/>
    </row>
    <row r="1393" spans="1:20" ht="14">
      <c r="A1393" s="231">
        <v>1392</v>
      </c>
      <c r="B1393" s="231" t="s">
        <v>52</v>
      </c>
      <c r="C1393" s="231" t="s">
        <v>10</v>
      </c>
      <c r="D1393" s="237" t="s">
        <v>3132</v>
      </c>
      <c r="E1393" s="239"/>
      <c r="F1393" s="231"/>
      <c r="G1393" s="231" cm="1">
        <f t="array" ref="G1393">_xlfn.IFS(J1393&lt;301,2,J1393&gt;300,48)</f>
        <v>48</v>
      </c>
      <c r="H1393" s="231" t="s">
        <v>2763</v>
      </c>
      <c r="I1393" s="281">
        <v>0</v>
      </c>
      <c r="J1393" s="249">
        <v>750</v>
      </c>
      <c r="K1393" s="231">
        <f t="shared" si="27"/>
        <v>20</v>
      </c>
      <c r="L1393" s="231"/>
      <c r="M1393" s="231" t="s">
        <v>16</v>
      </c>
      <c r="N1393" s="231"/>
      <c r="O1393" s="231">
        <v>2024</v>
      </c>
      <c r="P1393" s="285">
        <v>45512</v>
      </c>
      <c r="Q1393" s="231"/>
      <c r="R1393" s="231"/>
      <c r="S1393" s="241" t="s">
        <v>453</v>
      </c>
      <c r="T1393" s="231"/>
    </row>
    <row r="1394" spans="1:20" ht="14">
      <c r="A1394" s="231">
        <v>1393</v>
      </c>
      <c r="B1394" s="231" t="s">
        <v>52</v>
      </c>
      <c r="C1394" s="231" t="s">
        <v>10</v>
      </c>
      <c r="D1394" s="237" t="s">
        <v>3133</v>
      </c>
      <c r="E1394" s="239"/>
      <c r="F1394" s="231"/>
      <c r="G1394" s="231" cm="1">
        <f t="array" ref="G1394">_xlfn.IFS(J1394&lt;301,2,J1394&gt;300,48)</f>
        <v>2</v>
      </c>
      <c r="H1394" s="231" t="s">
        <v>4555</v>
      </c>
      <c r="I1394" s="281">
        <v>0</v>
      </c>
      <c r="J1394" s="249">
        <v>100</v>
      </c>
      <c r="K1394" s="231">
        <f t="shared" si="27"/>
        <v>20</v>
      </c>
      <c r="L1394" s="231"/>
      <c r="M1394" s="231" t="s">
        <v>16</v>
      </c>
      <c r="N1394" s="231"/>
      <c r="O1394" s="231">
        <v>2024</v>
      </c>
      <c r="P1394" s="285">
        <v>45510</v>
      </c>
      <c r="Q1394" s="231"/>
      <c r="R1394" s="231"/>
      <c r="S1394" s="241" t="s">
        <v>453</v>
      </c>
      <c r="T1394" s="231"/>
    </row>
    <row r="1395" spans="1:20" ht="14">
      <c r="A1395" s="231">
        <v>1394</v>
      </c>
      <c r="B1395" s="231" t="s">
        <v>52</v>
      </c>
      <c r="C1395" s="231" t="s">
        <v>10</v>
      </c>
      <c r="D1395" s="237" t="s">
        <v>3134</v>
      </c>
      <c r="E1395" s="239"/>
      <c r="F1395" s="231"/>
      <c r="G1395" s="231" cm="1">
        <f t="array" ref="G1395">_xlfn.IFS(J1395&lt;301,2,J1395&gt;300,48)</f>
        <v>2</v>
      </c>
      <c r="H1395" s="231" t="s">
        <v>4555</v>
      </c>
      <c r="I1395" s="281">
        <v>0</v>
      </c>
      <c r="J1395" s="249">
        <v>100</v>
      </c>
      <c r="K1395" s="231">
        <f t="shared" si="27"/>
        <v>20</v>
      </c>
      <c r="L1395" s="231"/>
      <c r="M1395" s="231" t="s">
        <v>16</v>
      </c>
      <c r="N1395" s="231"/>
      <c r="O1395" s="231">
        <v>2024</v>
      </c>
      <c r="P1395" s="285">
        <v>45510</v>
      </c>
      <c r="Q1395" s="231"/>
      <c r="R1395" s="231"/>
      <c r="S1395" s="241" t="s">
        <v>453</v>
      </c>
      <c r="T1395" s="231"/>
    </row>
    <row r="1396" spans="1:20" ht="14">
      <c r="A1396" s="231">
        <v>1395</v>
      </c>
      <c r="B1396" s="231" t="s">
        <v>52</v>
      </c>
      <c r="C1396" s="231" t="s">
        <v>10</v>
      </c>
      <c r="D1396" s="267" t="s">
        <v>3135</v>
      </c>
      <c r="E1396" s="239"/>
      <c r="F1396" s="231"/>
      <c r="G1396" s="231" cm="1">
        <f t="array" ref="G1396">_xlfn.IFS(J1396&lt;301,2,J1396&gt;300,48)</f>
        <v>2</v>
      </c>
      <c r="H1396" s="231" t="s">
        <v>2773</v>
      </c>
      <c r="I1396" s="281">
        <v>0</v>
      </c>
      <c r="J1396" s="249">
        <v>120</v>
      </c>
      <c r="K1396" s="231">
        <f t="shared" si="27"/>
        <v>20</v>
      </c>
      <c r="L1396" s="231"/>
      <c r="M1396" s="231" t="s">
        <v>16</v>
      </c>
      <c r="N1396" s="231"/>
      <c r="O1396" s="231">
        <v>2024</v>
      </c>
      <c r="P1396" s="285">
        <v>45506</v>
      </c>
      <c r="Q1396" s="231"/>
      <c r="R1396" s="231"/>
      <c r="S1396" s="241" t="s">
        <v>453</v>
      </c>
      <c r="T1396" s="231"/>
    </row>
    <row r="1397" spans="1:20" ht="14">
      <c r="A1397" s="231">
        <v>1396</v>
      </c>
      <c r="B1397" s="231" t="s">
        <v>52</v>
      </c>
      <c r="C1397" s="231" t="s">
        <v>10</v>
      </c>
      <c r="D1397" s="237" t="s">
        <v>3136</v>
      </c>
      <c r="E1397" s="239"/>
      <c r="F1397" s="231"/>
      <c r="G1397" s="231" cm="1">
        <f t="array" ref="G1397">_xlfn.IFS(J1397&lt;301,2,J1397&gt;300,48)</f>
        <v>48</v>
      </c>
      <c r="H1397" s="231" t="s">
        <v>2980</v>
      </c>
      <c r="I1397" s="281">
        <v>0</v>
      </c>
      <c r="J1397" s="249">
        <v>670</v>
      </c>
      <c r="K1397" s="231">
        <f t="shared" si="27"/>
        <v>20</v>
      </c>
      <c r="L1397" s="231"/>
      <c r="M1397" s="231" t="s">
        <v>16</v>
      </c>
      <c r="N1397" s="231"/>
      <c r="O1397" s="231">
        <v>2024</v>
      </c>
      <c r="P1397" s="285">
        <v>45512</v>
      </c>
      <c r="Q1397" s="231"/>
      <c r="R1397" s="231"/>
      <c r="S1397" s="241" t="s">
        <v>453</v>
      </c>
      <c r="T1397" s="231"/>
    </row>
    <row r="1398" spans="1:20" ht="14">
      <c r="A1398" s="231">
        <v>1397</v>
      </c>
      <c r="B1398" s="231" t="s">
        <v>52</v>
      </c>
      <c r="C1398" s="231" t="s">
        <v>10</v>
      </c>
      <c r="D1398" s="237" t="s">
        <v>3137</v>
      </c>
      <c r="E1398" s="239"/>
      <c r="F1398" s="231"/>
      <c r="G1398" s="231" cm="1">
        <f t="array" ref="G1398">_xlfn.IFS(J1398&lt;301,2,J1398&gt;300,48)</f>
        <v>2</v>
      </c>
      <c r="H1398" s="231" t="s">
        <v>4555</v>
      </c>
      <c r="I1398" s="281">
        <v>0</v>
      </c>
      <c r="J1398" s="266">
        <v>300</v>
      </c>
      <c r="K1398" s="231">
        <f t="shared" si="27"/>
        <v>20</v>
      </c>
      <c r="L1398" s="231"/>
      <c r="M1398" s="231" t="s">
        <v>16</v>
      </c>
      <c r="N1398" s="231"/>
      <c r="O1398" s="231">
        <v>2024</v>
      </c>
      <c r="P1398" s="285">
        <v>45513</v>
      </c>
      <c r="Q1398" s="231"/>
      <c r="R1398" s="231"/>
      <c r="S1398" s="241" t="s">
        <v>453</v>
      </c>
      <c r="T1398" s="231"/>
    </row>
    <row r="1399" spans="1:20" ht="14">
      <c r="A1399" s="231">
        <v>1398</v>
      </c>
      <c r="B1399" s="231" t="s">
        <v>55</v>
      </c>
      <c r="C1399" s="231" t="s">
        <v>10</v>
      </c>
      <c r="D1399" s="237" t="s">
        <v>3138</v>
      </c>
      <c r="E1399" s="239"/>
      <c r="F1399" s="231"/>
      <c r="G1399" s="231" cm="1">
        <f t="array" ref="G1399">_xlfn.IFS(J1399&lt;301,2,J1399&gt;300,48)</f>
        <v>48</v>
      </c>
      <c r="H1399" s="231" t="s">
        <v>231</v>
      </c>
      <c r="I1399" s="281">
        <v>0</v>
      </c>
      <c r="J1399" s="266">
        <v>500</v>
      </c>
      <c r="K1399" s="231">
        <f t="shared" si="27"/>
        <v>10</v>
      </c>
      <c r="L1399" s="231"/>
      <c r="M1399" s="299" t="s">
        <v>15</v>
      </c>
      <c r="N1399" s="231"/>
      <c r="O1399" s="231">
        <v>2024</v>
      </c>
      <c r="P1399" s="285">
        <v>45515</v>
      </c>
      <c r="Q1399" s="231"/>
      <c r="R1399" s="231"/>
      <c r="S1399" s="241" t="s">
        <v>453</v>
      </c>
      <c r="T1399" s="231"/>
    </row>
    <row r="1400" spans="1:20" ht="14">
      <c r="A1400" s="231">
        <v>1399</v>
      </c>
      <c r="B1400" s="231" t="s">
        <v>55</v>
      </c>
      <c r="C1400" s="231" t="s">
        <v>10</v>
      </c>
      <c r="D1400" s="237" t="s">
        <v>3139</v>
      </c>
      <c r="E1400" s="239"/>
      <c r="F1400" s="231"/>
      <c r="G1400" s="231" cm="1">
        <f t="array" ref="G1400">_xlfn.IFS(J1400&lt;301,2,J1400&gt;300,48)</f>
        <v>48</v>
      </c>
      <c r="H1400" s="231" t="s">
        <v>2894</v>
      </c>
      <c r="I1400" s="281">
        <v>0</v>
      </c>
      <c r="J1400" s="249">
        <v>1700</v>
      </c>
      <c r="K1400" s="231">
        <f t="shared" si="27"/>
        <v>20</v>
      </c>
      <c r="L1400" s="231"/>
      <c r="M1400" s="231" t="s">
        <v>16</v>
      </c>
      <c r="N1400" s="231"/>
      <c r="O1400" s="231">
        <v>2024</v>
      </c>
      <c r="P1400" s="285">
        <v>45580</v>
      </c>
      <c r="Q1400" s="231"/>
      <c r="R1400" s="231"/>
      <c r="S1400" s="241" t="s">
        <v>453</v>
      </c>
      <c r="T1400" s="231"/>
    </row>
    <row r="1401" spans="1:20" ht="14">
      <c r="A1401" s="231">
        <v>1400</v>
      </c>
      <c r="B1401" s="231" t="s">
        <v>52</v>
      </c>
      <c r="C1401" s="231" t="s">
        <v>10</v>
      </c>
      <c r="D1401" s="237" t="s">
        <v>3140</v>
      </c>
      <c r="E1401" s="239"/>
      <c r="F1401" s="231"/>
      <c r="G1401" s="231" cm="1">
        <f t="array" ref="G1401">_xlfn.IFS(J1401&lt;301,2,J1401&gt;300,48)</f>
        <v>48</v>
      </c>
      <c r="H1401" s="231" t="s">
        <v>185</v>
      </c>
      <c r="I1401" s="281">
        <v>0</v>
      </c>
      <c r="J1401" s="249">
        <v>400</v>
      </c>
      <c r="K1401" s="231" t="s">
        <v>456</v>
      </c>
      <c r="L1401" s="231"/>
      <c r="M1401" s="231" t="s">
        <v>16</v>
      </c>
      <c r="N1401" s="231"/>
      <c r="O1401" s="231">
        <v>2024</v>
      </c>
      <c r="P1401" s="285">
        <v>45354</v>
      </c>
      <c r="Q1401" s="231"/>
      <c r="R1401" s="231"/>
      <c r="S1401" s="241" t="s">
        <v>453</v>
      </c>
      <c r="T1401" s="231"/>
    </row>
    <row r="1402" spans="1:20" ht="14">
      <c r="A1402" s="231">
        <v>1401</v>
      </c>
      <c r="B1402" s="231" t="s">
        <v>51</v>
      </c>
      <c r="C1402" s="231" t="s">
        <v>10</v>
      </c>
      <c r="D1402" s="237" t="s">
        <v>3141</v>
      </c>
      <c r="E1402" s="239"/>
      <c r="F1402" s="231"/>
      <c r="G1402" s="231" cm="1">
        <f t="array" ref="G1402">_xlfn.IFS(J1402&lt;301,2,J1402&gt;300,48)</f>
        <v>48</v>
      </c>
      <c r="H1402" s="231" t="s">
        <v>3142</v>
      </c>
      <c r="I1402" s="281">
        <v>0</v>
      </c>
      <c r="J1402" s="249">
        <v>4000</v>
      </c>
      <c r="K1402" s="231" t="s">
        <v>456</v>
      </c>
      <c r="L1402" s="231"/>
      <c r="M1402" s="231" t="s">
        <v>16</v>
      </c>
      <c r="N1402" s="231"/>
      <c r="O1402" s="231">
        <v>2024</v>
      </c>
      <c r="P1402" s="285">
        <v>45354</v>
      </c>
      <c r="Q1402" s="231"/>
      <c r="R1402" s="231"/>
      <c r="S1402" s="241" t="s">
        <v>453</v>
      </c>
      <c r="T1402" s="231"/>
    </row>
    <row r="1403" spans="1:20" ht="14">
      <c r="A1403" s="231">
        <v>1402</v>
      </c>
      <c r="B1403" s="231" t="s">
        <v>50</v>
      </c>
      <c r="C1403" s="231" t="s">
        <v>10</v>
      </c>
      <c r="D1403" s="237" t="s">
        <v>3143</v>
      </c>
      <c r="E1403" s="239"/>
      <c r="F1403" s="231"/>
      <c r="G1403" s="231" cm="1">
        <f t="array" ref="G1403">_xlfn.IFS(J1403&lt;301,2,J1403&gt;300,48)</f>
        <v>48</v>
      </c>
      <c r="H1403" s="231" t="s">
        <v>140</v>
      </c>
      <c r="I1403" s="281">
        <v>0</v>
      </c>
      <c r="J1403" s="249">
        <v>3300</v>
      </c>
      <c r="K1403" s="231">
        <f>IF(M1403="ONT",20,IF(M1403="N/A","N/A",IF(M1403="MIKROTIK",IF(J1403&lt;3000,10,IF(3000&lt;J1403&gt;10000,20,IF(10000&lt;J1403&gt;20000,40,IF(20000&lt;J1403&gt;40000,60,IF(J1403&gt;40000,80,IF(J1403&lt;300,3,)))))))))</f>
        <v>20</v>
      </c>
      <c r="L1403" s="231"/>
      <c r="M1403" s="299" t="s">
        <v>15</v>
      </c>
      <c r="N1403" s="231"/>
      <c r="O1403" s="231">
        <v>2024</v>
      </c>
      <c r="P1403" s="285">
        <v>45524</v>
      </c>
      <c r="Q1403" s="231"/>
      <c r="R1403" s="231"/>
      <c r="S1403" s="241" t="s">
        <v>453</v>
      </c>
      <c r="T1403" s="231"/>
    </row>
    <row r="1404" spans="1:20" ht="14">
      <c r="A1404" s="231">
        <v>1403</v>
      </c>
      <c r="B1404" s="231" t="s">
        <v>50</v>
      </c>
      <c r="C1404" s="231" t="s">
        <v>10</v>
      </c>
      <c r="D1404" s="237" t="s">
        <v>3144</v>
      </c>
      <c r="E1404" s="239"/>
      <c r="F1404" s="231"/>
      <c r="G1404" s="231" cm="1">
        <f t="array" ref="G1404">_xlfn.IFS(J1404&lt;301,2,J1404&gt;300,48)</f>
        <v>2</v>
      </c>
      <c r="H1404" s="231" t="s">
        <v>2797</v>
      </c>
      <c r="I1404" s="281">
        <v>0</v>
      </c>
      <c r="J1404" s="249">
        <v>300</v>
      </c>
      <c r="K1404" s="231">
        <f>IF(M1404="ONT",20,IF(M1404="N/A","N/A",IF(M1404="MIKROTIK",IF(J1404&lt;3000,10,IF(3000&lt;J1404&gt;10000,20,IF(10000&lt;J1404&gt;20000,40,IF(20000&lt;J1404&gt;40000,60,IF(J1404&gt;40000,80,IF(J1404&lt;300,3,)))))))))</f>
        <v>10</v>
      </c>
      <c r="L1404" s="231"/>
      <c r="M1404" s="299" t="s">
        <v>15</v>
      </c>
      <c r="N1404" s="231"/>
      <c r="O1404" s="231">
        <v>2024</v>
      </c>
      <c r="P1404" s="285">
        <v>45540</v>
      </c>
      <c r="Q1404" s="231"/>
      <c r="R1404" s="231"/>
      <c r="S1404" s="241" t="s">
        <v>453</v>
      </c>
      <c r="T1404" s="231"/>
    </row>
    <row r="1405" spans="1:20" ht="14">
      <c r="A1405" s="231">
        <v>1404</v>
      </c>
      <c r="B1405" s="231" t="s">
        <v>55</v>
      </c>
      <c r="C1405" s="231" t="s">
        <v>10</v>
      </c>
      <c r="D1405" s="237" t="s">
        <v>3145</v>
      </c>
      <c r="E1405" s="239"/>
      <c r="F1405" s="231"/>
      <c r="G1405" s="231" cm="1">
        <f t="array" ref="G1405">_xlfn.IFS(J1405&lt;301,2,J1405&gt;300,48)</f>
        <v>48</v>
      </c>
      <c r="H1405" s="231" t="s">
        <v>3051</v>
      </c>
      <c r="I1405" s="281">
        <v>0</v>
      </c>
      <c r="J1405" s="249">
        <v>351</v>
      </c>
      <c r="K1405" s="231">
        <f>IF(M1405="ONT",20,IF(M1405="N/A","N/A",IF(M1405="MIKROTIK",IF(J1405&lt;3000,10,IF(3000&lt;J1405&gt;10000,20,IF(10000&lt;J1405&gt;20000,40,IF(20000&lt;J1405&gt;40000,60,IF(J1405&gt;40000,80,IF(J1405&lt;300,3,)))))))))</f>
        <v>20</v>
      </c>
      <c r="L1405" s="231"/>
      <c r="M1405" s="231" t="s">
        <v>16</v>
      </c>
      <c r="N1405" s="231"/>
      <c r="O1405" s="231">
        <v>2024</v>
      </c>
      <c r="P1405" s="285">
        <v>45541</v>
      </c>
      <c r="Q1405" s="231"/>
      <c r="R1405" s="231"/>
      <c r="S1405" s="241" t="s">
        <v>453</v>
      </c>
      <c r="T1405" s="231"/>
    </row>
    <row r="1406" spans="1:20" ht="14">
      <c r="A1406" s="231">
        <v>1405</v>
      </c>
      <c r="B1406" s="231" t="s">
        <v>52</v>
      </c>
      <c r="C1406" s="231" t="s">
        <v>10</v>
      </c>
      <c r="D1406" s="237" t="s">
        <v>3146</v>
      </c>
      <c r="E1406" s="239"/>
      <c r="F1406" s="231"/>
      <c r="G1406" s="231" cm="1">
        <f t="array" ref="G1406">_xlfn.IFS(J1406&lt;301,2,J1406&gt;300,48)</f>
        <v>48</v>
      </c>
      <c r="H1406" s="231" t="s">
        <v>3147</v>
      </c>
      <c r="I1406" s="281">
        <v>0</v>
      </c>
      <c r="J1406" s="249">
        <v>750</v>
      </c>
      <c r="K1406" s="231">
        <v>40</v>
      </c>
      <c r="L1406" s="231"/>
      <c r="M1406" s="299" t="s">
        <v>15</v>
      </c>
      <c r="N1406" s="231"/>
      <c r="O1406" s="231">
        <v>2024</v>
      </c>
      <c r="P1406" s="285">
        <v>45525</v>
      </c>
      <c r="Q1406" s="231"/>
      <c r="R1406" s="231"/>
      <c r="S1406" s="241" t="s">
        <v>453</v>
      </c>
      <c r="T1406" s="231"/>
    </row>
    <row r="1407" spans="1:20" ht="14">
      <c r="A1407" s="231">
        <v>1406</v>
      </c>
      <c r="B1407" s="231" t="s">
        <v>52</v>
      </c>
      <c r="C1407" s="231" t="s">
        <v>10</v>
      </c>
      <c r="D1407" s="237" t="s">
        <v>3148</v>
      </c>
      <c r="E1407" s="239"/>
      <c r="F1407" s="231"/>
      <c r="G1407" s="231" cm="1">
        <f t="array" ref="G1407">_xlfn.IFS(J1407&lt;301,2,J1407&gt;300,48)</f>
        <v>48</v>
      </c>
      <c r="H1407" s="231" t="s">
        <v>2783</v>
      </c>
      <c r="I1407" s="281">
        <v>0</v>
      </c>
      <c r="J1407" s="249">
        <v>350</v>
      </c>
      <c r="K1407" s="231">
        <f>IF(M1407="ONT",20,IF(M1407="N/A","N/A",IF(M1407="MIKROTIK",IF(J1407&lt;3000,10,IF(3000&lt;J1407&gt;10000,20,IF(10000&lt;J1407&gt;20000,40,IF(20000&lt;J1407&gt;40000,60,IF(J1407&gt;40000,80,IF(J1407&lt;300,3,)))))))))</f>
        <v>20</v>
      </c>
      <c r="L1407" s="231"/>
      <c r="M1407" s="231" t="s">
        <v>16</v>
      </c>
      <c r="N1407" s="231"/>
      <c r="O1407" s="231">
        <v>2024</v>
      </c>
      <c r="P1407" s="285">
        <v>45541</v>
      </c>
      <c r="Q1407" s="231"/>
      <c r="R1407" s="231"/>
      <c r="S1407" s="241" t="s">
        <v>453</v>
      </c>
      <c r="T1407" s="231"/>
    </row>
    <row r="1408" spans="1:20" ht="14">
      <c r="A1408" s="231">
        <v>1407</v>
      </c>
      <c r="B1408" s="231" t="s">
        <v>52</v>
      </c>
      <c r="C1408" s="231" t="s">
        <v>10</v>
      </c>
      <c r="D1408" s="237" t="s">
        <v>3149</v>
      </c>
      <c r="E1408" s="239"/>
      <c r="F1408" s="231"/>
      <c r="G1408" s="231" cm="1">
        <f t="array" ref="G1408">_xlfn.IFS(J1408&lt;301,2,J1408&gt;300,48)</f>
        <v>2</v>
      </c>
      <c r="H1408" s="231" t="s">
        <v>3053</v>
      </c>
      <c r="I1408" s="281">
        <v>0</v>
      </c>
      <c r="J1408" s="249">
        <v>300</v>
      </c>
      <c r="K1408" s="231">
        <f>IF(M1408="ONT",20,IF(M1408="N/A","N/A",IF(M1408="MIKROTIK",IF(J1408&lt;3000,10,IF(3000&lt;J1408&gt;10000,20,IF(10000&lt;J1408&gt;20000,40,IF(20000&lt;J1408&gt;40000,60,IF(J1408&gt;40000,80,IF(J1408&lt;300,3,)))))))))</f>
        <v>20</v>
      </c>
      <c r="L1408" s="231"/>
      <c r="M1408" s="231" t="s">
        <v>16</v>
      </c>
      <c r="N1408" s="231"/>
      <c r="O1408" s="231">
        <v>2024</v>
      </c>
      <c r="P1408" s="285">
        <v>45538</v>
      </c>
      <c r="Q1408" s="231"/>
      <c r="R1408" s="231"/>
      <c r="S1408" s="241" t="s">
        <v>453</v>
      </c>
      <c r="T1408" s="231"/>
    </row>
    <row r="1409" spans="1:20" ht="14">
      <c r="A1409" s="231">
        <v>1408</v>
      </c>
      <c r="B1409" s="231" t="s">
        <v>52</v>
      </c>
      <c r="C1409" s="231" t="s">
        <v>10</v>
      </c>
      <c r="D1409" s="237" t="s">
        <v>3150</v>
      </c>
      <c r="E1409" s="239"/>
      <c r="F1409" s="231"/>
      <c r="G1409" s="231" cm="1">
        <f t="array" ref="G1409">_xlfn.IFS(J1409&lt;301,2,J1409&gt;300,48)</f>
        <v>2</v>
      </c>
      <c r="H1409" s="231" t="s">
        <v>3053</v>
      </c>
      <c r="I1409" s="281">
        <v>0</v>
      </c>
      <c r="J1409" s="249">
        <v>300</v>
      </c>
      <c r="K1409" s="231">
        <f>IF(M1409="ONT",20,IF(M1409="N/A","N/A",IF(M1409="MIKROTIK",IF(J1409&lt;3000,10,IF(3000&lt;J1409&gt;10000,20,IF(10000&lt;J1409&gt;20000,40,IF(20000&lt;J1409&gt;40000,60,IF(J1409&gt;40000,80,IF(J1409&lt;300,3,)))))))))</f>
        <v>20</v>
      </c>
      <c r="L1409" s="231"/>
      <c r="M1409" s="231" t="s">
        <v>16</v>
      </c>
      <c r="N1409" s="231"/>
      <c r="O1409" s="231">
        <v>2024</v>
      </c>
      <c r="P1409" s="285">
        <v>45538</v>
      </c>
      <c r="Q1409" s="231"/>
      <c r="R1409" s="231"/>
      <c r="S1409" s="241" t="s">
        <v>453</v>
      </c>
      <c r="T1409" s="231"/>
    </row>
    <row r="1410" spans="1:20" ht="14">
      <c r="A1410" s="231">
        <v>1409</v>
      </c>
      <c r="B1410" s="231" t="s">
        <v>52</v>
      </c>
      <c r="C1410" s="231" t="s">
        <v>10</v>
      </c>
      <c r="D1410" s="237" t="s">
        <v>3151</v>
      </c>
      <c r="E1410" s="239"/>
      <c r="F1410" s="231"/>
      <c r="G1410" s="231" cm="1">
        <f t="array" ref="G1410">_xlfn.IFS(J1410&lt;301,2,J1410&gt;300,48)</f>
        <v>2</v>
      </c>
      <c r="H1410" s="231" t="s">
        <v>3053</v>
      </c>
      <c r="I1410" s="281">
        <v>0</v>
      </c>
      <c r="J1410" s="249">
        <v>300</v>
      </c>
      <c r="K1410" s="231">
        <f>IF(M1410="ONT",20,IF(M1410="N/A","N/A",IF(M1410="MIKROTIK",IF(J1410&lt;3000,10,IF(3000&lt;J1410&gt;10000,20,IF(10000&lt;J1410&gt;20000,40,IF(20000&lt;J1410&gt;40000,60,IF(J1410&gt;40000,80,IF(J1410&lt;300,3,)))))))))</f>
        <v>20</v>
      </c>
      <c r="L1410" s="231"/>
      <c r="M1410" s="231" t="s">
        <v>16</v>
      </c>
      <c r="N1410" s="231"/>
      <c r="O1410" s="231">
        <v>2024</v>
      </c>
      <c r="P1410" s="285">
        <v>45538</v>
      </c>
      <c r="Q1410" s="231"/>
      <c r="R1410" s="231"/>
      <c r="S1410" s="241" t="s">
        <v>453</v>
      </c>
      <c r="T1410" s="231"/>
    </row>
    <row r="1411" spans="1:20" ht="14">
      <c r="A1411" s="231">
        <v>1410</v>
      </c>
      <c r="B1411" s="231" t="s">
        <v>52</v>
      </c>
      <c r="C1411" s="231" t="s">
        <v>10</v>
      </c>
      <c r="D1411" s="237" t="s">
        <v>3152</v>
      </c>
      <c r="E1411" s="239"/>
      <c r="F1411" s="231"/>
      <c r="G1411" s="231" cm="1">
        <f t="array" ref="G1411">_xlfn.IFS(J1411&lt;301,2,J1411&gt;300,48)</f>
        <v>2</v>
      </c>
      <c r="H1411" s="231" t="s">
        <v>3053</v>
      </c>
      <c r="I1411" s="281">
        <v>0</v>
      </c>
      <c r="J1411" s="249">
        <v>300</v>
      </c>
      <c r="K1411" s="231">
        <f>IF(M1411="ONT",20,IF(M1411="N/A","N/A",IF(M1411="MIKROTIK",IF(J1411&lt;3000,10,IF(3000&lt;J1411&gt;10000,20,IF(10000&lt;J1411&gt;20000,40,IF(20000&lt;J1411&gt;40000,60,IF(J1411&gt;40000,80,IF(J1411&lt;300,3,)))))))))</f>
        <v>20</v>
      </c>
      <c r="L1411" s="231"/>
      <c r="M1411" s="231" t="s">
        <v>16</v>
      </c>
      <c r="N1411" s="231"/>
      <c r="O1411" s="231">
        <v>2024</v>
      </c>
      <c r="P1411" s="285">
        <v>45538</v>
      </c>
      <c r="Q1411" s="231"/>
      <c r="R1411" s="231"/>
      <c r="S1411" s="241" t="s">
        <v>453</v>
      </c>
      <c r="T1411" s="231"/>
    </row>
    <row r="1412" spans="1:20" ht="14">
      <c r="A1412" s="231">
        <v>1411</v>
      </c>
      <c r="B1412" s="231" t="s">
        <v>52</v>
      </c>
      <c r="C1412" s="231" t="s">
        <v>10</v>
      </c>
      <c r="D1412" s="237" t="s">
        <v>3153</v>
      </c>
      <c r="E1412" s="239"/>
      <c r="F1412" s="231"/>
      <c r="G1412" s="231" cm="1">
        <f t="array" ref="G1412">_xlfn.IFS(J1412&lt;301,2,J1412&gt;300,48)</f>
        <v>48</v>
      </c>
      <c r="H1412" s="231" t="s">
        <v>166</v>
      </c>
      <c r="I1412" s="281">
        <v>0</v>
      </c>
      <c r="J1412" s="249">
        <v>850</v>
      </c>
      <c r="K1412" s="231" t="s">
        <v>456</v>
      </c>
      <c r="L1412" s="231"/>
      <c r="M1412" s="231" t="s">
        <v>16</v>
      </c>
      <c r="N1412" s="231"/>
      <c r="O1412" s="231">
        <v>2024</v>
      </c>
      <c r="P1412" s="285">
        <v>45643</v>
      </c>
      <c r="Q1412" s="231"/>
      <c r="R1412" s="231"/>
      <c r="S1412" s="241" t="s">
        <v>453</v>
      </c>
      <c r="T1412" s="231"/>
    </row>
    <row r="1413" spans="1:20" ht="14">
      <c r="A1413" s="231">
        <v>1412</v>
      </c>
      <c r="B1413" s="231" t="s">
        <v>52</v>
      </c>
      <c r="C1413" s="231" t="s">
        <v>10</v>
      </c>
      <c r="D1413" s="237" t="s">
        <v>3154</v>
      </c>
      <c r="E1413" s="239"/>
      <c r="F1413" s="231"/>
      <c r="G1413" s="231" cm="1">
        <f t="array" ref="G1413">_xlfn.IFS(J1413&lt;301,2,J1413&gt;300,48)</f>
        <v>48</v>
      </c>
      <c r="H1413" s="231" t="s">
        <v>452</v>
      </c>
      <c r="I1413" s="281">
        <v>0</v>
      </c>
      <c r="J1413" s="249">
        <v>350</v>
      </c>
      <c r="K1413" s="231">
        <f>IF(M1413="ONT",20,IF(M1413="N/A","N/A",IF(M1413="MIKROTIK",IF(J1413&lt;3000,10,IF(3000&lt;J1413&gt;10000,20,IF(10000&lt;J1413&gt;20000,40,IF(20000&lt;J1413&gt;40000,60,IF(J1413&gt;40000,80,IF(J1413&lt;300,3,)))))))))</f>
        <v>10</v>
      </c>
      <c r="L1413" s="231"/>
      <c r="M1413" s="299" t="s">
        <v>15</v>
      </c>
      <c r="N1413" s="231"/>
      <c r="O1413" s="231">
        <v>2024</v>
      </c>
      <c r="P1413" s="285">
        <v>45513</v>
      </c>
      <c r="Q1413" s="231"/>
      <c r="R1413" s="231"/>
      <c r="S1413" s="241" t="s">
        <v>453</v>
      </c>
      <c r="T1413" s="231"/>
    </row>
    <row r="1414" spans="1:20" ht="14">
      <c r="A1414" s="231">
        <v>1413</v>
      </c>
      <c r="B1414" s="231" t="s">
        <v>52</v>
      </c>
      <c r="C1414" s="231" t="s">
        <v>10</v>
      </c>
      <c r="D1414" s="237" t="s">
        <v>3155</v>
      </c>
      <c r="E1414" s="239"/>
      <c r="F1414" s="231"/>
      <c r="G1414" s="231" cm="1">
        <f t="array" ref="G1414">_xlfn.IFS(J1414&lt;301,2,J1414&gt;300,48)</f>
        <v>48</v>
      </c>
      <c r="H1414" s="231" t="s">
        <v>3156</v>
      </c>
      <c r="I1414" s="281">
        <v>0</v>
      </c>
      <c r="J1414" s="249">
        <v>1400</v>
      </c>
      <c r="K1414" s="231">
        <v>40</v>
      </c>
      <c r="L1414" s="231"/>
      <c r="M1414" s="299" t="s">
        <v>15</v>
      </c>
      <c r="N1414" s="231"/>
      <c r="O1414" s="231">
        <v>2024</v>
      </c>
      <c r="P1414" s="285">
        <v>45530</v>
      </c>
      <c r="Q1414" s="231"/>
      <c r="R1414" s="231"/>
      <c r="S1414" s="241" t="s">
        <v>453</v>
      </c>
      <c r="T1414" s="231"/>
    </row>
    <row r="1415" spans="1:20" ht="14">
      <c r="A1415" s="231">
        <v>1414</v>
      </c>
      <c r="B1415" s="231" t="s">
        <v>55</v>
      </c>
      <c r="C1415" s="231" t="s">
        <v>10</v>
      </c>
      <c r="D1415" s="237" t="s">
        <v>3157</v>
      </c>
      <c r="E1415" s="239"/>
      <c r="F1415" s="231"/>
      <c r="G1415" s="231" cm="1">
        <f t="array" ref="G1415">_xlfn.IFS(J1415&lt;301,2,J1415&gt;300,48)</f>
        <v>48</v>
      </c>
      <c r="H1415" s="231" t="s">
        <v>3158</v>
      </c>
      <c r="I1415" s="281">
        <v>0</v>
      </c>
      <c r="J1415" s="249">
        <v>1600</v>
      </c>
      <c r="K1415" s="231" t="s">
        <v>456</v>
      </c>
      <c r="L1415" s="231"/>
      <c r="M1415" s="231" t="s">
        <v>456</v>
      </c>
      <c r="N1415" s="231"/>
      <c r="O1415" s="231">
        <v>2024</v>
      </c>
      <c r="P1415" s="285">
        <v>45486</v>
      </c>
      <c r="Q1415" s="231"/>
      <c r="R1415" s="231"/>
      <c r="S1415" s="241" t="s">
        <v>453</v>
      </c>
      <c r="T1415" s="231"/>
    </row>
    <row r="1416" spans="1:20" ht="14">
      <c r="A1416" s="231">
        <v>1415</v>
      </c>
      <c r="B1416" s="231" t="s">
        <v>55</v>
      </c>
      <c r="C1416" s="231" t="s">
        <v>10</v>
      </c>
      <c r="D1416" s="237" t="s">
        <v>3159</v>
      </c>
      <c r="E1416" s="239"/>
      <c r="F1416" s="231"/>
      <c r="G1416" s="231" cm="1">
        <f t="array" ref="G1416">_xlfn.IFS(J1416&lt;301,2,J1416&gt;300,48)</f>
        <v>48</v>
      </c>
      <c r="H1416" s="231" t="s">
        <v>3160</v>
      </c>
      <c r="I1416" s="281">
        <v>0</v>
      </c>
      <c r="J1416" s="249">
        <v>2500</v>
      </c>
      <c r="K1416" s="231">
        <v>60</v>
      </c>
      <c r="L1416" s="231"/>
      <c r="M1416" s="299" t="s">
        <v>15</v>
      </c>
      <c r="N1416" s="231"/>
      <c r="O1416" s="231">
        <v>2024</v>
      </c>
      <c r="P1416" s="285">
        <v>45541</v>
      </c>
      <c r="Q1416" s="231"/>
      <c r="R1416" s="231"/>
      <c r="S1416" s="241" t="s">
        <v>453</v>
      </c>
      <c r="T1416" s="231"/>
    </row>
    <row r="1417" spans="1:20" ht="14">
      <c r="A1417" s="231">
        <v>1416</v>
      </c>
      <c r="B1417" s="231" t="s">
        <v>53</v>
      </c>
      <c r="C1417" s="231" t="s">
        <v>10</v>
      </c>
      <c r="D1417" s="237" t="s">
        <v>3161</v>
      </c>
      <c r="E1417" s="239"/>
      <c r="F1417" s="231"/>
      <c r="G1417" s="231" cm="1">
        <f t="array" ref="G1417">_xlfn.IFS(J1417&lt;301,2,J1417&gt;300,48)</f>
        <v>48</v>
      </c>
      <c r="H1417" s="231" t="s">
        <v>213</v>
      </c>
      <c r="I1417" s="281">
        <v>0</v>
      </c>
      <c r="J1417" s="249">
        <v>1500</v>
      </c>
      <c r="K1417" s="231">
        <f t="shared" ref="K1417:K1421" si="28">IF(M1417="ONT",20,IF(M1417="N/A","N/A",IF(M1417="MIKROTIK",IF(J1417&lt;3000,10,IF(3000&lt;J1417&gt;10000,20,IF(10000&lt;J1417&gt;20000,40,IF(20000&lt;J1417&gt;40000,60,IF(J1417&gt;40000,80,IF(J1417&lt;300,3,)))))))))</f>
        <v>10</v>
      </c>
      <c r="L1417" s="231"/>
      <c r="M1417" s="299" t="s">
        <v>15</v>
      </c>
      <c r="N1417" s="231"/>
      <c r="O1417" s="231">
        <v>2024</v>
      </c>
      <c r="P1417" s="285">
        <v>45518</v>
      </c>
      <c r="Q1417" s="231"/>
      <c r="R1417" s="231"/>
      <c r="S1417" s="241" t="s">
        <v>453</v>
      </c>
      <c r="T1417" s="231"/>
    </row>
    <row r="1418" spans="1:20" ht="14">
      <c r="A1418" s="231">
        <v>1417</v>
      </c>
      <c r="B1418" s="231" t="s">
        <v>52</v>
      </c>
      <c r="C1418" s="231" t="s">
        <v>10</v>
      </c>
      <c r="D1418" s="237" t="s">
        <v>3162</v>
      </c>
      <c r="E1418" s="239"/>
      <c r="F1418" s="231"/>
      <c r="G1418" s="231" cm="1">
        <f t="array" ref="G1418">_xlfn.IFS(J1418&lt;301,2,J1418&gt;300,48)</f>
        <v>48</v>
      </c>
      <c r="H1418" s="231" t="s">
        <v>2767</v>
      </c>
      <c r="I1418" s="281">
        <v>0</v>
      </c>
      <c r="J1418" s="249">
        <v>850</v>
      </c>
      <c r="K1418" s="231">
        <f t="shared" si="28"/>
        <v>20</v>
      </c>
      <c r="L1418" s="231"/>
      <c r="M1418" s="231" t="s">
        <v>16</v>
      </c>
      <c r="N1418" s="231"/>
      <c r="O1418" s="231">
        <v>2024</v>
      </c>
      <c r="P1418" s="285">
        <v>45552</v>
      </c>
      <c r="Q1418" s="231"/>
      <c r="R1418" s="231"/>
      <c r="S1418" s="241" t="s">
        <v>453</v>
      </c>
      <c r="T1418" s="231"/>
    </row>
    <row r="1419" spans="1:20" ht="14">
      <c r="A1419" s="231">
        <v>1418</v>
      </c>
      <c r="B1419" s="231" t="s">
        <v>52</v>
      </c>
      <c r="C1419" s="231" t="s">
        <v>10</v>
      </c>
      <c r="D1419" s="237" t="s">
        <v>3163</v>
      </c>
      <c r="E1419" s="239"/>
      <c r="F1419" s="231"/>
      <c r="G1419" s="231" cm="1">
        <f t="array" ref="G1419">_xlfn.IFS(J1419&lt;301,2,J1419&gt;300,48)</f>
        <v>48</v>
      </c>
      <c r="H1419" s="231" t="s">
        <v>2773</v>
      </c>
      <c r="I1419" s="281">
        <v>0</v>
      </c>
      <c r="J1419" s="249">
        <v>850</v>
      </c>
      <c r="K1419" s="231">
        <f t="shared" si="28"/>
        <v>20</v>
      </c>
      <c r="L1419" s="231"/>
      <c r="M1419" s="231" t="s">
        <v>16</v>
      </c>
      <c r="N1419" s="231"/>
      <c r="O1419" s="231">
        <v>2025</v>
      </c>
      <c r="P1419" s="285">
        <v>45787</v>
      </c>
      <c r="Q1419" s="231"/>
      <c r="R1419" s="231"/>
      <c r="S1419" s="241" t="s">
        <v>453</v>
      </c>
      <c r="T1419" s="231"/>
    </row>
    <row r="1420" spans="1:20" ht="14">
      <c r="A1420" s="231">
        <v>1419</v>
      </c>
      <c r="B1420" s="231" t="s">
        <v>52</v>
      </c>
      <c r="C1420" s="231" t="s">
        <v>10</v>
      </c>
      <c r="D1420" s="237" t="s">
        <v>3165</v>
      </c>
      <c r="E1420" s="239"/>
      <c r="F1420" s="231"/>
      <c r="G1420" s="231" cm="1">
        <f t="array" ref="G1420">_xlfn.IFS(J1420&lt;301,2,J1420&gt;300,48)</f>
        <v>48</v>
      </c>
      <c r="H1420" s="231" t="s">
        <v>2763</v>
      </c>
      <c r="I1420" s="281">
        <v>0</v>
      </c>
      <c r="J1420" s="249">
        <v>1100</v>
      </c>
      <c r="K1420" s="231">
        <f t="shared" si="28"/>
        <v>20</v>
      </c>
      <c r="L1420" s="231"/>
      <c r="M1420" s="231" t="s">
        <v>16</v>
      </c>
      <c r="N1420" s="231"/>
      <c r="O1420" s="231">
        <v>2024</v>
      </c>
      <c r="P1420" s="285">
        <v>45525</v>
      </c>
      <c r="Q1420" s="231"/>
      <c r="R1420" s="231"/>
      <c r="S1420" s="241" t="s">
        <v>453</v>
      </c>
      <c r="T1420" s="231"/>
    </row>
    <row r="1421" spans="1:20" ht="14">
      <c r="A1421" s="231">
        <v>1420</v>
      </c>
      <c r="B1421" s="231" t="s">
        <v>52</v>
      </c>
      <c r="C1421" s="231" t="s">
        <v>10</v>
      </c>
      <c r="D1421" s="237" t="s">
        <v>3166</v>
      </c>
      <c r="E1421" s="239"/>
      <c r="F1421" s="231"/>
      <c r="G1421" s="231" cm="1">
        <f t="array" ref="G1421">_xlfn.IFS(J1421&lt;301,2,J1421&gt;300,48)</f>
        <v>48</v>
      </c>
      <c r="H1421" s="231" t="s">
        <v>4259</v>
      </c>
      <c r="I1421" s="281">
        <v>0</v>
      </c>
      <c r="J1421" s="249">
        <v>350</v>
      </c>
      <c r="K1421" s="231">
        <f t="shared" si="28"/>
        <v>20</v>
      </c>
      <c r="L1421" s="231"/>
      <c r="M1421" s="231" t="s">
        <v>16</v>
      </c>
      <c r="N1421" s="231"/>
      <c r="O1421" s="231">
        <v>2024</v>
      </c>
      <c r="P1421" s="285">
        <v>45524</v>
      </c>
      <c r="Q1421" s="231"/>
      <c r="R1421" s="231"/>
      <c r="S1421" s="241" t="s">
        <v>453</v>
      </c>
      <c r="T1421" s="231"/>
    </row>
    <row r="1422" spans="1:20" ht="14">
      <c r="A1422" s="231">
        <v>1421</v>
      </c>
      <c r="B1422" s="231" t="s">
        <v>49</v>
      </c>
      <c r="C1422" s="231" t="s">
        <v>10</v>
      </c>
      <c r="D1422" s="237" t="s">
        <v>3167</v>
      </c>
      <c r="E1422" s="239"/>
      <c r="F1422" s="231"/>
      <c r="G1422" s="231" cm="1">
        <f t="array" ref="G1422">_xlfn.IFS(J1422&lt;301,2,J1422&gt;300,48)</f>
        <v>48</v>
      </c>
      <c r="H1422" s="231" t="s">
        <v>452</v>
      </c>
      <c r="I1422" s="281">
        <v>0</v>
      </c>
      <c r="J1422" s="249">
        <v>700</v>
      </c>
      <c r="K1422" s="231">
        <f>IF(M1422="ONT",20,IF(M1422="N/A","N/A",IF(M1422="MIKROTIK",IF(J1422&lt;3000,10,IF(3000&lt;J1422&gt;10000,20,IF(10000&lt;J1422&gt;20000,40,IF(20000&lt;J1422&gt;40000,60,IF(J1422&gt;40000,80,IF(J1422&lt;300,3,)))))))))</f>
        <v>20</v>
      </c>
      <c r="L1422" s="231"/>
      <c r="M1422" s="231" t="s">
        <v>16</v>
      </c>
      <c r="N1422" s="231"/>
      <c r="O1422" s="231">
        <v>2024</v>
      </c>
      <c r="P1422" s="285">
        <v>45534</v>
      </c>
      <c r="Q1422" s="231"/>
      <c r="R1422" s="231"/>
      <c r="S1422" s="241" t="s">
        <v>453</v>
      </c>
      <c r="T1422" s="231"/>
    </row>
    <row r="1423" spans="1:20" ht="14">
      <c r="A1423" s="231">
        <v>1422</v>
      </c>
      <c r="B1423" s="231" t="s">
        <v>52</v>
      </c>
      <c r="C1423" s="231" t="s">
        <v>10</v>
      </c>
      <c r="D1423" s="237" t="s">
        <v>3168</v>
      </c>
      <c r="E1423" s="239"/>
      <c r="F1423" s="231"/>
      <c r="G1423" s="231" cm="1">
        <f t="array" ref="G1423">_xlfn.IFS(J1423&lt;301,2,J1423&gt;300,48)</f>
        <v>48</v>
      </c>
      <c r="H1423" s="231" t="s">
        <v>1440</v>
      </c>
      <c r="I1423" s="281">
        <v>0</v>
      </c>
      <c r="J1423" s="249">
        <v>350</v>
      </c>
      <c r="K1423" s="231">
        <v>20</v>
      </c>
      <c r="L1423" s="231"/>
      <c r="M1423" s="299" t="s">
        <v>15</v>
      </c>
      <c r="N1423" s="231"/>
      <c r="O1423" s="231">
        <v>2024</v>
      </c>
      <c r="P1423" s="285">
        <v>45525</v>
      </c>
      <c r="Q1423" s="231"/>
      <c r="R1423" s="231"/>
      <c r="S1423" s="241" t="s">
        <v>453</v>
      </c>
      <c r="T1423" s="231"/>
    </row>
    <row r="1424" spans="1:20" ht="14">
      <c r="A1424" s="231">
        <v>1423</v>
      </c>
      <c r="B1424" s="231" t="s">
        <v>52</v>
      </c>
      <c r="C1424" s="231" t="s">
        <v>10</v>
      </c>
      <c r="D1424" s="237" t="s">
        <v>3169</v>
      </c>
      <c r="E1424" s="239"/>
      <c r="F1424" s="231"/>
      <c r="G1424" s="231" cm="1">
        <f t="array" ref="G1424">_xlfn.IFS(J1424&lt;301,2,J1424&gt;300,48)</f>
        <v>48</v>
      </c>
      <c r="H1424" s="231" t="s">
        <v>3170</v>
      </c>
      <c r="I1424" s="281">
        <v>0</v>
      </c>
      <c r="J1424" s="249">
        <v>350</v>
      </c>
      <c r="K1424" s="231">
        <f>IF(M1424="ONT",20,IF(M1424="N/A","N/A",IF(M1424="MIKROTIK",IF(J1424&lt;3000,10,IF(3000&lt;J1424&gt;10000,20,IF(10000&lt;J1424&gt;20000,40,IF(20000&lt;J1424&gt;40000,60,IF(J1424&gt;40000,80,IF(J1424&lt;300,3,)))))))))</f>
        <v>20</v>
      </c>
      <c r="L1424" s="231"/>
      <c r="M1424" s="231" t="s">
        <v>16</v>
      </c>
      <c r="N1424" s="231"/>
      <c r="O1424" s="231">
        <v>2024</v>
      </c>
      <c r="P1424" s="285">
        <v>45520</v>
      </c>
      <c r="Q1424" s="231"/>
      <c r="R1424" s="231"/>
      <c r="S1424" s="241" t="s">
        <v>453</v>
      </c>
      <c r="T1424" s="231"/>
    </row>
    <row r="1425" spans="1:20" ht="14">
      <c r="A1425" s="231">
        <v>1424</v>
      </c>
      <c r="B1425" s="231" t="s">
        <v>53</v>
      </c>
      <c r="C1425" s="231" t="s">
        <v>10</v>
      </c>
      <c r="D1425" s="237" t="s">
        <v>3171</v>
      </c>
      <c r="E1425" s="239"/>
      <c r="F1425" s="231"/>
      <c r="G1425" s="231" cm="1">
        <f t="array" ref="G1425">_xlfn.IFS(J1425&lt;301,2,J1425&gt;300,48)</f>
        <v>48</v>
      </c>
      <c r="H1425" s="231" t="s">
        <v>213</v>
      </c>
      <c r="I1425" s="281">
        <v>0</v>
      </c>
      <c r="J1425" s="249">
        <v>350</v>
      </c>
      <c r="K1425" s="231">
        <v>20</v>
      </c>
      <c r="L1425" s="231"/>
      <c r="M1425" s="299" t="s">
        <v>15</v>
      </c>
      <c r="N1425" s="231"/>
      <c r="O1425" s="231">
        <v>2024</v>
      </c>
      <c r="P1425" s="285">
        <v>45499</v>
      </c>
      <c r="Q1425" s="231"/>
      <c r="R1425" s="231"/>
      <c r="S1425" s="241" t="s">
        <v>453</v>
      </c>
      <c r="T1425" s="231"/>
    </row>
    <row r="1426" spans="1:20" ht="14">
      <c r="A1426" s="231">
        <v>1425</v>
      </c>
      <c r="B1426" s="231" t="s">
        <v>52</v>
      </c>
      <c r="C1426" s="231" t="s">
        <v>10</v>
      </c>
      <c r="D1426" s="237" t="s">
        <v>3172</v>
      </c>
      <c r="E1426" s="239"/>
      <c r="F1426" s="231"/>
      <c r="G1426" s="231"/>
      <c r="H1426" s="231" t="s">
        <v>2773</v>
      </c>
      <c r="I1426" s="281">
        <v>0</v>
      </c>
      <c r="J1426" s="249">
        <v>300</v>
      </c>
      <c r="K1426" s="231" t="s">
        <v>456</v>
      </c>
      <c r="L1426" s="231"/>
      <c r="M1426" s="231" t="s">
        <v>16</v>
      </c>
      <c r="N1426" s="231"/>
      <c r="O1426" s="231">
        <v>2024</v>
      </c>
      <c r="P1426" s="285">
        <v>45516</v>
      </c>
      <c r="Q1426" s="231"/>
      <c r="R1426" s="231"/>
      <c r="S1426" s="241" t="s">
        <v>453</v>
      </c>
      <c r="T1426" s="231"/>
    </row>
    <row r="1427" spans="1:20" ht="14">
      <c r="A1427" s="231">
        <v>1426</v>
      </c>
      <c r="B1427" s="231" t="s">
        <v>52</v>
      </c>
      <c r="C1427" s="231" t="s">
        <v>10</v>
      </c>
      <c r="D1427" s="237" t="s">
        <v>3173</v>
      </c>
      <c r="E1427" s="239"/>
      <c r="F1427" s="231"/>
      <c r="G1427" s="231"/>
      <c r="H1427" s="231" t="s">
        <v>4257</v>
      </c>
      <c r="I1427" s="281">
        <v>0</v>
      </c>
      <c r="J1427" s="249">
        <v>400</v>
      </c>
      <c r="K1427" s="231">
        <f>IF(M1427="ONT",20,IF(M1427="N/A","N/A",IF(M1427="MIKROTIK",IF(J1427&lt;3000,10,IF(3000&lt;J1427&gt;10000,20,IF(10000&lt;J1427&gt;20000,40,IF(20000&lt;J1427&gt;40000,60,IF(J1427&gt;40000,80,IF(J1427&lt;300,3,)))))))))</f>
        <v>20</v>
      </c>
      <c r="L1427" s="231"/>
      <c r="M1427" s="231" t="s">
        <v>16</v>
      </c>
      <c r="N1427" s="231"/>
      <c r="O1427" s="231">
        <v>2024</v>
      </c>
      <c r="P1427" s="285">
        <v>45524</v>
      </c>
      <c r="Q1427" s="231"/>
      <c r="R1427" s="231"/>
      <c r="S1427" s="241" t="s">
        <v>453</v>
      </c>
      <c r="T1427" s="231"/>
    </row>
    <row r="1428" spans="1:20" ht="14">
      <c r="A1428" s="231">
        <v>1427</v>
      </c>
      <c r="B1428" s="231" t="s">
        <v>52</v>
      </c>
      <c r="C1428" s="231" t="s">
        <v>10</v>
      </c>
      <c r="D1428" s="237" t="s">
        <v>3174</v>
      </c>
      <c r="E1428" s="239"/>
      <c r="F1428" s="231"/>
      <c r="G1428" s="231"/>
      <c r="H1428" s="231" t="s">
        <v>2773</v>
      </c>
      <c r="I1428" s="281">
        <v>0</v>
      </c>
      <c r="J1428" s="249">
        <v>28000</v>
      </c>
      <c r="K1428" s="231" t="s">
        <v>456</v>
      </c>
      <c r="L1428" s="231"/>
      <c r="M1428" s="231" t="s">
        <v>16</v>
      </c>
      <c r="N1428" s="231"/>
      <c r="O1428" s="231">
        <v>2024</v>
      </c>
      <c r="P1428" s="285">
        <v>45540</v>
      </c>
      <c r="Q1428" s="231"/>
      <c r="R1428" s="231"/>
      <c r="S1428" s="241" t="s">
        <v>453</v>
      </c>
      <c r="T1428" s="231"/>
    </row>
    <row r="1429" spans="1:20" ht="14">
      <c r="A1429" s="231">
        <v>1428</v>
      </c>
      <c r="B1429" s="231" t="s">
        <v>49</v>
      </c>
      <c r="C1429" s="231" t="s">
        <v>10</v>
      </c>
      <c r="D1429" s="237" t="s">
        <v>3175</v>
      </c>
      <c r="E1429" s="239"/>
      <c r="F1429" s="231"/>
      <c r="G1429" s="231"/>
      <c r="H1429" s="231" t="s">
        <v>3176</v>
      </c>
      <c r="I1429" s="281">
        <v>0</v>
      </c>
      <c r="J1429" s="249">
        <v>350</v>
      </c>
      <c r="K1429" s="231">
        <v>20</v>
      </c>
      <c r="L1429" s="231"/>
      <c r="M1429" s="299" t="s">
        <v>15</v>
      </c>
      <c r="N1429" s="231"/>
      <c r="O1429" s="231">
        <v>2024</v>
      </c>
      <c r="P1429" s="285">
        <v>45552</v>
      </c>
      <c r="Q1429" s="231"/>
      <c r="R1429" s="231"/>
      <c r="S1429" s="241" t="s">
        <v>453</v>
      </c>
      <c r="T1429" s="231"/>
    </row>
    <row r="1430" spans="1:20" ht="14">
      <c r="A1430" s="231">
        <v>1429</v>
      </c>
      <c r="B1430" s="281" t="s">
        <v>55</v>
      </c>
      <c r="C1430" s="231" t="s">
        <v>10</v>
      </c>
      <c r="D1430" s="237" t="s">
        <v>3177</v>
      </c>
      <c r="E1430" s="239"/>
      <c r="F1430" s="231"/>
      <c r="G1430" s="231"/>
      <c r="H1430" s="231" t="s">
        <v>2894</v>
      </c>
      <c r="I1430" s="281">
        <v>0</v>
      </c>
      <c r="J1430" s="249">
        <v>800</v>
      </c>
      <c r="K1430" s="231" t="b">
        <f>IF(M1430="ONT",20,IF(M1430="N/A","N/A",IF(M1430="MIKROTIK",IF(J1430&lt;3000,10,IF(3000&lt;J1430&gt;10000,20,IF(10000&lt;J1430&gt;20000,40,IF(20000&lt;J1430&gt;40000,60,IF(J1430&gt;40000,80,IF(J1430&lt;300,3,)))))))))</f>
        <v>0</v>
      </c>
      <c r="L1430" s="231"/>
      <c r="M1430" s="231" t="s">
        <v>3437</v>
      </c>
      <c r="N1430" s="231"/>
      <c r="O1430" s="231">
        <v>2024</v>
      </c>
      <c r="P1430" s="285">
        <v>45552</v>
      </c>
      <c r="Q1430" s="231"/>
      <c r="R1430" s="231"/>
      <c r="S1430" s="241" t="s">
        <v>453</v>
      </c>
      <c r="T1430" s="231"/>
    </row>
    <row r="1431" spans="1:20" ht="14">
      <c r="A1431" s="231">
        <v>1430</v>
      </c>
      <c r="B1431" s="231" t="s">
        <v>52</v>
      </c>
      <c r="C1431" s="231" t="s">
        <v>10</v>
      </c>
      <c r="D1431" s="237" t="s">
        <v>3178</v>
      </c>
      <c r="E1431" s="239"/>
      <c r="F1431" s="231"/>
      <c r="G1431" s="231"/>
      <c r="H1431" s="231" t="s">
        <v>2773</v>
      </c>
      <c r="I1431" s="281">
        <v>0</v>
      </c>
      <c r="J1431" s="249">
        <v>0</v>
      </c>
      <c r="K1431" s="231" t="s">
        <v>456</v>
      </c>
      <c r="L1431" s="231"/>
      <c r="M1431" s="231" t="s">
        <v>16</v>
      </c>
      <c r="N1431" s="231"/>
      <c r="O1431" s="231">
        <v>2024</v>
      </c>
      <c r="P1431" s="285">
        <v>45533</v>
      </c>
      <c r="Q1431" s="231"/>
      <c r="R1431" s="231"/>
      <c r="S1431" s="241" t="s">
        <v>453</v>
      </c>
      <c r="T1431" s="231"/>
    </row>
    <row r="1432" spans="1:20" ht="14">
      <c r="A1432" s="231">
        <v>1431</v>
      </c>
      <c r="B1432" s="231" t="s">
        <v>61</v>
      </c>
      <c r="C1432" s="231" t="s">
        <v>10</v>
      </c>
      <c r="D1432" s="237" t="s">
        <v>3179</v>
      </c>
      <c r="E1432" s="239"/>
      <c r="F1432" s="231"/>
      <c r="G1432" s="231"/>
      <c r="H1432" s="231" t="s">
        <v>205</v>
      </c>
      <c r="I1432" s="281">
        <v>0</v>
      </c>
      <c r="J1432" s="249">
        <v>1500</v>
      </c>
      <c r="K1432" s="231">
        <v>10</v>
      </c>
      <c r="L1432" s="231"/>
      <c r="M1432" s="231" t="s">
        <v>15</v>
      </c>
      <c r="N1432" s="231"/>
      <c r="O1432" s="231">
        <v>2024</v>
      </c>
      <c r="P1432" s="285">
        <v>45520</v>
      </c>
      <c r="Q1432" s="231"/>
      <c r="R1432" s="231"/>
      <c r="S1432" s="241" t="s">
        <v>457</v>
      </c>
      <c r="T1432" s="231"/>
    </row>
    <row r="1433" spans="1:20" ht="14">
      <c r="A1433" s="231">
        <v>1432</v>
      </c>
      <c r="B1433" s="231" t="s">
        <v>52</v>
      </c>
      <c r="C1433" s="231" t="s">
        <v>10</v>
      </c>
      <c r="D1433" s="237" t="s">
        <v>3180</v>
      </c>
      <c r="E1433" s="239"/>
      <c r="F1433" s="231"/>
      <c r="G1433" s="231"/>
      <c r="H1433" s="231" t="s">
        <v>2877</v>
      </c>
      <c r="I1433" s="281">
        <v>0</v>
      </c>
      <c r="J1433" s="249">
        <v>1500</v>
      </c>
      <c r="K1433" s="231">
        <f t="shared" ref="K1433:K1437" si="29">IF(M1433="ONT",20,IF(M1433="N/A","N/A",IF(M1433="MIKROTIK",IF(J1433&lt;3000,10,IF(3000&lt;J1433&gt;10000,20,IF(10000&lt;J1433&gt;20000,40,IF(20000&lt;J1433&gt;40000,60,IF(J1433&gt;40000,80,IF(J1433&lt;300,3,)))))))))</f>
        <v>20</v>
      </c>
      <c r="L1433" s="231"/>
      <c r="M1433" s="231" t="s">
        <v>16</v>
      </c>
      <c r="N1433" s="231"/>
      <c r="O1433" s="231">
        <v>2024</v>
      </c>
      <c r="P1433" s="285">
        <v>45538</v>
      </c>
      <c r="Q1433" s="231"/>
      <c r="R1433" s="231"/>
      <c r="S1433" s="241" t="s">
        <v>457</v>
      </c>
      <c r="T1433" s="231"/>
    </row>
    <row r="1434" spans="1:20" ht="14">
      <c r="A1434" s="231">
        <v>1433</v>
      </c>
      <c r="B1434" s="231" t="s">
        <v>52</v>
      </c>
      <c r="C1434" s="231" t="s">
        <v>10</v>
      </c>
      <c r="D1434" s="237" t="s">
        <v>3181</v>
      </c>
      <c r="E1434" s="239"/>
      <c r="F1434" s="231"/>
      <c r="G1434" s="231"/>
      <c r="H1434" s="231" t="s">
        <v>2765</v>
      </c>
      <c r="I1434" s="281">
        <v>0</v>
      </c>
      <c r="J1434" s="249">
        <v>550</v>
      </c>
      <c r="K1434" s="231">
        <f t="shared" si="29"/>
        <v>20</v>
      </c>
      <c r="L1434" s="231"/>
      <c r="M1434" s="231" t="s">
        <v>16</v>
      </c>
      <c r="N1434" s="231"/>
      <c r="O1434" s="231">
        <v>2024</v>
      </c>
      <c r="P1434" s="285">
        <v>45541</v>
      </c>
      <c r="Q1434" s="231"/>
      <c r="R1434" s="231"/>
      <c r="S1434" s="241" t="s">
        <v>453</v>
      </c>
      <c r="T1434" s="231"/>
    </row>
    <row r="1435" spans="1:20" ht="14">
      <c r="A1435" s="231">
        <v>1434</v>
      </c>
      <c r="B1435" s="231" t="s">
        <v>52</v>
      </c>
      <c r="C1435" s="231" t="s">
        <v>10</v>
      </c>
      <c r="D1435" s="237" t="s">
        <v>3182</v>
      </c>
      <c r="E1435" s="239"/>
      <c r="F1435" s="231"/>
      <c r="G1435" s="231"/>
      <c r="H1435" s="231" t="s">
        <v>2773</v>
      </c>
      <c r="I1435" s="281">
        <v>0</v>
      </c>
      <c r="J1435" s="249">
        <v>750</v>
      </c>
      <c r="K1435" s="231">
        <f t="shared" si="29"/>
        <v>20</v>
      </c>
      <c r="L1435" s="231"/>
      <c r="M1435" s="231" t="s">
        <v>16</v>
      </c>
      <c r="N1435" s="231"/>
      <c r="O1435" s="231">
        <v>2024</v>
      </c>
      <c r="P1435" s="285">
        <v>45554</v>
      </c>
      <c r="Q1435" s="231"/>
      <c r="R1435" s="231"/>
      <c r="S1435" s="241" t="s">
        <v>453</v>
      </c>
      <c r="T1435" s="231"/>
    </row>
    <row r="1436" spans="1:20" ht="14">
      <c r="A1436" s="231">
        <v>1435</v>
      </c>
      <c r="B1436" s="231" t="s">
        <v>52</v>
      </c>
      <c r="C1436" s="231" t="s">
        <v>10</v>
      </c>
      <c r="D1436" s="237" t="s">
        <v>3183</v>
      </c>
      <c r="E1436" s="239"/>
      <c r="F1436" s="231"/>
      <c r="G1436" s="231"/>
      <c r="H1436" s="231" t="s">
        <v>4579</v>
      </c>
      <c r="I1436" s="281">
        <v>0</v>
      </c>
      <c r="J1436" s="249">
        <v>400</v>
      </c>
      <c r="K1436" s="231">
        <f t="shared" si="29"/>
        <v>20</v>
      </c>
      <c r="L1436" s="231"/>
      <c r="M1436" s="231" t="s">
        <v>16</v>
      </c>
      <c r="N1436" s="231"/>
      <c r="O1436" s="231">
        <v>2024</v>
      </c>
      <c r="P1436" s="285">
        <v>45561</v>
      </c>
      <c r="Q1436" s="231"/>
      <c r="R1436" s="231"/>
      <c r="S1436" s="241" t="s">
        <v>453</v>
      </c>
      <c r="T1436" s="231"/>
    </row>
    <row r="1437" spans="1:20" ht="14">
      <c r="A1437" s="231">
        <v>1436</v>
      </c>
      <c r="B1437" s="231" t="s">
        <v>52</v>
      </c>
      <c r="C1437" s="231" t="s">
        <v>10</v>
      </c>
      <c r="D1437" s="237" t="s">
        <v>3184</v>
      </c>
      <c r="E1437" s="239"/>
      <c r="F1437" s="231"/>
      <c r="G1437" s="231"/>
      <c r="H1437" s="231" t="s">
        <v>4565</v>
      </c>
      <c r="I1437" s="281">
        <v>0</v>
      </c>
      <c r="J1437" s="249">
        <v>450</v>
      </c>
      <c r="K1437" s="231">
        <f t="shared" si="29"/>
        <v>20</v>
      </c>
      <c r="L1437" s="231"/>
      <c r="M1437" s="231" t="s">
        <v>16</v>
      </c>
      <c r="N1437" s="231"/>
      <c r="O1437" s="231">
        <v>2024</v>
      </c>
      <c r="P1437" s="285">
        <v>45531</v>
      </c>
      <c r="Q1437" s="231"/>
      <c r="R1437" s="231"/>
      <c r="S1437" s="241" t="s">
        <v>457</v>
      </c>
      <c r="T1437" s="231"/>
    </row>
    <row r="1438" spans="1:20" ht="14">
      <c r="A1438" s="231">
        <v>1437</v>
      </c>
      <c r="B1438" s="231" t="s">
        <v>52</v>
      </c>
      <c r="C1438" s="231" t="s">
        <v>10</v>
      </c>
      <c r="D1438" s="237" t="s">
        <v>3186</v>
      </c>
      <c r="E1438" s="239"/>
      <c r="F1438" s="231"/>
      <c r="G1438" s="231"/>
      <c r="H1438" s="231" t="s">
        <v>3053</v>
      </c>
      <c r="I1438" s="281">
        <v>0</v>
      </c>
      <c r="J1438" s="249">
        <v>300</v>
      </c>
      <c r="K1438" s="231" t="s">
        <v>456</v>
      </c>
      <c r="L1438" s="231"/>
      <c r="M1438" s="231" t="s">
        <v>16</v>
      </c>
      <c r="N1438" s="231"/>
      <c r="O1438" s="231">
        <v>2024</v>
      </c>
      <c r="P1438" s="285">
        <v>45530</v>
      </c>
      <c r="Q1438" s="231"/>
      <c r="R1438" s="231"/>
      <c r="S1438" s="241" t="s">
        <v>453</v>
      </c>
      <c r="T1438" s="231"/>
    </row>
    <row r="1439" spans="1:20" ht="14">
      <c r="A1439" s="231">
        <v>1438</v>
      </c>
      <c r="B1439" s="231" t="s">
        <v>52</v>
      </c>
      <c r="C1439" s="231" t="s">
        <v>10</v>
      </c>
      <c r="D1439" s="237" t="s">
        <v>3187</v>
      </c>
      <c r="E1439" s="239"/>
      <c r="F1439" s="231"/>
      <c r="G1439" s="231"/>
      <c r="H1439" s="231" t="s">
        <v>4257</v>
      </c>
      <c r="I1439" s="281">
        <v>0</v>
      </c>
      <c r="J1439" s="249">
        <v>1900</v>
      </c>
      <c r="K1439" s="231">
        <f t="shared" ref="K1439:K1444" si="30">IF(M1439="ONT",20,IF(M1439="N/A","N/A",IF(M1439="MIKROTIK",IF(J1439&lt;3000,10,IF(3000&lt;J1439&gt;10000,20,IF(10000&lt;J1439&gt;20000,40,IF(20000&lt;J1439&gt;40000,60,IF(J1439&gt;40000,80,IF(J1439&lt;300,3,)))))))))</f>
        <v>20</v>
      </c>
      <c r="L1439" s="231"/>
      <c r="M1439" s="231" t="s">
        <v>16</v>
      </c>
      <c r="N1439" s="231"/>
      <c r="O1439" s="231">
        <v>2024</v>
      </c>
      <c r="P1439" s="285">
        <v>45569</v>
      </c>
      <c r="Q1439" s="231"/>
      <c r="R1439" s="231"/>
      <c r="S1439" s="241" t="s">
        <v>453</v>
      </c>
      <c r="T1439" s="231"/>
    </row>
    <row r="1440" spans="1:20" ht="14">
      <c r="A1440" s="231">
        <v>1439</v>
      </c>
      <c r="B1440" s="231" t="s">
        <v>49</v>
      </c>
      <c r="C1440" s="231" t="s">
        <v>10</v>
      </c>
      <c r="D1440" s="237" t="s">
        <v>3188</v>
      </c>
      <c r="E1440" s="239"/>
      <c r="F1440" s="231"/>
      <c r="G1440" s="231"/>
      <c r="H1440" s="231" t="s">
        <v>124</v>
      </c>
      <c r="I1440" s="281">
        <v>0</v>
      </c>
      <c r="J1440" s="249">
        <v>200</v>
      </c>
      <c r="K1440" s="231">
        <f t="shared" si="30"/>
        <v>10</v>
      </c>
      <c r="L1440" s="231"/>
      <c r="M1440" s="299" t="s">
        <v>15</v>
      </c>
      <c r="N1440" s="231"/>
      <c r="O1440" s="231">
        <v>2024</v>
      </c>
      <c r="P1440" s="285">
        <v>45586</v>
      </c>
      <c r="Q1440" s="231"/>
      <c r="R1440" s="231"/>
      <c r="S1440" s="241" t="s">
        <v>453</v>
      </c>
      <c r="T1440" s="231"/>
    </row>
    <row r="1441" spans="1:20" ht="14">
      <c r="A1441" s="231">
        <v>1440</v>
      </c>
      <c r="B1441" s="231" t="s">
        <v>52</v>
      </c>
      <c r="C1441" s="231" t="s">
        <v>10</v>
      </c>
      <c r="D1441" s="237" t="s">
        <v>3189</v>
      </c>
      <c r="E1441" s="239"/>
      <c r="F1441" s="231"/>
      <c r="G1441" s="231"/>
      <c r="H1441" s="231" t="s">
        <v>582</v>
      </c>
      <c r="I1441" s="281">
        <v>0</v>
      </c>
      <c r="J1441" s="249">
        <v>0</v>
      </c>
      <c r="K1441" s="231">
        <f t="shared" si="30"/>
        <v>20</v>
      </c>
      <c r="L1441" s="231"/>
      <c r="M1441" s="231" t="s">
        <v>16</v>
      </c>
      <c r="N1441" s="231"/>
      <c r="O1441" s="231">
        <v>2024</v>
      </c>
      <c r="P1441" s="285">
        <v>45548</v>
      </c>
      <c r="Q1441" s="231"/>
      <c r="R1441" s="231"/>
      <c r="S1441" s="241" t="s">
        <v>453</v>
      </c>
      <c r="T1441" s="231"/>
    </row>
    <row r="1442" spans="1:20" ht="14">
      <c r="A1442" s="231">
        <v>1441</v>
      </c>
      <c r="B1442" s="231" t="s">
        <v>52</v>
      </c>
      <c r="C1442" s="231" t="s">
        <v>10</v>
      </c>
      <c r="D1442" s="237" t="s">
        <v>3190</v>
      </c>
      <c r="E1442" s="239"/>
      <c r="F1442" s="231"/>
      <c r="G1442" s="231"/>
      <c r="H1442" s="231" t="s">
        <v>166</v>
      </c>
      <c r="I1442" s="281">
        <v>0</v>
      </c>
      <c r="J1442" s="249">
        <v>300</v>
      </c>
      <c r="K1442" s="231">
        <f t="shared" si="30"/>
        <v>20</v>
      </c>
      <c r="L1442" s="231"/>
      <c r="M1442" s="231" t="s">
        <v>16</v>
      </c>
      <c r="N1442" s="231"/>
      <c r="O1442" s="231">
        <v>2024</v>
      </c>
      <c r="P1442" s="285">
        <v>45545</v>
      </c>
      <c r="Q1442" s="231"/>
      <c r="R1442" s="231"/>
      <c r="S1442" s="241" t="s">
        <v>453</v>
      </c>
      <c r="T1442" s="231"/>
    </row>
    <row r="1443" spans="1:20" ht="14">
      <c r="A1443" s="231">
        <v>1442</v>
      </c>
      <c r="B1443" s="231" t="s">
        <v>52</v>
      </c>
      <c r="C1443" s="231" t="s">
        <v>10</v>
      </c>
      <c r="D1443" s="237" t="s">
        <v>3191</v>
      </c>
      <c r="E1443" s="239"/>
      <c r="F1443" s="231"/>
      <c r="G1443" s="231"/>
      <c r="H1443" s="231" t="s">
        <v>4580</v>
      </c>
      <c r="I1443" s="281">
        <v>0</v>
      </c>
      <c r="J1443" s="249">
        <v>850</v>
      </c>
      <c r="K1443" s="231">
        <f t="shared" si="30"/>
        <v>20</v>
      </c>
      <c r="L1443" s="231"/>
      <c r="M1443" s="231" t="s">
        <v>16</v>
      </c>
      <c r="N1443" s="231"/>
      <c r="O1443" s="231">
        <v>2024</v>
      </c>
      <c r="P1443" s="285">
        <v>45554</v>
      </c>
      <c r="Q1443" s="231"/>
      <c r="R1443" s="231"/>
      <c r="S1443" s="241" t="s">
        <v>453</v>
      </c>
      <c r="T1443" s="231"/>
    </row>
    <row r="1444" spans="1:20" ht="14">
      <c r="A1444" s="231">
        <v>1443</v>
      </c>
      <c r="B1444" s="281" t="s">
        <v>55</v>
      </c>
      <c r="C1444" s="231" t="s">
        <v>10</v>
      </c>
      <c r="D1444" s="237" t="s">
        <v>4716</v>
      </c>
      <c r="E1444" s="239"/>
      <c r="F1444" s="231"/>
      <c r="G1444" s="231"/>
      <c r="H1444" s="231" t="s">
        <v>2894</v>
      </c>
      <c r="I1444" s="281">
        <v>0</v>
      </c>
      <c r="J1444" s="249">
        <v>750</v>
      </c>
      <c r="K1444" s="231" t="b">
        <f t="shared" si="30"/>
        <v>0</v>
      </c>
      <c r="L1444" s="231"/>
      <c r="M1444" s="231" t="s">
        <v>3437</v>
      </c>
      <c r="N1444" s="231"/>
      <c r="O1444" s="231">
        <v>2024</v>
      </c>
      <c r="P1444" s="285">
        <v>45565</v>
      </c>
      <c r="Q1444" s="231"/>
      <c r="R1444" s="231"/>
      <c r="S1444" s="241" t="s">
        <v>457</v>
      </c>
      <c r="T1444" s="231"/>
    </row>
    <row r="1445" spans="1:20" ht="14">
      <c r="A1445" s="231">
        <v>1444</v>
      </c>
      <c r="B1445" s="231" t="s">
        <v>52</v>
      </c>
      <c r="C1445" s="231" t="s">
        <v>10</v>
      </c>
      <c r="D1445" s="237" t="s">
        <v>3192</v>
      </c>
      <c r="E1445" s="239"/>
      <c r="F1445" s="231"/>
      <c r="G1445" s="231"/>
      <c r="H1445" s="231" t="s">
        <v>4581</v>
      </c>
      <c r="I1445" s="281">
        <v>0</v>
      </c>
      <c r="J1445" s="249">
        <v>850</v>
      </c>
      <c r="K1445" s="231" t="s">
        <v>456</v>
      </c>
      <c r="L1445" s="231"/>
      <c r="M1445" s="231" t="s">
        <v>16</v>
      </c>
      <c r="N1445" s="231"/>
      <c r="O1445" s="231">
        <v>2024</v>
      </c>
      <c r="P1445" s="285">
        <v>45527</v>
      </c>
      <c r="Q1445" s="231"/>
      <c r="R1445" s="231"/>
      <c r="S1445" s="241" t="s">
        <v>453</v>
      </c>
      <c r="T1445" s="231"/>
    </row>
    <row r="1446" spans="1:20" ht="14">
      <c r="A1446" s="231">
        <v>1445</v>
      </c>
      <c r="B1446" s="281" t="s">
        <v>55</v>
      </c>
      <c r="C1446" s="231" t="s">
        <v>10</v>
      </c>
      <c r="D1446" s="237" t="s">
        <v>4717</v>
      </c>
      <c r="E1446" s="239"/>
      <c r="F1446" s="231"/>
      <c r="G1446" s="231"/>
      <c r="H1446" s="231" t="s">
        <v>2894</v>
      </c>
      <c r="I1446" s="281">
        <v>0</v>
      </c>
      <c r="J1446" s="249">
        <v>730</v>
      </c>
      <c r="K1446" s="231" t="b">
        <f t="shared" ref="K1446:K1450" si="31">IF(M1446="ONT",20,IF(M1446="N/A","N/A",IF(M1446="MIKROTIK",IF(J1446&lt;3000,10,IF(3000&lt;J1446&gt;10000,20,IF(10000&lt;J1446&gt;20000,40,IF(20000&lt;J1446&gt;40000,60,IF(J1446&gt;40000,80,IF(J1446&lt;300,3,)))))))))</f>
        <v>0</v>
      </c>
      <c r="L1446" s="231"/>
      <c r="M1446" s="231" t="s">
        <v>3437</v>
      </c>
      <c r="N1446" s="231"/>
      <c r="O1446" s="231">
        <v>2024</v>
      </c>
      <c r="P1446" s="285">
        <v>45531</v>
      </c>
      <c r="Q1446" s="231"/>
      <c r="R1446" s="231"/>
      <c r="S1446" s="241" t="s">
        <v>453</v>
      </c>
      <c r="T1446" s="231"/>
    </row>
    <row r="1447" spans="1:20" ht="14">
      <c r="A1447" s="231">
        <v>1446</v>
      </c>
      <c r="B1447" s="231" t="s">
        <v>52</v>
      </c>
      <c r="C1447" s="231" t="s">
        <v>10</v>
      </c>
      <c r="D1447" s="237" t="s">
        <v>3193</v>
      </c>
      <c r="E1447" s="239"/>
      <c r="F1447" s="231"/>
      <c r="G1447" s="231"/>
      <c r="H1447" s="231" t="s">
        <v>2767</v>
      </c>
      <c r="I1447" s="281">
        <v>0</v>
      </c>
      <c r="J1447" s="249">
        <v>250</v>
      </c>
      <c r="K1447" s="231">
        <f t="shared" si="31"/>
        <v>20</v>
      </c>
      <c r="L1447" s="231"/>
      <c r="M1447" s="231" t="s">
        <v>16</v>
      </c>
      <c r="N1447" s="231"/>
      <c r="O1447" s="231">
        <v>2024</v>
      </c>
      <c r="P1447" s="285">
        <v>45557</v>
      </c>
      <c r="Q1447" s="231"/>
      <c r="R1447" s="231"/>
      <c r="S1447" s="241" t="s">
        <v>453</v>
      </c>
      <c r="T1447" s="231"/>
    </row>
    <row r="1448" spans="1:20" ht="14">
      <c r="A1448" s="231">
        <v>1447</v>
      </c>
      <c r="B1448" s="231" t="s">
        <v>52</v>
      </c>
      <c r="C1448" s="231" t="s">
        <v>10</v>
      </c>
      <c r="D1448" s="237" t="s">
        <v>3194</v>
      </c>
      <c r="E1448" s="239"/>
      <c r="F1448" s="231"/>
      <c r="G1448" s="231"/>
      <c r="H1448" s="231" t="s">
        <v>2767</v>
      </c>
      <c r="I1448" s="281">
        <v>0</v>
      </c>
      <c r="J1448" s="249">
        <v>300</v>
      </c>
      <c r="K1448" s="231">
        <f t="shared" si="31"/>
        <v>20</v>
      </c>
      <c r="L1448" s="231"/>
      <c r="M1448" s="231" t="s">
        <v>16</v>
      </c>
      <c r="N1448" s="231"/>
      <c r="O1448" s="231">
        <v>2024</v>
      </c>
      <c r="P1448" s="285">
        <v>45541</v>
      </c>
      <c r="Q1448" s="231"/>
      <c r="R1448" s="231"/>
      <c r="S1448" s="241" t="s">
        <v>457</v>
      </c>
      <c r="T1448" s="231"/>
    </row>
    <row r="1449" spans="1:20" ht="14">
      <c r="A1449" s="231">
        <v>1448</v>
      </c>
      <c r="B1449" s="281" t="s">
        <v>55</v>
      </c>
      <c r="C1449" s="231" t="s">
        <v>10</v>
      </c>
      <c r="D1449" s="237" t="s">
        <v>3195</v>
      </c>
      <c r="E1449" s="239"/>
      <c r="F1449" s="231"/>
      <c r="G1449" s="231"/>
      <c r="H1449" s="231" t="s">
        <v>2894</v>
      </c>
      <c r="I1449" s="281">
        <v>0</v>
      </c>
      <c r="J1449" s="249">
        <v>500</v>
      </c>
      <c r="K1449" s="231" t="b">
        <f t="shared" si="31"/>
        <v>0</v>
      </c>
      <c r="L1449" s="231"/>
      <c r="M1449" s="231" t="s">
        <v>3437</v>
      </c>
      <c r="N1449" s="231"/>
      <c r="O1449" s="231">
        <v>2024</v>
      </c>
      <c r="P1449" s="285">
        <v>45541</v>
      </c>
      <c r="Q1449" s="231"/>
      <c r="R1449" s="231"/>
      <c r="S1449" s="241" t="s">
        <v>453</v>
      </c>
      <c r="T1449" s="231"/>
    </row>
    <row r="1450" spans="1:20" ht="14">
      <c r="A1450" s="231">
        <v>1449</v>
      </c>
      <c r="B1450" s="231" t="s">
        <v>52</v>
      </c>
      <c r="C1450" s="231" t="s">
        <v>10</v>
      </c>
      <c r="D1450" s="237" t="s">
        <v>3196</v>
      </c>
      <c r="E1450" s="239"/>
      <c r="F1450" s="231"/>
      <c r="G1450" s="231"/>
      <c r="H1450" s="231" t="s">
        <v>2773</v>
      </c>
      <c r="I1450" s="281">
        <v>0</v>
      </c>
      <c r="J1450" s="249">
        <v>350</v>
      </c>
      <c r="K1450" s="231">
        <f t="shared" si="31"/>
        <v>20</v>
      </c>
      <c r="L1450" s="231"/>
      <c r="M1450" s="231" t="s">
        <v>16</v>
      </c>
      <c r="N1450" s="231"/>
      <c r="O1450" s="231">
        <v>2024</v>
      </c>
      <c r="P1450" s="285">
        <v>45544</v>
      </c>
      <c r="Q1450" s="231"/>
      <c r="R1450" s="231"/>
      <c r="S1450" s="241" t="s">
        <v>453</v>
      </c>
      <c r="T1450" s="231"/>
    </row>
    <row r="1451" spans="1:20" ht="14">
      <c r="A1451" s="231">
        <v>1450</v>
      </c>
      <c r="B1451" s="231" t="s">
        <v>53</v>
      </c>
      <c r="C1451" s="231" t="s">
        <v>10</v>
      </c>
      <c r="D1451" s="237" t="s">
        <v>3197</v>
      </c>
      <c r="E1451" s="239"/>
      <c r="F1451" s="231"/>
      <c r="G1451" s="231"/>
      <c r="H1451" s="231" t="s">
        <v>4559</v>
      </c>
      <c r="I1451" s="281">
        <v>0</v>
      </c>
      <c r="J1451" s="249">
        <v>350</v>
      </c>
      <c r="K1451" s="231">
        <v>10</v>
      </c>
      <c r="L1451" s="231"/>
      <c r="M1451" s="299" t="s">
        <v>15</v>
      </c>
      <c r="N1451" s="231"/>
      <c r="O1451" s="231">
        <v>2024</v>
      </c>
      <c r="P1451" s="285">
        <v>45525</v>
      </c>
      <c r="Q1451" s="231"/>
      <c r="R1451" s="231"/>
      <c r="S1451" s="241" t="s">
        <v>453</v>
      </c>
      <c r="T1451" s="231"/>
    </row>
    <row r="1452" spans="1:20" ht="14">
      <c r="A1452" s="231">
        <v>1451</v>
      </c>
      <c r="B1452" s="231" t="s">
        <v>53</v>
      </c>
      <c r="C1452" s="231" t="s">
        <v>10</v>
      </c>
      <c r="D1452" s="237" t="s">
        <v>3198</v>
      </c>
      <c r="E1452" s="239"/>
      <c r="F1452" s="231"/>
      <c r="G1452" s="231"/>
      <c r="H1452" s="231" t="s">
        <v>221</v>
      </c>
      <c r="I1452" s="281">
        <v>0</v>
      </c>
      <c r="J1452" s="249">
        <v>350</v>
      </c>
      <c r="K1452" s="231">
        <f t="shared" ref="K1452:K1470" si="32">IF(M1452="ONT",20,IF(M1452="N/A","N/A",IF(M1452="MIKROTIK",IF(J1452&lt;3000,10,IF(3000&lt;J1452&gt;10000,20,IF(10000&lt;J1452&gt;20000,40,IF(20000&lt;J1452&gt;40000,60,IF(J1452&gt;40000,80,IF(J1452&lt;300,3,)))))))))</f>
        <v>10</v>
      </c>
      <c r="L1452" s="231"/>
      <c r="M1452" s="299" t="s">
        <v>15</v>
      </c>
      <c r="N1452" s="231"/>
      <c r="O1452" s="231">
        <v>2024</v>
      </c>
      <c r="P1452" s="285">
        <v>45525</v>
      </c>
      <c r="Q1452" s="231"/>
      <c r="R1452" s="231"/>
      <c r="S1452" s="241" t="s">
        <v>453</v>
      </c>
      <c r="T1452" s="231"/>
    </row>
    <row r="1453" spans="1:20" ht="14">
      <c r="A1453" s="231">
        <v>1452</v>
      </c>
      <c r="B1453" s="231" t="s">
        <v>52</v>
      </c>
      <c r="C1453" s="231" t="s">
        <v>10</v>
      </c>
      <c r="D1453" s="237" t="s">
        <v>3199</v>
      </c>
      <c r="E1453" s="239"/>
      <c r="F1453" s="231"/>
      <c r="G1453" s="231"/>
      <c r="H1453" s="231" t="s">
        <v>3524</v>
      </c>
      <c r="I1453" s="281">
        <v>0</v>
      </c>
      <c r="J1453" s="249">
        <v>850</v>
      </c>
      <c r="K1453" s="231">
        <f t="shared" si="32"/>
        <v>10</v>
      </c>
      <c r="L1453" s="231"/>
      <c r="M1453" s="299" t="s">
        <v>15</v>
      </c>
      <c r="N1453" s="231"/>
      <c r="O1453" s="231">
        <v>2024</v>
      </c>
      <c r="P1453" s="285">
        <v>45569</v>
      </c>
      <c r="Q1453" s="231"/>
      <c r="R1453" s="231"/>
      <c r="S1453" s="241" t="s">
        <v>457</v>
      </c>
      <c r="T1453" s="231"/>
    </row>
    <row r="1454" spans="1:20" ht="14">
      <c r="A1454" s="231">
        <v>1453</v>
      </c>
      <c r="B1454" s="231" t="s">
        <v>52</v>
      </c>
      <c r="C1454" s="231" t="s">
        <v>10</v>
      </c>
      <c r="D1454" s="237" t="s">
        <v>3200</v>
      </c>
      <c r="E1454" s="239"/>
      <c r="F1454" s="231"/>
      <c r="G1454" s="231"/>
      <c r="H1454" s="231" t="s">
        <v>3060</v>
      </c>
      <c r="I1454" s="281">
        <v>0</v>
      </c>
      <c r="J1454" s="249">
        <v>900</v>
      </c>
      <c r="K1454" s="231">
        <f t="shared" si="32"/>
        <v>20</v>
      </c>
      <c r="L1454" s="231"/>
      <c r="M1454" s="231" t="s">
        <v>16</v>
      </c>
      <c r="N1454" s="231"/>
      <c r="O1454" s="231">
        <v>2024</v>
      </c>
      <c r="P1454" s="285">
        <v>45539</v>
      </c>
      <c r="Q1454" s="231"/>
      <c r="R1454" s="231"/>
      <c r="S1454" s="241" t="s">
        <v>453</v>
      </c>
      <c r="T1454" s="231"/>
    </row>
    <row r="1455" spans="1:20" ht="14">
      <c r="A1455" s="231">
        <v>1454</v>
      </c>
      <c r="B1455" s="231" t="s">
        <v>52</v>
      </c>
      <c r="C1455" s="231" t="s">
        <v>10</v>
      </c>
      <c r="D1455" s="237" t="s">
        <v>3201</v>
      </c>
      <c r="E1455" s="239"/>
      <c r="F1455" s="231"/>
      <c r="G1455" s="231"/>
      <c r="H1455" s="231" t="s">
        <v>2763</v>
      </c>
      <c r="I1455" s="281">
        <v>0</v>
      </c>
      <c r="J1455" s="249">
        <v>350</v>
      </c>
      <c r="K1455" s="231">
        <f t="shared" si="32"/>
        <v>20</v>
      </c>
      <c r="L1455" s="231"/>
      <c r="M1455" s="231" t="s">
        <v>16</v>
      </c>
      <c r="N1455" s="231"/>
      <c r="O1455" s="231">
        <v>2024</v>
      </c>
      <c r="P1455" s="285">
        <v>45530</v>
      </c>
      <c r="Q1455" s="231"/>
      <c r="R1455" s="231"/>
      <c r="S1455" s="241" t="s">
        <v>453</v>
      </c>
      <c r="T1455" s="231"/>
    </row>
    <row r="1456" spans="1:20" ht="14">
      <c r="A1456" s="231">
        <v>1455</v>
      </c>
      <c r="B1456" s="231" t="s">
        <v>52</v>
      </c>
      <c r="C1456" s="231" t="s">
        <v>10</v>
      </c>
      <c r="D1456" s="237" t="s">
        <v>3202</v>
      </c>
      <c r="E1456" s="239"/>
      <c r="F1456" s="231"/>
      <c r="G1456" s="231"/>
      <c r="H1456" s="231" t="s">
        <v>2773</v>
      </c>
      <c r="I1456" s="281">
        <v>0</v>
      </c>
      <c r="J1456" s="249">
        <v>120</v>
      </c>
      <c r="K1456" s="231">
        <f t="shared" si="32"/>
        <v>20</v>
      </c>
      <c r="L1456" s="231"/>
      <c r="M1456" s="231" t="s">
        <v>16</v>
      </c>
      <c r="N1456" s="231"/>
      <c r="O1456" s="231">
        <v>2024</v>
      </c>
      <c r="P1456" s="285">
        <v>45532</v>
      </c>
      <c r="Q1456" s="231"/>
      <c r="R1456" s="231"/>
      <c r="S1456" s="241" t="s">
        <v>453</v>
      </c>
      <c r="T1456" s="231"/>
    </row>
    <row r="1457" spans="1:20" ht="14">
      <c r="A1457" s="231">
        <v>1456</v>
      </c>
      <c r="B1457" s="231" t="s">
        <v>52</v>
      </c>
      <c r="C1457" s="231" t="s">
        <v>10</v>
      </c>
      <c r="D1457" s="237" t="s">
        <v>3203</v>
      </c>
      <c r="E1457" s="239"/>
      <c r="F1457" s="231"/>
      <c r="G1457" s="231"/>
      <c r="H1457" s="231" t="s">
        <v>2773</v>
      </c>
      <c r="I1457" s="281">
        <v>0</v>
      </c>
      <c r="J1457" s="249">
        <v>120</v>
      </c>
      <c r="K1457" s="231">
        <f t="shared" si="32"/>
        <v>20</v>
      </c>
      <c r="L1457" s="231"/>
      <c r="M1457" s="231" t="s">
        <v>16</v>
      </c>
      <c r="N1457" s="231"/>
      <c r="O1457" s="231">
        <v>2024</v>
      </c>
      <c r="P1457" s="285">
        <v>45532</v>
      </c>
      <c r="Q1457" s="231"/>
      <c r="R1457" s="231"/>
      <c r="S1457" s="241" t="s">
        <v>453</v>
      </c>
      <c r="T1457" s="231"/>
    </row>
    <row r="1458" spans="1:20" ht="14">
      <c r="A1458" s="231">
        <v>1457</v>
      </c>
      <c r="B1458" s="231" t="s">
        <v>52</v>
      </c>
      <c r="C1458" s="231" t="s">
        <v>10</v>
      </c>
      <c r="D1458" s="237" t="s">
        <v>3204</v>
      </c>
      <c r="E1458" s="239"/>
      <c r="F1458" s="231"/>
      <c r="G1458" s="231"/>
      <c r="H1458" s="231" t="s">
        <v>2763</v>
      </c>
      <c r="I1458" s="281">
        <v>0</v>
      </c>
      <c r="J1458" s="249">
        <v>350</v>
      </c>
      <c r="K1458" s="231">
        <f t="shared" si="32"/>
        <v>20</v>
      </c>
      <c r="L1458" s="231"/>
      <c r="M1458" s="231" t="s">
        <v>16</v>
      </c>
      <c r="N1458" s="231"/>
      <c r="O1458" s="231">
        <v>2024</v>
      </c>
      <c r="P1458" s="285">
        <v>45552</v>
      </c>
      <c r="Q1458" s="231"/>
      <c r="R1458" s="231"/>
      <c r="S1458" s="241" t="s">
        <v>453</v>
      </c>
      <c r="T1458" s="231"/>
    </row>
    <row r="1459" spans="1:20" ht="14">
      <c r="A1459" s="231">
        <v>1458</v>
      </c>
      <c r="B1459" s="231" t="s">
        <v>49</v>
      </c>
      <c r="C1459" s="231" t="s">
        <v>10</v>
      </c>
      <c r="D1459" s="237" t="s">
        <v>3205</v>
      </c>
      <c r="E1459" s="239"/>
      <c r="F1459" s="231"/>
      <c r="G1459" s="231"/>
      <c r="H1459" s="231" t="s">
        <v>452</v>
      </c>
      <c r="I1459" s="281">
        <v>0</v>
      </c>
      <c r="J1459" s="249">
        <v>350</v>
      </c>
      <c r="K1459" s="231">
        <f t="shared" si="32"/>
        <v>20</v>
      </c>
      <c r="L1459" s="231"/>
      <c r="M1459" s="231" t="s">
        <v>16</v>
      </c>
      <c r="N1459" s="231"/>
      <c r="O1459" s="231">
        <v>2024</v>
      </c>
      <c r="P1459" s="285">
        <v>45555</v>
      </c>
      <c r="Q1459" s="231"/>
      <c r="R1459" s="231"/>
      <c r="S1459" s="241" t="s">
        <v>453</v>
      </c>
      <c r="T1459" s="231"/>
    </row>
    <row r="1460" spans="1:20" ht="14">
      <c r="A1460" s="231">
        <v>1459</v>
      </c>
      <c r="B1460" s="231" t="s">
        <v>49</v>
      </c>
      <c r="C1460" s="231" t="s">
        <v>10</v>
      </c>
      <c r="D1460" s="237" t="s">
        <v>3206</v>
      </c>
      <c r="E1460" s="239"/>
      <c r="F1460" s="231"/>
      <c r="G1460" s="231"/>
      <c r="H1460" s="231" t="s">
        <v>603</v>
      </c>
      <c r="I1460" s="281">
        <v>0</v>
      </c>
      <c r="J1460" s="249">
        <v>600</v>
      </c>
      <c r="K1460" s="231">
        <f t="shared" si="32"/>
        <v>20</v>
      </c>
      <c r="L1460" s="231"/>
      <c r="M1460" s="231" t="s">
        <v>16</v>
      </c>
      <c r="N1460" s="231"/>
      <c r="O1460" s="231">
        <v>2024</v>
      </c>
      <c r="P1460" s="285">
        <v>45564</v>
      </c>
      <c r="Q1460" s="231"/>
      <c r="R1460" s="231"/>
      <c r="S1460" s="241" t="s">
        <v>453</v>
      </c>
      <c r="T1460" s="231"/>
    </row>
    <row r="1461" spans="1:20" ht="14">
      <c r="A1461" s="231">
        <v>1460</v>
      </c>
      <c r="B1461" s="231" t="s">
        <v>52</v>
      </c>
      <c r="C1461" s="231" t="s">
        <v>10</v>
      </c>
      <c r="D1461" s="237" t="s">
        <v>3207</v>
      </c>
      <c r="E1461" s="239"/>
      <c r="F1461" s="231"/>
      <c r="G1461" s="231"/>
      <c r="H1461" s="231" t="s">
        <v>2877</v>
      </c>
      <c r="I1461" s="281">
        <v>0</v>
      </c>
      <c r="J1461" s="249">
        <v>350</v>
      </c>
      <c r="K1461" s="231">
        <f t="shared" si="32"/>
        <v>20</v>
      </c>
      <c r="L1461" s="231"/>
      <c r="M1461" s="231" t="s">
        <v>16</v>
      </c>
      <c r="N1461" s="231"/>
      <c r="O1461" s="231">
        <v>2024</v>
      </c>
      <c r="P1461" s="285">
        <v>45570</v>
      </c>
      <c r="Q1461" s="231"/>
      <c r="R1461" s="231"/>
      <c r="S1461" s="241" t="s">
        <v>453</v>
      </c>
      <c r="T1461" s="231"/>
    </row>
    <row r="1462" spans="1:20" ht="14">
      <c r="A1462" s="231">
        <v>1461</v>
      </c>
      <c r="B1462" s="231" t="s">
        <v>52</v>
      </c>
      <c r="C1462" s="231" t="s">
        <v>10</v>
      </c>
      <c r="D1462" s="237" t="s">
        <v>3208</v>
      </c>
      <c r="E1462" s="239"/>
      <c r="F1462" s="231"/>
      <c r="G1462" s="231"/>
      <c r="H1462" s="231" t="s">
        <v>2877</v>
      </c>
      <c r="I1462" s="281">
        <v>0</v>
      </c>
      <c r="J1462" s="249">
        <v>350</v>
      </c>
      <c r="K1462" s="231">
        <f t="shared" si="32"/>
        <v>20</v>
      </c>
      <c r="L1462" s="231"/>
      <c r="M1462" s="231" t="s">
        <v>16</v>
      </c>
      <c r="N1462" s="231"/>
      <c r="O1462" s="231">
        <v>2024</v>
      </c>
      <c r="P1462" s="285">
        <v>45570</v>
      </c>
      <c r="Q1462" s="231"/>
      <c r="R1462" s="231"/>
      <c r="S1462" s="241" t="s">
        <v>453</v>
      </c>
      <c r="T1462" s="231"/>
    </row>
    <row r="1463" spans="1:20" ht="14">
      <c r="A1463" s="231">
        <v>1462</v>
      </c>
      <c r="B1463" s="231" t="s">
        <v>52</v>
      </c>
      <c r="C1463" s="231" t="s">
        <v>10</v>
      </c>
      <c r="D1463" s="237" t="s">
        <v>3209</v>
      </c>
      <c r="E1463" s="239"/>
      <c r="F1463" s="231"/>
      <c r="G1463" s="231"/>
      <c r="H1463" s="231" t="s">
        <v>3583</v>
      </c>
      <c r="I1463" s="281">
        <v>0</v>
      </c>
      <c r="J1463" s="249">
        <v>350</v>
      </c>
      <c r="K1463" s="231">
        <f t="shared" si="32"/>
        <v>20</v>
      </c>
      <c r="L1463" s="231"/>
      <c r="M1463" s="231" t="s">
        <v>16</v>
      </c>
      <c r="N1463" s="231"/>
      <c r="O1463" s="231">
        <v>2024</v>
      </c>
      <c r="P1463" s="285">
        <v>45555</v>
      </c>
      <c r="Q1463" s="231"/>
      <c r="R1463" s="231"/>
      <c r="S1463" s="241" t="s">
        <v>453</v>
      </c>
      <c r="T1463" s="231"/>
    </row>
    <row r="1464" spans="1:20" ht="14">
      <c r="A1464" s="231">
        <v>1463</v>
      </c>
      <c r="B1464" s="231" t="s">
        <v>52</v>
      </c>
      <c r="C1464" s="231" t="s">
        <v>10</v>
      </c>
      <c r="D1464" s="237" t="s">
        <v>3210</v>
      </c>
      <c r="E1464" s="239"/>
      <c r="F1464" s="231"/>
      <c r="G1464" s="231"/>
      <c r="H1464" s="231" t="s">
        <v>3512</v>
      </c>
      <c r="I1464" s="281">
        <v>0</v>
      </c>
      <c r="J1464" s="249">
        <v>300</v>
      </c>
      <c r="K1464" s="231">
        <f t="shared" si="32"/>
        <v>20</v>
      </c>
      <c r="L1464" s="231"/>
      <c r="M1464" s="231" t="s">
        <v>16</v>
      </c>
      <c r="N1464" s="231"/>
      <c r="O1464" s="231">
        <v>2024</v>
      </c>
      <c r="P1464" s="285">
        <v>45548</v>
      </c>
      <c r="Q1464" s="231"/>
      <c r="R1464" s="231"/>
      <c r="S1464" s="241" t="s">
        <v>453</v>
      </c>
      <c r="T1464" s="231"/>
    </row>
    <row r="1465" spans="1:20" ht="14">
      <c r="A1465" s="231">
        <v>1464</v>
      </c>
      <c r="B1465" s="231" t="s">
        <v>52</v>
      </c>
      <c r="C1465" s="231" t="s">
        <v>10</v>
      </c>
      <c r="D1465" s="237" t="s">
        <v>3211</v>
      </c>
      <c r="E1465" s="239"/>
      <c r="F1465" s="231"/>
      <c r="G1465" s="231"/>
      <c r="H1465" s="231" t="s">
        <v>2763</v>
      </c>
      <c r="I1465" s="281">
        <v>0</v>
      </c>
      <c r="J1465" s="249">
        <v>800</v>
      </c>
      <c r="K1465" s="231">
        <f t="shared" si="32"/>
        <v>20</v>
      </c>
      <c r="L1465" s="231"/>
      <c r="M1465" s="231" t="s">
        <v>16</v>
      </c>
      <c r="N1465" s="231"/>
      <c r="O1465" s="231">
        <v>2024</v>
      </c>
      <c r="P1465" s="285">
        <v>45560</v>
      </c>
      <c r="Q1465" s="231"/>
      <c r="R1465" s="231"/>
      <c r="S1465" s="241" t="s">
        <v>453</v>
      </c>
      <c r="T1465" s="231"/>
    </row>
    <row r="1466" spans="1:20" ht="14">
      <c r="A1466" s="231">
        <v>1465</v>
      </c>
      <c r="B1466" s="231" t="s">
        <v>52</v>
      </c>
      <c r="C1466" s="231" t="s">
        <v>10</v>
      </c>
      <c r="D1466" s="237" t="s">
        <v>3212</v>
      </c>
      <c r="E1466" s="239"/>
      <c r="F1466" s="231"/>
      <c r="G1466" s="231"/>
      <c r="H1466" s="231" t="s">
        <v>2770</v>
      </c>
      <c r="I1466" s="281">
        <v>0</v>
      </c>
      <c r="J1466" s="249">
        <v>300</v>
      </c>
      <c r="K1466" s="231">
        <f t="shared" si="32"/>
        <v>20</v>
      </c>
      <c r="L1466" s="231"/>
      <c r="M1466" s="231" t="s">
        <v>16</v>
      </c>
      <c r="N1466" s="231"/>
      <c r="O1466" s="231">
        <v>2024</v>
      </c>
      <c r="P1466" s="285">
        <v>45551</v>
      </c>
      <c r="Q1466" s="231"/>
      <c r="R1466" s="231"/>
      <c r="S1466" s="241" t="s">
        <v>453</v>
      </c>
      <c r="T1466" s="231"/>
    </row>
    <row r="1467" spans="1:20" ht="14">
      <c r="A1467" s="231">
        <v>1466</v>
      </c>
      <c r="B1467" s="231" t="s">
        <v>52</v>
      </c>
      <c r="C1467" s="231" t="s">
        <v>10</v>
      </c>
      <c r="D1467" s="237" t="s">
        <v>3213</v>
      </c>
      <c r="E1467" s="239"/>
      <c r="F1467" s="231"/>
      <c r="G1467" s="231"/>
      <c r="H1467" s="231" t="s">
        <v>2770</v>
      </c>
      <c r="I1467" s="281">
        <v>0</v>
      </c>
      <c r="J1467" s="249">
        <v>300</v>
      </c>
      <c r="K1467" s="231">
        <f t="shared" si="32"/>
        <v>20</v>
      </c>
      <c r="L1467" s="231"/>
      <c r="M1467" s="231" t="s">
        <v>16</v>
      </c>
      <c r="N1467" s="231"/>
      <c r="O1467" s="231">
        <v>2024</v>
      </c>
      <c r="P1467" s="285">
        <v>45563</v>
      </c>
      <c r="Q1467" s="231"/>
      <c r="R1467" s="231"/>
      <c r="S1467" s="241" t="s">
        <v>453</v>
      </c>
      <c r="T1467" s="231"/>
    </row>
    <row r="1468" spans="1:20" ht="14">
      <c r="A1468" s="231">
        <v>1467</v>
      </c>
      <c r="B1468" s="231" t="s">
        <v>52</v>
      </c>
      <c r="C1468" s="231" t="s">
        <v>10</v>
      </c>
      <c r="D1468" s="237" t="s">
        <v>3214</v>
      </c>
      <c r="E1468" s="239"/>
      <c r="F1468" s="231"/>
      <c r="G1468" s="231"/>
      <c r="H1468" s="231" t="s">
        <v>2770</v>
      </c>
      <c r="I1468" s="281">
        <v>0</v>
      </c>
      <c r="J1468" s="249">
        <v>300</v>
      </c>
      <c r="K1468" s="231">
        <f t="shared" si="32"/>
        <v>20</v>
      </c>
      <c r="L1468" s="231"/>
      <c r="M1468" s="231" t="s">
        <v>16</v>
      </c>
      <c r="N1468" s="231"/>
      <c r="O1468" s="231">
        <v>2024</v>
      </c>
      <c r="P1468" s="285">
        <v>45555</v>
      </c>
      <c r="Q1468" s="231"/>
      <c r="R1468" s="231"/>
      <c r="S1468" s="241" t="s">
        <v>453</v>
      </c>
      <c r="T1468" s="231"/>
    </row>
    <row r="1469" spans="1:20" ht="14">
      <c r="A1469" s="231">
        <v>1468</v>
      </c>
      <c r="B1469" s="231" t="s">
        <v>52</v>
      </c>
      <c r="C1469" s="231" t="s">
        <v>10</v>
      </c>
      <c r="D1469" s="237" t="s">
        <v>3215</v>
      </c>
      <c r="E1469" s="239"/>
      <c r="F1469" s="231"/>
      <c r="G1469" s="231"/>
      <c r="H1469" s="231" t="s">
        <v>3060</v>
      </c>
      <c r="I1469" s="281">
        <v>0</v>
      </c>
      <c r="J1469" s="249">
        <v>350</v>
      </c>
      <c r="K1469" s="231">
        <f t="shared" si="32"/>
        <v>20</v>
      </c>
      <c r="L1469" s="231"/>
      <c r="M1469" s="231" t="s">
        <v>16</v>
      </c>
      <c r="N1469" s="231"/>
      <c r="O1469" s="231">
        <v>2024</v>
      </c>
      <c r="P1469" s="285">
        <v>45541</v>
      </c>
      <c r="Q1469" s="231"/>
      <c r="R1469" s="231"/>
      <c r="S1469" s="241" t="s">
        <v>453</v>
      </c>
      <c r="T1469" s="231"/>
    </row>
    <row r="1470" spans="1:20" ht="14">
      <c r="A1470" s="231">
        <v>1469</v>
      </c>
      <c r="B1470" s="231" t="s">
        <v>55</v>
      </c>
      <c r="C1470" s="231" t="s">
        <v>10</v>
      </c>
      <c r="D1470" s="237" t="s">
        <v>3216</v>
      </c>
      <c r="E1470" s="239"/>
      <c r="F1470" s="231"/>
      <c r="G1470" s="231"/>
      <c r="H1470" s="231" t="s">
        <v>2894</v>
      </c>
      <c r="I1470" s="281">
        <v>0</v>
      </c>
      <c r="J1470" s="249">
        <v>200</v>
      </c>
      <c r="K1470" s="231">
        <f t="shared" si="32"/>
        <v>20</v>
      </c>
      <c r="L1470" s="231"/>
      <c r="M1470" s="231" t="s">
        <v>16</v>
      </c>
      <c r="N1470" s="231"/>
      <c r="O1470" s="231">
        <v>2024</v>
      </c>
      <c r="P1470" s="285">
        <v>45548</v>
      </c>
      <c r="Q1470" s="231"/>
      <c r="R1470" s="231"/>
      <c r="S1470" s="241" t="s">
        <v>453</v>
      </c>
      <c r="T1470" s="231"/>
    </row>
    <row r="1471" spans="1:20" ht="14">
      <c r="A1471" s="231">
        <v>1470</v>
      </c>
      <c r="B1471" s="231" t="s">
        <v>51</v>
      </c>
      <c r="C1471" s="231" t="s">
        <v>10</v>
      </c>
      <c r="D1471" s="237" t="s">
        <v>3217</v>
      </c>
      <c r="E1471" s="239"/>
      <c r="F1471" s="231"/>
      <c r="G1471" s="231"/>
      <c r="H1471" s="231" t="s">
        <v>3218</v>
      </c>
      <c r="I1471" s="281">
        <v>0</v>
      </c>
      <c r="J1471" s="249">
        <v>450</v>
      </c>
      <c r="K1471" s="231">
        <v>20</v>
      </c>
      <c r="L1471" s="231"/>
      <c r="M1471" s="299" t="s">
        <v>15</v>
      </c>
      <c r="N1471" s="231"/>
      <c r="O1471" s="231">
        <v>2024</v>
      </c>
      <c r="P1471" s="285">
        <v>45544</v>
      </c>
      <c r="Q1471" s="231"/>
      <c r="R1471" s="231"/>
      <c r="S1471" s="241" t="s">
        <v>453</v>
      </c>
      <c r="T1471" s="231"/>
    </row>
    <row r="1472" spans="1:20" ht="14">
      <c r="A1472" s="231">
        <v>1471</v>
      </c>
      <c r="B1472" s="231" t="s">
        <v>52</v>
      </c>
      <c r="C1472" s="231" t="s">
        <v>10</v>
      </c>
      <c r="D1472" s="237" t="s">
        <v>3219</v>
      </c>
      <c r="E1472" s="239"/>
      <c r="F1472" s="231"/>
      <c r="G1472" s="231"/>
      <c r="H1472" s="231" t="s">
        <v>3507</v>
      </c>
      <c r="I1472" s="281">
        <v>0</v>
      </c>
      <c r="J1472" s="249">
        <v>900</v>
      </c>
      <c r="K1472" s="231">
        <f t="shared" ref="K1472:K1524" si="33">IF(M1472="ONT",20,IF(M1472="N/A","N/A",IF(M1472="MIKROTIK",IF(J1472&lt;3000,10,IF(3000&lt;J1472&gt;10000,20,IF(10000&lt;J1472&gt;20000,40,IF(20000&lt;J1472&gt;40000,60,IF(J1472&gt;40000,80,IF(J1472&lt;300,3,)))))))))</f>
        <v>20</v>
      </c>
      <c r="L1472" s="231"/>
      <c r="M1472" s="231" t="s">
        <v>16</v>
      </c>
      <c r="N1472" s="231"/>
      <c r="O1472" s="231">
        <v>2024</v>
      </c>
      <c r="P1472" s="285">
        <v>45561</v>
      </c>
      <c r="Q1472" s="231"/>
      <c r="R1472" s="231"/>
      <c r="S1472" s="241" t="s">
        <v>453</v>
      </c>
      <c r="T1472" s="231"/>
    </row>
    <row r="1473" spans="1:20" ht="14">
      <c r="A1473" s="231">
        <v>1472</v>
      </c>
      <c r="B1473" s="231" t="s">
        <v>52</v>
      </c>
      <c r="C1473" s="231" t="s">
        <v>10</v>
      </c>
      <c r="D1473" s="237" t="s">
        <v>3220</v>
      </c>
      <c r="E1473" s="239"/>
      <c r="F1473" s="231"/>
      <c r="G1473" s="231"/>
      <c r="H1473" s="231" t="s">
        <v>187</v>
      </c>
      <c r="I1473" s="281">
        <v>0</v>
      </c>
      <c r="J1473" s="249">
        <v>1250</v>
      </c>
      <c r="K1473" s="231">
        <f t="shared" si="33"/>
        <v>20</v>
      </c>
      <c r="L1473" s="231"/>
      <c r="M1473" s="231" t="s">
        <v>16</v>
      </c>
      <c r="N1473" s="231"/>
      <c r="O1473" s="231">
        <v>2024</v>
      </c>
      <c r="P1473" s="285">
        <v>45563</v>
      </c>
      <c r="Q1473" s="231"/>
      <c r="R1473" s="231"/>
      <c r="S1473" s="241" t="s">
        <v>453</v>
      </c>
      <c r="T1473" s="231"/>
    </row>
    <row r="1474" spans="1:20" ht="14">
      <c r="A1474" s="231">
        <v>1473</v>
      </c>
      <c r="B1474" s="231" t="s">
        <v>52</v>
      </c>
      <c r="C1474" s="231" t="s">
        <v>10</v>
      </c>
      <c r="D1474" s="237" t="s">
        <v>3221</v>
      </c>
      <c r="E1474" s="239"/>
      <c r="F1474" s="231"/>
      <c r="G1474" s="231"/>
      <c r="H1474" s="231" t="s">
        <v>187</v>
      </c>
      <c r="I1474" s="281">
        <v>0</v>
      </c>
      <c r="J1474" s="249">
        <v>550</v>
      </c>
      <c r="K1474" s="231">
        <f t="shared" si="33"/>
        <v>20</v>
      </c>
      <c r="L1474" s="231"/>
      <c r="M1474" s="231" t="s">
        <v>16</v>
      </c>
      <c r="N1474" s="231"/>
      <c r="O1474" s="231">
        <v>2024</v>
      </c>
      <c r="P1474" s="285">
        <v>45565</v>
      </c>
      <c r="Q1474" s="231"/>
      <c r="R1474" s="231"/>
      <c r="S1474" s="241" t="s">
        <v>453</v>
      </c>
      <c r="T1474" s="231"/>
    </row>
    <row r="1475" spans="1:20" ht="14">
      <c r="A1475" s="231">
        <v>1474</v>
      </c>
      <c r="B1475" s="231" t="s">
        <v>52</v>
      </c>
      <c r="C1475" s="231" t="s">
        <v>10</v>
      </c>
      <c r="D1475" s="237" t="s">
        <v>3222</v>
      </c>
      <c r="E1475" s="239"/>
      <c r="F1475" s="231"/>
      <c r="G1475" s="231"/>
      <c r="H1475" s="231" t="s">
        <v>187</v>
      </c>
      <c r="I1475" s="281">
        <v>0</v>
      </c>
      <c r="J1475" s="249">
        <v>350</v>
      </c>
      <c r="K1475" s="231">
        <f t="shared" si="33"/>
        <v>20</v>
      </c>
      <c r="L1475" s="231"/>
      <c r="M1475" s="231" t="s">
        <v>16</v>
      </c>
      <c r="N1475" s="231"/>
      <c r="O1475" s="231">
        <v>2024</v>
      </c>
      <c r="P1475" s="285">
        <v>45563</v>
      </c>
      <c r="Q1475" s="231"/>
      <c r="R1475" s="231"/>
      <c r="S1475" s="241" t="s">
        <v>453</v>
      </c>
      <c r="T1475" s="231"/>
    </row>
    <row r="1476" spans="1:20" ht="14">
      <c r="A1476" s="231">
        <v>1475</v>
      </c>
      <c r="B1476" s="231" t="s">
        <v>52</v>
      </c>
      <c r="C1476" s="231" t="s">
        <v>10</v>
      </c>
      <c r="D1476" s="237" t="s">
        <v>3223</v>
      </c>
      <c r="E1476" s="239"/>
      <c r="F1476" s="231"/>
      <c r="G1476" s="231"/>
      <c r="H1476" s="231" t="s">
        <v>187</v>
      </c>
      <c r="I1476" s="281">
        <v>0</v>
      </c>
      <c r="J1476" s="249">
        <v>400</v>
      </c>
      <c r="K1476" s="231">
        <f t="shared" si="33"/>
        <v>20</v>
      </c>
      <c r="L1476" s="231"/>
      <c r="M1476" s="231" t="s">
        <v>16</v>
      </c>
      <c r="N1476" s="231"/>
      <c r="O1476" s="231">
        <v>2024</v>
      </c>
      <c r="P1476" s="285">
        <v>45556</v>
      </c>
      <c r="Q1476" s="231"/>
      <c r="R1476" s="231"/>
      <c r="S1476" s="241" t="s">
        <v>453</v>
      </c>
      <c r="T1476" s="231"/>
    </row>
    <row r="1477" spans="1:20" ht="14">
      <c r="A1477" s="231">
        <v>1476</v>
      </c>
      <c r="B1477" s="231" t="s">
        <v>52</v>
      </c>
      <c r="C1477" s="231" t="s">
        <v>10</v>
      </c>
      <c r="D1477" s="237" t="s">
        <v>3224</v>
      </c>
      <c r="E1477" s="239"/>
      <c r="F1477" s="231"/>
      <c r="G1477" s="231"/>
      <c r="H1477" s="231" t="s">
        <v>187</v>
      </c>
      <c r="I1477" s="281">
        <v>0</v>
      </c>
      <c r="J1477" s="249">
        <v>120</v>
      </c>
      <c r="K1477" s="231">
        <f t="shared" si="33"/>
        <v>20</v>
      </c>
      <c r="L1477" s="231"/>
      <c r="M1477" s="231" t="s">
        <v>16</v>
      </c>
      <c r="N1477" s="231"/>
      <c r="O1477" s="231">
        <v>2024</v>
      </c>
      <c r="P1477" s="285">
        <v>45563</v>
      </c>
      <c r="Q1477" s="231"/>
      <c r="R1477" s="231"/>
      <c r="S1477" s="241" t="s">
        <v>453</v>
      </c>
      <c r="T1477" s="231"/>
    </row>
    <row r="1478" spans="1:20" ht="14">
      <c r="A1478" s="231">
        <v>1477</v>
      </c>
      <c r="B1478" s="231" t="s">
        <v>52</v>
      </c>
      <c r="C1478" s="231" t="s">
        <v>10</v>
      </c>
      <c r="D1478" s="237" t="s">
        <v>3225</v>
      </c>
      <c r="E1478" s="239"/>
      <c r="F1478" s="231"/>
      <c r="G1478" s="231"/>
      <c r="H1478" s="231" t="s">
        <v>2773</v>
      </c>
      <c r="I1478" s="281">
        <v>0</v>
      </c>
      <c r="J1478" s="249">
        <v>500</v>
      </c>
      <c r="K1478" s="231">
        <f t="shared" si="33"/>
        <v>20</v>
      </c>
      <c r="L1478" s="231"/>
      <c r="M1478" s="231" t="s">
        <v>16</v>
      </c>
      <c r="N1478" s="231"/>
      <c r="O1478" s="231">
        <v>2024</v>
      </c>
      <c r="P1478" s="285">
        <v>45541</v>
      </c>
      <c r="Q1478" s="231"/>
      <c r="R1478" s="231"/>
      <c r="S1478" s="241" t="s">
        <v>453</v>
      </c>
      <c r="T1478" s="231"/>
    </row>
    <row r="1479" spans="1:20" ht="14">
      <c r="A1479" s="231">
        <v>1478</v>
      </c>
      <c r="B1479" s="231" t="s">
        <v>52</v>
      </c>
      <c r="C1479" s="231" t="s">
        <v>10</v>
      </c>
      <c r="D1479" s="237" t="s">
        <v>3226</v>
      </c>
      <c r="E1479" s="239"/>
      <c r="F1479" s="231"/>
      <c r="G1479" s="231"/>
      <c r="H1479" s="231" t="s">
        <v>3542</v>
      </c>
      <c r="I1479" s="281">
        <v>0</v>
      </c>
      <c r="J1479" s="249">
        <v>300</v>
      </c>
      <c r="K1479" s="231">
        <f t="shared" si="33"/>
        <v>20</v>
      </c>
      <c r="L1479" s="231"/>
      <c r="M1479" s="231" t="s">
        <v>16</v>
      </c>
      <c r="N1479" s="231"/>
      <c r="O1479" s="231">
        <v>2024</v>
      </c>
      <c r="P1479" s="285">
        <v>45564</v>
      </c>
      <c r="Q1479" s="231"/>
      <c r="R1479" s="231"/>
      <c r="S1479" s="241" t="s">
        <v>453</v>
      </c>
      <c r="T1479" s="231"/>
    </row>
    <row r="1480" spans="1:20" ht="14">
      <c r="A1480" s="231">
        <v>1479</v>
      </c>
      <c r="B1480" s="231" t="s">
        <v>52</v>
      </c>
      <c r="C1480" s="231" t="s">
        <v>10</v>
      </c>
      <c r="D1480" s="237" t="s">
        <v>3227</v>
      </c>
      <c r="E1480" s="239"/>
      <c r="F1480" s="231"/>
      <c r="G1480" s="231"/>
      <c r="H1480" s="231" t="s">
        <v>2773</v>
      </c>
      <c r="I1480" s="281">
        <v>0</v>
      </c>
      <c r="J1480" s="249">
        <v>100</v>
      </c>
      <c r="K1480" s="231">
        <f t="shared" si="33"/>
        <v>20</v>
      </c>
      <c r="L1480" s="231"/>
      <c r="M1480" s="231" t="s">
        <v>16</v>
      </c>
      <c r="N1480" s="231"/>
      <c r="O1480" s="231">
        <v>2024</v>
      </c>
      <c r="P1480" s="285">
        <v>45552</v>
      </c>
      <c r="Q1480" s="231"/>
      <c r="R1480" s="231"/>
      <c r="S1480" s="241" t="s">
        <v>453</v>
      </c>
      <c r="T1480" s="231"/>
    </row>
    <row r="1481" spans="1:20" ht="14">
      <c r="A1481" s="231">
        <v>1480</v>
      </c>
      <c r="B1481" s="231" t="s">
        <v>49</v>
      </c>
      <c r="C1481" s="231" t="s">
        <v>10</v>
      </c>
      <c r="D1481" s="237" t="s">
        <v>4582</v>
      </c>
      <c r="E1481" s="239"/>
      <c r="F1481" s="231"/>
      <c r="G1481" s="231"/>
      <c r="H1481" s="231" t="s">
        <v>4583</v>
      </c>
      <c r="I1481" s="281">
        <v>0</v>
      </c>
      <c r="J1481" s="249">
        <v>500</v>
      </c>
      <c r="K1481" s="231">
        <f t="shared" si="33"/>
        <v>20</v>
      </c>
      <c r="L1481" s="231"/>
      <c r="M1481" s="231" t="s">
        <v>16</v>
      </c>
      <c r="N1481" s="231"/>
      <c r="O1481" s="231">
        <v>2024</v>
      </c>
      <c r="P1481" s="285">
        <v>45568</v>
      </c>
      <c r="Q1481" s="231"/>
      <c r="R1481" s="231"/>
      <c r="S1481" s="241" t="s">
        <v>453</v>
      </c>
      <c r="T1481" s="231"/>
    </row>
    <row r="1482" spans="1:20" ht="14">
      <c r="A1482" s="231">
        <v>1481</v>
      </c>
      <c r="B1482" s="231" t="s">
        <v>52</v>
      </c>
      <c r="C1482" s="231" t="s">
        <v>10</v>
      </c>
      <c r="D1482" s="237" t="s">
        <v>3228</v>
      </c>
      <c r="E1482" s="239"/>
      <c r="F1482" s="231"/>
      <c r="G1482" s="231"/>
      <c r="H1482" s="231" t="s">
        <v>3060</v>
      </c>
      <c r="I1482" s="281">
        <v>0</v>
      </c>
      <c r="J1482" s="249">
        <v>2200</v>
      </c>
      <c r="K1482" s="231">
        <f t="shared" si="33"/>
        <v>20</v>
      </c>
      <c r="L1482" s="231"/>
      <c r="M1482" s="231" t="s">
        <v>16</v>
      </c>
      <c r="N1482" s="231"/>
      <c r="O1482" s="231">
        <v>2024</v>
      </c>
      <c r="P1482" s="285">
        <v>45581</v>
      </c>
      <c r="Q1482" s="231"/>
      <c r="R1482" s="231"/>
      <c r="S1482" s="241" t="s">
        <v>453</v>
      </c>
      <c r="T1482" s="231"/>
    </row>
    <row r="1483" spans="1:20" ht="14">
      <c r="A1483" s="231">
        <v>1482</v>
      </c>
      <c r="B1483" s="231" t="s">
        <v>52</v>
      </c>
      <c r="C1483" s="231" t="s">
        <v>10</v>
      </c>
      <c r="D1483" s="237" t="s">
        <v>3229</v>
      </c>
      <c r="E1483" s="239"/>
      <c r="F1483" s="231"/>
      <c r="G1483" s="231"/>
      <c r="H1483" s="231" t="s">
        <v>4584</v>
      </c>
      <c r="I1483" s="281">
        <v>0</v>
      </c>
      <c r="J1483" s="249">
        <v>400</v>
      </c>
      <c r="K1483" s="231">
        <f t="shared" si="33"/>
        <v>20</v>
      </c>
      <c r="L1483" s="231"/>
      <c r="M1483" s="231" t="s">
        <v>16</v>
      </c>
      <c r="N1483" s="231"/>
      <c r="O1483" s="231">
        <v>2024</v>
      </c>
      <c r="P1483" s="285">
        <v>45572</v>
      </c>
      <c r="Q1483" s="231"/>
      <c r="R1483" s="231"/>
      <c r="S1483" s="241" t="s">
        <v>453</v>
      </c>
      <c r="T1483" s="231"/>
    </row>
    <row r="1484" spans="1:20" ht="14">
      <c r="A1484" s="231">
        <v>1483</v>
      </c>
      <c r="B1484" s="231" t="s">
        <v>52</v>
      </c>
      <c r="C1484" s="231" t="s">
        <v>10</v>
      </c>
      <c r="D1484" s="237" t="s">
        <v>3230</v>
      </c>
      <c r="E1484" s="239"/>
      <c r="F1484" s="231"/>
      <c r="G1484" s="231"/>
      <c r="H1484" s="231" t="s">
        <v>2773</v>
      </c>
      <c r="I1484" s="281">
        <v>0</v>
      </c>
      <c r="J1484" s="249">
        <v>1600</v>
      </c>
      <c r="K1484" s="231">
        <f t="shared" si="33"/>
        <v>20</v>
      </c>
      <c r="L1484" s="231"/>
      <c r="M1484" s="231" t="s">
        <v>16</v>
      </c>
      <c r="N1484" s="231"/>
      <c r="O1484" s="231">
        <v>2024</v>
      </c>
      <c r="P1484" s="285">
        <v>45578</v>
      </c>
      <c r="Q1484" s="231"/>
      <c r="R1484" s="231"/>
      <c r="S1484" s="241" t="s">
        <v>453</v>
      </c>
      <c r="T1484" s="231"/>
    </row>
    <row r="1485" spans="1:20" ht="14">
      <c r="A1485" s="231">
        <v>1484</v>
      </c>
      <c r="B1485" s="231" t="s">
        <v>52</v>
      </c>
      <c r="C1485" s="231" t="s">
        <v>10</v>
      </c>
      <c r="D1485" s="237" t="s">
        <v>3231</v>
      </c>
      <c r="E1485" s="239"/>
      <c r="F1485" s="231"/>
      <c r="G1485" s="231"/>
      <c r="H1485" s="231" t="s">
        <v>3053</v>
      </c>
      <c r="I1485" s="281">
        <v>0</v>
      </c>
      <c r="J1485" s="249">
        <v>250</v>
      </c>
      <c r="K1485" s="231">
        <f t="shared" si="33"/>
        <v>20</v>
      </c>
      <c r="L1485" s="231"/>
      <c r="M1485" s="231" t="s">
        <v>16</v>
      </c>
      <c r="N1485" s="231"/>
      <c r="O1485" s="231">
        <v>2024</v>
      </c>
      <c r="P1485" s="285">
        <v>45566</v>
      </c>
      <c r="Q1485" s="231"/>
      <c r="R1485" s="231"/>
      <c r="S1485" s="241" t="s">
        <v>453</v>
      </c>
      <c r="T1485" s="231"/>
    </row>
    <row r="1486" spans="1:20" ht="14">
      <c r="A1486" s="231">
        <v>1485</v>
      </c>
      <c r="B1486" s="231" t="s">
        <v>49</v>
      </c>
      <c r="C1486" s="231" t="s">
        <v>10</v>
      </c>
      <c r="D1486" s="237" t="s">
        <v>3232</v>
      </c>
      <c r="E1486" s="239"/>
      <c r="F1486" s="231"/>
      <c r="G1486" s="231"/>
      <c r="H1486" s="231" t="s">
        <v>452</v>
      </c>
      <c r="I1486" s="281">
        <v>0</v>
      </c>
      <c r="J1486" s="249">
        <v>1000</v>
      </c>
      <c r="K1486" s="231">
        <f t="shared" si="33"/>
        <v>20</v>
      </c>
      <c r="L1486" s="231"/>
      <c r="M1486" s="231" t="s">
        <v>16</v>
      </c>
      <c r="N1486" s="231"/>
      <c r="O1486" s="231">
        <v>2024</v>
      </c>
      <c r="P1486" s="285">
        <v>45584</v>
      </c>
      <c r="Q1486" s="231"/>
      <c r="R1486" s="231"/>
      <c r="S1486" s="241" t="s">
        <v>453</v>
      </c>
      <c r="T1486" s="231"/>
    </row>
    <row r="1487" spans="1:20" ht="14">
      <c r="A1487" s="231">
        <v>1486</v>
      </c>
      <c r="B1487" s="231" t="s">
        <v>52</v>
      </c>
      <c r="C1487" s="231" t="s">
        <v>10</v>
      </c>
      <c r="D1487" s="237" t="s">
        <v>3233</v>
      </c>
      <c r="E1487" s="239"/>
      <c r="F1487" s="231"/>
      <c r="G1487" s="231"/>
      <c r="H1487" s="231" t="s">
        <v>4577</v>
      </c>
      <c r="I1487" s="281">
        <v>0</v>
      </c>
      <c r="J1487" s="249">
        <v>100</v>
      </c>
      <c r="K1487" s="231">
        <f t="shared" si="33"/>
        <v>20</v>
      </c>
      <c r="L1487" s="231"/>
      <c r="M1487" s="231" t="s">
        <v>16</v>
      </c>
      <c r="N1487" s="231"/>
      <c r="O1487" s="231">
        <v>2024</v>
      </c>
      <c r="P1487" s="285">
        <v>45568</v>
      </c>
      <c r="Q1487" s="231"/>
      <c r="R1487" s="231"/>
      <c r="S1487" s="241" t="s">
        <v>453</v>
      </c>
      <c r="T1487" s="231"/>
    </row>
    <row r="1488" spans="1:20" ht="14">
      <c r="A1488" s="231">
        <v>1487</v>
      </c>
      <c r="B1488" s="231" t="s">
        <v>52</v>
      </c>
      <c r="C1488" s="231" t="s">
        <v>10</v>
      </c>
      <c r="D1488" s="237" t="s">
        <v>3234</v>
      </c>
      <c r="E1488" s="239"/>
      <c r="F1488" s="231"/>
      <c r="G1488" s="231"/>
      <c r="H1488" s="231" t="s">
        <v>2773</v>
      </c>
      <c r="I1488" s="281">
        <v>0</v>
      </c>
      <c r="J1488" s="249">
        <v>700</v>
      </c>
      <c r="K1488" s="231">
        <f t="shared" si="33"/>
        <v>20</v>
      </c>
      <c r="L1488" s="231"/>
      <c r="M1488" s="231" t="s">
        <v>16</v>
      </c>
      <c r="N1488" s="231"/>
      <c r="O1488" s="231">
        <v>2024</v>
      </c>
      <c r="P1488" s="285">
        <v>45580</v>
      </c>
      <c r="Q1488" s="231"/>
      <c r="R1488" s="231"/>
      <c r="S1488" s="241" t="s">
        <v>453</v>
      </c>
      <c r="T1488" s="231"/>
    </row>
    <row r="1489" spans="1:20" ht="14">
      <c r="A1489" s="231">
        <v>1488</v>
      </c>
      <c r="B1489" s="231" t="s">
        <v>52</v>
      </c>
      <c r="C1489" s="231" t="s">
        <v>10</v>
      </c>
      <c r="D1489" s="237" t="s">
        <v>3235</v>
      </c>
      <c r="E1489" s="239"/>
      <c r="F1489" s="231"/>
      <c r="G1489" s="231"/>
      <c r="H1489" s="231" t="s">
        <v>4575</v>
      </c>
      <c r="I1489" s="281">
        <v>0</v>
      </c>
      <c r="J1489" s="249">
        <v>500</v>
      </c>
      <c r="K1489" s="231">
        <f t="shared" si="33"/>
        <v>20</v>
      </c>
      <c r="L1489" s="231"/>
      <c r="M1489" s="231" t="s">
        <v>16</v>
      </c>
      <c r="N1489" s="231"/>
      <c r="O1489" s="231">
        <v>2024</v>
      </c>
      <c r="P1489" s="285">
        <v>45573</v>
      </c>
      <c r="Q1489" s="231"/>
      <c r="R1489" s="231"/>
      <c r="S1489" s="241" t="s">
        <v>453</v>
      </c>
      <c r="T1489" s="231"/>
    </row>
    <row r="1490" spans="1:20" ht="14">
      <c r="A1490" s="231">
        <v>1489</v>
      </c>
      <c r="B1490" s="231" t="s">
        <v>52</v>
      </c>
      <c r="C1490" s="231" t="s">
        <v>10</v>
      </c>
      <c r="D1490" s="237" t="s">
        <v>3236</v>
      </c>
      <c r="E1490" s="239"/>
      <c r="F1490" s="231"/>
      <c r="G1490" s="231"/>
      <c r="H1490" s="231" t="s">
        <v>2773</v>
      </c>
      <c r="I1490" s="281">
        <v>0</v>
      </c>
      <c r="J1490" s="249">
        <v>100</v>
      </c>
      <c r="K1490" s="231">
        <f t="shared" si="33"/>
        <v>20</v>
      </c>
      <c r="L1490" s="231"/>
      <c r="M1490" s="231" t="s">
        <v>16</v>
      </c>
      <c r="N1490" s="231"/>
      <c r="O1490" s="231">
        <v>2024</v>
      </c>
      <c r="P1490" s="285">
        <v>45572</v>
      </c>
      <c r="Q1490" s="231"/>
      <c r="R1490" s="231"/>
      <c r="S1490" s="241" t="s">
        <v>453</v>
      </c>
      <c r="T1490" s="231"/>
    </row>
    <row r="1491" spans="1:20" ht="14">
      <c r="A1491" s="231">
        <v>1490</v>
      </c>
      <c r="B1491" s="231" t="s">
        <v>52</v>
      </c>
      <c r="C1491" s="231" t="s">
        <v>10</v>
      </c>
      <c r="D1491" s="237" t="s">
        <v>3237</v>
      </c>
      <c r="E1491" s="239"/>
      <c r="F1491" s="231"/>
      <c r="G1491" s="231"/>
      <c r="H1491" s="231" t="s">
        <v>4572</v>
      </c>
      <c r="I1491" s="281">
        <v>0</v>
      </c>
      <c r="J1491" s="249">
        <v>350</v>
      </c>
      <c r="K1491" s="231">
        <f t="shared" si="33"/>
        <v>20</v>
      </c>
      <c r="L1491" s="231"/>
      <c r="M1491" s="231" t="s">
        <v>16</v>
      </c>
      <c r="N1491" s="231"/>
      <c r="O1491" s="231">
        <v>2024</v>
      </c>
      <c r="P1491" s="285">
        <v>45566</v>
      </c>
      <c r="Q1491" s="231"/>
      <c r="R1491" s="231"/>
      <c r="S1491" s="241" t="s">
        <v>453</v>
      </c>
      <c r="T1491" s="231"/>
    </row>
    <row r="1492" spans="1:20" ht="14">
      <c r="A1492" s="231">
        <v>1491</v>
      </c>
      <c r="B1492" s="231" t="s">
        <v>52</v>
      </c>
      <c r="C1492" s="231" t="s">
        <v>10</v>
      </c>
      <c r="D1492" s="237" t="s">
        <v>3238</v>
      </c>
      <c r="E1492" s="239"/>
      <c r="F1492" s="231"/>
      <c r="G1492" s="231"/>
      <c r="H1492" s="231" t="s">
        <v>4572</v>
      </c>
      <c r="I1492" s="281">
        <v>0</v>
      </c>
      <c r="J1492" s="249">
        <v>309</v>
      </c>
      <c r="K1492" s="231">
        <f t="shared" si="33"/>
        <v>20</v>
      </c>
      <c r="L1492" s="231"/>
      <c r="M1492" s="231" t="s">
        <v>16</v>
      </c>
      <c r="N1492" s="231"/>
      <c r="O1492" s="231">
        <v>2024</v>
      </c>
      <c r="P1492" s="285">
        <v>45572</v>
      </c>
      <c r="Q1492" s="231"/>
      <c r="R1492" s="231"/>
      <c r="S1492" s="241" t="s">
        <v>453</v>
      </c>
      <c r="T1492" s="231"/>
    </row>
    <row r="1493" spans="1:20" ht="14">
      <c r="A1493" s="231">
        <v>1492</v>
      </c>
      <c r="B1493" s="231" t="s">
        <v>52</v>
      </c>
      <c r="C1493" s="231" t="s">
        <v>10</v>
      </c>
      <c r="D1493" s="237" t="s">
        <v>3239</v>
      </c>
      <c r="E1493" s="239"/>
      <c r="F1493" s="231"/>
      <c r="G1493" s="231"/>
      <c r="H1493" s="231" t="s">
        <v>2773</v>
      </c>
      <c r="I1493" s="281">
        <v>0</v>
      </c>
      <c r="J1493" s="249">
        <v>100</v>
      </c>
      <c r="K1493" s="231">
        <f t="shared" si="33"/>
        <v>20</v>
      </c>
      <c r="L1493" s="231"/>
      <c r="M1493" s="231" t="s">
        <v>16</v>
      </c>
      <c r="N1493" s="231"/>
      <c r="O1493" s="231">
        <v>2024</v>
      </c>
      <c r="P1493" s="285">
        <v>45573</v>
      </c>
      <c r="Q1493" s="231"/>
      <c r="R1493" s="231"/>
      <c r="S1493" s="241" t="s">
        <v>453</v>
      </c>
      <c r="T1493" s="231"/>
    </row>
    <row r="1494" spans="1:20" ht="14">
      <c r="A1494" s="231">
        <v>1493</v>
      </c>
      <c r="B1494" s="231" t="s">
        <v>52</v>
      </c>
      <c r="C1494" s="231" t="s">
        <v>10</v>
      </c>
      <c r="D1494" s="237" t="s">
        <v>3240</v>
      </c>
      <c r="E1494" s="239"/>
      <c r="F1494" s="231"/>
      <c r="G1494" s="231"/>
      <c r="H1494" s="231" t="s">
        <v>4572</v>
      </c>
      <c r="I1494" s="281">
        <v>0</v>
      </c>
      <c r="J1494" s="249">
        <v>298</v>
      </c>
      <c r="K1494" s="231">
        <f t="shared" si="33"/>
        <v>20</v>
      </c>
      <c r="L1494" s="231"/>
      <c r="M1494" s="231" t="s">
        <v>16</v>
      </c>
      <c r="N1494" s="231"/>
      <c r="O1494" s="231">
        <v>2024</v>
      </c>
      <c r="P1494" s="285">
        <v>45574</v>
      </c>
      <c r="Q1494" s="231"/>
      <c r="R1494" s="231"/>
      <c r="S1494" s="241" t="s">
        <v>453</v>
      </c>
      <c r="T1494" s="231"/>
    </row>
    <row r="1495" spans="1:20" ht="14">
      <c r="A1495" s="231">
        <v>1494</v>
      </c>
      <c r="B1495" s="231" t="s">
        <v>52</v>
      </c>
      <c r="C1495" s="231" t="s">
        <v>10</v>
      </c>
      <c r="D1495" s="237" t="s">
        <v>3241</v>
      </c>
      <c r="E1495" s="239"/>
      <c r="F1495" s="231"/>
      <c r="G1495" s="231"/>
      <c r="H1495" s="231" t="s">
        <v>2789</v>
      </c>
      <c r="I1495" s="281">
        <v>0</v>
      </c>
      <c r="J1495" s="249">
        <v>200</v>
      </c>
      <c r="K1495" s="231">
        <f t="shared" si="33"/>
        <v>20</v>
      </c>
      <c r="L1495" s="231"/>
      <c r="M1495" s="231" t="s">
        <v>16</v>
      </c>
      <c r="N1495" s="231"/>
      <c r="O1495" s="231">
        <v>2024</v>
      </c>
      <c r="P1495" s="285">
        <v>45574</v>
      </c>
      <c r="Q1495" s="231"/>
      <c r="R1495" s="231"/>
      <c r="S1495" s="241" t="s">
        <v>453</v>
      </c>
      <c r="T1495" s="231"/>
    </row>
    <row r="1496" spans="1:20" ht="14">
      <c r="A1496" s="231">
        <v>1495</v>
      </c>
      <c r="B1496" s="231" t="s">
        <v>52</v>
      </c>
      <c r="C1496" s="231" t="s">
        <v>10</v>
      </c>
      <c r="D1496" s="237" t="s">
        <v>3242</v>
      </c>
      <c r="E1496" s="239"/>
      <c r="F1496" s="231"/>
      <c r="G1496" s="231"/>
      <c r="H1496" s="231" t="s">
        <v>2789</v>
      </c>
      <c r="I1496" s="281">
        <v>0</v>
      </c>
      <c r="J1496" s="249">
        <v>250</v>
      </c>
      <c r="K1496" s="231">
        <f t="shared" si="33"/>
        <v>20</v>
      </c>
      <c r="L1496" s="231"/>
      <c r="M1496" s="231" t="s">
        <v>16</v>
      </c>
      <c r="N1496" s="231"/>
      <c r="O1496" s="231">
        <v>2024</v>
      </c>
      <c r="P1496" s="285">
        <v>45574</v>
      </c>
      <c r="Q1496" s="231"/>
      <c r="R1496" s="231"/>
      <c r="S1496" s="241" t="s">
        <v>453</v>
      </c>
      <c r="T1496" s="231"/>
    </row>
    <row r="1497" spans="1:20" ht="14">
      <c r="A1497" s="231">
        <v>1496</v>
      </c>
      <c r="B1497" s="231" t="s">
        <v>52</v>
      </c>
      <c r="C1497" s="231" t="s">
        <v>10</v>
      </c>
      <c r="D1497" s="237" t="s">
        <v>3243</v>
      </c>
      <c r="E1497" s="239"/>
      <c r="F1497" s="231"/>
      <c r="G1497" s="231"/>
      <c r="H1497" s="231" t="s">
        <v>2789</v>
      </c>
      <c r="I1497" s="281">
        <v>0</v>
      </c>
      <c r="J1497" s="249">
        <v>200</v>
      </c>
      <c r="K1497" s="231">
        <f t="shared" si="33"/>
        <v>20</v>
      </c>
      <c r="L1497" s="231"/>
      <c r="M1497" s="231" t="s">
        <v>16</v>
      </c>
      <c r="N1497" s="231"/>
      <c r="O1497" s="231">
        <v>2024</v>
      </c>
      <c r="P1497" s="285">
        <v>45575</v>
      </c>
      <c r="Q1497" s="231"/>
      <c r="R1497" s="231"/>
      <c r="S1497" s="241" t="s">
        <v>453</v>
      </c>
      <c r="T1497" s="231"/>
    </row>
    <row r="1498" spans="1:20" ht="14">
      <c r="A1498" s="231">
        <v>1497</v>
      </c>
      <c r="B1498" s="231" t="s">
        <v>52</v>
      </c>
      <c r="C1498" s="231" t="s">
        <v>10</v>
      </c>
      <c r="D1498" s="237" t="s">
        <v>3244</v>
      </c>
      <c r="E1498" s="239"/>
      <c r="F1498" s="231"/>
      <c r="G1498" s="231"/>
      <c r="H1498" s="231" t="s">
        <v>2773</v>
      </c>
      <c r="I1498" s="281">
        <v>0</v>
      </c>
      <c r="J1498" s="249">
        <v>100</v>
      </c>
      <c r="K1498" s="231">
        <f t="shared" si="33"/>
        <v>20</v>
      </c>
      <c r="L1498" s="231"/>
      <c r="M1498" s="231" t="s">
        <v>16</v>
      </c>
      <c r="N1498" s="231"/>
      <c r="O1498" s="231">
        <v>2024</v>
      </c>
      <c r="P1498" s="285">
        <v>45576</v>
      </c>
      <c r="Q1498" s="231"/>
      <c r="R1498" s="231"/>
      <c r="S1498" s="241" t="s">
        <v>453</v>
      </c>
      <c r="T1498" s="231"/>
    </row>
    <row r="1499" spans="1:20" ht="14">
      <c r="A1499" s="231">
        <v>1498</v>
      </c>
      <c r="B1499" s="231" t="s">
        <v>52</v>
      </c>
      <c r="C1499" s="231" t="s">
        <v>10</v>
      </c>
      <c r="D1499" s="237" t="s">
        <v>3245</v>
      </c>
      <c r="E1499" s="239"/>
      <c r="F1499" s="231"/>
      <c r="G1499" s="231"/>
      <c r="H1499" s="231" t="s">
        <v>4572</v>
      </c>
      <c r="I1499" s="281">
        <v>0</v>
      </c>
      <c r="J1499" s="249">
        <v>350</v>
      </c>
      <c r="K1499" s="231">
        <f t="shared" si="33"/>
        <v>20</v>
      </c>
      <c r="L1499" s="231"/>
      <c r="M1499" s="231" t="s">
        <v>16</v>
      </c>
      <c r="N1499" s="231"/>
      <c r="O1499" s="231">
        <v>2024</v>
      </c>
      <c r="P1499" s="285">
        <v>45566</v>
      </c>
      <c r="Q1499" s="231"/>
      <c r="R1499" s="231"/>
      <c r="S1499" s="241" t="s">
        <v>453</v>
      </c>
      <c r="T1499" s="231"/>
    </row>
    <row r="1500" spans="1:20" ht="14">
      <c r="A1500" s="231">
        <v>1499</v>
      </c>
      <c r="B1500" s="231" t="s">
        <v>52</v>
      </c>
      <c r="C1500" s="231" t="s">
        <v>10</v>
      </c>
      <c r="D1500" s="237" t="s">
        <v>3246</v>
      </c>
      <c r="E1500" s="239"/>
      <c r="F1500" s="231"/>
      <c r="G1500" s="231"/>
      <c r="H1500" s="231" t="s">
        <v>4572</v>
      </c>
      <c r="I1500" s="281">
        <v>0</v>
      </c>
      <c r="J1500" s="249">
        <v>70</v>
      </c>
      <c r="K1500" s="231">
        <f t="shared" si="33"/>
        <v>20</v>
      </c>
      <c r="L1500" s="231"/>
      <c r="M1500" s="231" t="s">
        <v>16</v>
      </c>
      <c r="N1500" s="231"/>
      <c r="O1500" s="231">
        <v>2024</v>
      </c>
      <c r="P1500" s="285">
        <v>45566</v>
      </c>
      <c r="Q1500" s="231"/>
      <c r="R1500" s="231"/>
      <c r="S1500" s="241" t="s">
        <v>453</v>
      </c>
      <c r="T1500" s="231"/>
    </row>
    <row r="1501" spans="1:20" ht="14">
      <c r="A1501" s="231">
        <v>1500</v>
      </c>
      <c r="B1501" s="231" t="s">
        <v>52</v>
      </c>
      <c r="C1501" s="231" t="s">
        <v>10</v>
      </c>
      <c r="D1501" s="237" t="s">
        <v>3247</v>
      </c>
      <c r="E1501" s="239"/>
      <c r="F1501" s="231"/>
      <c r="G1501" s="231"/>
      <c r="H1501" s="231" t="s">
        <v>4572</v>
      </c>
      <c r="I1501" s="281">
        <v>0</v>
      </c>
      <c r="J1501" s="249">
        <v>380</v>
      </c>
      <c r="K1501" s="231">
        <f t="shared" si="33"/>
        <v>20</v>
      </c>
      <c r="L1501" s="231"/>
      <c r="M1501" s="231" t="s">
        <v>16</v>
      </c>
      <c r="N1501" s="231"/>
      <c r="O1501" s="231">
        <v>2024</v>
      </c>
      <c r="P1501" s="285">
        <v>45566</v>
      </c>
      <c r="Q1501" s="231"/>
      <c r="R1501" s="231"/>
      <c r="S1501" s="241" t="s">
        <v>453</v>
      </c>
      <c r="T1501" s="231"/>
    </row>
    <row r="1502" spans="1:20" ht="14">
      <c r="A1502" s="231">
        <v>1501</v>
      </c>
      <c r="B1502" s="231" t="s">
        <v>52</v>
      </c>
      <c r="C1502" s="231" t="s">
        <v>10</v>
      </c>
      <c r="D1502" s="237" t="s">
        <v>3248</v>
      </c>
      <c r="E1502" s="239"/>
      <c r="F1502" s="231"/>
      <c r="G1502" s="231"/>
      <c r="H1502" s="231" t="s">
        <v>4572</v>
      </c>
      <c r="I1502" s="281">
        <v>0</v>
      </c>
      <c r="J1502" s="249">
        <v>300</v>
      </c>
      <c r="K1502" s="231">
        <f t="shared" si="33"/>
        <v>20</v>
      </c>
      <c r="L1502" s="231"/>
      <c r="M1502" s="231" t="s">
        <v>16</v>
      </c>
      <c r="N1502" s="231"/>
      <c r="O1502" s="231">
        <v>2024</v>
      </c>
      <c r="P1502" s="285">
        <v>45566</v>
      </c>
      <c r="Q1502" s="231"/>
      <c r="R1502" s="231"/>
      <c r="S1502" s="241" t="s">
        <v>453</v>
      </c>
      <c r="T1502" s="231"/>
    </row>
    <row r="1503" spans="1:20" ht="14">
      <c r="A1503" s="231">
        <v>1502</v>
      </c>
      <c r="B1503" s="231" t="s">
        <v>52</v>
      </c>
      <c r="C1503" s="231" t="s">
        <v>10</v>
      </c>
      <c r="D1503" s="237" t="s">
        <v>3249</v>
      </c>
      <c r="E1503" s="239"/>
      <c r="F1503" s="231"/>
      <c r="G1503" s="231"/>
      <c r="H1503" s="231" t="s">
        <v>4572</v>
      </c>
      <c r="I1503" s="281">
        <v>0</v>
      </c>
      <c r="J1503" s="249">
        <v>75</v>
      </c>
      <c r="K1503" s="231">
        <f t="shared" si="33"/>
        <v>20</v>
      </c>
      <c r="L1503" s="231"/>
      <c r="M1503" s="231" t="s">
        <v>16</v>
      </c>
      <c r="N1503" s="231"/>
      <c r="O1503" s="231">
        <v>2024</v>
      </c>
      <c r="P1503" s="285">
        <v>45566</v>
      </c>
      <c r="Q1503" s="231"/>
      <c r="R1503" s="231"/>
      <c r="S1503" s="241" t="s">
        <v>453</v>
      </c>
      <c r="T1503" s="231"/>
    </row>
    <row r="1504" spans="1:20" ht="14">
      <c r="A1504" s="231">
        <v>1503</v>
      </c>
      <c r="B1504" s="231" t="s">
        <v>52</v>
      </c>
      <c r="C1504" s="231" t="s">
        <v>10</v>
      </c>
      <c r="D1504" s="237" t="s">
        <v>3250</v>
      </c>
      <c r="E1504" s="239"/>
      <c r="F1504" s="231"/>
      <c r="G1504" s="231"/>
      <c r="H1504" s="231" t="s">
        <v>4572</v>
      </c>
      <c r="I1504" s="281">
        <v>0</v>
      </c>
      <c r="J1504" s="249">
        <v>207</v>
      </c>
      <c r="K1504" s="231">
        <f t="shared" si="33"/>
        <v>20</v>
      </c>
      <c r="L1504" s="231"/>
      <c r="M1504" s="231" t="s">
        <v>16</v>
      </c>
      <c r="N1504" s="231"/>
      <c r="O1504" s="231">
        <v>2024</v>
      </c>
      <c r="P1504" s="285">
        <v>45566</v>
      </c>
      <c r="Q1504" s="231"/>
      <c r="R1504" s="231"/>
      <c r="S1504" s="241" t="s">
        <v>453</v>
      </c>
      <c r="T1504" s="231"/>
    </row>
    <row r="1505" spans="1:20" ht="14">
      <c r="A1505" s="231">
        <v>1504</v>
      </c>
      <c r="B1505" s="231" t="s">
        <v>52</v>
      </c>
      <c r="C1505" s="231" t="s">
        <v>10</v>
      </c>
      <c r="D1505" s="237" t="s">
        <v>3251</v>
      </c>
      <c r="E1505" s="239"/>
      <c r="F1505" s="231"/>
      <c r="G1505" s="231"/>
      <c r="H1505" s="231" t="s">
        <v>4572</v>
      </c>
      <c r="I1505" s="281">
        <v>0</v>
      </c>
      <c r="J1505" s="249">
        <v>300</v>
      </c>
      <c r="K1505" s="231">
        <f t="shared" si="33"/>
        <v>20</v>
      </c>
      <c r="L1505" s="231"/>
      <c r="M1505" s="231" t="s">
        <v>16</v>
      </c>
      <c r="N1505" s="231"/>
      <c r="O1505" s="231">
        <v>2024</v>
      </c>
      <c r="P1505" s="285">
        <v>45567</v>
      </c>
      <c r="Q1505" s="231"/>
      <c r="R1505" s="231"/>
      <c r="S1505" s="241" t="s">
        <v>453</v>
      </c>
      <c r="T1505" s="231"/>
    </row>
    <row r="1506" spans="1:20" ht="14">
      <c r="A1506" s="231">
        <v>1505</v>
      </c>
      <c r="B1506" s="231" t="s">
        <v>52</v>
      </c>
      <c r="C1506" s="231" t="s">
        <v>10</v>
      </c>
      <c r="D1506" s="237" t="s">
        <v>3252</v>
      </c>
      <c r="E1506" s="239"/>
      <c r="F1506" s="231"/>
      <c r="G1506" s="231"/>
      <c r="H1506" s="231" t="s">
        <v>4572</v>
      </c>
      <c r="I1506" s="281">
        <v>0</v>
      </c>
      <c r="J1506" s="249">
        <v>300</v>
      </c>
      <c r="K1506" s="231">
        <f t="shared" si="33"/>
        <v>20</v>
      </c>
      <c r="L1506" s="231"/>
      <c r="M1506" s="231" t="s">
        <v>16</v>
      </c>
      <c r="N1506" s="231"/>
      <c r="O1506" s="231">
        <v>2024</v>
      </c>
      <c r="P1506" s="285">
        <v>45567</v>
      </c>
      <c r="Q1506" s="231"/>
      <c r="R1506" s="231"/>
      <c r="S1506" s="241" t="s">
        <v>453</v>
      </c>
      <c r="T1506" s="231"/>
    </row>
    <row r="1507" spans="1:20" ht="14">
      <c r="A1507" s="231">
        <v>1506</v>
      </c>
      <c r="B1507" s="231" t="s">
        <v>52</v>
      </c>
      <c r="C1507" s="231" t="s">
        <v>10</v>
      </c>
      <c r="D1507" s="237" t="s">
        <v>3253</v>
      </c>
      <c r="E1507" s="239"/>
      <c r="F1507" s="231"/>
      <c r="G1507" s="231"/>
      <c r="H1507" s="231" t="s">
        <v>4572</v>
      </c>
      <c r="I1507" s="281">
        <v>0</v>
      </c>
      <c r="J1507" s="249">
        <v>300</v>
      </c>
      <c r="K1507" s="231">
        <f t="shared" si="33"/>
        <v>20</v>
      </c>
      <c r="L1507" s="231"/>
      <c r="M1507" s="231" t="s">
        <v>16</v>
      </c>
      <c r="N1507" s="231"/>
      <c r="O1507" s="231">
        <v>2024</v>
      </c>
      <c r="P1507" s="285">
        <v>45567</v>
      </c>
      <c r="Q1507" s="231"/>
      <c r="R1507" s="231"/>
      <c r="S1507" s="241" t="s">
        <v>453</v>
      </c>
      <c r="T1507" s="231"/>
    </row>
    <row r="1508" spans="1:20" ht="14">
      <c r="A1508" s="231">
        <v>1507</v>
      </c>
      <c r="B1508" s="231" t="s">
        <v>52</v>
      </c>
      <c r="C1508" s="231" t="s">
        <v>10</v>
      </c>
      <c r="D1508" s="237" t="s">
        <v>3254</v>
      </c>
      <c r="E1508" s="239"/>
      <c r="F1508" s="231"/>
      <c r="G1508" s="231"/>
      <c r="H1508" s="231" t="s">
        <v>4572</v>
      </c>
      <c r="I1508" s="281">
        <v>0</v>
      </c>
      <c r="J1508" s="249">
        <v>400</v>
      </c>
      <c r="K1508" s="231">
        <f t="shared" si="33"/>
        <v>20</v>
      </c>
      <c r="L1508" s="231"/>
      <c r="M1508" s="231" t="s">
        <v>16</v>
      </c>
      <c r="N1508" s="231"/>
      <c r="O1508" s="231">
        <v>2024</v>
      </c>
      <c r="P1508" s="285">
        <v>45567</v>
      </c>
      <c r="Q1508" s="231"/>
      <c r="R1508" s="231"/>
      <c r="S1508" s="241" t="s">
        <v>453</v>
      </c>
      <c r="T1508" s="231"/>
    </row>
    <row r="1509" spans="1:20" ht="14">
      <c r="A1509" s="231">
        <v>1508</v>
      </c>
      <c r="B1509" s="231" t="s">
        <v>52</v>
      </c>
      <c r="C1509" s="231" t="s">
        <v>10</v>
      </c>
      <c r="D1509" s="237" t="s">
        <v>3255</v>
      </c>
      <c r="E1509" s="239"/>
      <c r="F1509" s="231"/>
      <c r="G1509" s="231"/>
      <c r="H1509" s="231" t="s">
        <v>4572</v>
      </c>
      <c r="I1509" s="281">
        <v>0</v>
      </c>
      <c r="J1509" s="249">
        <v>400</v>
      </c>
      <c r="K1509" s="231">
        <f t="shared" si="33"/>
        <v>20</v>
      </c>
      <c r="L1509" s="231"/>
      <c r="M1509" s="231" t="s">
        <v>16</v>
      </c>
      <c r="N1509" s="231"/>
      <c r="O1509" s="231">
        <v>2024</v>
      </c>
      <c r="P1509" s="285">
        <v>45567</v>
      </c>
      <c r="Q1509" s="231"/>
      <c r="R1509" s="231"/>
      <c r="S1509" s="241" t="s">
        <v>453</v>
      </c>
      <c r="T1509" s="231"/>
    </row>
    <row r="1510" spans="1:20" ht="14">
      <c r="A1510" s="231">
        <v>1509</v>
      </c>
      <c r="B1510" s="231" t="s">
        <v>52</v>
      </c>
      <c r="C1510" s="231" t="s">
        <v>10</v>
      </c>
      <c r="D1510" s="237" t="s">
        <v>3256</v>
      </c>
      <c r="E1510" s="239"/>
      <c r="F1510" s="231"/>
      <c r="G1510" s="231"/>
      <c r="H1510" s="231" t="s">
        <v>4572</v>
      </c>
      <c r="I1510" s="281">
        <v>0</v>
      </c>
      <c r="J1510" s="249">
        <v>350</v>
      </c>
      <c r="K1510" s="231">
        <f t="shared" si="33"/>
        <v>20</v>
      </c>
      <c r="L1510" s="231"/>
      <c r="M1510" s="231" t="s">
        <v>16</v>
      </c>
      <c r="N1510" s="231"/>
      <c r="O1510" s="231">
        <v>2024</v>
      </c>
      <c r="P1510" s="285">
        <v>45567</v>
      </c>
      <c r="Q1510" s="231"/>
      <c r="R1510" s="231"/>
      <c r="S1510" s="241" t="s">
        <v>453</v>
      </c>
      <c r="T1510" s="231"/>
    </row>
    <row r="1511" spans="1:20" ht="14">
      <c r="A1511" s="231">
        <v>1510</v>
      </c>
      <c r="B1511" s="231" t="s">
        <v>52</v>
      </c>
      <c r="C1511" s="231" t="s">
        <v>10</v>
      </c>
      <c r="D1511" s="237" t="s">
        <v>3257</v>
      </c>
      <c r="E1511" s="239"/>
      <c r="F1511" s="231"/>
      <c r="G1511" s="231"/>
      <c r="H1511" s="231" t="s">
        <v>2789</v>
      </c>
      <c r="I1511" s="281">
        <v>0</v>
      </c>
      <c r="J1511" s="249">
        <v>150</v>
      </c>
      <c r="K1511" s="231">
        <f t="shared" si="33"/>
        <v>20</v>
      </c>
      <c r="L1511" s="231"/>
      <c r="M1511" s="231" t="s">
        <v>16</v>
      </c>
      <c r="N1511" s="231"/>
      <c r="O1511" s="231">
        <v>2024</v>
      </c>
      <c r="P1511" s="285">
        <v>45567</v>
      </c>
      <c r="Q1511" s="231"/>
      <c r="R1511" s="231"/>
      <c r="S1511" s="241" t="s">
        <v>453</v>
      </c>
      <c r="T1511" s="231"/>
    </row>
    <row r="1512" spans="1:20" ht="14">
      <c r="A1512" s="231">
        <v>1511</v>
      </c>
      <c r="B1512" s="231" t="s">
        <v>52</v>
      </c>
      <c r="C1512" s="231" t="s">
        <v>10</v>
      </c>
      <c r="D1512" s="237" t="s">
        <v>3258</v>
      </c>
      <c r="E1512" s="239"/>
      <c r="F1512" s="231"/>
      <c r="G1512" s="231"/>
      <c r="H1512" s="231" t="s">
        <v>2789</v>
      </c>
      <c r="I1512" s="281">
        <v>0</v>
      </c>
      <c r="J1512" s="249">
        <v>120</v>
      </c>
      <c r="K1512" s="231">
        <f t="shared" si="33"/>
        <v>20</v>
      </c>
      <c r="L1512" s="231"/>
      <c r="M1512" s="231" t="s">
        <v>16</v>
      </c>
      <c r="N1512" s="231"/>
      <c r="O1512" s="231">
        <v>2024</v>
      </c>
      <c r="P1512" s="285">
        <v>45579</v>
      </c>
      <c r="Q1512" s="231"/>
      <c r="R1512" s="231"/>
      <c r="S1512" s="241" t="s">
        <v>453</v>
      </c>
      <c r="T1512" s="231"/>
    </row>
    <row r="1513" spans="1:20" ht="14">
      <c r="A1513" s="231">
        <v>1512</v>
      </c>
      <c r="B1513" s="231" t="s">
        <v>52</v>
      </c>
      <c r="C1513" s="231" t="s">
        <v>10</v>
      </c>
      <c r="D1513" s="237" t="s">
        <v>3259</v>
      </c>
      <c r="E1513" s="239"/>
      <c r="F1513" s="231"/>
      <c r="G1513" s="231"/>
      <c r="H1513" s="231" t="s">
        <v>4572</v>
      </c>
      <c r="I1513" s="281">
        <v>0</v>
      </c>
      <c r="J1513" s="249">
        <v>116</v>
      </c>
      <c r="K1513" s="231">
        <f t="shared" si="33"/>
        <v>20</v>
      </c>
      <c r="L1513" s="231"/>
      <c r="M1513" s="231" t="s">
        <v>16</v>
      </c>
      <c r="N1513" s="231"/>
      <c r="O1513" s="231">
        <v>2024</v>
      </c>
      <c r="P1513" s="285">
        <v>45581</v>
      </c>
      <c r="Q1513" s="231"/>
      <c r="R1513" s="231"/>
      <c r="S1513" s="241" t="s">
        <v>453</v>
      </c>
      <c r="T1513" s="231"/>
    </row>
    <row r="1514" spans="1:20" ht="14">
      <c r="A1514" s="231">
        <v>1513</v>
      </c>
      <c r="B1514" s="231" t="s">
        <v>52</v>
      </c>
      <c r="C1514" s="231" t="s">
        <v>10</v>
      </c>
      <c r="D1514" s="237" t="s">
        <v>3260</v>
      </c>
      <c r="E1514" s="239"/>
      <c r="F1514" s="231"/>
      <c r="G1514" s="231"/>
      <c r="H1514" s="231" t="s">
        <v>4572</v>
      </c>
      <c r="I1514" s="281">
        <v>0</v>
      </c>
      <c r="J1514" s="249">
        <v>202</v>
      </c>
      <c r="K1514" s="231">
        <f t="shared" si="33"/>
        <v>20</v>
      </c>
      <c r="L1514" s="231"/>
      <c r="M1514" s="231" t="s">
        <v>16</v>
      </c>
      <c r="N1514" s="231"/>
      <c r="O1514" s="231">
        <v>2024</v>
      </c>
      <c r="P1514" s="285">
        <v>45581</v>
      </c>
      <c r="Q1514" s="231"/>
      <c r="R1514" s="231"/>
      <c r="S1514" s="241" t="s">
        <v>453</v>
      </c>
      <c r="T1514" s="231"/>
    </row>
    <row r="1515" spans="1:20" ht="14">
      <c r="A1515" s="231">
        <v>1514</v>
      </c>
      <c r="B1515" s="231" t="s">
        <v>55</v>
      </c>
      <c r="C1515" s="231" t="s">
        <v>10</v>
      </c>
      <c r="D1515" s="237" t="s">
        <v>3261</v>
      </c>
      <c r="E1515" s="239"/>
      <c r="F1515" s="231"/>
      <c r="G1515" s="231"/>
      <c r="H1515" s="231" t="s">
        <v>2894</v>
      </c>
      <c r="I1515" s="281">
        <v>0</v>
      </c>
      <c r="J1515" s="249">
        <v>350</v>
      </c>
      <c r="K1515" s="231">
        <f t="shared" si="33"/>
        <v>20</v>
      </c>
      <c r="L1515" s="231"/>
      <c r="M1515" s="231" t="s">
        <v>16</v>
      </c>
      <c r="N1515" s="231"/>
      <c r="O1515" s="231">
        <v>2024</v>
      </c>
      <c r="P1515" s="285">
        <v>45582</v>
      </c>
      <c r="Q1515" s="231"/>
      <c r="R1515" s="231"/>
      <c r="S1515" s="241" t="s">
        <v>453</v>
      </c>
      <c r="T1515" s="231"/>
    </row>
    <row r="1516" spans="1:20" ht="14">
      <c r="A1516" s="231">
        <v>1515</v>
      </c>
      <c r="B1516" s="231" t="s">
        <v>52</v>
      </c>
      <c r="C1516" s="231" t="s">
        <v>10</v>
      </c>
      <c r="D1516" s="237" t="s">
        <v>3262</v>
      </c>
      <c r="E1516" s="239"/>
      <c r="F1516" s="231"/>
      <c r="G1516" s="231"/>
      <c r="H1516" s="231" t="s">
        <v>4572</v>
      </c>
      <c r="I1516" s="281">
        <v>0</v>
      </c>
      <c r="J1516" s="249">
        <v>300</v>
      </c>
      <c r="K1516" s="231">
        <f t="shared" si="33"/>
        <v>20</v>
      </c>
      <c r="L1516" s="231"/>
      <c r="M1516" s="231" t="s">
        <v>16</v>
      </c>
      <c r="N1516" s="231"/>
      <c r="O1516" s="231">
        <v>2024</v>
      </c>
      <c r="P1516" s="285">
        <v>45582</v>
      </c>
      <c r="Q1516" s="231"/>
      <c r="R1516" s="231"/>
      <c r="S1516" s="241" t="s">
        <v>453</v>
      </c>
      <c r="T1516" s="231"/>
    </row>
    <row r="1517" spans="1:20" ht="14">
      <c r="A1517" s="231">
        <v>1516</v>
      </c>
      <c r="B1517" s="231" t="s">
        <v>52</v>
      </c>
      <c r="C1517" s="231" t="s">
        <v>10</v>
      </c>
      <c r="D1517" s="237" t="s">
        <v>3263</v>
      </c>
      <c r="E1517" s="239"/>
      <c r="F1517" s="231"/>
      <c r="G1517" s="231"/>
      <c r="H1517" s="231" t="s">
        <v>4572</v>
      </c>
      <c r="I1517" s="281">
        <v>0</v>
      </c>
      <c r="J1517" s="249">
        <v>300</v>
      </c>
      <c r="K1517" s="231">
        <f t="shared" si="33"/>
        <v>20</v>
      </c>
      <c r="L1517" s="231"/>
      <c r="M1517" s="231" t="s">
        <v>16</v>
      </c>
      <c r="N1517" s="231"/>
      <c r="O1517" s="231">
        <v>2024</v>
      </c>
      <c r="P1517" s="285">
        <v>45583</v>
      </c>
      <c r="Q1517" s="231"/>
      <c r="R1517" s="231"/>
      <c r="S1517" s="241" t="s">
        <v>453</v>
      </c>
      <c r="T1517" s="231"/>
    </row>
    <row r="1518" spans="1:20" ht="14">
      <c r="A1518" s="231">
        <v>1517</v>
      </c>
      <c r="B1518" s="231" t="s">
        <v>52</v>
      </c>
      <c r="C1518" s="231" t="s">
        <v>10</v>
      </c>
      <c r="D1518" s="237" t="s">
        <v>3264</v>
      </c>
      <c r="E1518" s="239"/>
      <c r="F1518" s="231"/>
      <c r="G1518" s="231"/>
      <c r="H1518" s="231" t="s">
        <v>4572</v>
      </c>
      <c r="I1518" s="281">
        <v>0</v>
      </c>
      <c r="J1518" s="249">
        <v>300</v>
      </c>
      <c r="K1518" s="231">
        <f t="shared" si="33"/>
        <v>20</v>
      </c>
      <c r="L1518" s="231"/>
      <c r="M1518" s="231" t="s">
        <v>16</v>
      </c>
      <c r="N1518" s="231"/>
      <c r="O1518" s="231">
        <v>2024</v>
      </c>
      <c r="P1518" s="285">
        <v>45583</v>
      </c>
      <c r="Q1518" s="231"/>
      <c r="R1518" s="231"/>
      <c r="S1518" s="241" t="s">
        <v>453</v>
      </c>
      <c r="T1518" s="231"/>
    </row>
    <row r="1519" spans="1:20" ht="14">
      <c r="A1519" s="231">
        <v>1518</v>
      </c>
      <c r="B1519" s="231" t="s">
        <v>52</v>
      </c>
      <c r="C1519" s="231" t="s">
        <v>10</v>
      </c>
      <c r="D1519" s="237" t="s">
        <v>3265</v>
      </c>
      <c r="E1519" s="239"/>
      <c r="F1519" s="231"/>
      <c r="G1519" s="231"/>
      <c r="H1519" s="231" t="s">
        <v>2877</v>
      </c>
      <c r="I1519" s="281">
        <v>0</v>
      </c>
      <c r="J1519" s="249">
        <v>64</v>
      </c>
      <c r="K1519" s="231">
        <f t="shared" si="33"/>
        <v>20</v>
      </c>
      <c r="L1519" s="231"/>
      <c r="M1519" s="231" t="s">
        <v>16</v>
      </c>
      <c r="N1519" s="231"/>
      <c r="O1519" s="231">
        <v>2024</v>
      </c>
      <c r="P1519" s="285">
        <v>45583</v>
      </c>
      <c r="Q1519" s="231"/>
      <c r="R1519" s="231"/>
      <c r="S1519" s="241" t="s">
        <v>453</v>
      </c>
      <c r="T1519" s="231"/>
    </row>
    <row r="1520" spans="1:20" ht="14">
      <c r="A1520" s="231">
        <v>1519</v>
      </c>
      <c r="B1520" s="231" t="s">
        <v>52</v>
      </c>
      <c r="C1520" s="231" t="s">
        <v>10</v>
      </c>
      <c r="D1520" s="237" t="s">
        <v>3266</v>
      </c>
      <c r="E1520" s="239"/>
      <c r="F1520" s="231"/>
      <c r="G1520" s="231"/>
      <c r="H1520" s="231" t="s">
        <v>4572</v>
      </c>
      <c r="I1520" s="281">
        <v>0</v>
      </c>
      <c r="J1520" s="249">
        <v>400</v>
      </c>
      <c r="K1520" s="231">
        <f t="shared" si="33"/>
        <v>20</v>
      </c>
      <c r="L1520" s="231"/>
      <c r="M1520" s="231" t="s">
        <v>16</v>
      </c>
      <c r="N1520" s="231"/>
      <c r="O1520" s="231">
        <v>2024</v>
      </c>
      <c r="P1520" s="285">
        <v>45584</v>
      </c>
      <c r="Q1520" s="231"/>
      <c r="R1520" s="231"/>
      <c r="S1520" s="241" t="s">
        <v>453</v>
      </c>
      <c r="T1520" s="231"/>
    </row>
    <row r="1521" spans="1:20" ht="14">
      <c r="A1521" s="231">
        <v>1520</v>
      </c>
      <c r="B1521" s="231" t="s">
        <v>52</v>
      </c>
      <c r="C1521" s="231" t="s">
        <v>10</v>
      </c>
      <c r="D1521" s="237" t="s">
        <v>3267</v>
      </c>
      <c r="E1521" s="239"/>
      <c r="F1521" s="231"/>
      <c r="G1521" s="231"/>
      <c r="H1521" s="231" t="s">
        <v>2773</v>
      </c>
      <c r="I1521" s="281">
        <v>0</v>
      </c>
      <c r="J1521" s="249">
        <v>120</v>
      </c>
      <c r="K1521" s="231">
        <f t="shared" si="33"/>
        <v>20</v>
      </c>
      <c r="L1521" s="231"/>
      <c r="M1521" s="231" t="s">
        <v>16</v>
      </c>
      <c r="N1521" s="231"/>
      <c r="O1521" s="231">
        <v>2024</v>
      </c>
      <c r="P1521" s="285">
        <v>45584</v>
      </c>
      <c r="Q1521" s="231"/>
      <c r="R1521" s="231"/>
      <c r="S1521" s="241" t="s">
        <v>453</v>
      </c>
      <c r="T1521" s="231"/>
    </row>
    <row r="1522" spans="1:20" ht="14">
      <c r="A1522" s="231">
        <v>1521</v>
      </c>
      <c r="B1522" s="231" t="s">
        <v>52</v>
      </c>
      <c r="C1522" s="231" t="s">
        <v>10</v>
      </c>
      <c r="D1522" s="237" t="s">
        <v>3268</v>
      </c>
      <c r="E1522" s="239"/>
      <c r="F1522" s="231"/>
      <c r="G1522" s="231"/>
      <c r="H1522" s="231" t="s">
        <v>4572</v>
      </c>
      <c r="I1522" s="281">
        <v>0</v>
      </c>
      <c r="J1522" s="249">
        <v>350</v>
      </c>
      <c r="K1522" s="231">
        <f t="shared" si="33"/>
        <v>20</v>
      </c>
      <c r="L1522" s="231"/>
      <c r="M1522" s="231" t="s">
        <v>16</v>
      </c>
      <c r="N1522" s="231"/>
      <c r="O1522" s="231">
        <v>2024</v>
      </c>
      <c r="P1522" s="285">
        <v>45583</v>
      </c>
      <c r="Q1522" s="231"/>
      <c r="R1522" s="231"/>
      <c r="S1522" s="241" t="s">
        <v>453</v>
      </c>
      <c r="T1522" s="231"/>
    </row>
    <row r="1523" spans="1:20" ht="14">
      <c r="A1523" s="231">
        <v>1522</v>
      </c>
      <c r="B1523" s="231" t="s">
        <v>52</v>
      </c>
      <c r="C1523" s="231" t="s">
        <v>10</v>
      </c>
      <c r="D1523" s="237" t="s">
        <v>3269</v>
      </c>
      <c r="E1523" s="239"/>
      <c r="F1523" s="231"/>
      <c r="G1523" s="231"/>
      <c r="H1523" s="231" t="s">
        <v>3060</v>
      </c>
      <c r="I1523" s="281">
        <v>0</v>
      </c>
      <c r="J1523" s="249">
        <v>650</v>
      </c>
      <c r="K1523" s="231">
        <f t="shared" si="33"/>
        <v>20</v>
      </c>
      <c r="L1523" s="231"/>
      <c r="M1523" s="231" t="s">
        <v>16</v>
      </c>
      <c r="N1523" s="231"/>
      <c r="O1523" s="231">
        <v>2024</v>
      </c>
      <c r="P1523" s="285">
        <v>45574</v>
      </c>
      <c r="Q1523" s="231"/>
      <c r="R1523" s="231"/>
      <c r="S1523" s="241" t="s">
        <v>453</v>
      </c>
      <c r="T1523" s="231"/>
    </row>
    <row r="1524" spans="1:20" ht="14">
      <c r="A1524" s="231">
        <v>1523</v>
      </c>
      <c r="B1524" s="231" t="s">
        <v>49</v>
      </c>
      <c r="C1524" s="231" t="s">
        <v>10</v>
      </c>
      <c r="D1524" s="237" t="s">
        <v>3270</v>
      </c>
      <c r="E1524" s="239"/>
      <c r="F1524" s="231"/>
      <c r="G1524" s="231"/>
      <c r="H1524" s="231" t="s">
        <v>452</v>
      </c>
      <c r="I1524" s="281">
        <v>0</v>
      </c>
      <c r="J1524" s="249">
        <v>300</v>
      </c>
      <c r="K1524" s="231">
        <f t="shared" si="33"/>
        <v>20</v>
      </c>
      <c r="L1524" s="231"/>
      <c r="M1524" s="231" t="s">
        <v>16</v>
      </c>
      <c r="N1524" s="231"/>
      <c r="O1524" s="231">
        <v>2024</v>
      </c>
      <c r="P1524" s="285">
        <v>45574</v>
      </c>
      <c r="Q1524" s="231"/>
      <c r="R1524" s="231"/>
      <c r="S1524" s="241" t="s">
        <v>453</v>
      </c>
      <c r="T1524" s="231"/>
    </row>
    <row r="1525" spans="1:20" ht="14">
      <c r="A1525" s="231">
        <v>1524</v>
      </c>
      <c r="B1525" s="281" t="s">
        <v>52</v>
      </c>
      <c r="C1525" s="231" t="s">
        <v>10</v>
      </c>
      <c r="D1525" s="237" t="s">
        <v>4722</v>
      </c>
      <c r="E1525" s="239"/>
      <c r="F1525" s="231"/>
      <c r="G1525" s="231"/>
      <c r="H1525" s="231" t="s">
        <v>4558</v>
      </c>
      <c r="I1525" s="281">
        <v>0</v>
      </c>
      <c r="J1525" s="249">
        <v>800</v>
      </c>
      <c r="K1525" s="231">
        <f>IF(M1525="ONT",20,IF(M1525="N/A","N/A",IF(M1525="MIKROTIK",IF(J1525&lt;3000,10,IF(3000&lt;J1525&gt;10000,20,IF(10000&lt;J1525&gt;20000,40,IF(20000&lt;J1525&gt;40000,60,IF(J1525&gt;40000,80,IF(J1525&lt;300,3,)))))))))</f>
        <v>10</v>
      </c>
      <c r="L1525" s="231"/>
      <c r="M1525" s="231" t="s">
        <v>15</v>
      </c>
      <c r="N1525" s="231"/>
      <c r="O1525" s="231">
        <v>2024</v>
      </c>
      <c r="P1525" s="285">
        <v>45574</v>
      </c>
      <c r="Q1525" s="231"/>
      <c r="R1525" s="231"/>
      <c r="S1525" s="241" t="s">
        <v>453</v>
      </c>
      <c r="T1525" s="231"/>
    </row>
    <row r="1526" spans="1:20" ht="14">
      <c r="A1526" s="231">
        <v>1525</v>
      </c>
      <c r="B1526" s="231" t="s">
        <v>55</v>
      </c>
      <c r="C1526" s="231" t="s">
        <v>10</v>
      </c>
      <c r="D1526" s="237" t="s">
        <v>3272</v>
      </c>
      <c r="E1526" s="239"/>
      <c r="F1526" s="231"/>
      <c r="G1526" s="231"/>
      <c r="H1526" s="231" t="s">
        <v>140</v>
      </c>
      <c r="I1526" s="281">
        <v>0</v>
      </c>
      <c r="J1526" s="249">
        <v>1200</v>
      </c>
      <c r="K1526" s="231">
        <v>20</v>
      </c>
      <c r="L1526" s="231"/>
      <c r="M1526" s="299" t="s">
        <v>15</v>
      </c>
      <c r="N1526" s="231"/>
      <c r="O1526" s="231">
        <v>2024</v>
      </c>
      <c r="P1526" s="285">
        <v>45583</v>
      </c>
      <c r="Q1526" s="231"/>
      <c r="R1526" s="231"/>
      <c r="S1526" s="241" t="s">
        <v>453</v>
      </c>
      <c r="T1526" s="231"/>
    </row>
    <row r="1527" spans="1:20" ht="14">
      <c r="A1527" s="231">
        <v>1526</v>
      </c>
      <c r="B1527" s="231" t="s">
        <v>53</v>
      </c>
      <c r="C1527" s="231" t="s">
        <v>10</v>
      </c>
      <c r="D1527" s="237" t="s">
        <v>3273</v>
      </c>
      <c r="E1527" s="239"/>
      <c r="F1527" s="231"/>
      <c r="G1527" s="231"/>
      <c r="H1527" s="231" t="s">
        <v>221</v>
      </c>
      <c r="I1527" s="281">
        <v>0</v>
      </c>
      <c r="J1527" s="249">
        <v>1000</v>
      </c>
      <c r="K1527" s="231">
        <f>IF(M1527="ONT",20,IF(M1527="N/A","N/A",IF(M1527="MIKROTIK",IF(J1527&lt;3000,10,IF(3000&lt;J1527&gt;10000,20,IF(10000&lt;J1527&gt;20000,40,IF(20000&lt;J1527&gt;40000,60,IF(J1527&gt;40000,80,IF(J1527&lt;300,3,)))))))))</f>
        <v>10</v>
      </c>
      <c r="L1527" s="231"/>
      <c r="M1527" s="299" t="s">
        <v>15</v>
      </c>
      <c r="N1527" s="231"/>
      <c r="O1527" s="231">
        <v>2024</v>
      </c>
      <c r="P1527" s="285">
        <v>45630</v>
      </c>
      <c r="Q1527" s="231"/>
      <c r="R1527" s="231"/>
      <c r="S1527" s="241" t="s">
        <v>453</v>
      </c>
      <c r="T1527" s="231"/>
    </row>
    <row r="1528" spans="1:20" ht="14">
      <c r="A1528" s="231">
        <v>1527</v>
      </c>
      <c r="B1528" s="231" t="s">
        <v>52</v>
      </c>
      <c r="C1528" s="231" t="s">
        <v>10</v>
      </c>
      <c r="D1528" s="237" t="s">
        <v>3274</v>
      </c>
      <c r="E1528" s="239"/>
      <c r="F1528" s="231"/>
      <c r="G1528" s="231"/>
      <c r="H1528" s="231" t="s">
        <v>4550</v>
      </c>
      <c r="I1528" s="281">
        <v>0</v>
      </c>
      <c r="J1528" s="249">
        <v>250</v>
      </c>
      <c r="K1528" s="231" t="b">
        <f t="shared" ref="K1528:K1591" si="34">IF(M1528="ONT",20,IF(M1528="N/A","N/A",IF(M1528="MIKROTIK",IF(J1528&lt;3000,10,IF(3000&lt;J1528&gt;10000,20,IF(10000&lt;J1528&gt;20000,40,IF(20000&lt;J1528&gt;40000,60,IF(J1528&gt;40000,80,IF(J1528&lt;300,3,)))))))))</f>
        <v>0</v>
      </c>
      <c r="L1528" s="231"/>
      <c r="M1528" s="231" t="s">
        <v>3437</v>
      </c>
      <c r="N1528" s="231"/>
      <c r="O1528" s="231">
        <v>2024</v>
      </c>
      <c r="P1528" s="285">
        <v>45630</v>
      </c>
      <c r="Q1528" s="231"/>
      <c r="R1528" s="231"/>
      <c r="S1528" s="241" t="s">
        <v>453</v>
      </c>
      <c r="T1528" s="231"/>
    </row>
    <row r="1529" spans="1:20" ht="14">
      <c r="A1529" s="231">
        <v>1528</v>
      </c>
      <c r="B1529" s="231" t="s">
        <v>49</v>
      </c>
      <c r="C1529" s="231" t="s">
        <v>10</v>
      </c>
      <c r="D1529" s="237" t="s">
        <v>3275</v>
      </c>
      <c r="E1529" s="239"/>
      <c r="F1529" s="231"/>
      <c r="G1529" s="231"/>
      <c r="H1529" s="231" t="s">
        <v>4589</v>
      </c>
      <c r="I1529" s="281">
        <v>0</v>
      </c>
      <c r="J1529" s="249">
        <v>350</v>
      </c>
      <c r="K1529" s="231" t="b">
        <f t="shared" si="34"/>
        <v>0</v>
      </c>
      <c r="L1529" s="231"/>
      <c r="M1529" s="231" t="s">
        <v>3276</v>
      </c>
      <c r="N1529" s="231"/>
      <c r="O1529" s="231">
        <v>2024</v>
      </c>
      <c r="P1529" s="285">
        <v>45589</v>
      </c>
      <c r="Q1529" s="231"/>
      <c r="R1529" s="231"/>
      <c r="S1529" s="241" t="s">
        <v>453</v>
      </c>
      <c r="T1529" s="231"/>
    </row>
    <row r="1530" spans="1:20" ht="14">
      <c r="A1530" s="231">
        <v>1529</v>
      </c>
      <c r="B1530" s="231" t="s">
        <v>52</v>
      </c>
      <c r="C1530" s="231" t="s">
        <v>10</v>
      </c>
      <c r="D1530" s="237" t="s">
        <v>3277</v>
      </c>
      <c r="E1530" s="239"/>
      <c r="F1530" s="231"/>
      <c r="G1530" s="231"/>
      <c r="H1530" s="231" t="s">
        <v>1440</v>
      </c>
      <c r="I1530" s="281">
        <v>0</v>
      </c>
      <c r="J1530" s="249">
        <v>350</v>
      </c>
      <c r="K1530" s="231" t="b">
        <f t="shared" si="34"/>
        <v>0</v>
      </c>
      <c r="L1530" s="231"/>
      <c r="M1530" s="231" t="s">
        <v>3276</v>
      </c>
      <c r="N1530" s="231"/>
      <c r="O1530" s="231">
        <v>2025</v>
      </c>
      <c r="P1530" s="285">
        <v>45679</v>
      </c>
      <c r="Q1530" s="231"/>
      <c r="R1530" s="231"/>
      <c r="S1530" s="241" t="s">
        <v>453</v>
      </c>
      <c r="T1530" s="231"/>
    </row>
    <row r="1531" spans="1:20" ht="14">
      <c r="A1531" s="231">
        <v>1530</v>
      </c>
      <c r="B1531" s="231" t="s">
        <v>52</v>
      </c>
      <c r="C1531" s="231" t="s">
        <v>10</v>
      </c>
      <c r="D1531" s="237" t="s">
        <v>3278</v>
      </c>
      <c r="E1531" s="239"/>
      <c r="F1531" s="231"/>
      <c r="G1531" s="231"/>
      <c r="H1531" s="231" t="s">
        <v>3279</v>
      </c>
      <c r="I1531" s="281">
        <v>300</v>
      </c>
      <c r="J1531" s="249">
        <v>600</v>
      </c>
      <c r="K1531" s="231" t="b">
        <f t="shared" si="34"/>
        <v>0</v>
      </c>
      <c r="L1531" s="231"/>
      <c r="M1531" s="231" t="s">
        <v>3437</v>
      </c>
      <c r="N1531" s="231"/>
      <c r="O1531" s="231">
        <v>2024</v>
      </c>
      <c r="P1531" s="285">
        <v>45610</v>
      </c>
      <c r="Q1531" s="231"/>
      <c r="R1531" s="231"/>
      <c r="S1531" s="241" t="s">
        <v>453</v>
      </c>
      <c r="T1531" s="231"/>
    </row>
    <row r="1532" spans="1:20" ht="14">
      <c r="A1532" s="231">
        <v>1531</v>
      </c>
      <c r="B1532" s="231" t="s">
        <v>52</v>
      </c>
      <c r="C1532" s="231" t="s">
        <v>10</v>
      </c>
      <c r="D1532" s="237" t="s">
        <v>3280</v>
      </c>
      <c r="E1532" s="239"/>
      <c r="F1532" s="231"/>
      <c r="G1532" s="231"/>
      <c r="H1532" s="231" t="s">
        <v>4578</v>
      </c>
      <c r="I1532" s="281">
        <v>0</v>
      </c>
      <c r="J1532" s="249">
        <v>500</v>
      </c>
      <c r="K1532" s="231" t="b">
        <f t="shared" si="34"/>
        <v>0</v>
      </c>
      <c r="L1532" s="231"/>
      <c r="M1532" s="231" t="s">
        <v>81</v>
      </c>
      <c r="N1532" s="231"/>
      <c r="O1532" s="231">
        <v>2024</v>
      </c>
      <c r="P1532" s="285">
        <v>45616</v>
      </c>
      <c r="Q1532" s="231"/>
      <c r="R1532" s="231"/>
      <c r="S1532" s="241" t="s">
        <v>453</v>
      </c>
      <c r="T1532" s="231"/>
    </row>
    <row r="1533" spans="1:20" ht="14">
      <c r="A1533" s="231">
        <v>1532</v>
      </c>
      <c r="B1533" s="231" t="s">
        <v>52</v>
      </c>
      <c r="C1533" s="231" t="s">
        <v>10</v>
      </c>
      <c r="D1533" s="237" t="s">
        <v>3281</v>
      </c>
      <c r="E1533" s="239"/>
      <c r="F1533" s="231"/>
      <c r="G1533" s="231"/>
      <c r="H1533" s="231" t="s">
        <v>2789</v>
      </c>
      <c r="I1533" s="281">
        <v>0</v>
      </c>
      <c r="J1533" s="249">
        <v>350</v>
      </c>
      <c r="K1533" s="231" t="b">
        <f t="shared" si="34"/>
        <v>0</v>
      </c>
      <c r="L1533" s="231"/>
      <c r="M1533" s="231" t="s">
        <v>3437</v>
      </c>
      <c r="N1533" s="231"/>
      <c r="O1533" s="231">
        <v>2024</v>
      </c>
      <c r="P1533" s="285">
        <v>45617</v>
      </c>
      <c r="Q1533" s="231"/>
      <c r="R1533" s="231"/>
      <c r="S1533" s="241" t="s">
        <v>453</v>
      </c>
      <c r="T1533" s="231"/>
    </row>
    <row r="1534" spans="1:20" ht="14">
      <c r="A1534" s="231">
        <v>1533</v>
      </c>
      <c r="B1534" s="231" t="s">
        <v>52</v>
      </c>
      <c r="C1534" s="231" t="s">
        <v>10</v>
      </c>
      <c r="D1534" s="237" t="s">
        <v>3282</v>
      </c>
      <c r="E1534" s="239"/>
      <c r="F1534" s="231"/>
      <c r="G1534" s="231"/>
      <c r="H1534" s="231" t="s">
        <v>1440</v>
      </c>
      <c r="I1534" s="281">
        <v>0</v>
      </c>
      <c r="J1534" s="249">
        <v>300</v>
      </c>
      <c r="K1534" s="231" t="b">
        <f t="shared" si="34"/>
        <v>0</v>
      </c>
      <c r="L1534" s="231"/>
      <c r="M1534" s="231" t="s">
        <v>3276</v>
      </c>
      <c r="N1534" s="231"/>
      <c r="O1534" s="231">
        <v>2024</v>
      </c>
      <c r="P1534" s="285">
        <v>45615</v>
      </c>
      <c r="Q1534" s="231"/>
      <c r="R1534" s="231"/>
      <c r="S1534" s="241" t="s">
        <v>453</v>
      </c>
      <c r="T1534" s="231"/>
    </row>
    <row r="1535" spans="1:20" ht="14">
      <c r="A1535" s="231">
        <v>1534</v>
      </c>
      <c r="B1535" s="231" t="s">
        <v>55</v>
      </c>
      <c r="C1535" s="231" t="s">
        <v>10</v>
      </c>
      <c r="D1535" s="237" t="s">
        <v>3283</v>
      </c>
      <c r="E1535" s="239"/>
      <c r="F1535" s="231"/>
      <c r="G1535" s="231"/>
      <c r="H1535" s="231" t="s">
        <v>2894</v>
      </c>
      <c r="I1535" s="281">
        <v>0</v>
      </c>
      <c r="J1535" s="249">
        <v>650</v>
      </c>
      <c r="K1535" s="231" t="b">
        <f t="shared" si="34"/>
        <v>0</v>
      </c>
      <c r="L1535" s="231"/>
      <c r="M1535" s="231" t="s">
        <v>3276</v>
      </c>
      <c r="N1535" s="231"/>
      <c r="O1535" s="231">
        <v>2024</v>
      </c>
      <c r="P1535" s="285">
        <v>45604</v>
      </c>
      <c r="Q1535" s="231"/>
      <c r="R1535" s="231"/>
      <c r="S1535" s="241" t="s">
        <v>453</v>
      </c>
      <c r="T1535" s="231"/>
    </row>
    <row r="1536" spans="1:20" ht="14">
      <c r="A1536" s="231">
        <v>1535</v>
      </c>
      <c r="B1536" s="231" t="s">
        <v>52</v>
      </c>
      <c r="C1536" s="231" t="s">
        <v>10</v>
      </c>
      <c r="D1536" s="237" t="s">
        <v>3284</v>
      </c>
      <c r="E1536" s="239"/>
      <c r="F1536" s="231"/>
      <c r="G1536" s="231"/>
      <c r="H1536" s="231" t="s">
        <v>2763</v>
      </c>
      <c r="I1536" s="281">
        <v>0</v>
      </c>
      <c r="J1536" s="249">
        <v>650</v>
      </c>
      <c r="K1536" s="231" t="b">
        <f t="shared" si="34"/>
        <v>0</v>
      </c>
      <c r="L1536" s="231"/>
      <c r="M1536" s="231" t="s">
        <v>3276</v>
      </c>
      <c r="N1536" s="231"/>
      <c r="O1536" s="231">
        <v>2024</v>
      </c>
      <c r="P1536" s="285">
        <v>45604</v>
      </c>
      <c r="Q1536" s="231"/>
      <c r="R1536" s="231"/>
      <c r="S1536" s="241" t="s">
        <v>453</v>
      </c>
      <c r="T1536" s="231"/>
    </row>
    <row r="1537" spans="1:20" ht="14">
      <c r="A1537" s="231">
        <v>1536</v>
      </c>
      <c r="B1537" s="231" t="s">
        <v>52</v>
      </c>
      <c r="C1537" s="231" t="s">
        <v>10</v>
      </c>
      <c r="D1537" s="237" t="s">
        <v>3285</v>
      </c>
      <c r="E1537" s="239"/>
      <c r="F1537" s="231"/>
      <c r="G1537" s="231"/>
      <c r="H1537" s="231" t="s">
        <v>1440</v>
      </c>
      <c r="I1537" s="281">
        <v>0</v>
      </c>
      <c r="J1537" s="249">
        <v>750</v>
      </c>
      <c r="K1537" s="231" t="b">
        <f t="shared" si="34"/>
        <v>0</v>
      </c>
      <c r="L1537" s="231"/>
      <c r="M1537" s="231" t="s">
        <v>3276</v>
      </c>
      <c r="N1537" s="231"/>
      <c r="O1537" s="231">
        <v>2024</v>
      </c>
      <c r="P1537" s="285">
        <v>45600</v>
      </c>
      <c r="Q1537" s="231"/>
      <c r="R1537" s="231"/>
      <c r="S1537" s="241" t="s">
        <v>453</v>
      </c>
      <c r="T1537" s="231"/>
    </row>
    <row r="1538" spans="1:20" ht="14">
      <c r="A1538" s="231">
        <v>1537</v>
      </c>
      <c r="B1538" s="231" t="s">
        <v>52</v>
      </c>
      <c r="C1538" s="231" t="s">
        <v>10</v>
      </c>
      <c r="D1538" s="237" t="s">
        <v>3286</v>
      </c>
      <c r="E1538" s="239"/>
      <c r="F1538" s="231"/>
      <c r="G1538" s="231"/>
      <c r="H1538" s="231" t="s">
        <v>3524</v>
      </c>
      <c r="I1538" s="281">
        <v>0</v>
      </c>
      <c r="J1538" s="249">
        <v>3500</v>
      </c>
      <c r="K1538" s="231" t="b">
        <f t="shared" si="34"/>
        <v>0</v>
      </c>
      <c r="L1538" s="231"/>
      <c r="M1538" s="231" t="s">
        <v>3276</v>
      </c>
      <c r="N1538" s="231"/>
      <c r="O1538" s="231">
        <v>2024</v>
      </c>
      <c r="P1538" s="285">
        <v>45625</v>
      </c>
      <c r="Q1538" s="231"/>
      <c r="R1538" s="231"/>
      <c r="S1538" s="241" t="s">
        <v>453</v>
      </c>
      <c r="T1538" s="231"/>
    </row>
    <row r="1539" spans="1:20" ht="14">
      <c r="A1539" s="231">
        <v>1538</v>
      </c>
      <c r="B1539" s="231" t="s">
        <v>52</v>
      </c>
      <c r="C1539" s="231" t="s">
        <v>10</v>
      </c>
      <c r="D1539" s="237" t="s">
        <v>3287</v>
      </c>
      <c r="E1539" s="239"/>
      <c r="F1539" s="231"/>
      <c r="G1539" s="231"/>
      <c r="H1539" s="231" t="s">
        <v>4251</v>
      </c>
      <c r="I1539" s="281">
        <v>350</v>
      </c>
      <c r="J1539" s="249">
        <v>4350</v>
      </c>
      <c r="K1539" s="231" t="b">
        <f t="shared" si="34"/>
        <v>0</v>
      </c>
      <c r="L1539" s="231"/>
      <c r="M1539" s="231" t="s">
        <v>3276</v>
      </c>
      <c r="N1539" s="231"/>
      <c r="O1539" s="231">
        <v>2024</v>
      </c>
      <c r="P1539" s="285">
        <v>45607</v>
      </c>
      <c r="Q1539" s="231"/>
      <c r="R1539" s="231"/>
      <c r="S1539" s="241" t="s">
        <v>453</v>
      </c>
      <c r="T1539" s="231"/>
    </row>
    <row r="1540" spans="1:20" ht="14">
      <c r="A1540" s="231">
        <v>1539</v>
      </c>
      <c r="B1540" s="231" t="s">
        <v>52</v>
      </c>
      <c r="C1540" s="231" t="s">
        <v>10</v>
      </c>
      <c r="D1540" s="237" t="s">
        <v>3288</v>
      </c>
      <c r="E1540" s="239"/>
      <c r="F1540" s="231"/>
      <c r="G1540" s="231"/>
      <c r="H1540" s="231" t="s">
        <v>4577</v>
      </c>
      <c r="I1540" s="281">
        <v>0</v>
      </c>
      <c r="J1540" s="249">
        <v>2000</v>
      </c>
      <c r="K1540" s="231" t="b">
        <f t="shared" si="34"/>
        <v>0</v>
      </c>
      <c r="L1540" s="231"/>
      <c r="M1540" s="231" t="s">
        <v>3535</v>
      </c>
      <c r="N1540" s="231"/>
      <c r="O1540" s="231">
        <v>2024</v>
      </c>
      <c r="P1540" s="285">
        <v>45597</v>
      </c>
      <c r="Q1540" s="231"/>
      <c r="R1540" s="231"/>
      <c r="S1540" s="241" t="s">
        <v>453</v>
      </c>
      <c r="T1540" s="231"/>
    </row>
    <row r="1541" spans="1:20" ht="14">
      <c r="A1541" s="231">
        <v>1540</v>
      </c>
      <c r="B1541" s="281" t="s">
        <v>55</v>
      </c>
      <c r="C1541" s="231" t="s">
        <v>10</v>
      </c>
      <c r="D1541" s="237" t="s">
        <v>3291</v>
      </c>
      <c r="E1541" s="239"/>
      <c r="F1541" s="231"/>
      <c r="G1541" s="231"/>
      <c r="H1541" s="231" t="s">
        <v>2894</v>
      </c>
      <c r="I1541" s="281">
        <v>0</v>
      </c>
      <c r="J1541" s="249">
        <v>650</v>
      </c>
      <c r="K1541" s="231" t="b">
        <f t="shared" si="34"/>
        <v>0</v>
      </c>
      <c r="L1541" s="231"/>
      <c r="M1541" s="231" t="s">
        <v>3437</v>
      </c>
      <c r="N1541" s="231"/>
      <c r="O1541" s="231">
        <v>2024</v>
      </c>
      <c r="P1541" s="285">
        <v>45652</v>
      </c>
      <c r="Q1541" s="231"/>
      <c r="R1541" s="231"/>
      <c r="S1541" s="241" t="s">
        <v>453</v>
      </c>
      <c r="T1541" s="231"/>
    </row>
    <row r="1542" spans="1:20" ht="14">
      <c r="A1542" s="231">
        <v>1541</v>
      </c>
      <c r="B1542" s="231" t="s">
        <v>49</v>
      </c>
      <c r="C1542" s="231" t="s">
        <v>10</v>
      </c>
      <c r="D1542" s="237" t="s">
        <v>3292</v>
      </c>
      <c r="E1542" s="239"/>
      <c r="F1542" s="231"/>
      <c r="G1542" s="231"/>
      <c r="H1542" s="231" t="s">
        <v>4796</v>
      </c>
      <c r="I1542" s="249">
        <v>366</v>
      </c>
      <c r="J1542" s="249">
        <v>0</v>
      </c>
      <c r="K1542" s="231" t="b">
        <f t="shared" si="34"/>
        <v>0</v>
      </c>
      <c r="L1542" s="231"/>
      <c r="M1542" s="231" t="s">
        <v>3276</v>
      </c>
      <c r="N1542" s="231"/>
      <c r="O1542" s="231">
        <v>2024</v>
      </c>
      <c r="P1542" s="285">
        <v>45608</v>
      </c>
      <c r="Q1542" s="231"/>
      <c r="R1542" s="231"/>
      <c r="S1542" s="241" t="s">
        <v>453</v>
      </c>
      <c r="T1542" s="231"/>
    </row>
    <row r="1543" spans="1:20" ht="14">
      <c r="A1543" s="231">
        <v>1542</v>
      </c>
      <c r="B1543" s="281" t="s">
        <v>55</v>
      </c>
      <c r="C1543" s="231" t="s">
        <v>10</v>
      </c>
      <c r="D1543" s="237" t="s">
        <v>3293</v>
      </c>
      <c r="E1543" s="239"/>
      <c r="F1543" s="231"/>
      <c r="G1543" s="231"/>
      <c r="H1543" s="231" t="s">
        <v>2894</v>
      </c>
      <c r="I1543" s="281">
        <v>0</v>
      </c>
      <c r="J1543" s="249">
        <v>1300</v>
      </c>
      <c r="K1543" s="231" t="b">
        <f t="shared" si="34"/>
        <v>0</v>
      </c>
      <c r="L1543" s="231"/>
      <c r="M1543" s="231" t="s">
        <v>3437</v>
      </c>
      <c r="N1543" s="231"/>
      <c r="O1543" s="231">
        <v>2024</v>
      </c>
      <c r="P1543" s="285">
        <v>45638</v>
      </c>
      <c r="Q1543" s="231"/>
      <c r="R1543" s="231"/>
      <c r="S1543" s="241" t="s">
        <v>453</v>
      </c>
      <c r="T1543" s="231"/>
    </row>
    <row r="1544" spans="1:20" ht="14">
      <c r="A1544" s="231">
        <v>1543</v>
      </c>
      <c r="B1544" s="231" t="s">
        <v>52</v>
      </c>
      <c r="C1544" s="231" t="s">
        <v>10</v>
      </c>
      <c r="D1544" s="237" t="s">
        <v>3294</v>
      </c>
      <c r="E1544" s="239"/>
      <c r="F1544" s="231"/>
      <c r="G1544" s="231"/>
      <c r="H1544" s="231" t="s">
        <v>4576</v>
      </c>
      <c r="I1544" s="281">
        <v>0</v>
      </c>
      <c r="J1544" s="249">
        <v>1350</v>
      </c>
      <c r="K1544" s="231" t="b">
        <f t="shared" si="34"/>
        <v>0</v>
      </c>
      <c r="L1544" s="231"/>
      <c r="M1544" s="231" t="s">
        <v>3437</v>
      </c>
      <c r="N1544" s="231"/>
      <c r="O1544" s="231">
        <v>2024</v>
      </c>
      <c r="P1544" s="285">
        <v>45610</v>
      </c>
      <c r="Q1544" s="231"/>
      <c r="R1544" s="231"/>
      <c r="S1544" s="241" t="s">
        <v>453</v>
      </c>
      <c r="T1544" s="231"/>
    </row>
    <row r="1545" spans="1:20" ht="14">
      <c r="A1545" s="231">
        <v>1544</v>
      </c>
      <c r="B1545" s="231" t="s">
        <v>52</v>
      </c>
      <c r="C1545" s="231" t="s">
        <v>10</v>
      </c>
      <c r="D1545" s="237" t="s">
        <v>3295</v>
      </c>
      <c r="E1545" s="239"/>
      <c r="F1545" s="231"/>
      <c r="G1545" s="231"/>
      <c r="H1545" s="231" t="s">
        <v>187</v>
      </c>
      <c r="I1545" s="281">
        <v>0</v>
      </c>
      <c r="J1545" s="249">
        <v>808</v>
      </c>
      <c r="K1545" s="231" t="b">
        <f t="shared" si="34"/>
        <v>0</v>
      </c>
      <c r="L1545" s="231"/>
      <c r="M1545" s="231" t="s">
        <v>3437</v>
      </c>
      <c r="N1545" s="231"/>
      <c r="O1545" s="231">
        <v>2024</v>
      </c>
      <c r="P1545" s="285">
        <v>45617</v>
      </c>
      <c r="Q1545" s="231"/>
      <c r="R1545" s="231"/>
      <c r="S1545" s="241" t="s">
        <v>453</v>
      </c>
      <c r="T1545" s="231"/>
    </row>
    <row r="1546" spans="1:20" ht="14">
      <c r="A1546" s="231">
        <v>1545</v>
      </c>
      <c r="B1546" s="231" t="s">
        <v>52</v>
      </c>
      <c r="C1546" s="231" t="s">
        <v>10</v>
      </c>
      <c r="D1546" s="237" t="s">
        <v>3296</v>
      </c>
      <c r="E1546" s="239"/>
      <c r="F1546" s="231"/>
      <c r="G1546" s="231"/>
      <c r="H1546" s="231" t="s">
        <v>187</v>
      </c>
      <c r="I1546" s="281">
        <v>0</v>
      </c>
      <c r="J1546" s="249">
        <v>2950</v>
      </c>
      <c r="K1546" s="231" t="b">
        <f t="shared" si="34"/>
        <v>0</v>
      </c>
      <c r="L1546" s="231"/>
      <c r="M1546" s="231" t="s">
        <v>3276</v>
      </c>
      <c r="N1546" s="231"/>
      <c r="O1546" s="231">
        <v>2024</v>
      </c>
      <c r="P1546" s="285">
        <v>45610</v>
      </c>
      <c r="Q1546" s="231"/>
      <c r="R1546" s="231"/>
      <c r="S1546" s="241" t="s">
        <v>453</v>
      </c>
      <c r="T1546" s="231"/>
    </row>
    <row r="1547" spans="1:20" ht="14">
      <c r="A1547" s="231">
        <v>1546</v>
      </c>
      <c r="B1547" s="231" t="s">
        <v>52</v>
      </c>
      <c r="C1547" s="231" t="s">
        <v>10</v>
      </c>
      <c r="D1547" s="237" t="s">
        <v>3297</v>
      </c>
      <c r="E1547" s="239"/>
      <c r="F1547" s="231"/>
      <c r="G1547" s="231"/>
      <c r="H1547" s="231" t="s">
        <v>4269</v>
      </c>
      <c r="I1547" s="281">
        <v>0</v>
      </c>
      <c r="J1547" s="249">
        <v>900</v>
      </c>
      <c r="K1547" s="231" t="b">
        <f t="shared" si="34"/>
        <v>0</v>
      </c>
      <c r="L1547" s="231"/>
      <c r="M1547" s="231" t="s">
        <v>3276</v>
      </c>
      <c r="N1547" s="231"/>
      <c r="O1547" s="231">
        <v>2024</v>
      </c>
      <c r="P1547" s="285">
        <v>45630</v>
      </c>
      <c r="Q1547" s="231"/>
      <c r="R1547" s="231"/>
      <c r="S1547" s="241" t="s">
        <v>453</v>
      </c>
      <c r="T1547" s="231"/>
    </row>
    <row r="1548" spans="1:20" ht="14">
      <c r="A1548" s="231">
        <v>1547</v>
      </c>
      <c r="B1548" s="231" t="s">
        <v>52</v>
      </c>
      <c r="C1548" s="231" t="s">
        <v>10</v>
      </c>
      <c r="D1548" s="237" t="s">
        <v>3298</v>
      </c>
      <c r="E1548" s="239"/>
      <c r="F1548" s="231"/>
      <c r="G1548" s="231"/>
      <c r="H1548" s="231" t="s">
        <v>4269</v>
      </c>
      <c r="I1548" s="281">
        <v>0</v>
      </c>
      <c r="J1548" s="249">
        <v>250</v>
      </c>
      <c r="K1548" s="231" t="b">
        <f t="shared" si="34"/>
        <v>0</v>
      </c>
      <c r="L1548" s="231"/>
      <c r="M1548" s="231" t="s">
        <v>3276</v>
      </c>
      <c r="N1548" s="231"/>
      <c r="O1548" s="231">
        <v>2024</v>
      </c>
      <c r="P1548" s="285">
        <v>45630</v>
      </c>
      <c r="Q1548" s="231"/>
      <c r="R1548" s="231"/>
      <c r="S1548" s="241" t="s">
        <v>453</v>
      </c>
      <c r="T1548" s="231"/>
    </row>
    <row r="1549" spans="1:20" ht="14">
      <c r="A1549" s="231">
        <v>1548</v>
      </c>
      <c r="B1549" s="231" t="s">
        <v>52</v>
      </c>
      <c r="C1549" s="231" t="s">
        <v>10</v>
      </c>
      <c r="D1549" s="237" t="s">
        <v>3299</v>
      </c>
      <c r="E1549" s="239"/>
      <c r="F1549" s="231"/>
      <c r="G1549" s="231"/>
      <c r="H1549" s="231" t="s">
        <v>3053</v>
      </c>
      <c r="I1549" s="281">
        <v>0</v>
      </c>
      <c r="J1549" s="249">
        <v>1900</v>
      </c>
      <c r="K1549" s="231" t="b">
        <f t="shared" si="34"/>
        <v>0</v>
      </c>
      <c r="L1549" s="231"/>
      <c r="M1549" s="231" t="s">
        <v>3276</v>
      </c>
      <c r="N1549" s="231"/>
      <c r="O1549" s="231">
        <v>2024</v>
      </c>
      <c r="P1549" s="285">
        <v>45677</v>
      </c>
      <c r="Q1549" s="231"/>
      <c r="R1549" s="231"/>
      <c r="S1549" s="241" t="s">
        <v>453</v>
      </c>
      <c r="T1549" s="231"/>
    </row>
    <row r="1550" spans="1:20" ht="14">
      <c r="A1550" s="231">
        <v>1549</v>
      </c>
      <c r="B1550" s="231" t="s">
        <v>52</v>
      </c>
      <c r="C1550" s="231" t="s">
        <v>10</v>
      </c>
      <c r="D1550" s="237" t="s">
        <v>3300</v>
      </c>
      <c r="E1550" s="239"/>
      <c r="F1550" s="231"/>
      <c r="G1550" s="231"/>
      <c r="H1550" s="231" t="s">
        <v>3301</v>
      </c>
      <c r="I1550" s="281">
        <v>0</v>
      </c>
      <c r="J1550" s="249">
        <v>610</v>
      </c>
      <c r="K1550" s="231" t="b">
        <f t="shared" si="34"/>
        <v>0</v>
      </c>
      <c r="L1550" s="231"/>
      <c r="M1550" s="231" t="s">
        <v>3437</v>
      </c>
      <c r="N1550" s="231" t="s">
        <v>637</v>
      </c>
      <c r="O1550" s="231">
        <v>2024</v>
      </c>
      <c r="P1550" s="285">
        <v>45607</v>
      </c>
      <c r="Q1550" s="231"/>
      <c r="R1550" s="231"/>
      <c r="S1550" s="241" t="s">
        <v>453</v>
      </c>
      <c r="T1550" s="231"/>
    </row>
    <row r="1551" spans="1:20" ht="14">
      <c r="A1551" s="231">
        <v>1550</v>
      </c>
      <c r="B1551" s="231" t="s">
        <v>52</v>
      </c>
      <c r="C1551" s="231" t="s">
        <v>10</v>
      </c>
      <c r="D1551" s="237" t="s">
        <v>3302</v>
      </c>
      <c r="E1551" s="239"/>
      <c r="F1551" s="231"/>
      <c r="G1551" s="231"/>
      <c r="H1551" s="231" t="s">
        <v>187</v>
      </c>
      <c r="I1551" s="281">
        <v>0</v>
      </c>
      <c r="J1551" s="249">
        <v>462</v>
      </c>
      <c r="K1551" s="231" t="b">
        <f t="shared" si="34"/>
        <v>0</v>
      </c>
      <c r="L1551" s="231"/>
      <c r="M1551" s="231" t="s">
        <v>3276</v>
      </c>
      <c r="N1551" s="231"/>
      <c r="O1551" s="231">
        <v>2024</v>
      </c>
      <c r="P1551" s="285">
        <v>45616</v>
      </c>
      <c r="Q1551" s="231"/>
      <c r="R1551" s="231"/>
      <c r="S1551" s="241" t="s">
        <v>453</v>
      </c>
      <c r="T1551" s="231"/>
    </row>
    <row r="1552" spans="1:20" ht="14">
      <c r="A1552" s="231">
        <v>1551</v>
      </c>
      <c r="B1552" s="231" t="s">
        <v>52</v>
      </c>
      <c r="C1552" s="231" t="s">
        <v>10</v>
      </c>
      <c r="D1552" s="237" t="s">
        <v>3303</v>
      </c>
      <c r="E1552" s="239"/>
      <c r="F1552" s="231"/>
      <c r="G1552" s="231"/>
      <c r="H1552" s="231" t="s">
        <v>3060</v>
      </c>
      <c r="I1552" s="281">
        <v>0</v>
      </c>
      <c r="J1552" s="249">
        <v>700</v>
      </c>
      <c r="K1552" s="231" t="b">
        <f t="shared" si="34"/>
        <v>0</v>
      </c>
      <c r="L1552" s="231"/>
      <c r="M1552" s="231" t="s">
        <v>3276</v>
      </c>
      <c r="N1552" s="231"/>
      <c r="O1552" s="231">
        <v>2024</v>
      </c>
      <c r="P1552" s="285">
        <v>45611</v>
      </c>
      <c r="Q1552" s="231"/>
      <c r="R1552" s="231"/>
      <c r="S1552" s="241" t="s">
        <v>453</v>
      </c>
      <c r="T1552" s="231"/>
    </row>
    <row r="1553" spans="1:20" ht="14">
      <c r="A1553" s="231">
        <v>1552</v>
      </c>
      <c r="B1553" s="231" t="s">
        <v>52</v>
      </c>
      <c r="C1553" s="231" t="s">
        <v>10</v>
      </c>
      <c r="D1553" s="237" t="s">
        <v>3304</v>
      </c>
      <c r="E1553" s="239"/>
      <c r="F1553" s="231"/>
      <c r="G1553" s="231"/>
      <c r="H1553" s="231" t="s">
        <v>2763</v>
      </c>
      <c r="I1553" s="281">
        <v>0</v>
      </c>
      <c r="J1553" s="249">
        <v>200</v>
      </c>
      <c r="K1553" s="231" t="b">
        <f>IF(M1554="ONT",20,IF(M1554="N/A","N/A",IF(M1554="MIKROTIK",IF(J1553&lt;3000,10,IF(3000&lt;J1553&gt;10000,20,IF(10000&lt;J1553&gt;20000,40,IF(20000&lt;J1553&gt;40000,60,IF(J1553&gt;40000,80,IF(J1553&lt;300,3,)))))))))</f>
        <v>0</v>
      </c>
      <c r="L1553" s="231"/>
      <c r="M1553" s="231" t="s">
        <v>3437</v>
      </c>
      <c r="N1553" s="231"/>
      <c r="O1553" s="231">
        <v>2024</v>
      </c>
      <c r="P1553" s="285">
        <v>45630</v>
      </c>
      <c r="Q1553" s="231"/>
      <c r="R1553" s="231"/>
      <c r="S1553" s="241" t="s">
        <v>453</v>
      </c>
      <c r="T1553" s="231"/>
    </row>
    <row r="1554" spans="1:20" ht="14">
      <c r="A1554" s="231">
        <v>1553</v>
      </c>
      <c r="B1554" s="231" t="s">
        <v>52</v>
      </c>
      <c r="C1554" s="231" t="s">
        <v>10</v>
      </c>
      <c r="D1554" s="237" t="s">
        <v>3305</v>
      </c>
      <c r="E1554" s="239"/>
      <c r="F1554" s="231"/>
      <c r="G1554" s="231"/>
      <c r="H1554" s="231" t="s">
        <v>3301</v>
      </c>
      <c r="I1554" s="281">
        <v>0</v>
      </c>
      <c r="J1554" s="249">
        <v>350</v>
      </c>
      <c r="K1554" s="231" t="e">
        <f>IF(#REF!="ONT",20,IF(#REF!="N/A","N/A",IF(#REF!="MIKROTIK",IF(J1554&lt;3000,10,IF(3000&lt;J1554&gt;10000,20,IF(10000&lt;J1554&gt;20000,40,IF(20000&lt;J1554&gt;40000,60,IF(J1554&gt;40000,80,IF(J1554&lt;300,3,)))))))))</f>
        <v>#REF!</v>
      </c>
      <c r="L1554" s="231"/>
      <c r="M1554" s="231" t="s">
        <v>3437</v>
      </c>
      <c r="N1554" s="231"/>
      <c r="O1554" s="231">
        <v>2024</v>
      </c>
      <c r="P1554" s="285">
        <v>45615</v>
      </c>
      <c r="Q1554" s="231"/>
      <c r="R1554" s="231"/>
      <c r="S1554" s="241" t="s">
        <v>453</v>
      </c>
      <c r="T1554" s="231"/>
    </row>
    <row r="1555" spans="1:20" ht="14">
      <c r="A1555" s="231">
        <v>1554</v>
      </c>
      <c r="B1555" s="231" t="s">
        <v>52</v>
      </c>
      <c r="C1555" s="231" t="s">
        <v>10</v>
      </c>
      <c r="D1555" s="237" t="s">
        <v>3306</v>
      </c>
      <c r="E1555" s="239"/>
      <c r="F1555" s="231"/>
      <c r="G1555" s="231"/>
      <c r="H1555" s="231" t="s">
        <v>3542</v>
      </c>
      <c r="I1555" s="281">
        <v>0</v>
      </c>
      <c r="J1555" s="249">
        <v>150</v>
      </c>
      <c r="K1555" s="231" t="b">
        <f t="shared" si="34"/>
        <v>0</v>
      </c>
      <c r="L1555" s="231"/>
      <c r="M1555" s="231" t="s">
        <v>3437</v>
      </c>
      <c r="N1555" s="231"/>
      <c r="O1555" s="231">
        <v>2024</v>
      </c>
      <c r="P1555" s="285">
        <v>45629</v>
      </c>
      <c r="Q1555" s="231"/>
      <c r="R1555" s="231"/>
      <c r="S1555" s="241" t="s">
        <v>453</v>
      </c>
      <c r="T1555" s="231"/>
    </row>
    <row r="1556" spans="1:20" ht="14">
      <c r="A1556" s="231">
        <v>1555</v>
      </c>
      <c r="B1556" s="231" t="s">
        <v>52</v>
      </c>
      <c r="C1556" s="231" t="s">
        <v>10</v>
      </c>
      <c r="D1556" s="237" t="s">
        <v>3307</v>
      </c>
      <c r="E1556" s="239"/>
      <c r="F1556" s="231"/>
      <c r="G1556" s="231"/>
      <c r="H1556" s="231" t="s">
        <v>2781</v>
      </c>
      <c r="I1556" s="281">
        <v>0</v>
      </c>
      <c r="J1556" s="249">
        <v>150</v>
      </c>
      <c r="K1556" s="231" t="b">
        <f t="shared" si="34"/>
        <v>0</v>
      </c>
      <c r="L1556" s="231"/>
      <c r="M1556" s="231" t="s">
        <v>3276</v>
      </c>
      <c r="N1556" s="231"/>
      <c r="O1556" s="231">
        <v>2024</v>
      </c>
      <c r="P1556" s="285">
        <v>45616</v>
      </c>
      <c r="Q1556" s="231"/>
      <c r="R1556" s="231"/>
      <c r="S1556" s="241" t="s">
        <v>453</v>
      </c>
      <c r="T1556" s="231"/>
    </row>
    <row r="1557" spans="1:20" ht="14">
      <c r="A1557" s="231">
        <v>1556</v>
      </c>
      <c r="B1557" s="231" t="s">
        <v>52</v>
      </c>
      <c r="C1557" s="231" t="s">
        <v>10</v>
      </c>
      <c r="D1557" s="237" t="s">
        <v>3308</v>
      </c>
      <c r="E1557" s="239"/>
      <c r="F1557" s="231"/>
      <c r="G1557" s="231"/>
      <c r="H1557" s="231" t="s">
        <v>4251</v>
      </c>
      <c r="I1557" s="281">
        <v>0</v>
      </c>
      <c r="J1557" s="249">
        <v>800</v>
      </c>
      <c r="K1557" s="231" t="b">
        <f t="shared" si="34"/>
        <v>0</v>
      </c>
      <c r="L1557" s="231"/>
      <c r="M1557" s="231" t="s">
        <v>3276</v>
      </c>
      <c r="N1557" s="231"/>
      <c r="O1557" s="231">
        <v>2024</v>
      </c>
      <c r="P1557" s="285">
        <v>45601</v>
      </c>
      <c r="Q1557" s="231"/>
      <c r="R1557" s="231"/>
      <c r="S1557" s="241" t="s">
        <v>453</v>
      </c>
      <c r="T1557" s="231"/>
    </row>
    <row r="1558" spans="1:20" ht="14">
      <c r="A1558" s="231">
        <v>1557</v>
      </c>
      <c r="B1558" s="231" t="s">
        <v>52</v>
      </c>
      <c r="C1558" s="231" t="s">
        <v>10</v>
      </c>
      <c r="D1558" s="237" t="s">
        <v>3309</v>
      </c>
      <c r="E1558" s="239"/>
      <c r="F1558" s="231"/>
      <c r="G1558" s="231"/>
      <c r="H1558" s="231" t="s">
        <v>4575</v>
      </c>
      <c r="I1558" s="281">
        <v>0</v>
      </c>
      <c r="J1558" s="249">
        <v>150</v>
      </c>
      <c r="K1558" s="231" t="b">
        <f t="shared" si="34"/>
        <v>0</v>
      </c>
      <c r="L1558" s="231"/>
      <c r="M1558" s="231" t="s">
        <v>3437</v>
      </c>
      <c r="N1558" s="231"/>
      <c r="O1558" s="231">
        <v>2024</v>
      </c>
      <c r="P1558" s="285">
        <v>45614</v>
      </c>
      <c r="Q1558" s="231"/>
      <c r="R1558" s="231"/>
      <c r="S1558" s="241" t="s">
        <v>453</v>
      </c>
      <c r="T1558" s="231"/>
    </row>
    <row r="1559" spans="1:20" ht="14">
      <c r="A1559" s="231">
        <v>1558</v>
      </c>
      <c r="B1559" s="231" t="s">
        <v>52</v>
      </c>
      <c r="C1559" s="231" t="s">
        <v>10</v>
      </c>
      <c r="D1559" s="237" t="s">
        <v>3310</v>
      </c>
      <c r="E1559" s="239"/>
      <c r="F1559" s="231"/>
      <c r="G1559" s="231"/>
      <c r="H1559" s="231" t="s">
        <v>4265</v>
      </c>
      <c r="I1559" s="281">
        <v>0</v>
      </c>
      <c r="J1559" s="249">
        <v>650</v>
      </c>
      <c r="K1559" s="231" t="str">
        <f t="shared" si="34"/>
        <v>N/A</v>
      </c>
      <c r="L1559" s="231"/>
      <c r="M1559" s="231" t="s">
        <v>456</v>
      </c>
      <c r="N1559" s="231"/>
      <c r="O1559" s="231">
        <v>2024</v>
      </c>
      <c r="P1559" s="281" t="s">
        <v>4715</v>
      </c>
      <c r="Q1559" s="231"/>
      <c r="R1559" s="231"/>
      <c r="S1559" s="241" t="s">
        <v>453</v>
      </c>
      <c r="T1559" s="231"/>
    </row>
    <row r="1560" spans="1:20" ht="14">
      <c r="A1560" s="231">
        <v>1559</v>
      </c>
      <c r="B1560" s="231" t="s">
        <v>52</v>
      </c>
      <c r="C1560" s="231" t="s">
        <v>10</v>
      </c>
      <c r="D1560" s="237" t="s">
        <v>3311</v>
      </c>
      <c r="E1560" s="239"/>
      <c r="F1560" s="231"/>
      <c r="G1560" s="231"/>
      <c r="H1560" s="231" t="s">
        <v>3312</v>
      </c>
      <c r="I1560" s="281">
        <v>0</v>
      </c>
      <c r="J1560" s="249">
        <v>46</v>
      </c>
      <c r="K1560" s="231" t="b">
        <f t="shared" si="34"/>
        <v>0</v>
      </c>
      <c r="L1560" s="231"/>
      <c r="M1560" s="231" t="s">
        <v>3276</v>
      </c>
      <c r="N1560" s="231"/>
      <c r="O1560" s="231">
        <v>2024</v>
      </c>
      <c r="P1560" s="285">
        <v>45604</v>
      </c>
      <c r="Q1560" s="231"/>
      <c r="R1560" s="231"/>
      <c r="S1560" s="241" t="s">
        <v>453</v>
      </c>
      <c r="T1560" s="231"/>
    </row>
    <row r="1561" spans="1:20" ht="14">
      <c r="A1561" s="231">
        <v>1560</v>
      </c>
      <c r="B1561" s="231" t="s">
        <v>52</v>
      </c>
      <c r="C1561" s="231" t="s">
        <v>10</v>
      </c>
      <c r="D1561" s="237" t="s">
        <v>3313</v>
      </c>
      <c r="E1561" s="239"/>
      <c r="F1561" s="231"/>
      <c r="G1561" s="231"/>
      <c r="H1561" s="231" t="s">
        <v>2773</v>
      </c>
      <c r="I1561" s="281">
        <v>0</v>
      </c>
      <c r="J1561" s="249">
        <v>423</v>
      </c>
      <c r="K1561" s="231" t="b">
        <f t="shared" si="34"/>
        <v>0</v>
      </c>
      <c r="L1561" s="231"/>
      <c r="M1561" s="231" t="s">
        <v>3276</v>
      </c>
      <c r="N1561" s="231"/>
      <c r="O1561" s="231">
        <v>2024</v>
      </c>
      <c r="P1561" s="285">
        <v>45614</v>
      </c>
      <c r="Q1561" s="231"/>
      <c r="R1561" s="231"/>
      <c r="S1561" s="241" t="s">
        <v>453</v>
      </c>
      <c r="T1561" s="231"/>
    </row>
    <row r="1562" spans="1:20" ht="14">
      <c r="A1562" s="231">
        <v>1561</v>
      </c>
      <c r="B1562" s="231" t="s">
        <v>52</v>
      </c>
      <c r="C1562" s="231" t="s">
        <v>10</v>
      </c>
      <c r="D1562" s="237" t="s">
        <v>3314</v>
      </c>
      <c r="E1562" s="239"/>
      <c r="F1562" s="231"/>
      <c r="G1562" s="231"/>
      <c r="H1562" s="231" t="s">
        <v>2773</v>
      </c>
      <c r="I1562" s="281">
        <v>0</v>
      </c>
      <c r="J1562" s="249">
        <v>450</v>
      </c>
      <c r="K1562" s="231" t="b">
        <f t="shared" si="34"/>
        <v>0</v>
      </c>
      <c r="L1562" s="231"/>
      <c r="M1562" s="231" t="s">
        <v>3276</v>
      </c>
      <c r="N1562" s="231"/>
      <c r="O1562" s="231">
        <v>2024</v>
      </c>
      <c r="P1562" s="285">
        <v>45614</v>
      </c>
      <c r="Q1562" s="231"/>
      <c r="R1562" s="231"/>
      <c r="S1562" s="241" t="s">
        <v>453</v>
      </c>
      <c r="T1562" s="231"/>
    </row>
    <row r="1563" spans="1:20" ht="14">
      <c r="A1563" s="231">
        <v>1562</v>
      </c>
      <c r="B1563" s="231" t="s">
        <v>52</v>
      </c>
      <c r="C1563" s="231" t="s">
        <v>10</v>
      </c>
      <c r="D1563" s="237" t="s">
        <v>3315</v>
      </c>
      <c r="E1563" s="239"/>
      <c r="F1563" s="231"/>
      <c r="G1563" s="231"/>
      <c r="H1563" s="231" t="s">
        <v>2773</v>
      </c>
      <c r="I1563" s="281">
        <v>0</v>
      </c>
      <c r="J1563" s="249">
        <v>355</v>
      </c>
      <c r="K1563" s="231" t="b">
        <f t="shared" si="34"/>
        <v>0</v>
      </c>
      <c r="L1563" s="231"/>
      <c r="M1563" s="231" t="s">
        <v>3276</v>
      </c>
      <c r="N1563" s="231"/>
      <c r="O1563" s="231">
        <v>2024</v>
      </c>
      <c r="P1563" s="285">
        <v>45616</v>
      </c>
      <c r="Q1563" s="231"/>
      <c r="R1563" s="231"/>
      <c r="S1563" s="241" t="s">
        <v>453</v>
      </c>
      <c r="T1563" s="231"/>
    </row>
    <row r="1564" spans="1:20" ht="14">
      <c r="A1564" s="231">
        <v>1563</v>
      </c>
      <c r="B1564" s="231" t="s">
        <v>52</v>
      </c>
      <c r="C1564" s="231" t="s">
        <v>10</v>
      </c>
      <c r="D1564" s="237" t="s">
        <v>3316</v>
      </c>
      <c r="E1564" s="239"/>
      <c r="F1564" s="231"/>
      <c r="G1564" s="231"/>
      <c r="H1564" s="231" t="s">
        <v>2773</v>
      </c>
      <c r="I1564" s="281">
        <v>0</v>
      </c>
      <c r="J1564" s="249">
        <v>355</v>
      </c>
      <c r="K1564" s="231" t="b">
        <f t="shared" si="34"/>
        <v>0</v>
      </c>
      <c r="L1564" s="231"/>
      <c r="M1564" s="231" t="s">
        <v>3276</v>
      </c>
      <c r="N1564" s="231"/>
      <c r="O1564" s="231">
        <v>2024</v>
      </c>
      <c r="P1564" s="285">
        <v>45614</v>
      </c>
      <c r="Q1564" s="231"/>
      <c r="R1564" s="231"/>
      <c r="S1564" s="241" t="s">
        <v>453</v>
      </c>
      <c r="T1564" s="231"/>
    </row>
    <row r="1565" spans="1:20" ht="14">
      <c r="A1565" s="231">
        <v>1564</v>
      </c>
      <c r="B1565" s="231" t="s">
        <v>52</v>
      </c>
      <c r="C1565" s="231" t="s">
        <v>10</v>
      </c>
      <c r="D1565" s="237" t="s">
        <v>3317</v>
      </c>
      <c r="E1565" s="239"/>
      <c r="F1565" s="231"/>
      <c r="G1565" s="231"/>
      <c r="H1565" s="231" t="s">
        <v>3583</v>
      </c>
      <c r="I1565" s="281">
        <v>0</v>
      </c>
      <c r="J1565" s="249">
        <v>403</v>
      </c>
      <c r="K1565" s="231" t="b">
        <f t="shared" si="34"/>
        <v>0</v>
      </c>
      <c r="L1565" s="231"/>
      <c r="M1565" s="231" t="s">
        <v>3437</v>
      </c>
      <c r="N1565" s="231"/>
      <c r="O1565" s="231">
        <v>2024</v>
      </c>
      <c r="P1565" s="285">
        <v>45621</v>
      </c>
      <c r="Q1565" s="231"/>
      <c r="R1565" s="231"/>
      <c r="S1565" s="241" t="s">
        <v>453</v>
      </c>
      <c r="T1565" s="231"/>
    </row>
    <row r="1566" spans="1:20" ht="14">
      <c r="A1566" s="231">
        <v>1565</v>
      </c>
      <c r="B1566" s="231" t="s">
        <v>52</v>
      </c>
      <c r="C1566" s="231" t="s">
        <v>10</v>
      </c>
      <c r="D1566" s="237" t="s">
        <v>3318</v>
      </c>
      <c r="E1566" s="239"/>
      <c r="F1566" s="231"/>
      <c r="G1566" s="231"/>
      <c r="H1566" s="231" t="s">
        <v>2783</v>
      </c>
      <c r="I1566" s="281">
        <v>0</v>
      </c>
      <c r="J1566" s="249">
        <v>700</v>
      </c>
      <c r="K1566" s="231" t="b">
        <f t="shared" si="34"/>
        <v>0</v>
      </c>
      <c r="L1566" s="231"/>
      <c r="M1566" s="231" t="s">
        <v>3437</v>
      </c>
      <c r="N1566" s="231"/>
      <c r="O1566" s="231">
        <v>2024</v>
      </c>
      <c r="P1566" s="285">
        <v>45640</v>
      </c>
      <c r="Q1566" s="231"/>
      <c r="R1566" s="231"/>
      <c r="S1566" s="241" t="s">
        <v>453</v>
      </c>
      <c r="T1566" s="231"/>
    </row>
    <row r="1567" spans="1:20" ht="14">
      <c r="A1567" s="231">
        <v>1566</v>
      </c>
      <c r="B1567" s="231" t="s">
        <v>52</v>
      </c>
      <c r="C1567" s="231" t="s">
        <v>10</v>
      </c>
      <c r="D1567" s="237" t="s">
        <v>3319</v>
      </c>
      <c r="E1567" s="239"/>
      <c r="F1567" s="231"/>
      <c r="G1567" s="231"/>
      <c r="H1567" s="231" t="s">
        <v>3111</v>
      </c>
      <c r="I1567" s="281">
        <v>0</v>
      </c>
      <c r="J1567" s="249">
        <v>67</v>
      </c>
      <c r="K1567" s="231" t="b">
        <f t="shared" si="34"/>
        <v>0</v>
      </c>
      <c r="L1567" s="231"/>
      <c r="M1567" s="231" t="s">
        <v>3437</v>
      </c>
      <c r="N1567" s="231"/>
      <c r="O1567" s="231">
        <v>2024</v>
      </c>
      <c r="P1567" s="285">
        <v>45603</v>
      </c>
      <c r="Q1567" s="231"/>
      <c r="R1567" s="231"/>
      <c r="S1567" s="241" t="s">
        <v>453</v>
      </c>
      <c r="T1567" s="231"/>
    </row>
    <row r="1568" spans="1:20" ht="14">
      <c r="A1568" s="231">
        <v>1567</v>
      </c>
      <c r="B1568" s="231" t="s">
        <v>52</v>
      </c>
      <c r="C1568" s="231" t="s">
        <v>10</v>
      </c>
      <c r="D1568" s="237" t="s">
        <v>3320</v>
      </c>
      <c r="E1568" s="239"/>
      <c r="F1568" s="231"/>
      <c r="G1568" s="231"/>
      <c r="H1568" s="231" t="s">
        <v>452</v>
      </c>
      <c r="I1568" s="281">
        <v>0</v>
      </c>
      <c r="J1568" s="249">
        <v>300</v>
      </c>
      <c r="K1568" s="231" t="b">
        <f t="shared" si="34"/>
        <v>0</v>
      </c>
      <c r="L1568" s="231"/>
      <c r="M1568" s="231" t="s">
        <v>3437</v>
      </c>
      <c r="N1568" s="231"/>
      <c r="O1568" s="231">
        <v>2024</v>
      </c>
      <c r="P1568" s="285">
        <v>45618</v>
      </c>
      <c r="Q1568" s="231"/>
      <c r="R1568" s="231"/>
      <c r="S1568" s="241" t="s">
        <v>453</v>
      </c>
      <c r="T1568" s="231"/>
    </row>
    <row r="1569" spans="1:20" ht="14">
      <c r="A1569" s="231">
        <v>1568</v>
      </c>
      <c r="B1569" s="231" t="s">
        <v>52</v>
      </c>
      <c r="C1569" s="231" t="s">
        <v>10</v>
      </c>
      <c r="D1569" s="237" t="s">
        <v>3321</v>
      </c>
      <c r="E1569" s="239"/>
      <c r="F1569" s="231"/>
      <c r="G1569" s="231"/>
      <c r="H1569" s="231" t="s">
        <v>3542</v>
      </c>
      <c r="I1569" s="281">
        <v>0</v>
      </c>
      <c r="J1569" s="249">
        <v>90</v>
      </c>
      <c r="K1569" s="231" t="b">
        <f t="shared" si="34"/>
        <v>0</v>
      </c>
      <c r="L1569" s="231"/>
      <c r="M1569" s="231" t="s">
        <v>3437</v>
      </c>
      <c r="N1569" s="231"/>
      <c r="O1569" s="231">
        <v>2024</v>
      </c>
      <c r="P1569" s="285">
        <v>45602</v>
      </c>
      <c r="Q1569" s="231"/>
      <c r="R1569" s="231"/>
      <c r="S1569" s="241" t="s">
        <v>453</v>
      </c>
      <c r="T1569" s="231"/>
    </row>
    <row r="1570" spans="1:20" ht="14">
      <c r="A1570" s="231">
        <v>1569</v>
      </c>
      <c r="B1570" s="231" t="s">
        <v>52</v>
      </c>
      <c r="C1570" s="231" t="s">
        <v>10</v>
      </c>
      <c r="D1570" s="237" t="s">
        <v>3322</v>
      </c>
      <c r="E1570" s="239"/>
      <c r="F1570" s="231"/>
      <c r="G1570" s="231"/>
      <c r="H1570" s="231" t="s">
        <v>3542</v>
      </c>
      <c r="I1570" s="281">
        <v>0</v>
      </c>
      <c r="J1570" s="249">
        <v>340</v>
      </c>
      <c r="K1570" s="231" t="b">
        <f t="shared" si="34"/>
        <v>0</v>
      </c>
      <c r="L1570" s="231"/>
      <c r="M1570" s="231" t="s">
        <v>3437</v>
      </c>
      <c r="N1570" s="231"/>
      <c r="O1570" s="231">
        <v>2024</v>
      </c>
      <c r="P1570" s="285">
        <v>45614</v>
      </c>
      <c r="Q1570" s="231"/>
      <c r="R1570" s="231"/>
      <c r="S1570" s="241" t="s">
        <v>453</v>
      </c>
      <c r="T1570" s="231"/>
    </row>
    <row r="1571" spans="1:20" ht="14">
      <c r="A1571" s="231">
        <v>1570</v>
      </c>
      <c r="B1571" s="231" t="s">
        <v>52</v>
      </c>
      <c r="C1571" s="231" t="s">
        <v>10</v>
      </c>
      <c r="D1571" s="237" t="s">
        <v>3323</v>
      </c>
      <c r="E1571" s="239"/>
      <c r="F1571" s="231"/>
      <c r="G1571" s="231"/>
      <c r="H1571" s="231" t="s">
        <v>4265</v>
      </c>
      <c r="I1571" s="281">
        <v>0</v>
      </c>
      <c r="J1571" s="249">
        <v>650</v>
      </c>
      <c r="K1571" s="231" t="b">
        <f t="shared" si="34"/>
        <v>0</v>
      </c>
      <c r="L1571" s="231"/>
      <c r="M1571" s="231" t="s">
        <v>3437</v>
      </c>
      <c r="N1571" s="231"/>
      <c r="O1571" s="231">
        <v>2024</v>
      </c>
      <c r="P1571" s="285">
        <v>45616</v>
      </c>
      <c r="Q1571" s="231"/>
      <c r="R1571" s="231"/>
      <c r="S1571" s="241" t="s">
        <v>453</v>
      </c>
      <c r="T1571" s="231"/>
    </row>
    <row r="1572" spans="1:20" ht="14">
      <c r="A1572" s="231">
        <v>1571</v>
      </c>
      <c r="B1572" s="231" t="s">
        <v>49</v>
      </c>
      <c r="C1572" s="231" t="s">
        <v>10</v>
      </c>
      <c r="D1572" s="237" t="s">
        <v>3324</v>
      </c>
      <c r="E1572" s="239"/>
      <c r="F1572" s="231"/>
      <c r="G1572" s="231"/>
      <c r="H1572" s="231" t="s">
        <v>452</v>
      </c>
      <c r="I1572" s="281">
        <v>0</v>
      </c>
      <c r="J1572" s="249">
        <v>150</v>
      </c>
      <c r="K1572" s="231" t="b">
        <f t="shared" si="34"/>
        <v>0</v>
      </c>
      <c r="L1572" s="231"/>
      <c r="M1572" s="231" t="s">
        <v>3437</v>
      </c>
      <c r="N1572" s="231"/>
      <c r="O1572" s="231">
        <v>2024</v>
      </c>
      <c r="P1572" s="285">
        <v>45472</v>
      </c>
      <c r="Q1572" s="231"/>
      <c r="R1572" s="231"/>
      <c r="S1572" s="241" t="s">
        <v>453</v>
      </c>
      <c r="T1572" s="231"/>
    </row>
    <row r="1573" spans="1:20" ht="14">
      <c r="A1573" s="231">
        <v>1572</v>
      </c>
      <c r="B1573" s="231" t="s">
        <v>52</v>
      </c>
      <c r="C1573" s="231" t="s">
        <v>10</v>
      </c>
      <c r="D1573" s="237" t="s">
        <v>4720</v>
      </c>
      <c r="E1573" s="239"/>
      <c r="F1573" s="231"/>
      <c r="G1573" s="231"/>
      <c r="H1573" s="231" t="s">
        <v>2789</v>
      </c>
      <c r="I1573" s="281">
        <v>350</v>
      </c>
      <c r="J1573" s="249">
        <v>0</v>
      </c>
      <c r="K1573" s="231" t="b">
        <f t="shared" si="34"/>
        <v>0</v>
      </c>
      <c r="L1573" s="231"/>
      <c r="M1573" s="231" t="s">
        <v>3437</v>
      </c>
      <c r="N1573" s="231"/>
      <c r="O1573" s="231">
        <v>2024</v>
      </c>
      <c r="P1573" s="285">
        <v>45600</v>
      </c>
      <c r="Q1573" s="231"/>
      <c r="R1573" s="231"/>
      <c r="S1573" s="241" t="s">
        <v>453</v>
      </c>
      <c r="T1573" s="231"/>
    </row>
    <row r="1574" spans="1:20" ht="14">
      <c r="A1574" s="231">
        <v>1573</v>
      </c>
      <c r="B1574" s="231" t="s">
        <v>52</v>
      </c>
      <c r="C1574" s="231" t="s">
        <v>10</v>
      </c>
      <c r="D1574" s="237" t="s">
        <v>3325</v>
      </c>
      <c r="E1574" s="239"/>
      <c r="F1574" s="231"/>
      <c r="G1574" s="231"/>
      <c r="H1574" s="231" t="s">
        <v>2779</v>
      </c>
      <c r="I1574" s="281">
        <v>0</v>
      </c>
      <c r="J1574" s="249">
        <v>500</v>
      </c>
      <c r="K1574" s="231" t="b">
        <f t="shared" si="34"/>
        <v>0</v>
      </c>
      <c r="L1574" s="231"/>
      <c r="M1574" s="231" t="s">
        <v>3437</v>
      </c>
      <c r="N1574" s="231"/>
      <c r="O1574" s="231">
        <v>2024</v>
      </c>
      <c r="P1574" s="285">
        <v>45625</v>
      </c>
      <c r="Q1574" s="231"/>
      <c r="R1574" s="231"/>
      <c r="S1574" s="241" t="s">
        <v>453</v>
      </c>
      <c r="T1574" s="231"/>
    </row>
    <row r="1575" spans="1:20" ht="14">
      <c r="A1575" s="231">
        <v>1574</v>
      </c>
      <c r="B1575" s="231" t="s">
        <v>52</v>
      </c>
      <c r="C1575" s="231" t="s">
        <v>10</v>
      </c>
      <c r="D1575" s="237" t="s">
        <v>3326</v>
      </c>
      <c r="E1575" s="239"/>
      <c r="F1575" s="231"/>
      <c r="G1575" s="231"/>
      <c r="H1575" s="231" t="s">
        <v>2980</v>
      </c>
      <c r="I1575" s="281">
        <v>0</v>
      </c>
      <c r="J1575" s="249">
        <v>600</v>
      </c>
      <c r="K1575" s="231" t="b">
        <f t="shared" si="34"/>
        <v>0</v>
      </c>
      <c r="L1575" s="231"/>
      <c r="M1575" s="231" t="s">
        <v>3437</v>
      </c>
      <c r="N1575" s="231"/>
      <c r="O1575" s="231">
        <v>2024</v>
      </c>
      <c r="P1575" s="285">
        <v>45625</v>
      </c>
      <c r="Q1575" s="231"/>
      <c r="R1575" s="231"/>
      <c r="S1575" s="241" t="s">
        <v>453</v>
      </c>
      <c r="T1575" s="231"/>
    </row>
    <row r="1576" spans="1:20" ht="14">
      <c r="A1576" s="231">
        <v>1575</v>
      </c>
      <c r="B1576" s="231" t="s">
        <v>52</v>
      </c>
      <c r="C1576" s="231" t="s">
        <v>10</v>
      </c>
      <c r="D1576" s="237" t="s">
        <v>3329</v>
      </c>
      <c r="E1576" s="239"/>
      <c r="F1576" s="231"/>
      <c r="G1576" s="231"/>
      <c r="H1576" s="231" t="s">
        <v>3330</v>
      </c>
      <c r="I1576" s="281">
        <v>0</v>
      </c>
      <c r="J1576" s="249">
        <v>500</v>
      </c>
      <c r="K1576" s="231" t="b">
        <f t="shared" si="34"/>
        <v>0</v>
      </c>
      <c r="L1576" s="231"/>
      <c r="M1576" s="231" t="s">
        <v>3437</v>
      </c>
      <c r="N1576" s="231"/>
      <c r="O1576" s="231">
        <v>2024</v>
      </c>
      <c r="P1576" s="285">
        <v>45638</v>
      </c>
      <c r="Q1576" s="231"/>
      <c r="R1576" s="231"/>
      <c r="S1576" s="241" t="s">
        <v>457</v>
      </c>
      <c r="T1576" s="231"/>
    </row>
    <row r="1577" spans="1:20" ht="14">
      <c r="A1577" s="231">
        <v>1576</v>
      </c>
      <c r="B1577" s="231" t="s">
        <v>52</v>
      </c>
      <c r="C1577" s="231" t="s">
        <v>10</v>
      </c>
      <c r="D1577" s="237" t="s">
        <v>3331</v>
      </c>
      <c r="E1577" s="239"/>
      <c r="F1577" s="231"/>
      <c r="G1577" s="231"/>
      <c r="H1577" s="231" t="s">
        <v>4574</v>
      </c>
      <c r="I1577" s="281">
        <v>0</v>
      </c>
      <c r="J1577" s="249">
        <v>2000</v>
      </c>
      <c r="K1577" s="231" t="b">
        <f t="shared" si="34"/>
        <v>0</v>
      </c>
      <c r="L1577" s="231"/>
      <c r="M1577" s="231" t="s">
        <v>3437</v>
      </c>
      <c r="N1577" s="231"/>
      <c r="O1577" s="231">
        <v>2024</v>
      </c>
      <c r="P1577" s="285">
        <v>45617</v>
      </c>
      <c r="Q1577" s="231"/>
      <c r="R1577" s="231"/>
      <c r="S1577" s="241" t="s">
        <v>453</v>
      </c>
      <c r="T1577" s="231"/>
    </row>
    <row r="1578" spans="1:20" ht="14">
      <c r="A1578" s="231">
        <v>1577</v>
      </c>
      <c r="B1578" s="231" t="s">
        <v>52</v>
      </c>
      <c r="C1578" s="231" t="s">
        <v>10</v>
      </c>
      <c r="D1578" s="237" t="s">
        <v>3332</v>
      </c>
      <c r="E1578" s="239"/>
      <c r="F1578" s="231"/>
      <c r="G1578" s="231"/>
      <c r="H1578" s="231" t="s">
        <v>189</v>
      </c>
      <c r="I1578" s="281">
        <v>0</v>
      </c>
      <c r="J1578" s="249">
        <v>1900</v>
      </c>
      <c r="K1578" s="231" t="b">
        <f t="shared" si="34"/>
        <v>0</v>
      </c>
      <c r="L1578" s="231"/>
      <c r="M1578" s="231" t="s">
        <v>3437</v>
      </c>
      <c r="N1578" s="231"/>
      <c r="O1578" s="231">
        <v>2024</v>
      </c>
      <c r="P1578" s="285">
        <v>45627</v>
      </c>
      <c r="Q1578" s="231"/>
      <c r="R1578" s="231"/>
      <c r="S1578" s="241" t="s">
        <v>453</v>
      </c>
      <c r="T1578" s="231"/>
    </row>
    <row r="1579" spans="1:20" ht="14">
      <c r="A1579" s="231">
        <v>1578</v>
      </c>
      <c r="B1579" s="231" t="s">
        <v>52</v>
      </c>
      <c r="C1579" s="231" t="s">
        <v>10</v>
      </c>
      <c r="D1579" s="237" t="s">
        <v>3333</v>
      </c>
      <c r="E1579" s="239"/>
      <c r="F1579" s="231"/>
      <c r="G1579" s="231"/>
      <c r="H1579" s="231" t="s">
        <v>4573</v>
      </c>
      <c r="I1579" s="281">
        <v>0</v>
      </c>
      <c r="J1579" s="249">
        <v>300</v>
      </c>
      <c r="K1579" s="231" t="b">
        <f t="shared" si="34"/>
        <v>0</v>
      </c>
      <c r="L1579" s="231"/>
      <c r="M1579" s="231" t="s">
        <v>3276</v>
      </c>
      <c r="N1579" s="231"/>
      <c r="O1579" s="231">
        <v>2024</v>
      </c>
      <c r="P1579" s="285">
        <v>45629</v>
      </c>
      <c r="Q1579" s="231"/>
      <c r="R1579" s="231"/>
      <c r="S1579" s="241" t="s">
        <v>453</v>
      </c>
      <c r="T1579" s="231"/>
    </row>
    <row r="1580" spans="1:20" ht="14">
      <c r="A1580" s="231">
        <v>1579</v>
      </c>
      <c r="B1580" s="231" t="s">
        <v>52</v>
      </c>
      <c r="C1580" s="231" t="s">
        <v>10</v>
      </c>
      <c r="D1580" s="237" t="s">
        <v>3334</v>
      </c>
      <c r="E1580" s="239"/>
      <c r="F1580" s="231"/>
      <c r="G1580" s="231"/>
      <c r="H1580" s="231" t="s">
        <v>2763</v>
      </c>
      <c r="I1580" s="281">
        <v>0</v>
      </c>
      <c r="J1580" s="249">
        <v>607</v>
      </c>
      <c r="K1580" s="231" t="b">
        <f t="shared" si="34"/>
        <v>0</v>
      </c>
      <c r="L1580" s="231"/>
      <c r="M1580" s="231" t="s">
        <v>3276</v>
      </c>
      <c r="N1580" s="231"/>
      <c r="O1580" s="231">
        <v>2024</v>
      </c>
      <c r="P1580" s="285">
        <v>45636</v>
      </c>
      <c r="Q1580" s="231"/>
      <c r="R1580" s="231"/>
      <c r="S1580" s="241" t="s">
        <v>453</v>
      </c>
      <c r="T1580" s="231"/>
    </row>
    <row r="1581" spans="1:20" ht="14">
      <c r="A1581" s="231">
        <v>1580</v>
      </c>
      <c r="B1581" s="231" t="s">
        <v>52</v>
      </c>
      <c r="C1581" s="231" t="s">
        <v>10</v>
      </c>
      <c r="D1581" s="237" t="s">
        <v>3335</v>
      </c>
      <c r="E1581" s="239"/>
      <c r="F1581" s="231"/>
      <c r="G1581" s="231"/>
      <c r="H1581" s="231" t="s">
        <v>4548</v>
      </c>
      <c r="I1581" s="281">
        <v>0</v>
      </c>
      <c r="J1581" s="249">
        <v>150</v>
      </c>
      <c r="K1581" s="231" t="b">
        <f t="shared" si="34"/>
        <v>0</v>
      </c>
      <c r="L1581" s="231"/>
      <c r="M1581" s="231" t="s">
        <v>3437</v>
      </c>
      <c r="N1581" s="231"/>
      <c r="O1581" s="231">
        <v>2024</v>
      </c>
      <c r="P1581" s="285">
        <v>45616</v>
      </c>
      <c r="Q1581" s="231"/>
      <c r="R1581" s="231"/>
      <c r="S1581" s="241" t="s">
        <v>453</v>
      </c>
      <c r="T1581" s="231"/>
    </row>
    <row r="1582" spans="1:20" ht="14">
      <c r="A1582" s="231">
        <v>1581</v>
      </c>
      <c r="B1582" s="231" t="s">
        <v>52</v>
      </c>
      <c r="C1582" s="231" t="s">
        <v>10</v>
      </c>
      <c r="D1582" s="237" t="s">
        <v>3336</v>
      </c>
      <c r="E1582" s="239"/>
      <c r="F1582" s="231"/>
      <c r="G1582" s="231"/>
      <c r="H1582" s="231" t="s">
        <v>2789</v>
      </c>
      <c r="I1582" s="281">
        <v>0</v>
      </c>
      <c r="J1582" s="249">
        <v>120</v>
      </c>
      <c r="K1582" s="231" t="b">
        <f t="shared" si="34"/>
        <v>0</v>
      </c>
      <c r="L1582" s="231"/>
      <c r="M1582" s="231" t="s">
        <v>3437</v>
      </c>
      <c r="N1582" s="231"/>
      <c r="O1582" s="231">
        <v>2024</v>
      </c>
      <c r="P1582" s="285">
        <v>45604</v>
      </c>
      <c r="Q1582" s="231"/>
      <c r="R1582" s="231"/>
      <c r="S1582" s="241" t="s">
        <v>453</v>
      </c>
      <c r="T1582" s="231"/>
    </row>
    <row r="1583" spans="1:20" ht="14">
      <c r="A1583" s="231">
        <v>1582</v>
      </c>
      <c r="B1583" s="231" t="s">
        <v>52</v>
      </c>
      <c r="C1583" s="231" t="s">
        <v>10</v>
      </c>
      <c r="D1583" s="237" t="s">
        <v>3337</v>
      </c>
      <c r="E1583" s="239"/>
      <c r="F1583" s="231"/>
      <c r="G1583" s="231"/>
      <c r="H1583" s="237" t="s">
        <v>3338</v>
      </c>
      <c r="I1583" s="281">
        <v>250</v>
      </c>
      <c r="J1583" s="249">
        <v>0</v>
      </c>
      <c r="K1583" s="231" t="b">
        <f t="shared" si="34"/>
        <v>0</v>
      </c>
      <c r="L1583" s="231"/>
      <c r="M1583" s="231" t="s">
        <v>3437</v>
      </c>
      <c r="N1583" s="231"/>
      <c r="O1583" s="231">
        <v>2024</v>
      </c>
      <c r="P1583" s="285">
        <v>45976</v>
      </c>
      <c r="Q1583" s="231"/>
      <c r="R1583" s="231"/>
      <c r="S1583" s="241" t="s">
        <v>453</v>
      </c>
      <c r="T1583" s="231"/>
    </row>
    <row r="1584" spans="1:20" ht="14">
      <c r="A1584" s="231">
        <v>1583</v>
      </c>
      <c r="B1584" s="231" t="s">
        <v>52</v>
      </c>
      <c r="C1584" s="231" t="s">
        <v>10</v>
      </c>
      <c r="D1584" s="237" t="s">
        <v>3339</v>
      </c>
      <c r="E1584" s="239"/>
      <c r="F1584" s="231"/>
      <c r="G1584" s="231"/>
      <c r="H1584" s="231" t="s">
        <v>3060</v>
      </c>
      <c r="I1584" s="281">
        <v>225</v>
      </c>
      <c r="J1584" s="249">
        <v>0</v>
      </c>
      <c r="K1584" s="231" t="b">
        <f t="shared" si="34"/>
        <v>0</v>
      </c>
      <c r="L1584" s="231"/>
      <c r="M1584" s="231" t="s">
        <v>3437</v>
      </c>
      <c r="N1584" s="231"/>
      <c r="O1584" s="231">
        <v>2024</v>
      </c>
      <c r="P1584" s="285">
        <v>45623</v>
      </c>
      <c r="Q1584" s="231"/>
      <c r="R1584" s="231"/>
      <c r="S1584" s="241" t="s">
        <v>453</v>
      </c>
      <c r="T1584" s="231"/>
    </row>
    <row r="1585" spans="1:20" ht="14">
      <c r="A1585" s="231">
        <v>1584</v>
      </c>
      <c r="B1585" s="231" t="s">
        <v>52</v>
      </c>
      <c r="C1585" s="231" t="s">
        <v>10</v>
      </c>
      <c r="D1585" s="237" t="s">
        <v>3340</v>
      </c>
      <c r="E1585" s="239"/>
      <c r="F1585" s="231"/>
      <c r="G1585" s="231"/>
      <c r="H1585" s="231" t="s">
        <v>2773</v>
      </c>
      <c r="I1585" s="281">
        <v>100</v>
      </c>
      <c r="J1585" s="249">
        <v>0</v>
      </c>
      <c r="K1585" s="231" t="b">
        <f t="shared" si="34"/>
        <v>0</v>
      </c>
      <c r="L1585" s="231"/>
      <c r="M1585" s="231" t="s">
        <v>3437</v>
      </c>
      <c r="N1585" s="231"/>
      <c r="O1585" s="231">
        <v>2024</v>
      </c>
      <c r="P1585" s="285">
        <v>45597</v>
      </c>
      <c r="Q1585" s="231"/>
      <c r="R1585" s="231"/>
      <c r="S1585" s="241" t="s">
        <v>453</v>
      </c>
      <c r="T1585" s="231"/>
    </row>
    <row r="1586" spans="1:20" ht="14">
      <c r="A1586" s="231">
        <v>1585</v>
      </c>
      <c r="B1586" s="231" t="s">
        <v>52</v>
      </c>
      <c r="C1586" s="231" t="s">
        <v>10</v>
      </c>
      <c r="D1586" s="237" t="s">
        <v>3341</v>
      </c>
      <c r="E1586" s="239"/>
      <c r="F1586" s="231"/>
      <c r="G1586" s="231"/>
      <c r="H1586" s="231" t="s">
        <v>2789</v>
      </c>
      <c r="I1586" s="281">
        <v>413</v>
      </c>
      <c r="J1586" s="249">
        <v>0</v>
      </c>
      <c r="K1586" s="231" t="b">
        <f t="shared" si="34"/>
        <v>0</v>
      </c>
      <c r="L1586" s="231"/>
      <c r="M1586" s="231" t="s">
        <v>3437</v>
      </c>
      <c r="N1586" s="231"/>
      <c r="O1586" s="231">
        <v>2024</v>
      </c>
      <c r="P1586" s="285">
        <v>45598</v>
      </c>
      <c r="Q1586" s="231"/>
      <c r="R1586" s="231"/>
      <c r="S1586" s="241" t="s">
        <v>457</v>
      </c>
      <c r="T1586" s="231"/>
    </row>
    <row r="1587" spans="1:20" ht="14">
      <c r="A1587" s="231">
        <v>1586</v>
      </c>
      <c r="B1587" s="231" t="s">
        <v>52</v>
      </c>
      <c r="C1587" s="231" t="s">
        <v>10</v>
      </c>
      <c r="D1587" s="237" t="s">
        <v>3342</v>
      </c>
      <c r="E1587" s="239"/>
      <c r="F1587" s="231"/>
      <c r="G1587" s="231"/>
      <c r="H1587" s="231" t="s">
        <v>4577</v>
      </c>
      <c r="I1587" s="281">
        <v>137</v>
      </c>
      <c r="J1587" s="249">
        <v>0</v>
      </c>
      <c r="K1587" s="231" t="b">
        <f t="shared" si="34"/>
        <v>0</v>
      </c>
      <c r="L1587" s="231"/>
      <c r="M1587" s="231" t="s">
        <v>3437</v>
      </c>
      <c r="N1587" s="231"/>
      <c r="O1587" s="231">
        <v>2024</v>
      </c>
      <c r="P1587" s="285">
        <v>45603</v>
      </c>
      <c r="Q1587" s="231"/>
      <c r="R1587" s="231"/>
      <c r="S1587" s="241" t="s">
        <v>453</v>
      </c>
      <c r="T1587" s="231"/>
    </row>
    <row r="1588" spans="1:20" ht="14">
      <c r="A1588" s="231">
        <v>1587</v>
      </c>
      <c r="B1588" s="231" t="s">
        <v>52</v>
      </c>
      <c r="C1588" s="231" t="s">
        <v>10</v>
      </c>
      <c r="D1588" s="237" t="s">
        <v>3343</v>
      </c>
      <c r="E1588" s="239"/>
      <c r="F1588" s="231"/>
      <c r="G1588" s="231"/>
      <c r="H1588" s="231" t="s">
        <v>2789</v>
      </c>
      <c r="I1588" s="281">
        <v>150</v>
      </c>
      <c r="J1588" s="249">
        <v>0</v>
      </c>
      <c r="K1588" s="231" t="b">
        <f t="shared" si="34"/>
        <v>0</v>
      </c>
      <c r="L1588" s="231"/>
      <c r="M1588" s="231" t="s">
        <v>3437</v>
      </c>
      <c r="N1588" s="231"/>
      <c r="O1588" s="231">
        <v>2024</v>
      </c>
      <c r="P1588" s="285">
        <v>45603</v>
      </c>
      <c r="Q1588" s="231"/>
      <c r="R1588" s="231"/>
      <c r="S1588" s="241" t="s">
        <v>453</v>
      </c>
      <c r="T1588" s="231"/>
    </row>
    <row r="1589" spans="1:20" ht="14">
      <c r="A1589" s="231">
        <v>1588</v>
      </c>
      <c r="B1589" s="231" t="s">
        <v>52</v>
      </c>
      <c r="C1589" s="231" t="s">
        <v>10</v>
      </c>
      <c r="D1589" s="237" t="s">
        <v>3344</v>
      </c>
      <c r="E1589" s="239"/>
      <c r="F1589" s="231"/>
      <c r="G1589" s="231"/>
      <c r="H1589" s="231" t="s">
        <v>4555</v>
      </c>
      <c r="I1589" s="281">
        <v>120</v>
      </c>
      <c r="J1589" s="249">
        <v>0</v>
      </c>
      <c r="K1589" s="231" t="b">
        <f t="shared" si="34"/>
        <v>0</v>
      </c>
      <c r="L1589" s="231"/>
      <c r="M1589" s="231" t="s">
        <v>3437</v>
      </c>
      <c r="N1589" s="231"/>
      <c r="O1589" s="231">
        <v>2024</v>
      </c>
      <c r="P1589" s="285">
        <v>45604</v>
      </c>
      <c r="Q1589" s="231"/>
      <c r="R1589" s="231"/>
      <c r="S1589" s="241" t="s">
        <v>453</v>
      </c>
      <c r="T1589" s="231"/>
    </row>
    <row r="1590" spans="1:20" ht="14">
      <c r="A1590" s="231">
        <v>1589</v>
      </c>
      <c r="B1590" s="231" t="s">
        <v>52</v>
      </c>
      <c r="C1590" s="231" t="s">
        <v>10</v>
      </c>
      <c r="D1590" s="237" t="s">
        <v>4719</v>
      </c>
      <c r="E1590" s="239"/>
      <c r="F1590" s="231"/>
      <c r="G1590" s="231"/>
      <c r="H1590" s="231" t="s">
        <v>2773</v>
      </c>
      <c r="I1590" s="281">
        <v>0</v>
      </c>
      <c r="J1590" s="249">
        <v>1800</v>
      </c>
      <c r="K1590" s="231">
        <f t="shared" si="34"/>
        <v>10</v>
      </c>
      <c r="L1590" s="231"/>
      <c r="M1590" s="231" t="s">
        <v>15</v>
      </c>
      <c r="N1590" s="231"/>
      <c r="O1590" s="231">
        <v>2025</v>
      </c>
      <c r="P1590" s="285">
        <v>45708</v>
      </c>
      <c r="Q1590" s="231"/>
      <c r="R1590" s="231"/>
      <c r="S1590" s="241" t="s">
        <v>453</v>
      </c>
      <c r="T1590" s="231"/>
    </row>
    <row r="1591" spans="1:20" ht="14">
      <c r="A1591" s="231">
        <v>1590</v>
      </c>
      <c r="B1591" s="231" t="s">
        <v>52</v>
      </c>
      <c r="C1591" s="231" t="s">
        <v>10</v>
      </c>
      <c r="D1591" s="237" t="s">
        <v>3345</v>
      </c>
      <c r="E1591" s="239"/>
      <c r="F1591" s="231"/>
      <c r="G1591" s="231"/>
      <c r="H1591" s="231" t="s">
        <v>185</v>
      </c>
      <c r="I1591" s="281">
        <v>0</v>
      </c>
      <c r="J1591" s="249">
        <v>4300</v>
      </c>
      <c r="K1591" s="231">
        <f t="shared" si="34"/>
        <v>20</v>
      </c>
      <c r="L1591" s="231"/>
      <c r="M1591" s="231" t="s">
        <v>15</v>
      </c>
      <c r="N1591" s="231"/>
      <c r="O1591" s="231">
        <v>2025</v>
      </c>
      <c r="P1591" s="285">
        <v>45709</v>
      </c>
      <c r="Q1591" s="231"/>
      <c r="R1591" s="231"/>
      <c r="S1591" s="241" t="s">
        <v>453</v>
      </c>
      <c r="T1591" s="231"/>
    </row>
    <row r="1592" spans="1:20" ht="14">
      <c r="A1592" s="231">
        <v>1591</v>
      </c>
      <c r="B1592" s="231" t="s">
        <v>52</v>
      </c>
      <c r="C1592" s="231" t="s">
        <v>10</v>
      </c>
      <c r="D1592" s="237" t="s">
        <v>3346</v>
      </c>
      <c r="E1592" s="239"/>
      <c r="F1592" s="231"/>
      <c r="G1592" s="231"/>
      <c r="H1592" s="231" t="s">
        <v>2789</v>
      </c>
      <c r="I1592" s="281">
        <v>0</v>
      </c>
      <c r="J1592" s="249">
        <v>1200</v>
      </c>
      <c r="K1592" s="231" t="b">
        <f t="shared" ref="K1592:K1655" si="35">IF(M1592="ONT",20,IF(M1592="N/A","N/A",IF(M1592="MIKROTIK",IF(J1592&lt;3000,10,IF(3000&lt;J1592&gt;10000,20,IF(10000&lt;J1592&gt;20000,40,IF(20000&lt;J1592&gt;40000,60,IF(J1592&gt;40000,80,IF(J1592&lt;300,3,)))))))))</f>
        <v>0</v>
      </c>
      <c r="L1592" s="231"/>
      <c r="M1592" s="231" t="s">
        <v>3437</v>
      </c>
      <c r="N1592" s="231"/>
      <c r="O1592" s="231">
        <v>2024</v>
      </c>
      <c r="P1592" s="285">
        <v>45607</v>
      </c>
      <c r="Q1592" s="231"/>
      <c r="R1592" s="231"/>
      <c r="S1592" s="241" t="s">
        <v>453</v>
      </c>
      <c r="T1592" s="231"/>
    </row>
    <row r="1593" spans="1:20" ht="14">
      <c r="A1593" s="231">
        <v>1592</v>
      </c>
      <c r="B1593" s="231" t="s">
        <v>52</v>
      </c>
      <c r="C1593" s="231" t="s">
        <v>10</v>
      </c>
      <c r="D1593" s="237" t="s">
        <v>3347</v>
      </c>
      <c r="E1593" s="239"/>
      <c r="F1593" s="231"/>
      <c r="G1593" s="231"/>
      <c r="H1593" s="231" t="s">
        <v>2773</v>
      </c>
      <c r="I1593" s="281">
        <v>0</v>
      </c>
      <c r="J1593" s="249">
        <v>600</v>
      </c>
      <c r="K1593" s="231" t="b">
        <f t="shared" si="35"/>
        <v>0</v>
      </c>
      <c r="L1593" s="231"/>
      <c r="M1593" s="231" t="s">
        <v>3276</v>
      </c>
      <c r="N1593" s="231"/>
      <c r="O1593" s="231">
        <v>2024</v>
      </c>
      <c r="P1593" s="285">
        <v>45656</v>
      </c>
      <c r="Q1593" s="231"/>
      <c r="R1593" s="231"/>
      <c r="S1593" s="241" t="s">
        <v>453</v>
      </c>
      <c r="T1593" s="231"/>
    </row>
    <row r="1594" spans="1:20" ht="14">
      <c r="A1594" s="231">
        <v>1593</v>
      </c>
      <c r="B1594" s="231" t="s">
        <v>52</v>
      </c>
      <c r="C1594" s="231" t="s">
        <v>10</v>
      </c>
      <c r="D1594" s="237" t="s">
        <v>3348</v>
      </c>
      <c r="E1594" s="239"/>
      <c r="F1594" s="231"/>
      <c r="G1594" s="231"/>
      <c r="H1594" s="231" t="s">
        <v>3060</v>
      </c>
      <c r="I1594" s="281">
        <v>0</v>
      </c>
      <c r="J1594" s="249">
        <v>250</v>
      </c>
      <c r="K1594" s="231" t="b">
        <f t="shared" si="35"/>
        <v>0</v>
      </c>
      <c r="L1594" s="231"/>
      <c r="M1594" s="231" t="s">
        <v>3276</v>
      </c>
      <c r="N1594" s="231"/>
      <c r="O1594" s="231">
        <v>2024</v>
      </c>
      <c r="P1594" s="285">
        <v>45657</v>
      </c>
      <c r="Q1594" s="231"/>
      <c r="R1594" s="231"/>
      <c r="S1594" s="241" t="s">
        <v>453</v>
      </c>
      <c r="T1594" s="231"/>
    </row>
    <row r="1595" spans="1:20" ht="14">
      <c r="A1595" s="231">
        <v>1594</v>
      </c>
      <c r="B1595" s="231" t="s">
        <v>52</v>
      </c>
      <c r="C1595" s="231" t="s">
        <v>10</v>
      </c>
      <c r="D1595" s="237" t="s">
        <v>4704</v>
      </c>
      <c r="E1595" s="239"/>
      <c r="F1595" s="231"/>
      <c r="G1595" s="231"/>
      <c r="H1595" s="231" t="s">
        <v>2773</v>
      </c>
      <c r="I1595" s="281">
        <v>0</v>
      </c>
      <c r="J1595" s="249">
        <v>350</v>
      </c>
      <c r="K1595" s="231">
        <f t="shared" si="35"/>
        <v>10</v>
      </c>
      <c r="L1595" s="231"/>
      <c r="M1595" s="299" t="s">
        <v>15</v>
      </c>
      <c r="N1595" s="231"/>
      <c r="O1595" s="231">
        <v>2025</v>
      </c>
      <c r="P1595" s="285">
        <v>45659</v>
      </c>
      <c r="Q1595" s="231"/>
      <c r="R1595" s="231"/>
      <c r="S1595" s="241" t="s">
        <v>453</v>
      </c>
      <c r="T1595" s="231"/>
    </row>
    <row r="1596" spans="1:20" ht="14">
      <c r="A1596" s="231">
        <v>1595</v>
      </c>
      <c r="B1596" s="231" t="s">
        <v>52</v>
      </c>
      <c r="C1596" s="231" t="s">
        <v>10</v>
      </c>
      <c r="D1596" s="237" t="s">
        <v>3349</v>
      </c>
      <c r="E1596" s="239"/>
      <c r="F1596" s="231"/>
      <c r="G1596" s="231"/>
      <c r="H1596" s="231" t="s">
        <v>2773</v>
      </c>
      <c r="I1596" s="281">
        <v>0</v>
      </c>
      <c r="J1596" s="249">
        <v>400</v>
      </c>
      <c r="K1596" s="231">
        <f t="shared" si="35"/>
        <v>10</v>
      </c>
      <c r="L1596" s="231"/>
      <c r="M1596" s="299" t="s">
        <v>15</v>
      </c>
      <c r="N1596" s="231"/>
      <c r="O1596" s="231">
        <v>2025</v>
      </c>
      <c r="P1596" s="285">
        <v>45314</v>
      </c>
      <c r="Q1596" s="231"/>
      <c r="R1596" s="231"/>
      <c r="S1596" s="241" t="s">
        <v>453</v>
      </c>
      <c r="T1596" s="231"/>
    </row>
    <row r="1597" spans="1:20" ht="14">
      <c r="A1597" s="231">
        <v>1596</v>
      </c>
      <c r="B1597" s="281" t="s">
        <v>50</v>
      </c>
      <c r="C1597" s="231" t="s">
        <v>10</v>
      </c>
      <c r="D1597" s="237" t="s">
        <v>4557</v>
      </c>
      <c r="E1597" s="239"/>
      <c r="F1597" s="231"/>
      <c r="G1597" s="231"/>
      <c r="H1597" s="231" t="s">
        <v>142</v>
      </c>
      <c r="I1597" s="281">
        <v>0</v>
      </c>
      <c r="J1597" s="249">
        <v>1200</v>
      </c>
      <c r="K1597" s="231">
        <f t="shared" si="35"/>
        <v>10</v>
      </c>
      <c r="L1597" s="231"/>
      <c r="M1597" s="299" t="s">
        <v>15</v>
      </c>
      <c r="N1597" s="231"/>
      <c r="O1597" s="231">
        <v>2024</v>
      </c>
      <c r="P1597" s="285">
        <v>45645</v>
      </c>
      <c r="Q1597" s="231"/>
      <c r="R1597" s="231"/>
      <c r="S1597" s="241" t="s">
        <v>453</v>
      </c>
      <c r="T1597" s="231"/>
    </row>
    <row r="1598" spans="1:20" ht="14">
      <c r="A1598" s="231">
        <v>1597</v>
      </c>
      <c r="B1598" s="231" t="s">
        <v>50</v>
      </c>
      <c r="C1598" s="231" t="s">
        <v>10</v>
      </c>
      <c r="D1598" s="237" t="s">
        <v>3352</v>
      </c>
      <c r="E1598" s="239"/>
      <c r="F1598" s="231"/>
      <c r="G1598" s="231"/>
      <c r="H1598" s="231" t="s">
        <v>3353</v>
      </c>
      <c r="I1598" s="281">
        <v>0</v>
      </c>
      <c r="J1598" s="249">
        <v>1000</v>
      </c>
      <c r="K1598" s="231">
        <f t="shared" si="35"/>
        <v>10</v>
      </c>
      <c r="L1598" s="231"/>
      <c r="M1598" s="299" t="s">
        <v>15</v>
      </c>
      <c r="N1598" s="231"/>
      <c r="O1598" s="231">
        <v>2024</v>
      </c>
      <c r="P1598" s="285">
        <v>45646</v>
      </c>
      <c r="Q1598" s="231"/>
      <c r="R1598" s="231"/>
      <c r="S1598" s="241" t="s">
        <v>457</v>
      </c>
      <c r="T1598" s="231"/>
    </row>
    <row r="1599" spans="1:20" ht="14">
      <c r="A1599" s="231">
        <v>1598</v>
      </c>
      <c r="B1599" s="231" t="s">
        <v>52</v>
      </c>
      <c r="C1599" s="231" t="s">
        <v>10</v>
      </c>
      <c r="D1599" s="237" t="s">
        <v>3354</v>
      </c>
      <c r="E1599" s="239"/>
      <c r="F1599" s="231"/>
      <c r="G1599" s="231"/>
      <c r="H1599" s="231" t="s">
        <v>2789</v>
      </c>
      <c r="I1599" s="281">
        <v>0</v>
      </c>
      <c r="J1599" s="249">
        <v>135</v>
      </c>
      <c r="K1599" s="231" t="b">
        <f t="shared" si="35"/>
        <v>0</v>
      </c>
      <c r="L1599" s="231"/>
      <c r="M1599" s="231" t="s">
        <v>3437</v>
      </c>
      <c r="N1599" s="231"/>
      <c r="O1599" s="231">
        <v>2024</v>
      </c>
      <c r="P1599" s="285">
        <v>45642</v>
      </c>
      <c r="Q1599" s="231"/>
      <c r="R1599" s="231"/>
      <c r="S1599" s="241" t="s">
        <v>453</v>
      </c>
      <c r="T1599" s="231"/>
    </row>
    <row r="1600" spans="1:20" ht="14">
      <c r="A1600" s="231">
        <v>1599</v>
      </c>
      <c r="B1600" s="231" t="s">
        <v>52</v>
      </c>
      <c r="C1600" s="231" t="s">
        <v>10</v>
      </c>
      <c r="D1600" s="237" t="s">
        <v>3355</v>
      </c>
      <c r="E1600" s="239"/>
      <c r="F1600" s="231"/>
      <c r="G1600" s="231"/>
      <c r="H1600" s="231" t="s">
        <v>4569</v>
      </c>
      <c r="I1600" s="281">
        <v>0</v>
      </c>
      <c r="J1600" s="249">
        <v>300</v>
      </c>
      <c r="K1600" s="231" t="b">
        <f t="shared" si="35"/>
        <v>0</v>
      </c>
      <c r="L1600" s="231"/>
      <c r="M1600" s="231" t="s">
        <v>3437</v>
      </c>
      <c r="N1600" s="231"/>
      <c r="O1600" s="231">
        <v>2024</v>
      </c>
      <c r="P1600" s="285">
        <v>45610</v>
      </c>
      <c r="Q1600" s="231"/>
      <c r="R1600" s="231"/>
      <c r="S1600" s="241" t="s">
        <v>453</v>
      </c>
      <c r="T1600" s="231"/>
    </row>
    <row r="1601" spans="1:20" ht="14">
      <c r="A1601" s="231">
        <v>1600</v>
      </c>
      <c r="B1601" s="231" t="s">
        <v>52</v>
      </c>
      <c r="C1601" s="231" t="s">
        <v>10</v>
      </c>
      <c r="D1601" s="237" t="s">
        <v>3356</v>
      </c>
      <c r="E1601" s="239"/>
      <c r="F1601" s="231"/>
      <c r="G1601" s="231"/>
      <c r="H1601" s="231" t="s">
        <v>3357</v>
      </c>
      <c r="I1601" s="281">
        <v>0</v>
      </c>
      <c r="J1601" s="249">
        <v>350</v>
      </c>
      <c r="K1601" s="231" t="b">
        <f t="shared" si="35"/>
        <v>0</v>
      </c>
      <c r="L1601" s="231"/>
      <c r="M1601" s="231" t="s">
        <v>3276</v>
      </c>
      <c r="N1601" s="231"/>
      <c r="O1601" s="231">
        <v>2025</v>
      </c>
      <c r="P1601" s="285">
        <v>45677</v>
      </c>
      <c r="Q1601" s="231"/>
      <c r="R1601" s="231"/>
      <c r="S1601" s="241" t="s">
        <v>453</v>
      </c>
      <c r="T1601" s="231"/>
    </row>
    <row r="1602" spans="1:20" ht="14">
      <c r="A1602" s="231">
        <v>1601</v>
      </c>
      <c r="B1602" s="231" t="s">
        <v>52</v>
      </c>
      <c r="C1602" s="231" t="s">
        <v>10</v>
      </c>
      <c r="D1602" s="237" t="s">
        <v>3358</v>
      </c>
      <c r="E1602" s="239"/>
      <c r="F1602" s="231"/>
      <c r="G1602" s="231"/>
      <c r="H1602" s="231" t="s">
        <v>2773</v>
      </c>
      <c r="I1602" s="281">
        <v>0</v>
      </c>
      <c r="J1602" s="249">
        <v>300</v>
      </c>
      <c r="K1602" s="231" t="b">
        <f t="shared" si="35"/>
        <v>0</v>
      </c>
      <c r="L1602" s="231"/>
      <c r="M1602" s="231" t="s">
        <v>3276</v>
      </c>
      <c r="N1602" s="231"/>
      <c r="O1602" s="231">
        <v>2024</v>
      </c>
      <c r="P1602" s="285">
        <v>45642</v>
      </c>
      <c r="Q1602" s="231"/>
      <c r="R1602" s="231"/>
      <c r="S1602" s="241" t="s">
        <v>453</v>
      </c>
      <c r="T1602" s="231"/>
    </row>
    <row r="1603" spans="1:20" ht="14">
      <c r="A1603" s="231">
        <v>1602</v>
      </c>
      <c r="B1603" s="231" t="s">
        <v>52</v>
      </c>
      <c r="C1603" s="231" t="s">
        <v>10</v>
      </c>
      <c r="D1603" s="237" t="s">
        <v>3359</v>
      </c>
      <c r="E1603" s="239"/>
      <c r="F1603" s="231"/>
      <c r="G1603" s="231"/>
      <c r="H1603" s="231" t="s">
        <v>3360</v>
      </c>
      <c r="I1603" s="281">
        <v>150</v>
      </c>
      <c r="J1603" s="249">
        <v>0</v>
      </c>
      <c r="K1603" s="231" t="b">
        <f t="shared" si="35"/>
        <v>0</v>
      </c>
      <c r="L1603" s="231"/>
      <c r="M1603" s="231" t="s">
        <v>3437</v>
      </c>
      <c r="N1603" s="231"/>
      <c r="O1603" s="231">
        <v>2024</v>
      </c>
      <c r="P1603" s="285">
        <v>45610</v>
      </c>
      <c r="Q1603" s="231"/>
      <c r="R1603" s="231"/>
      <c r="S1603" s="241" t="s">
        <v>453</v>
      </c>
      <c r="T1603" s="231"/>
    </row>
    <row r="1604" spans="1:20" ht="14">
      <c r="A1604" s="231">
        <v>1603</v>
      </c>
      <c r="B1604" s="231" t="s">
        <v>52</v>
      </c>
      <c r="C1604" s="231" t="s">
        <v>10</v>
      </c>
      <c r="D1604" s="237" t="s">
        <v>3361</v>
      </c>
      <c r="E1604" s="239"/>
      <c r="F1604" s="231"/>
      <c r="G1604" s="231"/>
      <c r="H1604" s="231" t="s">
        <v>4569</v>
      </c>
      <c r="I1604" s="281">
        <v>0</v>
      </c>
      <c r="J1604" s="249">
        <v>400</v>
      </c>
      <c r="K1604" s="231" t="b">
        <f t="shared" si="35"/>
        <v>0</v>
      </c>
      <c r="L1604" s="231"/>
      <c r="M1604" s="231" t="s">
        <v>3437</v>
      </c>
      <c r="N1604" s="231"/>
      <c r="O1604" s="231">
        <v>2024</v>
      </c>
      <c r="P1604" s="285">
        <v>45611</v>
      </c>
      <c r="Q1604" s="231"/>
      <c r="R1604" s="231"/>
      <c r="S1604" s="241" t="s">
        <v>453</v>
      </c>
      <c r="T1604" s="231"/>
    </row>
    <row r="1605" spans="1:20" ht="14">
      <c r="A1605" s="231">
        <v>1604</v>
      </c>
      <c r="B1605" s="231" t="s">
        <v>52</v>
      </c>
      <c r="C1605" s="231" t="s">
        <v>10</v>
      </c>
      <c r="D1605" s="237" t="s">
        <v>3362</v>
      </c>
      <c r="E1605" s="239"/>
      <c r="F1605" s="231"/>
      <c r="G1605" s="231"/>
      <c r="H1605" s="231" t="s">
        <v>3363</v>
      </c>
      <c r="I1605" s="281">
        <v>0</v>
      </c>
      <c r="J1605" s="249">
        <v>750</v>
      </c>
      <c r="K1605" s="231" t="b">
        <f t="shared" si="35"/>
        <v>0</v>
      </c>
      <c r="L1605" s="231"/>
      <c r="M1605" s="231" t="s">
        <v>3437</v>
      </c>
      <c r="N1605" s="231"/>
      <c r="O1605" s="231">
        <v>2024</v>
      </c>
      <c r="P1605" s="286">
        <v>45611</v>
      </c>
      <c r="Q1605" s="231"/>
      <c r="R1605" s="231"/>
      <c r="S1605" s="241" t="s">
        <v>453</v>
      </c>
      <c r="T1605" s="231"/>
    </row>
    <row r="1606" spans="1:20" ht="14">
      <c r="A1606" s="231">
        <v>1605</v>
      </c>
      <c r="B1606" s="231" t="s">
        <v>52</v>
      </c>
      <c r="C1606" s="231" t="s">
        <v>10</v>
      </c>
      <c r="D1606" s="237" t="s">
        <v>3364</v>
      </c>
      <c r="E1606" s="239"/>
      <c r="F1606" s="231"/>
      <c r="G1606" s="231"/>
      <c r="H1606" s="231" t="s">
        <v>3360</v>
      </c>
      <c r="I1606" s="281">
        <v>50</v>
      </c>
      <c r="J1606" s="249">
        <v>0</v>
      </c>
      <c r="K1606" s="231" t="b">
        <f t="shared" si="35"/>
        <v>0</v>
      </c>
      <c r="L1606" s="231"/>
      <c r="M1606" s="231" t="s">
        <v>3437</v>
      </c>
      <c r="N1606" s="231"/>
      <c r="O1606" s="231">
        <v>2024</v>
      </c>
      <c r="P1606" s="286">
        <v>45612</v>
      </c>
      <c r="Q1606" s="231"/>
      <c r="R1606" s="231"/>
      <c r="S1606" s="241" t="s">
        <v>453</v>
      </c>
      <c r="T1606" s="231"/>
    </row>
    <row r="1607" spans="1:20" ht="42">
      <c r="A1607" s="231">
        <v>1606</v>
      </c>
      <c r="B1607" s="231" t="s">
        <v>52</v>
      </c>
      <c r="C1607" s="231" t="s">
        <v>10</v>
      </c>
      <c r="D1607" s="237" t="s">
        <v>3365</v>
      </c>
      <c r="E1607" s="239"/>
      <c r="F1607" s="231"/>
      <c r="G1607" s="231"/>
      <c r="H1607" s="231" t="s">
        <v>2783</v>
      </c>
      <c r="I1607" s="281">
        <v>0</v>
      </c>
      <c r="J1607" s="249">
        <v>1000</v>
      </c>
      <c r="K1607" s="231" t="b">
        <f t="shared" si="35"/>
        <v>0</v>
      </c>
      <c r="L1607" s="231"/>
      <c r="M1607" s="236" t="s">
        <v>3366</v>
      </c>
      <c r="N1607" s="231"/>
      <c r="O1607" s="231">
        <v>2024</v>
      </c>
      <c r="P1607" s="286">
        <v>45612</v>
      </c>
      <c r="Q1607" s="231"/>
      <c r="R1607" s="231"/>
      <c r="S1607" s="241" t="s">
        <v>453</v>
      </c>
      <c r="T1607" s="231"/>
    </row>
    <row r="1608" spans="1:20" ht="14">
      <c r="A1608" s="231">
        <v>1607</v>
      </c>
      <c r="B1608" s="231" t="s">
        <v>52</v>
      </c>
      <c r="C1608" s="231" t="s">
        <v>10</v>
      </c>
      <c r="D1608" s="237" t="s">
        <v>3367</v>
      </c>
      <c r="E1608" s="239"/>
      <c r="F1608" s="231"/>
      <c r="G1608" s="231"/>
      <c r="H1608" s="231" t="s">
        <v>166</v>
      </c>
      <c r="I1608" s="281">
        <v>450</v>
      </c>
      <c r="J1608" s="249">
        <v>0</v>
      </c>
      <c r="K1608" s="231" t="b">
        <f t="shared" si="35"/>
        <v>0</v>
      </c>
      <c r="L1608" s="231"/>
      <c r="M1608" s="231" t="s">
        <v>3276</v>
      </c>
      <c r="N1608" s="231"/>
      <c r="O1608" s="231">
        <v>2024</v>
      </c>
      <c r="P1608" s="285">
        <v>45625</v>
      </c>
      <c r="Q1608" s="231"/>
      <c r="R1608" s="231"/>
      <c r="S1608" s="241" t="s">
        <v>453</v>
      </c>
      <c r="T1608" s="231"/>
    </row>
    <row r="1609" spans="1:20" ht="14">
      <c r="A1609" s="231">
        <v>1608</v>
      </c>
      <c r="B1609" s="231" t="s">
        <v>52</v>
      </c>
      <c r="C1609" s="231" t="s">
        <v>10</v>
      </c>
      <c r="D1609" s="237" t="s">
        <v>3368</v>
      </c>
      <c r="E1609" s="239"/>
      <c r="F1609" s="231"/>
      <c r="G1609" s="231"/>
      <c r="H1609" s="231" t="s">
        <v>2943</v>
      </c>
      <c r="I1609" s="281">
        <v>0</v>
      </c>
      <c r="J1609" s="249">
        <v>1500</v>
      </c>
      <c r="K1609" s="231" t="b">
        <f t="shared" si="35"/>
        <v>0</v>
      </c>
      <c r="L1609" s="231"/>
      <c r="M1609" s="231" t="s">
        <v>3276</v>
      </c>
      <c r="N1609" s="231"/>
      <c r="O1609" s="231">
        <v>2024</v>
      </c>
      <c r="P1609" s="285">
        <v>45648</v>
      </c>
      <c r="Q1609" s="231"/>
      <c r="R1609" s="231"/>
      <c r="S1609" s="241" t="s">
        <v>453</v>
      </c>
      <c r="T1609" s="231"/>
    </row>
    <row r="1610" spans="1:20" ht="14">
      <c r="A1610" s="231">
        <v>1609</v>
      </c>
      <c r="B1610" s="231" t="s">
        <v>52</v>
      </c>
      <c r="C1610" s="231" t="s">
        <v>10</v>
      </c>
      <c r="D1610" s="237" t="s">
        <v>3369</v>
      </c>
      <c r="E1610" s="239"/>
      <c r="F1610" s="231"/>
      <c r="G1610" s="231"/>
      <c r="H1610" s="231" t="s">
        <v>4254</v>
      </c>
      <c r="I1610" s="281">
        <v>0</v>
      </c>
      <c r="J1610" s="249">
        <v>250</v>
      </c>
      <c r="K1610" s="231" t="b">
        <f t="shared" si="35"/>
        <v>0</v>
      </c>
      <c r="L1610" s="231"/>
      <c r="M1610" s="231" t="s">
        <v>3437</v>
      </c>
      <c r="N1610" s="231"/>
      <c r="O1610" s="231">
        <v>2024</v>
      </c>
      <c r="P1610" s="285">
        <v>45618</v>
      </c>
      <c r="Q1610" s="231"/>
      <c r="R1610" s="231"/>
      <c r="S1610" s="241" t="s">
        <v>453</v>
      </c>
      <c r="T1610" s="231"/>
    </row>
    <row r="1611" spans="1:20" ht="14">
      <c r="A1611" s="231">
        <v>1610</v>
      </c>
      <c r="B1611" s="231" t="s">
        <v>52</v>
      </c>
      <c r="C1611" s="231" t="s">
        <v>10</v>
      </c>
      <c r="D1611" s="237" t="s">
        <v>3370</v>
      </c>
      <c r="E1611" s="239"/>
      <c r="F1611" s="231"/>
      <c r="G1611" s="231"/>
      <c r="H1611" s="231" t="s">
        <v>4259</v>
      </c>
      <c r="I1611" s="281">
        <v>0</v>
      </c>
      <c r="J1611" s="249">
        <v>946</v>
      </c>
      <c r="K1611" s="231" t="b">
        <f t="shared" si="35"/>
        <v>0</v>
      </c>
      <c r="L1611" s="231"/>
      <c r="M1611" s="231" t="s">
        <v>3437</v>
      </c>
      <c r="N1611" s="231"/>
      <c r="O1611" s="231">
        <v>2024</v>
      </c>
      <c r="P1611" s="285">
        <v>45642</v>
      </c>
      <c r="Q1611" s="231"/>
      <c r="R1611" s="231"/>
      <c r="S1611" s="241" t="s">
        <v>453</v>
      </c>
      <c r="T1611" s="231"/>
    </row>
    <row r="1612" spans="1:20" ht="14">
      <c r="A1612" s="231">
        <v>1611</v>
      </c>
      <c r="B1612" s="231" t="s">
        <v>52</v>
      </c>
      <c r="C1612" s="231" t="s">
        <v>10</v>
      </c>
      <c r="D1612" s="237" t="s">
        <v>3371</v>
      </c>
      <c r="E1612" s="239"/>
      <c r="F1612" s="231"/>
      <c r="G1612" s="231"/>
      <c r="H1612" s="231" t="s">
        <v>2789</v>
      </c>
      <c r="I1612" s="281">
        <v>0</v>
      </c>
      <c r="J1612" s="249">
        <v>600</v>
      </c>
      <c r="K1612" s="231" t="b">
        <f t="shared" si="35"/>
        <v>0</v>
      </c>
      <c r="L1612" s="231"/>
      <c r="M1612" s="231" t="s">
        <v>3437</v>
      </c>
      <c r="N1612" s="231"/>
      <c r="O1612" s="231">
        <v>2024</v>
      </c>
      <c r="P1612" s="285">
        <v>45603</v>
      </c>
      <c r="Q1612" s="231"/>
      <c r="R1612" s="231"/>
      <c r="S1612" s="241" t="s">
        <v>453</v>
      </c>
      <c r="T1612" s="231"/>
    </row>
    <row r="1613" spans="1:20" ht="14">
      <c r="A1613" s="231">
        <v>1612</v>
      </c>
      <c r="B1613" s="231" t="s">
        <v>52</v>
      </c>
      <c r="C1613" s="231" t="s">
        <v>10</v>
      </c>
      <c r="D1613" s="237" t="s">
        <v>3372</v>
      </c>
      <c r="E1613" s="239"/>
      <c r="F1613" s="231"/>
      <c r="G1613" s="231"/>
      <c r="H1613" s="231" t="s">
        <v>2789</v>
      </c>
      <c r="I1613" s="281">
        <v>0</v>
      </c>
      <c r="J1613" s="249">
        <v>200</v>
      </c>
      <c r="K1613" s="231" t="b">
        <f t="shared" si="35"/>
        <v>0</v>
      </c>
      <c r="L1613" s="231"/>
      <c r="M1613" s="231" t="s">
        <v>3437</v>
      </c>
      <c r="N1613" s="231"/>
      <c r="O1613" s="231">
        <v>2024</v>
      </c>
      <c r="P1613" s="285">
        <v>45619</v>
      </c>
      <c r="Q1613" s="231"/>
      <c r="R1613" s="231"/>
      <c r="S1613" s="241" t="s">
        <v>453</v>
      </c>
      <c r="T1613" s="231"/>
    </row>
    <row r="1614" spans="1:20" ht="14">
      <c r="A1614" s="231">
        <v>1613</v>
      </c>
      <c r="B1614" s="231" t="s">
        <v>52</v>
      </c>
      <c r="C1614" s="231" t="s">
        <v>10</v>
      </c>
      <c r="D1614" s="237" t="s">
        <v>3373</v>
      </c>
      <c r="E1614" s="239"/>
      <c r="F1614" s="231"/>
      <c r="G1614" s="231"/>
      <c r="H1614" s="231" t="s">
        <v>3053</v>
      </c>
      <c r="I1614" s="281">
        <v>0</v>
      </c>
      <c r="J1614" s="249">
        <v>300</v>
      </c>
      <c r="K1614" s="231" t="b">
        <f t="shared" si="35"/>
        <v>0</v>
      </c>
      <c r="L1614" s="231"/>
      <c r="M1614" s="231" t="s">
        <v>3437</v>
      </c>
      <c r="N1614" s="231"/>
      <c r="O1614" s="231">
        <v>2024</v>
      </c>
      <c r="P1614" s="285">
        <v>45633</v>
      </c>
      <c r="Q1614" s="231"/>
      <c r="R1614" s="231"/>
      <c r="S1614" s="241" t="s">
        <v>453</v>
      </c>
      <c r="T1614" s="231"/>
    </row>
    <row r="1615" spans="1:20" ht="14">
      <c r="A1615" s="231">
        <v>1614</v>
      </c>
      <c r="B1615" s="231" t="s">
        <v>52</v>
      </c>
      <c r="C1615" s="231" t="s">
        <v>10</v>
      </c>
      <c r="D1615" s="237" t="s">
        <v>3374</v>
      </c>
      <c r="E1615" s="239"/>
      <c r="F1615" s="231"/>
      <c r="G1615" s="231"/>
      <c r="H1615" s="231" t="s">
        <v>4569</v>
      </c>
      <c r="I1615" s="281">
        <v>0</v>
      </c>
      <c r="J1615" s="249">
        <v>610</v>
      </c>
      <c r="K1615" s="231" t="b">
        <f t="shared" si="35"/>
        <v>0</v>
      </c>
      <c r="L1615" s="231"/>
      <c r="M1615" s="231" t="s">
        <v>3437</v>
      </c>
      <c r="N1615" s="231"/>
      <c r="O1615" s="231">
        <v>2024</v>
      </c>
      <c r="P1615" s="285">
        <v>45624</v>
      </c>
      <c r="Q1615" s="231"/>
      <c r="R1615" s="231"/>
      <c r="S1615" s="241" t="s">
        <v>453</v>
      </c>
      <c r="T1615" s="231"/>
    </row>
    <row r="1616" spans="1:20" ht="14">
      <c r="A1616" s="231">
        <v>1615</v>
      </c>
      <c r="B1616" s="231" t="s">
        <v>52</v>
      </c>
      <c r="C1616" s="231" t="s">
        <v>10</v>
      </c>
      <c r="D1616" s="237" t="s">
        <v>3375</v>
      </c>
      <c r="E1616" s="239"/>
      <c r="F1616" s="231"/>
      <c r="G1616" s="231"/>
      <c r="H1616" s="231" t="s">
        <v>4555</v>
      </c>
      <c r="I1616" s="281">
        <v>250</v>
      </c>
      <c r="J1616" s="249">
        <v>0</v>
      </c>
      <c r="K1616" s="231" t="b">
        <f t="shared" si="35"/>
        <v>0</v>
      </c>
      <c r="L1616" s="231"/>
      <c r="M1616" s="231" t="s">
        <v>3437</v>
      </c>
      <c r="N1616" s="231"/>
      <c r="O1616" s="231">
        <v>2024</v>
      </c>
      <c r="P1616" s="285">
        <v>45615</v>
      </c>
      <c r="Q1616" s="231"/>
      <c r="R1616" s="231"/>
      <c r="S1616" s="241" t="s">
        <v>453</v>
      </c>
      <c r="T1616" s="231"/>
    </row>
    <row r="1617" spans="1:20" ht="14">
      <c r="A1617" s="231">
        <v>1616</v>
      </c>
      <c r="B1617" s="231" t="s">
        <v>52</v>
      </c>
      <c r="C1617" s="231" t="s">
        <v>10</v>
      </c>
      <c r="D1617" s="237" t="s">
        <v>3376</v>
      </c>
      <c r="E1617" s="239"/>
      <c r="F1617" s="231"/>
      <c r="G1617" s="231"/>
      <c r="H1617" s="231" t="s">
        <v>3338</v>
      </c>
      <c r="I1617" s="281">
        <v>10</v>
      </c>
      <c r="J1617" s="249">
        <v>0</v>
      </c>
      <c r="K1617" s="231" t="b">
        <f t="shared" si="35"/>
        <v>0</v>
      </c>
      <c r="L1617" s="231"/>
      <c r="M1617" s="231" t="s">
        <v>3276</v>
      </c>
      <c r="N1617" s="231"/>
      <c r="O1617" s="231">
        <v>2024</v>
      </c>
      <c r="P1617" s="285">
        <v>45611</v>
      </c>
      <c r="Q1617" s="231"/>
      <c r="R1617" s="231"/>
      <c r="S1617" s="241" t="s">
        <v>453</v>
      </c>
      <c r="T1617" s="231"/>
    </row>
    <row r="1618" spans="1:20" ht="14">
      <c r="A1618" s="231">
        <v>1617</v>
      </c>
      <c r="B1618" s="231" t="s">
        <v>52</v>
      </c>
      <c r="C1618" s="231" t="s">
        <v>10</v>
      </c>
      <c r="D1618" s="237" t="s">
        <v>3377</v>
      </c>
      <c r="E1618" s="239"/>
      <c r="F1618" s="231"/>
      <c r="G1618" s="231"/>
      <c r="H1618" s="231" t="s">
        <v>2980</v>
      </c>
      <c r="I1618" s="281">
        <v>0</v>
      </c>
      <c r="J1618" s="249">
        <v>600</v>
      </c>
      <c r="K1618" s="231" t="b">
        <f t="shared" si="35"/>
        <v>0</v>
      </c>
      <c r="L1618" s="231"/>
      <c r="M1618" s="231" t="s">
        <v>3276</v>
      </c>
      <c r="N1618" s="231"/>
      <c r="O1618" s="231">
        <v>2024</v>
      </c>
      <c r="P1618" s="285">
        <v>45649</v>
      </c>
      <c r="Q1618" s="231"/>
      <c r="R1618" s="231"/>
      <c r="S1618" s="241" t="s">
        <v>453</v>
      </c>
      <c r="T1618" s="231"/>
    </row>
    <row r="1619" spans="1:20" ht="14">
      <c r="A1619" s="231">
        <v>1618</v>
      </c>
      <c r="B1619" s="231" t="s">
        <v>52</v>
      </c>
      <c r="C1619" s="231" t="s">
        <v>10</v>
      </c>
      <c r="D1619" s="237" t="s">
        <v>3378</v>
      </c>
      <c r="E1619" s="239"/>
      <c r="F1619" s="231"/>
      <c r="G1619" s="231"/>
      <c r="H1619" s="231" t="s">
        <v>3330</v>
      </c>
      <c r="I1619" s="281">
        <v>131</v>
      </c>
      <c r="J1619" s="249">
        <v>0</v>
      </c>
      <c r="K1619" s="231" t="b">
        <f t="shared" si="35"/>
        <v>0</v>
      </c>
      <c r="L1619" s="231"/>
      <c r="M1619" s="231" t="s">
        <v>3437</v>
      </c>
      <c r="N1619" s="231"/>
      <c r="O1619" s="231">
        <v>2024</v>
      </c>
      <c r="P1619" s="285">
        <v>45625</v>
      </c>
      <c r="Q1619" s="231"/>
      <c r="R1619" s="231"/>
      <c r="S1619" s="241" t="s">
        <v>453</v>
      </c>
      <c r="T1619" s="231"/>
    </row>
    <row r="1620" spans="1:20" ht="14">
      <c r="A1620" s="231">
        <v>1619</v>
      </c>
      <c r="B1620" s="231" t="s">
        <v>52</v>
      </c>
      <c r="C1620" s="231" t="s">
        <v>10</v>
      </c>
      <c r="D1620" s="237" t="s">
        <v>3379</v>
      </c>
      <c r="E1620" s="239"/>
      <c r="F1620" s="231"/>
      <c r="G1620" s="231"/>
      <c r="H1620" s="231" t="s">
        <v>3330</v>
      </c>
      <c r="I1620" s="281">
        <v>400</v>
      </c>
      <c r="J1620" s="249">
        <v>0</v>
      </c>
      <c r="K1620" s="231" t="b">
        <f t="shared" si="35"/>
        <v>0</v>
      </c>
      <c r="L1620" s="231"/>
      <c r="M1620" s="231" t="s">
        <v>3437</v>
      </c>
      <c r="N1620" s="231"/>
      <c r="O1620" s="231">
        <v>2024</v>
      </c>
      <c r="P1620" s="285">
        <v>45625</v>
      </c>
      <c r="Q1620" s="231"/>
      <c r="R1620" s="231"/>
      <c r="S1620" s="241" t="s">
        <v>453</v>
      </c>
      <c r="T1620" s="231"/>
    </row>
    <row r="1621" spans="1:20" ht="14">
      <c r="A1621" s="231">
        <v>1620</v>
      </c>
      <c r="B1621" s="231" t="s">
        <v>52</v>
      </c>
      <c r="C1621" s="231" t="s">
        <v>10</v>
      </c>
      <c r="D1621" s="237" t="s">
        <v>4567</v>
      </c>
      <c r="E1621" s="239"/>
      <c r="F1621" s="231"/>
      <c r="G1621" s="231"/>
      <c r="H1621" s="231" t="s">
        <v>4568</v>
      </c>
      <c r="I1621" s="249">
        <v>250</v>
      </c>
      <c r="J1621" s="249">
        <v>0</v>
      </c>
      <c r="K1621" s="231" t="b">
        <f t="shared" si="35"/>
        <v>0</v>
      </c>
      <c r="L1621" s="231"/>
      <c r="M1621" s="231" t="s">
        <v>3437</v>
      </c>
      <c r="N1621" s="231"/>
      <c r="O1621" s="231">
        <v>2024</v>
      </c>
      <c r="P1621" s="285">
        <v>45644</v>
      </c>
      <c r="Q1621" s="231"/>
      <c r="R1621" s="231"/>
      <c r="S1621" s="241" t="s">
        <v>453</v>
      </c>
      <c r="T1621" s="231"/>
    </row>
    <row r="1622" spans="1:20" ht="14">
      <c r="A1622" s="231">
        <v>1621</v>
      </c>
      <c r="B1622" s="231" t="s">
        <v>52</v>
      </c>
      <c r="C1622" s="231" t="s">
        <v>10</v>
      </c>
      <c r="D1622" s="237" t="s">
        <v>3380</v>
      </c>
      <c r="E1622" s="239"/>
      <c r="F1622" s="231"/>
      <c r="G1622" s="231"/>
      <c r="H1622" s="231" t="s">
        <v>4568</v>
      </c>
      <c r="I1622" s="249">
        <v>120</v>
      </c>
      <c r="J1622" s="249">
        <v>0</v>
      </c>
      <c r="K1622" s="231" t="b">
        <f t="shared" si="35"/>
        <v>0</v>
      </c>
      <c r="L1622" s="231"/>
      <c r="M1622" s="231" t="s">
        <v>3437</v>
      </c>
      <c r="N1622" s="231"/>
      <c r="O1622" s="231">
        <v>2024</v>
      </c>
      <c r="P1622" s="285">
        <v>45644</v>
      </c>
      <c r="Q1622" s="231"/>
      <c r="R1622" s="231"/>
      <c r="S1622" s="241" t="s">
        <v>453</v>
      </c>
      <c r="T1622" s="231"/>
    </row>
    <row r="1623" spans="1:20" ht="14">
      <c r="A1623" s="231">
        <v>1622</v>
      </c>
      <c r="B1623" s="231" t="s">
        <v>52</v>
      </c>
      <c r="C1623" s="231" t="s">
        <v>10</v>
      </c>
      <c r="D1623" s="237" t="s">
        <v>3381</v>
      </c>
      <c r="E1623" s="239"/>
      <c r="F1623" s="231"/>
      <c r="G1623" s="231"/>
      <c r="H1623" s="231" t="s">
        <v>4555</v>
      </c>
      <c r="I1623" s="249">
        <v>100</v>
      </c>
      <c r="J1623" s="249">
        <v>0</v>
      </c>
      <c r="K1623" s="231" t="b">
        <f t="shared" si="35"/>
        <v>0</v>
      </c>
      <c r="L1623" s="231"/>
      <c r="M1623" s="231" t="s">
        <v>3437</v>
      </c>
      <c r="N1623" s="231"/>
      <c r="O1623" s="231">
        <v>2024</v>
      </c>
      <c r="P1623" s="285">
        <v>45628</v>
      </c>
      <c r="Q1623" s="231"/>
      <c r="R1623" s="231"/>
      <c r="S1623" s="241" t="s">
        <v>453</v>
      </c>
      <c r="T1623" s="231"/>
    </row>
    <row r="1624" spans="1:20" ht="14">
      <c r="A1624" s="231">
        <v>1623</v>
      </c>
      <c r="B1624" s="231" t="s">
        <v>52</v>
      </c>
      <c r="C1624" s="231" t="s">
        <v>10</v>
      </c>
      <c r="D1624" s="237" t="s">
        <v>3382</v>
      </c>
      <c r="E1624" s="239"/>
      <c r="F1624" s="231"/>
      <c r="G1624" s="231"/>
      <c r="H1624" s="231" t="s">
        <v>2809</v>
      </c>
      <c r="I1624" s="249">
        <v>180</v>
      </c>
      <c r="J1624" s="249">
        <v>0</v>
      </c>
      <c r="K1624" s="231" t="b">
        <f t="shared" si="35"/>
        <v>0</v>
      </c>
      <c r="L1624" s="231"/>
      <c r="M1624" s="231" t="s">
        <v>3437</v>
      </c>
      <c r="N1624" s="231"/>
      <c r="O1624" s="231">
        <v>2024</v>
      </c>
      <c r="P1624" s="285">
        <v>45641</v>
      </c>
      <c r="Q1624" s="231"/>
      <c r="R1624" s="231"/>
      <c r="S1624" s="241" t="s">
        <v>453</v>
      </c>
      <c r="T1624" s="231"/>
    </row>
    <row r="1625" spans="1:20" ht="14">
      <c r="A1625" s="231">
        <v>1624</v>
      </c>
      <c r="B1625" s="231" t="s">
        <v>53</v>
      </c>
      <c r="C1625" s="231" t="s">
        <v>10</v>
      </c>
      <c r="D1625" s="237" t="s">
        <v>3383</v>
      </c>
      <c r="E1625" s="239"/>
      <c r="F1625" s="231"/>
      <c r="G1625" s="231"/>
      <c r="H1625" s="231" t="s">
        <v>209</v>
      </c>
      <c r="I1625" s="281">
        <v>100</v>
      </c>
      <c r="J1625" s="249">
        <v>0</v>
      </c>
      <c r="K1625" s="231" t="b">
        <f t="shared" si="35"/>
        <v>0</v>
      </c>
      <c r="L1625" s="231"/>
      <c r="M1625" s="231" t="s">
        <v>3437</v>
      </c>
      <c r="N1625" s="231"/>
      <c r="O1625" s="231">
        <v>2024</v>
      </c>
      <c r="P1625" s="285">
        <v>45625</v>
      </c>
      <c r="Q1625" s="231"/>
      <c r="R1625" s="231"/>
      <c r="S1625" s="241" t="s">
        <v>453</v>
      </c>
      <c r="T1625" s="231"/>
    </row>
    <row r="1626" spans="1:20" ht="14">
      <c r="A1626" s="231">
        <v>1625</v>
      </c>
      <c r="B1626" s="231" t="s">
        <v>52</v>
      </c>
      <c r="C1626" s="231" t="s">
        <v>10</v>
      </c>
      <c r="D1626" s="237" t="s">
        <v>3384</v>
      </c>
      <c r="E1626" s="239"/>
      <c r="F1626" s="231"/>
      <c r="G1626" s="231"/>
      <c r="H1626" s="231" t="s">
        <v>2875</v>
      </c>
      <c r="I1626" s="281">
        <v>0</v>
      </c>
      <c r="J1626" s="249">
        <v>300</v>
      </c>
      <c r="K1626" s="231" t="b">
        <f t="shared" si="35"/>
        <v>0</v>
      </c>
      <c r="L1626" s="231"/>
      <c r="M1626" s="231" t="s">
        <v>3276</v>
      </c>
      <c r="N1626" s="231"/>
      <c r="O1626" s="231">
        <v>2024</v>
      </c>
      <c r="P1626" s="285">
        <v>45642</v>
      </c>
      <c r="Q1626" s="231"/>
      <c r="R1626" s="231"/>
      <c r="S1626" s="241" t="s">
        <v>453</v>
      </c>
      <c r="T1626" s="231"/>
    </row>
    <row r="1627" spans="1:20" ht="14">
      <c r="A1627" s="231">
        <v>1626</v>
      </c>
      <c r="B1627" s="231" t="s">
        <v>52</v>
      </c>
      <c r="C1627" s="231" t="s">
        <v>10</v>
      </c>
      <c r="D1627" s="237" t="s">
        <v>3385</v>
      </c>
      <c r="E1627" s="239"/>
      <c r="F1627" s="231"/>
      <c r="G1627" s="231"/>
      <c r="H1627" s="231" t="s">
        <v>4579</v>
      </c>
      <c r="I1627" s="281">
        <v>0</v>
      </c>
      <c r="J1627" s="249">
        <v>2000</v>
      </c>
      <c r="K1627" s="231">
        <f t="shared" si="35"/>
        <v>10</v>
      </c>
      <c r="L1627" s="231"/>
      <c r="M1627" s="231" t="s">
        <v>15</v>
      </c>
      <c r="N1627" s="231"/>
      <c r="O1627" s="231">
        <v>2025</v>
      </c>
      <c r="P1627" s="285">
        <v>45665</v>
      </c>
      <c r="Q1627" s="231"/>
      <c r="R1627" s="231"/>
      <c r="S1627" s="241" t="s">
        <v>453</v>
      </c>
      <c r="T1627" s="231"/>
    </row>
    <row r="1628" spans="1:20" ht="14">
      <c r="A1628" s="231">
        <v>1627</v>
      </c>
      <c r="B1628" s="231" t="s">
        <v>52</v>
      </c>
      <c r="C1628" s="231" t="s">
        <v>10</v>
      </c>
      <c r="D1628" s="237" t="s">
        <v>3386</v>
      </c>
      <c r="E1628" s="239"/>
      <c r="F1628" s="231"/>
      <c r="G1628" s="231"/>
      <c r="H1628" s="231" t="s">
        <v>4265</v>
      </c>
      <c r="I1628" s="281">
        <v>150</v>
      </c>
      <c r="J1628" s="249">
        <v>0</v>
      </c>
      <c r="K1628" s="231" t="b">
        <f t="shared" si="35"/>
        <v>0</v>
      </c>
      <c r="L1628" s="231"/>
      <c r="M1628" s="231" t="s">
        <v>3437</v>
      </c>
      <c r="N1628" s="231"/>
      <c r="O1628" s="231">
        <v>2024</v>
      </c>
      <c r="P1628" s="285">
        <v>45638</v>
      </c>
      <c r="Q1628" s="231"/>
      <c r="R1628" s="231"/>
      <c r="S1628" s="241" t="s">
        <v>453</v>
      </c>
      <c r="T1628" s="231"/>
    </row>
    <row r="1629" spans="1:20" ht="14">
      <c r="A1629" s="231">
        <v>1628</v>
      </c>
      <c r="B1629" s="231" t="s">
        <v>52</v>
      </c>
      <c r="C1629" s="231" t="s">
        <v>10</v>
      </c>
      <c r="D1629" s="237" t="s">
        <v>3387</v>
      </c>
      <c r="E1629" s="239"/>
      <c r="F1629" s="231"/>
      <c r="G1629" s="231"/>
      <c r="H1629" s="231" t="s">
        <v>2763</v>
      </c>
      <c r="I1629" s="281">
        <v>0</v>
      </c>
      <c r="J1629" s="249">
        <v>500</v>
      </c>
      <c r="K1629" s="231" t="b">
        <f t="shared" si="35"/>
        <v>0</v>
      </c>
      <c r="L1629" s="231"/>
      <c r="M1629" s="231" t="s">
        <v>3437</v>
      </c>
      <c r="N1629" s="231"/>
      <c r="O1629" s="231">
        <v>2024</v>
      </c>
      <c r="P1629" s="285">
        <v>45646</v>
      </c>
      <c r="Q1629" s="231"/>
      <c r="R1629" s="231"/>
      <c r="S1629" s="241" t="s">
        <v>453</v>
      </c>
      <c r="T1629" s="231"/>
    </row>
    <row r="1630" spans="1:20" ht="14">
      <c r="A1630" s="231">
        <v>1629</v>
      </c>
      <c r="B1630" s="231" t="s">
        <v>52</v>
      </c>
      <c r="C1630" s="231" t="s">
        <v>10</v>
      </c>
      <c r="D1630" s="237" t="s">
        <v>3388</v>
      </c>
      <c r="E1630" s="239"/>
      <c r="F1630" s="231"/>
      <c r="G1630" s="231"/>
      <c r="H1630" s="231" t="s">
        <v>2773</v>
      </c>
      <c r="I1630" s="281">
        <v>250</v>
      </c>
      <c r="J1630" s="249">
        <v>0</v>
      </c>
      <c r="K1630" s="231" t="b">
        <f t="shared" si="35"/>
        <v>0</v>
      </c>
      <c r="L1630" s="231"/>
      <c r="M1630" s="231" t="s">
        <v>3437</v>
      </c>
      <c r="N1630" s="231"/>
      <c r="O1630" s="231">
        <v>2024</v>
      </c>
      <c r="P1630" s="285">
        <v>45640</v>
      </c>
      <c r="Q1630" s="231"/>
      <c r="R1630" s="231"/>
      <c r="S1630" s="241" t="s">
        <v>453</v>
      </c>
      <c r="T1630" s="231"/>
    </row>
    <row r="1631" spans="1:20" ht="14">
      <c r="A1631" s="231">
        <v>1630</v>
      </c>
      <c r="B1631" s="231" t="s">
        <v>52</v>
      </c>
      <c r="C1631" s="231" t="s">
        <v>10</v>
      </c>
      <c r="D1631" s="237" t="s">
        <v>3389</v>
      </c>
      <c r="E1631" s="239"/>
      <c r="F1631" s="231"/>
      <c r="G1631" s="231"/>
      <c r="H1631" s="231" t="s">
        <v>3390</v>
      </c>
      <c r="I1631" s="281">
        <v>0</v>
      </c>
      <c r="J1631" s="249">
        <v>100</v>
      </c>
      <c r="K1631" s="231">
        <f t="shared" si="35"/>
        <v>10</v>
      </c>
      <c r="L1631" s="231"/>
      <c r="M1631" s="231" t="s">
        <v>15</v>
      </c>
      <c r="N1631" s="231"/>
      <c r="O1631" s="231">
        <v>2024</v>
      </c>
      <c r="P1631" s="285">
        <v>45641</v>
      </c>
      <c r="Q1631" s="231"/>
      <c r="R1631" s="231"/>
      <c r="S1631" s="241" t="s">
        <v>457</v>
      </c>
      <c r="T1631" s="231"/>
    </row>
    <row r="1632" spans="1:20" ht="14">
      <c r="A1632" s="231">
        <v>1631</v>
      </c>
      <c r="B1632" s="231" t="s">
        <v>52</v>
      </c>
      <c r="C1632" s="231" t="s">
        <v>10</v>
      </c>
      <c r="D1632" s="237" t="s">
        <v>3391</v>
      </c>
      <c r="E1632" s="239"/>
      <c r="F1632" s="231"/>
      <c r="G1632" s="231"/>
      <c r="H1632" s="231" t="s">
        <v>3392</v>
      </c>
      <c r="I1632" s="281">
        <v>0</v>
      </c>
      <c r="J1632" s="249">
        <v>350</v>
      </c>
      <c r="K1632" s="231">
        <f t="shared" si="35"/>
        <v>10</v>
      </c>
      <c r="L1632" s="231"/>
      <c r="M1632" s="231" t="s">
        <v>15</v>
      </c>
      <c r="N1632" s="231"/>
      <c r="O1632" s="231">
        <v>2024</v>
      </c>
      <c r="P1632" s="285">
        <v>45657</v>
      </c>
      <c r="Q1632" s="231"/>
      <c r="R1632" s="231"/>
      <c r="S1632" s="241" t="s">
        <v>453</v>
      </c>
      <c r="T1632" s="231"/>
    </row>
    <row r="1633" spans="1:20" ht="14">
      <c r="A1633" s="231">
        <v>1632</v>
      </c>
      <c r="B1633" s="231" t="s">
        <v>52</v>
      </c>
      <c r="C1633" s="231" t="s">
        <v>10</v>
      </c>
      <c r="D1633" s="237" t="s">
        <v>3393</v>
      </c>
      <c r="E1633" s="239"/>
      <c r="F1633" s="231"/>
      <c r="G1633" s="231"/>
      <c r="H1633" s="231" t="s">
        <v>3394</v>
      </c>
      <c r="I1633" s="281">
        <v>0</v>
      </c>
      <c r="J1633" s="249">
        <v>300</v>
      </c>
      <c r="K1633" s="231">
        <f t="shared" si="35"/>
        <v>10</v>
      </c>
      <c r="L1633" s="231"/>
      <c r="M1633" s="231" t="s">
        <v>15</v>
      </c>
      <c r="N1633" s="231"/>
      <c r="O1633" s="231">
        <v>2024</v>
      </c>
      <c r="P1633" s="285">
        <v>45657</v>
      </c>
      <c r="Q1633" s="231"/>
      <c r="R1633" s="231"/>
      <c r="S1633" s="241" t="s">
        <v>453</v>
      </c>
      <c r="T1633" s="231"/>
    </row>
    <row r="1634" spans="1:20" ht="14">
      <c r="A1634" s="231">
        <v>1633</v>
      </c>
      <c r="B1634" s="231" t="s">
        <v>52</v>
      </c>
      <c r="C1634" s="231" t="s">
        <v>10</v>
      </c>
      <c r="D1634" s="237" t="s">
        <v>3395</v>
      </c>
      <c r="E1634" s="239"/>
      <c r="F1634" s="231"/>
      <c r="G1634" s="231"/>
      <c r="H1634" s="231" t="s">
        <v>4555</v>
      </c>
      <c r="I1634" s="249">
        <v>300</v>
      </c>
      <c r="J1634" s="249">
        <v>0</v>
      </c>
      <c r="K1634" s="231" t="b">
        <f t="shared" si="35"/>
        <v>0</v>
      </c>
      <c r="L1634" s="231"/>
      <c r="M1634" s="231" t="s">
        <v>3437</v>
      </c>
      <c r="N1634" s="231"/>
      <c r="O1634" s="231">
        <v>2024</v>
      </c>
      <c r="P1634" s="285">
        <v>45646</v>
      </c>
      <c r="Q1634" s="231"/>
      <c r="R1634" s="231"/>
      <c r="S1634" s="241" t="s">
        <v>453</v>
      </c>
      <c r="T1634" s="231"/>
    </row>
    <row r="1635" spans="1:20" ht="14">
      <c r="A1635" s="231">
        <v>1634</v>
      </c>
      <c r="B1635" s="231" t="s">
        <v>52</v>
      </c>
      <c r="C1635" s="231" t="s">
        <v>10</v>
      </c>
      <c r="D1635" s="237" t="s">
        <v>3396</v>
      </c>
      <c r="E1635" s="239"/>
      <c r="F1635" s="231"/>
      <c r="G1635" s="231"/>
      <c r="H1635" s="231" t="s">
        <v>2773</v>
      </c>
      <c r="I1635" s="249">
        <v>350</v>
      </c>
      <c r="J1635" s="249">
        <v>0</v>
      </c>
      <c r="K1635" s="231" t="b">
        <f t="shared" si="35"/>
        <v>0</v>
      </c>
      <c r="L1635" s="231"/>
      <c r="M1635" s="231" t="s">
        <v>3437</v>
      </c>
      <c r="N1635" s="231"/>
      <c r="O1635" s="231">
        <v>2024</v>
      </c>
      <c r="P1635" s="285">
        <v>45644</v>
      </c>
      <c r="Q1635" s="231"/>
      <c r="R1635" s="231"/>
      <c r="S1635" s="241" t="s">
        <v>453</v>
      </c>
      <c r="T1635" s="231"/>
    </row>
    <row r="1636" spans="1:20" ht="14">
      <c r="A1636" s="231">
        <v>1635</v>
      </c>
      <c r="B1636" s="231" t="s">
        <v>52</v>
      </c>
      <c r="C1636" s="231" t="s">
        <v>10</v>
      </c>
      <c r="D1636" s="237" t="s">
        <v>3397</v>
      </c>
      <c r="E1636" s="239"/>
      <c r="F1636" s="231"/>
      <c r="G1636" s="231"/>
      <c r="H1636" s="231" t="s">
        <v>2789</v>
      </c>
      <c r="I1636" s="249">
        <v>300</v>
      </c>
      <c r="J1636" s="249">
        <v>0</v>
      </c>
      <c r="K1636" s="231" t="b">
        <f t="shared" si="35"/>
        <v>0</v>
      </c>
      <c r="L1636" s="231"/>
      <c r="M1636" s="231" t="s">
        <v>3437</v>
      </c>
      <c r="N1636" s="231"/>
      <c r="O1636" s="231">
        <v>2024</v>
      </c>
      <c r="P1636" s="285">
        <v>45646</v>
      </c>
      <c r="Q1636" s="231"/>
      <c r="R1636" s="231"/>
      <c r="S1636" s="241" t="s">
        <v>453</v>
      </c>
      <c r="T1636" s="231"/>
    </row>
    <row r="1637" spans="1:20" ht="14">
      <c r="A1637" s="231">
        <v>1636</v>
      </c>
      <c r="B1637" s="231" t="s">
        <v>52</v>
      </c>
      <c r="C1637" s="231" t="s">
        <v>10</v>
      </c>
      <c r="D1637" s="237" t="s">
        <v>3398</v>
      </c>
      <c r="E1637" s="239"/>
      <c r="F1637" s="231"/>
      <c r="G1637" s="231"/>
      <c r="H1637" s="231" t="s">
        <v>3330</v>
      </c>
      <c r="I1637" s="249">
        <v>300</v>
      </c>
      <c r="J1637" s="249">
        <v>0</v>
      </c>
      <c r="K1637" s="231" t="b">
        <f t="shared" si="35"/>
        <v>0</v>
      </c>
      <c r="L1637" s="231"/>
      <c r="M1637" s="231" t="s">
        <v>3437</v>
      </c>
      <c r="N1637" s="231"/>
      <c r="O1637" s="231">
        <v>2024</v>
      </c>
      <c r="P1637" s="285">
        <v>45646</v>
      </c>
      <c r="Q1637" s="231"/>
      <c r="R1637" s="231"/>
      <c r="S1637" s="241" t="s">
        <v>453</v>
      </c>
      <c r="T1637" s="231"/>
    </row>
    <row r="1638" spans="1:20" ht="14">
      <c r="A1638" s="231">
        <v>1637</v>
      </c>
      <c r="B1638" s="231" t="s">
        <v>52</v>
      </c>
      <c r="C1638" s="231" t="s">
        <v>10</v>
      </c>
      <c r="D1638" s="237" t="s">
        <v>3399</v>
      </c>
      <c r="E1638" s="239"/>
      <c r="F1638" s="231"/>
      <c r="G1638" s="231"/>
      <c r="H1638" s="231" t="s">
        <v>3330</v>
      </c>
      <c r="I1638" s="249">
        <v>300</v>
      </c>
      <c r="J1638" s="249">
        <v>0</v>
      </c>
      <c r="K1638" s="231" t="b">
        <f t="shared" si="35"/>
        <v>0</v>
      </c>
      <c r="L1638" s="231"/>
      <c r="M1638" s="231" t="s">
        <v>3437</v>
      </c>
      <c r="N1638" s="231"/>
      <c r="O1638" s="231">
        <v>2024</v>
      </c>
      <c r="P1638" s="285">
        <v>45656</v>
      </c>
      <c r="Q1638" s="231"/>
      <c r="R1638" s="231"/>
      <c r="S1638" s="241" t="s">
        <v>453</v>
      </c>
      <c r="T1638" s="231"/>
    </row>
    <row r="1639" spans="1:20" ht="14">
      <c r="A1639" s="231">
        <v>1638</v>
      </c>
      <c r="B1639" s="231" t="s">
        <v>52</v>
      </c>
      <c r="C1639" s="231" t="s">
        <v>10</v>
      </c>
      <c r="D1639" s="237" t="s">
        <v>3400</v>
      </c>
      <c r="E1639" s="239"/>
      <c r="F1639" s="231"/>
      <c r="G1639" s="231"/>
      <c r="H1639" s="231" t="s">
        <v>4555</v>
      </c>
      <c r="I1639" s="249">
        <v>300</v>
      </c>
      <c r="J1639" s="249">
        <v>0</v>
      </c>
      <c r="K1639" s="231" t="b">
        <f t="shared" si="35"/>
        <v>0</v>
      </c>
      <c r="L1639" s="231"/>
      <c r="M1639" s="231" t="s">
        <v>3437</v>
      </c>
      <c r="N1639" s="231"/>
      <c r="O1639" s="231">
        <v>2024</v>
      </c>
      <c r="P1639" s="285">
        <v>45656</v>
      </c>
      <c r="Q1639" s="231"/>
      <c r="R1639" s="231"/>
      <c r="S1639" s="241" t="s">
        <v>453</v>
      </c>
      <c r="T1639" s="231"/>
    </row>
    <row r="1640" spans="1:20" ht="14">
      <c r="A1640" s="231">
        <v>1639</v>
      </c>
      <c r="B1640" s="242" t="s">
        <v>52</v>
      </c>
      <c r="C1640" s="243" t="s">
        <v>10</v>
      </c>
      <c r="D1640" s="237" t="s">
        <v>3401</v>
      </c>
      <c r="E1640" s="239"/>
      <c r="F1640" s="231"/>
      <c r="G1640" s="231"/>
      <c r="H1640" s="231" t="s">
        <v>4544</v>
      </c>
      <c r="I1640" s="249">
        <v>250</v>
      </c>
      <c r="J1640" s="249">
        <v>0</v>
      </c>
      <c r="K1640" s="231" t="b">
        <f t="shared" si="35"/>
        <v>0</v>
      </c>
      <c r="L1640" s="231"/>
      <c r="M1640" s="231" t="s">
        <v>3437</v>
      </c>
      <c r="N1640" s="231"/>
      <c r="O1640" s="231">
        <v>2024</v>
      </c>
      <c r="P1640" s="285">
        <v>45221</v>
      </c>
      <c r="Q1640" s="231"/>
      <c r="R1640" s="231"/>
      <c r="S1640" s="241" t="s">
        <v>453</v>
      </c>
      <c r="T1640" s="231"/>
    </row>
    <row r="1641" spans="1:20" ht="14">
      <c r="A1641" s="231">
        <v>1640</v>
      </c>
      <c r="B1641" s="242" t="s">
        <v>52</v>
      </c>
      <c r="C1641" s="243" t="s">
        <v>10</v>
      </c>
      <c r="D1641" s="237" t="s">
        <v>3402</v>
      </c>
      <c r="E1641" s="239"/>
      <c r="F1641" s="231"/>
      <c r="G1641" s="231"/>
      <c r="H1641" s="231" t="s">
        <v>4251</v>
      </c>
      <c r="I1641" s="281">
        <v>0</v>
      </c>
      <c r="J1641" s="249">
        <v>5100</v>
      </c>
      <c r="K1641" s="231" t="b">
        <f t="shared" si="35"/>
        <v>0</v>
      </c>
      <c r="L1641" s="231"/>
      <c r="M1641" s="231" t="s">
        <v>3437</v>
      </c>
      <c r="N1641" s="231"/>
      <c r="O1641" s="231">
        <v>2024</v>
      </c>
      <c r="P1641" s="285">
        <v>45221</v>
      </c>
      <c r="Q1641" s="231"/>
      <c r="R1641" s="231"/>
      <c r="S1641" s="241" t="s">
        <v>453</v>
      </c>
      <c r="T1641" s="231"/>
    </row>
    <row r="1642" spans="1:20" ht="14">
      <c r="A1642" s="231">
        <v>1641</v>
      </c>
      <c r="B1642" s="242" t="s">
        <v>52</v>
      </c>
      <c r="C1642" s="243" t="s">
        <v>10</v>
      </c>
      <c r="D1642" s="237" t="s">
        <v>3403</v>
      </c>
      <c r="E1642" s="239"/>
      <c r="F1642" s="231"/>
      <c r="G1642" s="231"/>
      <c r="H1642" s="231" t="s">
        <v>3301</v>
      </c>
      <c r="I1642" s="281">
        <v>350</v>
      </c>
      <c r="J1642" s="249">
        <v>0</v>
      </c>
      <c r="K1642" s="231" t="b">
        <f t="shared" si="35"/>
        <v>0</v>
      </c>
      <c r="L1642" s="231"/>
      <c r="M1642" s="231" t="s">
        <v>3437</v>
      </c>
      <c r="N1642" s="231"/>
      <c r="O1642" s="231">
        <v>2024</v>
      </c>
      <c r="P1642" s="285">
        <v>45588</v>
      </c>
      <c r="Q1642" s="231"/>
      <c r="R1642" s="231"/>
      <c r="S1642" s="241" t="s">
        <v>453</v>
      </c>
      <c r="T1642" s="231"/>
    </row>
    <row r="1643" spans="1:20" ht="14">
      <c r="A1643" s="231">
        <v>1642</v>
      </c>
      <c r="B1643" s="242" t="s">
        <v>52</v>
      </c>
      <c r="C1643" s="243" t="s">
        <v>10</v>
      </c>
      <c r="D1643" s="237" t="s">
        <v>3404</v>
      </c>
      <c r="E1643" s="239"/>
      <c r="F1643" s="231"/>
      <c r="G1643" s="231"/>
      <c r="H1643" s="231" t="s">
        <v>3608</v>
      </c>
      <c r="I1643" s="281">
        <v>0</v>
      </c>
      <c r="J1643" s="249">
        <v>800</v>
      </c>
      <c r="K1643" s="231" t="b">
        <f t="shared" si="35"/>
        <v>0</v>
      </c>
      <c r="L1643" s="231"/>
      <c r="M1643" s="231" t="s">
        <v>3437</v>
      </c>
      <c r="N1643" s="231"/>
      <c r="O1643" s="231">
        <v>2024</v>
      </c>
      <c r="P1643" s="285">
        <v>45593</v>
      </c>
      <c r="Q1643" s="231"/>
      <c r="R1643" s="231"/>
      <c r="S1643" s="241" t="s">
        <v>453</v>
      </c>
      <c r="T1643" s="231"/>
    </row>
    <row r="1644" spans="1:20" ht="14">
      <c r="A1644" s="231">
        <v>1643</v>
      </c>
      <c r="B1644" s="242" t="s">
        <v>52</v>
      </c>
      <c r="C1644" s="243" t="s">
        <v>10</v>
      </c>
      <c r="D1644" s="237" t="s">
        <v>3405</v>
      </c>
      <c r="E1644" s="239"/>
      <c r="F1644" s="231"/>
      <c r="G1644" s="231"/>
      <c r="H1644" s="231" t="s">
        <v>3301</v>
      </c>
      <c r="I1644" s="281">
        <v>300</v>
      </c>
      <c r="J1644" s="249">
        <v>0</v>
      </c>
      <c r="K1644" s="231" t="b">
        <f t="shared" si="35"/>
        <v>0</v>
      </c>
      <c r="L1644" s="231"/>
      <c r="M1644" s="231" t="s">
        <v>3437</v>
      </c>
      <c r="N1644" s="231"/>
      <c r="O1644" s="231">
        <v>2024</v>
      </c>
      <c r="P1644" s="285">
        <v>45588</v>
      </c>
      <c r="Q1644" s="231"/>
      <c r="R1644" s="231"/>
      <c r="S1644" s="241" t="s">
        <v>453</v>
      </c>
      <c r="T1644" s="231"/>
    </row>
    <row r="1645" spans="1:20" ht="14">
      <c r="A1645" s="231">
        <v>1644</v>
      </c>
      <c r="B1645" s="242" t="s">
        <v>53</v>
      </c>
      <c r="C1645" s="243" t="s">
        <v>10</v>
      </c>
      <c r="D1645" s="237" t="s">
        <v>3406</v>
      </c>
      <c r="E1645" s="239"/>
      <c r="F1645" s="231"/>
      <c r="G1645" s="231"/>
      <c r="H1645" s="231" t="s">
        <v>3407</v>
      </c>
      <c r="I1645" s="281">
        <v>0</v>
      </c>
      <c r="J1645" s="249">
        <v>945</v>
      </c>
      <c r="K1645" s="231">
        <f t="shared" si="35"/>
        <v>10</v>
      </c>
      <c r="L1645" s="231"/>
      <c r="M1645" s="231" t="s">
        <v>15</v>
      </c>
      <c r="N1645" s="231"/>
      <c r="O1645" s="231">
        <v>2024</v>
      </c>
      <c r="P1645" s="285">
        <v>45589</v>
      </c>
      <c r="Q1645" s="231"/>
      <c r="R1645" s="231"/>
      <c r="S1645" s="241" t="s">
        <v>453</v>
      </c>
      <c r="T1645" s="231"/>
    </row>
    <row r="1646" spans="1:20" ht="14">
      <c r="A1646" s="231">
        <v>1645</v>
      </c>
      <c r="B1646" s="242" t="s">
        <v>52</v>
      </c>
      <c r="C1646" s="243" t="s">
        <v>10</v>
      </c>
      <c r="D1646" s="237" t="s">
        <v>3408</v>
      </c>
      <c r="E1646" s="239"/>
      <c r="F1646" s="231"/>
      <c r="G1646" s="231"/>
      <c r="H1646" s="231" t="s">
        <v>3409</v>
      </c>
      <c r="I1646" s="281">
        <v>0</v>
      </c>
      <c r="J1646" s="249">
        <v>300</v>
      </c>
      <c r="K1646" s="231">
        <f t="shared" si="35"/>
        <v>10</v>
      </c>
      <c r="L1646" s="231"/>
      <c r="M1646" s="231" t="s">
        <v>15</v>
      </c>
      <c r="N1646" s="231"/>
      <c r="O1646" s="231">
        <v>2024</v>
      </c>
      <c r="P1646" s="285">
        <v>45589</v>
      </c>
      <c r="Q1646" s="231"/>
      <c r="R1646" s="231"/>
      <c r="S1646" s="241" t="s">
        <v>453</v>
      </c>
      <c r="T1646" s="231"/>
    </row>
    <row r="1647" spans="1:20" ht="14">
      <c r="A1647" s="231">
        <v>1646</v>
      </c>
      <c r="B1647" s="242" t="s">
        <v>55</v>
      </c>
      <c r="C1647" s="243" t="s">
        <v>10</v>
      </c>
      <c r="D1647" s="237" t="s">
        <v>3410</v>
      </c>
      <c r="E1647" s="239"/>
      <c r="F1647" s="231"/>
      <c r="G1647" s="231"/>
      <c r="H1647" s="231" t="s">
        <v>3411</v>
      </c>
      <c r="I1647" s="281">
        <v>0</v>
      </c>
      <c r="J1647" s="249">
        <v>1000</v>
      </c>
      <c r="K1647" s="231" t="b">
        <f t="shared" si="35"/>
        <v>0</v>
      </c>
      <c r="L1647" s="231"/>
      <c r="M1647" s="231" t="s">
        <v>3437</v>
      </c>
      <c r="N1647" s="231"/>
      <c r="O1647" s="231">
        <v>2024</v>
      </c>
      <c r="P1647" s="285">
        <v>45593</v>
      </c>
      <c r="Q1647" s="231"/>
      <c r="R1647" s="231"/>
      <c r="S1647" s="241" t="s">
        <v>453</v>
      </c>
      <c r="T1647" s="231"/>
    </row>
    <row r="1648" spans="1:20" ht="14">
      <c r="A1648" s="231">
        <v>1647</v>
      </c>
      <c r="B1648" s="242" t="s">
        <v>52</v>
      </c>
      <c r="C1648" s="243" t="s">
        <v>10</v>
      </c>
      <c r="D1648" s="237" t="s">
        <v>3412</v>
      </c>
      <c r="E1648" s="239"/>
      <c r="F1648" s="231"/>
      <c r="G1648" s="231"/>
      <c r="H1648" s="231" t="s">
        <v>2767</v>
      </c>
      <c r="I1648" s="281">
        <v>0</v>
      </c>
      <c r="J1648" s="249">
        <v>400</v>
      </c>
      <c r="K1648" s="231" t="b">
        <f t="shared" si="35"/>
        <v>0</v>
      </c>
      <c r="L1648" s="231"/>
      <c r="M1648" s="231" t="s">
        <v>3437</v>
      </c>
      <c r="N1648" s="231"/>
      <c r="O1648" s="231">
        <v>2024</v>
      </c>
      <c r="P1648" s="285">
        <v>45586</v>
      </c>
      <c r="Q1648" s="231"/>
      <c r="R1648" s="231"/>
      <c r="S1648" s="241" t="s">
        <v>453</v>
      </c>
      <c r="T1648" s="231"/>
    </row>
    <row r="1649" spans="1:20" ht="14">
      <c r="A1649" s="231">
        <v>1648</v>
      </c>
      <c r="B1649" s="242" t="s">
        <v>52</v>
      </c>
      <c r="C1649" s="243" t="s">
        <v>10</v>
      </c>
      <c r="D1649" s="237" t="s">
        <v>3413</v>
      </c>
      <c r="E1649" s="239"/>
      <c r="F1649" s="231"/>
      <c r="G1649" s="231"/>
      <c r="H1649" s="231" t="s">
        <v>2767</v>
      </c>
      <c r="I1649" s="281">
        <v>0</v>
      </c>
      <c r="J1649" s="249">
        <v>450</v>
      </c>
      <c r="K1649" s="231" t="b">
        <f t="shared" si="35"/>
        <v>0</v>
      </c>
      <c r="L1649" s="231"/>
      <c r="M1649" s="231" t="s">
        <v>3437</v>
      </c>
      <c r="N1649" s="231"/>
      <c r="O1649" s="231">
        <v>2024</v>
      </c>
      <c r="P1649" s="285">
        <v>45595</v>
      </c>
      <c r="Q1649" s="231"/>
      <c r="R1649" s="231"/>
      <c r="S1649" s="241" t="s">
        <v>453</v>
      </c>
      <c r="T1649" s="231"/>
    </row>
    <row r="1650" spans="1:20" ht="14">
      <c r="A1650" s="231">
        <v>1649</v>
      </c>
      <c r="B1650" s="242" t="s">
        <v>53</v>
      </c>
      <c r="C1650" s="243" t="s">
        <v>10</v>
      </c>
      <c r="D1650" s="237" t="s">
        <v>3414</v>
      </c>
      <c r="E1650" s="239"/>
      <c r="F1650" s="231"/>
      <c r="G1650" s="231"/>
      <c r="H1650" s="231" t="s">
        <v>213</v>
      </c>
      <c r="I1650" s="281">
        <v>0</v>
      </c>
      <c r="J1650" s="249">
        <v>350</v>
      </c>
      <c r="K1650" s="231">
        <f t="shared" si="35"/>
        <v>10</v>
      </c>
      <c r="L1650" s="231"/>
      <c r="M1650" s="231" t="s">
        <v>15</v>
      </c>
      <c r="N1650" s="231"/>
      <c r="O1650" s="231">
        <v>2024</v>
      </c>
      <c r="P1650" s="285">
        <v>45587</v>
      </c>
      <c r="Q1650" s="231"/>
      <c r="R1650" s="231"/>
      <c r="S1650" s="241" t="s">
        <v>453</v>
      </c>
      <c r="T1650" s="231"/>
    </row>
    <row r="1651" spans="1:20" ht="14">
      <c r="A1651" s="231">
        <v>1650</v>
      </c>
      <c r="B1651" s="242" t="s">
        <v>52</v>
      </c>
      <c r="C1651" s="243" t="s">
        <v>10</v>
      </c>
      <c r="D1651" s="237" t="s">
        <v>3415</v>
      </c>
      <c r="E1651" s="239"/>
      <c r="F1651" s="231"/>
      <c r="G1651" s="231"/>
      <c r="H1651" s="231" t="s">
        <v>3416</v>
      </c>
      <c r="I1651" s="281">
        <v>0</v>
      </c>
      <c r="J1651" s="249">
        <v>1200</v>
      </c>
      <c r="K1651" s="231" t="b">
        <f t="shared" si="35"/>
        <v>0</v>
      </c>
      <c r="L1651" s="231"/>
      <c r="M1651" s="231" t="s">
        <v>3276</v>
      </c>
      <c r="N1651" s="231"/>
      <c r="O1651" s="231">
        <v>2024</v>
      </c>
      <c r="P1651" s="285">
        <v>45595</v>
      </c>
      <c r="Q1651" s="231"/>
      <c r="R1651" s="231"/>
      <c r="S1651" s="241" t="s">
        <v>453</v>
      </c>
      <c r="T1651" s="231"/>
    </row>
    <row r="1652" spans="1:20" ht="14">
      <c r="A1652" s="231">
        <v>1651</v>
      </c>
      <c r="B1652" s="242" t="s">
        <v>53</v>
      </c>
      <c r="C1652" s="243" t="s">
        <v>10</v>
      </c>
      <c r="D1652" s="237" t="s">
        <v>4714</v>
      </c>
      <c r="E1652" s="239"/>
      <c r="F1652" s="231"/>
      <c r="G1652" s="231"/>
      <c r="H1652" s="231" t="s">
        <v>3417</v>
      </c>
      <c r="I1652" s="281">
        <v>0</v>
      </c>
      <c r="J1652" s="249">
        <v>350</v>
      </c>
      <c r="K1652" s="231" t="b">
        <f t="shared" si="35"/>
        <v>0</v>
      </c>
      <c r="L1652" s="231"/>
      <c r="M1652" s="231" t="s">
        <v>3276</v>
      </c>
      <c r="N1652" s="231"/>
      <c r="O1652" s="231">
        <v>2024</v>
      </c>
      <c r="P1652" s="285">
        <v>45586</v>
      </c>
      <c r="Q1652" s="231"/>
      <c r="R1652" s="231"/>
      <c r="S1652" s="241" t="s">
        <v>457</v>
      </c>
      <c r="T1652" s="231"/>
    </row>
    <row r="1653" spans="1:20" ht="14">
      <c r="A1653" s="231">
        <v>1652</v>
      </c>
      <c r="B1653" s="242" t="s">
        <v>52</v>
      </c>
      <c r="C1653" s="243" t="s">
        <v>10</v>
      </c>
      <c r="D1653" s="237" t="s">
        <v>3418</v>
      </c>
      <c r="E1653" s="239"/>
      <c r="F1653" s="231"/>
      <c r="G1653" s="231"/>
      <c r="H1653" s="231" t="s">
        <v>3392</v>
      </c>
      <c r="I1653" s="281">
        <v>0</v>
      </c>
      <c r="J1653" s="249">
        <v>400</v>
      </c>
      <c r="K1653" s="231" t="b">
        <f t="shared" si="35"/>
        <v>0</v>
      </c>
      <c r="L1653" s="231"/>
      <c r="M1653" s="231" t="s">
        <v>3276</v>
      </c>
      <c r="N1653" s="231"/>
      <c r="O1653" s="231">
        <v>2024</v>
      </c>
      <c r="P1653" s="285">
        <v>45588</v>
      </c>
      <c r="Q1653" s="231"/>
      <c r="R1653" s="231"/>
      <c r="S1653" s="241" t="s">
        <v>453</v>
      </c>
      <c r="T1653" s="231"/>
    </row>
    <row r="1654" spans="1:20" ht="14">
      <c r="A1654" s="231">
        <v>1653</v>
      </c>
      <c r="B1654" s="242" t="s">
        <v>52</v>
      </c>
      <c r="C1654" s="243" t="s">
        <v>10</v>
      </c>
      <c r="D1654" s="237" t="s">
        <v>3419</v>
      </c>
      <c r="E1654" s="239"/>
      <c r="F1654" s="231"/>
      <c r="G1654" s="231"/>
      <c r="H1654" s="231" t="s">
        <v>4271</v>
      </c>
      <c r="I1654" s="281">
        <v>0</v>
      </c>
      <c r="J1654" s="249">
        <v>650</v>
      </c>
      <c r="K1654" s="231" t="b">
        <f t="shared" si="35"/>
        <v>0</v>
      </c>
      <c r="L1654" s="231"/>
      <c r="M1654" s="231" t="s">
        <v>3276</v>
      </c>
      <c r="N1654" s="231"/>
      <c r="O1654" s="231">
        <v>2024</v>
      </c>
      <c r="P1654" s="285">
        <v>45594</v>
      </c>
      <c r="Q1654" s="231"/>
      <c r="R1654" s="231"/>
      <c r="S1654" s="241" t="s">
        <v>453</v>
      </c>
      <c r="T1654" s="231"/>
    </row>
    <row r="1655" spans="1:20" ht="14">
      <c r="A1655" s="231">
        <v>1654</v>
      </c>
      <c r="B1655" s="242" t="s">
        <v>52</v>
      </c>
      <c r="C1655" s="243" t="s">
        <v>10</v>
      </c>
      <c r="D1655" s="237" t="s">
        <v>3420</v>
      </c>
      <c r="E1655" s="239"/>
      <c r="F1655" s="231"/>
      <c r="G1655" s="231"/>
      <c r="H1655" s="231" t="s">
        <v>3421</v>
      </c>
      <c r="I1655" s="249">
        <v>300</v>
      </c>
      <c r="J1655" s="249">
        <v>0</v>
      </c>
      <c r="K1655" s="231" t="b">
        <f t="shared" si="35"/>
        <v>0</v>
      </c>
      <c r="L1655" s="231"/>
      <c r="M1655" s="231" t="s">
        <v>3276</v>
      </c>
      <c r="N1655" s="231"/>
      <c r="O1655" s="231">
        <v>2024</v>
      </c>
      <c r="P1655" s="285">
        <v>45589</v>
      </c>
      <c r="Q1655" s="231"/>
      <c r="R1655" s="231"/>
      <c r="S1655" s="241" t="s">
        <v>453</v>
      </c>
      <c r="T1655" s="231"/>
    </row>
    <row r="1656" spans="1:20" ht="14">
      <c r="A1656" s="231">
        <v>1655</v>
      </c>
      <c r="B1656" s="242" t="s">
        <v>52</v>
      </c>
      <c r="C1656" s="243" t="s">
        <v>10</v>
      </c>
      <c r="D1656" s="237" t="s">
        <v>3422</v>
      </c>
      <c r="E1656" s="239"/>
      <c r="F1656" s="231"/>
      <c r="G1656" s="231"/>
      <c r="H1656" s="231" t="s">
        <v>166</v>
      </c>
      <c r="I1656" s="249">
        <v>100</v>
      </c>
      <c r="J1656" s="249">
        <v>0</v>
      </c>
      <c r="K1656" s="231" t="b">
        <f t="shared" ref="K1656:K1685" si="36">IF(M1656="ONT",20,IF(M1656="N/A","N/A",IF(M1656="MIKROTIK",IF(J1656&lt;3000,10,IF(3000&lt;J1656&gt;10000,20,IF(10000&lt;J1656&gt;20000,40,IF(20000&lt;J1656&gt;40000,60,IF(J1656&gt;40000,80,IF(J1656&lt;300,3,)))))))))</f>
        <v>0</v>
      </c>
      <c r="L1656" s="231"/>
      <c r="M1656" s="231" t="s">
        <v>3276</v>
      </c>
      <c r="N1656" s="231"/>
      <c r="O1656" s="231">
        <v>2024</v>
      </c>
      <c r="P1656" s="285">
        <v>45589</v>
      </c>
      <c r="Q1656" s="231"/>
      <c r="R1656" s="231"/>
      <c r="S1656" s="241" t="s">
        <v>453</v>
      </c>
      <c r="T1656" s="231"/>
    </row>
    <row r="1657" spans="1:20" ht="14">
      <c r="A1657" s="231">
        <v>1656</v>
      </c>
      <c r="B1657" s="242" t="s">
        <v>52</v>
      </c>
      <c r="C1657" s="243" t="s">
        <v>10</v>
      </c>
      <c r="D1657" s="237" t="s">
        <v>3423</v>
      </c>
      <c r="E1657" s="239"/>
      <c r="F1657" s="231"/>
      <c r="G1657" s="231"/>
      <c r="H1657" s="231" t="s">
        <v>3424</v>
      </c>
      <c r="I1657" s="249">
        <v>100</v>
      </c>
      <c r="J1657" s="249">
        <v>0</v>
      </c>
      <c r="K1657" s="231" t="b">
        <f t="shared" si="36"/>
        <v>0</v>
      </c>
      <c r="L1657" s="231"/>
      <c r="M1657" s="231" t="s">
        <v>3437</v>
      </c>
      <c r="N1657" s="231"/>
      <c r="O1657" s="231">
        <v>2024</v>
      </c>
      <c r="P1657" s="285">
        <v>45586</v>
      </c>
      <c r="Q1657" s="231"/>
      <c r="R1657" s="231"/>
      <c r="S1657" s="241" t="s">
        <v>453</v>
      </c>
      <c r="T1657" s="231"/>
    </row>
    <row r="1658" spans="1:20" ht="14">
      <c r="A1658" s="231">
        <v>1657</v>
      </c>
      <c r="B1658" s="242" t="s">
        <v>52</v>
      </c>
      <c r="C1658" s="243" t="s">
        <v>10</v>
      </c>
      <c r="D1658" s="237" t="s">
        <v>3425</v>
      </c>
      <c r="E1658" s="239"/>
      <c r="F1658" s="231"/>
      <c r="G1658" s="231"/>
      <c r="H1658" s="231" t="s">
        <v>3424</v>
      </c>
      <c r="I1658" s="249">
        <v>150</v>
      </c>
      <c r="J1658" s="249">
        <v>0</v>
      </c>
      <c r="K1658" s="231" t="b">
        <f t="shared" si="36"/>
        <v>0</v>
      </c>
      <c r="L1658" s="231"/>
      <c r="M1658" s="231" t="s">
        <v>3437</v>
      </c>
      <c r="N1658" s="231"/>
      <c r="O1658" s="231">
        <v>2024</v>
      </c>
      <c r="P1658" s="285">
        <v>45586</v>
      </c>
      <c r="Q1658" s="231"/>
      <c r="R1658" s="231"/>
      <c r="S1658" s="241" t="s">
        <v>453</v>
      </c>
      <c r="T1658" s="231"/>
    </row>
    <row r="1659" spans="1:20" ht="14">
      <c r="A1659" s="231">
        <v>1658</v>
      </c>
      <c r="B1659" s="242" t="s">
        <v>52</v>
      </c>
      <c r="C1659" s="243" t="s">
        <v>10</v>
      </c>
      <c r="D1659" s="237" t="s">
        <v>3426</v>
      </c>
      <c r="E1659" s="239"/>
      <c r="F1659" s="231"/>
      <c r="G1659" s="231"/>
      <c r="H1659" s="231" t="s">
        <v>3424</v>
      </c>
      <c r="I1659" s="249">
        <v>150</v>
      </c>
      <c r="J1659" s="249">
        <v>0</v>
      </c>
      <c r="K1659" s="231" t="b">
        <f t="shared" si="36"/>
        <v>0</v>
      </c>
      <c r="L1659" s="231"/>
      <c r="M1659" s="231" t="s">
        <v>3437</v>
      </c>
      <c r="N1659" s="231"/>
      <c r="O1659" s="231">
        <v>2024</v>
      </c>
      <c r="P1659" s="285">
        <v>45587</v>
      </c>
      <c r="Q1659" s="231"/>
      <c r="R1659" s="231"/>
      <c r="S1659" s="241" t="s">
        <v>457</v>
      </c>
      <c r="T1659" s="231"/>
    </row>
    <row r="1660" spans="1:20" ht="14">
      <c r="A1660" s="231">
        <v>1659</v>
      </c>
      <c r="B1660" s="242" t="s">
        <v>52</v>
      </c>
      <c r="C1660" s="243" t="s">
        <v>10</v>
      </c>
      <c r="D1660" s="237" t="s">
        <v>3427</v>
      </c>
      <c r="E1660" s="239"/>
      <c r="F1660" s="231"/>
      <c r="G1660" s="231"/>
      <c r="H1660" s="231" t="s">
        <v>3424</v>
      </c>
      <c r="I1660" s="249">
        <v>200</v>
      </c>
      <c r="J1660" s="249">
        <v>0</v>
      </c>
      <c r="K1660" s="231" t="b">
        <f t="shared" si="36"/>
        <v>0</v>
      </c>
      <c r="L1660" s="231"/>
      <c r="M1660" s="231" t="s">
        <v>3437</v>
      </c>
      <c r="N1660" s="231"/>
      <c r="O1660" s="231">
        <v>2024</v>
      </c>
      <c r="P1660" s="285">
        <v>45587</v>
      </c>
      <c r="Q1660" s="231"/>
      <c r="R1660" s="231"/>
      <c r="S1660" s="241" t="s">
        <v>453</v>
      </c>
      <c r="T1660" s="231"/>
    </row>
    <row r="1661" spans="1:20" ht="14">
      <c r="A1661" s="231">
        <v>1660</v>
      </c>
      <c r="B1661" s="242" t="s">
        <v>52</v>
      </c>
      <c r="C1661" s="243" t="s">
        <v>10</v>
      </c>
      <c r="D1661" s="237" t="s">
        <v>3428</v>
      </c>
      <c r="E1661" s="239"/>
      <c r="F1661" s="231"/>
      <c r="G1661" s="231"/>
      <c r="H1661" s="231" t="s">
        <v>3424</v>
      </c>
      <c r="I1661" s="249">
        <v>200</v>
      </c>
      <c r="J1661" s="249">
        <v>0</v>
      </c>
      <c r="K1661" s="231" t="b">
        <f t="shared" si="36"/>
        <v>0</v>
      </c>
      <c r="L1661" s="231"/>
      <c r="M1661" s="231" t="s">
        <v>3437</v>
      </c>
      <c r="N1661" s="231"/>
      <c r="O1661" s="231">
        <v>2024</v>
      </c>
      <c r="P1661" s="285">
        <v>45587</v>
      </c>
      <c r="Q1661" s="231"/>
      <c r="R1661" s="231"/>
      <c r="S1661" s="241" t="s">
        <v>453</v>
      </c>
      <c r="T1661" s="231"/>
    </row>
    <row r="1662" spans="1:20" ht="14">
      <c r="A1662" s="231">
        <v>1661</v>
      </c>
      <c r="B1662" s="242" t="s">
        <v>52</v>
      </c>
      <c r="C1662" s="243" t="s">
        <v>10</v>
      </c>
      <c r="D1662" s="237" t="s">
        <v>3429</v>
      </c>
      <c r="E1662" s="239"/>
      <c r="F1662" s="231"/>
      <c r="G1662" s="231"/>
      <c r="H1662" s="231" t="s">
        <v>4560</v>
      </c>
      <c r="I1662" s="249">
        <v>450</v>
      </c>
      <c r="J1662" s="249">
        <v>0</v>
      </c>
      <c r="K1662" s="231" t="b">
        <f t="shared" si="36"/>
        <v>0</v>
      </c>
      <c r="L1662" s="231"/>
      <c r="M1662" s="231" t="s">
        <v>3276</v>
      </c>
      <c r="N1662" s="231"/>
      <c r="O1662" s="231">
        <v>2024</v>
      </c>
      <c r="P1662" s="285">
        <v>45593</v>
      </c>
      <c r="Q1662" s="231"/>
      <c r="R1662" s="231"/>
      <c r="S1662" s="241" t="s">
        <v>453</v>
      </c>
      <c r="T1662" s="231"/>
    </row>
    <row r="1663" spans="1:20" ht="14">
      <c r="A1663" s="231">
        <v>1662</v>
      </c>
      <c r="B1663" s="242" t="s">
        <v>52</v>
      </c>
      <c r="C1663" s="243" t="s">
        <v>10</v>
      </c>
      <c r="D1663" s="237" t="s">
        <v>3430</v>
      </c>
      <c r="E1663" s="239"/>
      <c r="F1663" s="231"/>
      <c r="G1663" s="231"/>
      <c r="H1663" s="231" t="s">
        <v>3431</v>
      </c>
      <c r="I1663" s="249">
        <v>200</v>
      </c>
      <c r="J1663" s="249">
        <v>0</v>
      </c>
      <c r="K1663" s="231" t="b">
        <f t="shared" si="36"/>
        <v>0</v>
      </c>
      <c r="L1663" s="231"/>
      <c r="M1663" s="231" t="s">
        <v>3276</v>
      </c>
      <c r="N1663" s="231"/>
      <c r="O1663" s="231">
        <v>2024</v>
      </c>
      <c r="P1663" s="285">
        <v>45593</v>
      </c>
      <c r="Q1663" s="231"/>
      <c r="R1663" s="231"/>
      <c r="S1663" s="241" t="s">
        <v>453</v>
      </c>
      <c r="T1663" s="231"/>
    </row>
    <row r="1664" spans="1:20" ht="14">
      <c r="A1664" s="231">
        <v>1663</v>
      </c>
      <c r="B1664" s="242" t="s">
        <v>52</v>
      </c>
      <c r="C1664" s="243" t="s">
        <v>10</v>
      </c>
      <c r="D1664" s="237" t="s">
        <v>3432</v>
      </c>
      <c r="E1664" s="239"/>
      <c r="F1664" s="231"/>
      <c r="G1664" s="231"/>
      <c r="H1664" s="231" t="s">
        <v>4555</v>
      </c>
      <c r="I1664" s="249">
        <v>117</v>
      </c>
      <c r="J1664" s="249">
        <v>0</v>
      </c>
      <c r="K1664" s="231" t="b">
        <f t="shared" si="36"/>
        <v>0</v>
      </c>
      <c r="L1664" s="231"/>
      <c r="M1664" s="231" t="s">
        <v>3437</v>
      </c>
      <c r="N1664" s="231"/>
      <c r="O1664" s="231">
        <v>2024</v>
      </c>
      <c r="P1664" s="285">
        <v>45596</v>
      </c>
      <c r="Q1664" s="231"/>
      <c r="R1664" s="231"/>
      <c r="S1664" s="241" t="s">
        <v>453</v>
      </c>
      <c r="T1664" s="231"/>
    </row>
    <row r="1665" spans="1:20" ht="14">
      <c r="A1665" s="231">
        <v>1664</v>
      </c>
      <c r="B1665" s="242" t="s">
        <v>55</v>
      </c>
      <c r="C1665" s="243" t="s">
        <v>10</v>
      </c>
      <c r="D1665" s="237" t="s">
        <v>3433</v>
      </c>
      <c r="E1665" s="239"/>
      <c r="F1665" s="231"/>
      <c r="G1665" s="231"/>
      <c r="H1665" s="231" t="s">
        <v>3411</v>
      </c>
      <c r="I1665" s="281">
        <v>0</v>
      </c>
      <c r="J1665" s="249">
        <v>350</v>
      </c>
      <c r="K1665" s="231" t="b">
        <f t="shared" si="36"/>
        <v>0</v>
      </c>
      <c r="L1665" s="231"/>
      <c r="M1665" s="231" t="s">
        <v>3276</v>
      </c>
      <c r="N1665" s="231"/>
      <c r="O1665" s="231">
        <v>2024</v>
      </c>
      <c r="P1665" s="285">
        <v>45595</v>
      </c>
      <c r="Q1665" s="231"/>
      <c r="R1665" s="231"/>
      <c r="S1665" s="241" t="s">
        <v>453</v>
      </c>
      <c r="T1665" s="231"/>
    </row>
    <row r="1666" spans="1:20" ht="14">
      <c r="A1666" s="231">
        <v>1665</v>
      </c>
      <c r="B1666" s="231" t="s">
        <v>52</v>
      </c>
      <c r="C1666" s="231" t="s">
        <v>10</v>
      </c>
      <c r="D1666" s="237" t="s">
        <v>4703</v>
      </c>
      <c r="E1666" s="239"/>
      <c r="F1666" s="231"/>
      <c r="G1666" s="231"/>
      <c r="H1666" s="231" t="s">
        <v>3330</v>
      </c>
      <c r="I1666" s="249">
        <v>0</v>
      </c>
      <c r="J1666" s="249">
        <v>500</v>
      </c>
      <c r="K1666" s="231" t="b">
        <f t="shared" si="36"/>
        <v>0</v>
      </c>
      <c r="L1666" s="231"/>
      <c r="M1666" s="237" t="s">
        <v>3276</v>
      </c>
      <c r="N1666" s="231"/>
      <c r="O1666" s="231">
        <v>2025</v>
      </c>
      <c r="P1666" s="286">
        <v>45659</v>
      </c>
      <c r="Q1666" s="231"/>
      <c r="R1666" s="231"/>
      <c r="S1666" s="241" t="s">
        <v>453</v>
      </c>
      <c r="T1666" s="231"/>
    </row>
    <row r="1667" spans="1:20" ht="14">
      <c r="A1667" s="231">
        <v>1666</v>
      </c>
      <c r="B1667" s="231" t="s">
        <v>52</v>
      </c>
      <c r="C1667" s="231" t="s">
        <v>10</v>
      </c>
      <c r="D1667" s="237" t="s">
        <v>2044</v>
      </c>
      <c r="E1667" s="239"/>
      <c r="F1667" s="231"/>
      <c r="G1667" s="231"/>
      <c r="H1667" s="231" t="s">
        <v>2046</v>
      </c>
      <c r="I1667" s="249">
        <v>0</v>
      </c>
      <c r="J1667" s="249">
        <v>0</v>
      </c>
      <c r="K1667" s="231" t="b">
        <f t="shared" si="36"/>
        <v>0</v>
      </c>
      <c r="L1667" s="231"/>
      <c r="M1667" s="322" t="s">
        <v>3276</v>
      </c>
      <c r="N1667" s="231"/>
      <c r="O1667" s="231">
        <v>2025</v>
      </c>
      <c r="P1667" s="285">
        <v>45660</v>
      </c>
      <c r="Q1667" s="231"/>
      <c r="R1667" s="231"/>
      <c r="S1667" s="241" t="s">
        <v>453</v>
      </c>
      <c r="T1667" s="231"/>
    </row>
    <row r="1668" spans="1:20" ht="14">
      <c r="A1668" s="231">
        <v>1667</v>
      </c>
      <c r="B1668" s="231" t="s">
        <v>52</v>
      </c>
      <c r="C1668" s="231" t="s">
        <v>10</v>
      </c>
      <c r="D1668" s="237" t="s">
        <v>3434</v>
      </c>
      <c r="E1668" s="239"/>
      <c r="F1668" s="231"/>
      <c r="G1668" s="231"/>
      <c r="H1668" s="231" t="s">
        <v>3435</v>
      </c>
      <c r="I1668" s="249">
        <v>250</v>
      </c>
      <c r="J1668" s="249">
        <v>0</v>
      </c>
      <c r="K1668" s="231" t="b">
        <f t="shared" si="36"/>
        <v>0</v>
      </c>
      <c r="L1668" s="231"/>
      <c r="M1668" s="237" t="s">
        <v>3276</v>
      </c>
      <c r="N1668" s="231"/>
      <c r="O1668" s="231">
        <v>2025</v>
      </c>
      <c r="P1668" s="286">
        <v>45662</v>
      </c>
      <c r="Q1668" s="231"/>
      <c r="R1668" s="231"/>
      <c r="S1668" s="241" t="s">
        <v>453</v>
      </c>
      <c r="T1668" s="231"/>
    </row>
    <row r="1669" spans="1:20" ht="14">
      <c r="A1669" s="231">
        <v>1668</v>
      </c>
      <c r="B1669" s="231" t="s">
        <v>52</v>
      </c>
      <c r="C1669" s="231" t="s">
        <v>10</v>
      </c>
      <c r="D1669" s="237" t="s">
        <v>3436</v>
      </c>
      <c r="E1669" s="239"/>
      <c r="F1669" s="231"/>
      <c r="G1669" s="231"/>
      <c r="H1669" s="231" t="s">
        <v>2765</v>
      </c>
      <c r="I1669" s="249">
        <v>600</v>
      </c>
      <c r="J1669" s="249">
        <v>0</v>
      </c>
      <c r="K1669" s="231" t="b">
        <f t="shared" si="36"/>
        <v>0</v>
      </c>
      <c r="L1669" s="231"/>
      <c r="M1669" s="237" t="s">
        <v>3437</v>
      </c>
      <c r="N1669" s="231"/>
      <c r="O1669" s="231">
        <v>2025</v>
      </c>
      <c r="P1669" s="286">
        <v>45659</v>
      </c>
      <c r="Q1669" s="231"/>
      <c r="R1669" s="231"/>
      <c r="S1669" s="241" t="s">
        <v>453</v>
      </c>
      <c r="T1669" s="231"/>
    </row>
    <row r="1670" spans="1:20" ht="14">
      <c r="A1670" s="231">
        <v>1669</v>
      </c>
      <c r="B1670" s="231" t="s">
        <v>52</v>
      </c>
      <c r="C1670" s="231" t="s">
        <v>10</v>
      </c>
      <c r="D1670" s="237" t="s">
        <v>3438</v>
      </c>
      <c r="E1670" s="239"/>
      <c r="F1670" s="231"/>
      <c r="G1670" s="231"/>
      <c r="H1670" s="231" t="s">
        <v>3439</v>
      </c>
      <c r="I1670" s="249">
        <v>70</v>
      </c>
      <c r="J1670" s="249">
        <v>0</v>
      </c>
      <c r="K1670" s="231" t="b">
        <f t="shared" si="36"/>
        <v>0</v>
      </c>
      <c r="L1670" s="231"/>
      <c r="M1670" s="237" t="s">
        <v>3437</v>
      </c>
      <c r="N1670" s="231"/>
      <c r="O1670" s="231">
        <v>2025</v>
      </c>
      <c r="P1670" s="286">
        <v>45659</v>
      </c>
      <c r="Q1670" s="231"/>
      <c r="R1670" s="231"/>
      <c r="S1670" s="241" t="s">
        <v>453</v>
      </c>
      <c r="T1670" s="231"/>
    </row>
    <row r="1671" spans="1:20" ht="14">
      <c r="A1671" s="231">
        <v>1670</v>
      </c>
      <c r="B1671" s="231" t="s">
        <v>52</v>
      </c>
      <c r="C1671" s="231" t="s">
        <v>10</v>
      </c>
      <c r="D1671" s="237" t="s">
        <v>3440</v>
      </c>
      <c r="E1671" s="239"/>
      <c r="F1671" s="231"/>
      <c r="G1671" s="231"/>
      <c r="H1671" s="231" t="s">
        <v>3360</v>
      </c>
      <c r="I1671" s="249">
        <v>380</v>
      </c>
      <c r="J1671" s="249">
        <v>0</v>
      </c>
      <c r="K1671" s="231" t="b">
        <f t="shared" si="36"/>
        <v>0</v>
      </c>
      <c r="L1671" s="231"/>
      <c r="M1671" s="237" t="s">
        <v>3437</v>
      </c>
      <c r="N1671" s="231"/>
      <c r="O1671" s="231">
        <v>2025</v>
      </c>
      <c r="P1671" s="286">
        <v>45661</v>
      </c>
      <c r="Q1671" s="231"/>
      <c r="R1671" s="231"/>
      <c r="S1671" s="241" t="s">
        <v>453</v>
      </c>
      <c r="T1671" s="231"/>
    </row>
    <row r="1672" spans="1:20" ht="14">
      <c r="A1672" s="231">
        <v>1671</v>
      </c>
      <c r="B1672" s="231" t="s">
        <v>52</v>
      </c>
      <c r="C1672" s="231" t="s">
        <v>10</v>
      </c>
      <c r="D1672" s="237" t="s">
        <v>3441</v>
      </c>
      <c r="E1672" s="239"/>
      <c r="F1672" s="231"/>
      <c r="G1672" s="231"/>
      <c r="H1672" s="231" t="s">
        <v>3439</v>
      </c>
      <c r="I1672" s="249">
        <v>213</v>
      </c>
      <c r="J1672" s="249">
        <v>0</v>
      </c>
      <c r="K1672" s="231" t="b">
        <f t="shared" si="36"/>
        <v>0</v>
      </c>
      <c r="L1672" s="231"/>
      <c r="M1672" s="237" t="s">
        <v>3437</v>
      </c>
      <c r="N1672" s="231"/>
      <c r="O1672" s="231">
        <v>2025</v>
      </c>
      <c r="P1672" s="286">
        <v>45666</v>
      </c>
      <c r="Q1672" s="231"/>
      <c r="R1672" s="231"/>
      <c r="S1672" s="241" t="s">
        <v>453</v>
      </c>
      <c r="T1672" s="231"/>
    </row>
    <row r="1673" spans="1:20" ht="14">
      <c r="A1673" s="231">
        <v>1672</v>
      </c>
      <c r="B1673" s="231" t="s">
        <v>52</v>
      </c>
      <c r="C1673" s="231" t="s">
        <v>10</v>
      </c>
      <c r="D1673" s="237" t="s">
        <v>3442</v>
      </c>
      <c r="E1673" s="239"/>
      <c r="F1673" s="231"/>
      <c r="G1673" s="231"/>
      <c r="H1673" s="231" t="s">
        <v>3301</v>
      </c>
      <c r="I1673" s="249">
        <v>508</v>
      </c>
      <c r="J1673" s="249">
        <v>0</v>
      </c>
      <c r="K1673" s="231" t="b">
        <f t="shared" si="36"/>
        <v>0</v>
      </c>
      <c r="L1673" s="231"/>
      <c r="M1673" s="237" t="s">
        <v>3437</v>
      </c>
      <c r="N1673" s="231"/>
      <c r="O1673" s="231">
        <v>2025</v>
      </c>
      <c r="P1673" s="286">
        <v>45667</v>
      </c>
      <c r="Q1673" s="231"/>
      <c r="R1673" s="231"/>
      <c r="S1673" s="241" t="s">
        <v>453</v>
      </c>
      <c r="T1673" s="231"/>
    </row>
    <row r="1674" spans="1:20" ht="14">
      <c r="A1674" s="231">
        <v>1673</v>
      </c>
      <c r="B1674" s="231" t="s">
        <v>52</v>
      </c>
      <c r="C1674" s="231" t="s">
        <v>10</v>
      </c>
      <c r="D1674" s="237" t="s">
        <v>3443</v>
      </c>
      <c r="E1674" s="239"/>
      <c r="F1674" s="231"/>
      <c r="G1674" s="231"/>
      <c r="H1674" s="231" t="s">
        <v>3301</v>
      </c>
      <c r="I1674" s="249">
        <v>50</v>
      </c>
      <c r="J1674" s="249">
        <v>0</v>
      </c>
      <c r="K1674" s="231" t="b">
        <f t="shared" si="36"/>
        <v>0</v>
      </c>
      <c r="L1674" s="231"/>
      <c r="M1674" s="237" t="s">
        <v>3437</v>
      </c>
      <c r="N1674" s="231"/>
      <c r="O1674" s="231">
        <v>2025</v>
      </c>
      <c r="P1674" s="286">
        <v>45667</v>
      </c>
      <c r="Q1674" s="231"/>
      <c r="R1674" s="231"/>
      <c r="S1674" s="241" t="s">
        <v>453</v>
      </c>
      <c r="T1674" s="231"/>
    </row>
    <row r="1675" spans="1:20" ht="14">
      <c r="A1675" s="231">
        <v>1674</v>
      </c>
      <c r="B1675" s="231" t="s">
        <v>52</v>
      </c>
      <c r="C1675" s="231" t="s">
        <v>10</v>
      </c>
      <c r="D1675" s="237" t="s">
        <v>3444</v>
      </c>
      <c r="E1675" s="239"/>
      <c r="F1675" s="231"/>
      <c r="G1675" s="231"/>
      <c r="H1675" s="231" t="s">
        <v>3424</v>
      </c>
      <c r="I1675" s="249">
        <v>50</v>
      </c>
      <c r="J1675" s="249">
        <v>0</v>
      </c>
      <c r="K1675" s="231" t="b">
        <f t="shared" si="36"/>
        <v>0</v>
      </c>
      <c r="L1675" s="231"/>
      <c r="M1675" s="237" t="s">
        <v>3437</v>
      </c>
      <c r="N1675" s="231"/>
      <c r="O1675" s="231">
        <v>2025</v>
      </c>
      <c r="P1675" s="286">
        <v>45667</v>
      </c>
      <c r="Q1675" s="231"/>
      <c r="R1675" s="231"/>
      <c r="S1675" s="241" t="s">
        <v>453</v>
      </c>
      <c r="T1675" s="231"/>
    </row>
    <row r="1676" spans="1:20" ht="14">
      <c r="A1676" s="231">
        <v>1675</v>
      </c>
      <c r="B1676" s="231" t="s">
        <v>52</v>
      </c>
      <c r="C1676" s="231" t="s">
        <v>10</v>
      </c>
      <c r="D1676" s="237" t="s">
        <v>3445</v>
      </c>
      <c r="E1676" s="239"/>
      <c r="F1676" s="231"/>
      <c r="G1676" s="231"/>
      <c r="H1676" s="231" t="s">
        <v>3446</v>
      </c>
      <c r="I1676" s="249">
        <v>350</v>
      </c>
      <c r="J1676" s="249">
        <v>0</v>
      </c>
      <c r="K1676" s="231" t="b">
        <f t="shared" si="36"/>
        <v>0</v>
      </c>
      <c r="L1676" s="231"/>
      <c r="M1676" s="237" t="s">
        <v>3437</v>
      </c>
      <c r="N1676" s="231"/>
      <c r="O1676" s="231">
        <v>2025</v>
      </c>
      <c r="P1676" s="286">
        <v>45667</v>
      </c>
      <c r="Q1676" s="231"/>
      <c r="R1676" s="231"/>
      <c r="S1676" s="241" t="s">
        <v>453</v>
      </c>
      <c r="T1676" s="231"/>
    </row>
    <row r="1677" spans="1:20" ht="14">
      <c r="A1677" s="231">
        <v>1676</v>
      </c>
      <c r="B1677" s="231" t="s">
        <v>52</v>
      </c>
      <c r="C1677" s="231" t="s">
        <v>10</v>
      </c>
      <c r="D1677" s="237" t="s">
        <v>3447</v>
      </c>
      <c r="E1677" s="239"/>
      <c r="F1677" s="231"/>
      <c r="G1677" s="231"/>
      <c r="H1677" s="231" t="s">
        <v>3448</v>
      </c>
      <c r="I1677" s="249">
        <v>350</v>
      </c>
      <c r="J1677" s="249">
        <v>0</v>
      </c>
      <c r="K1677" s="231">
        <f t="shared" si="36"/>
        <v>10</v>
      </c>
      <c r="L1677" s="231"/>
      <c r="M1677" s="299" t="s">
        <v>15</v>
      </c>
      <c r="N1677" s="231"/>
      <c r="O1677" s="231">
        <v>2025</v>
      </c>
      <c r="P1677" s="286">
        <v>45665</v>
      </c>
      <c r="Q1677" s="231"/>
      <c r="R1677" s="231"/>
      <c r="S1677" s="241" t="s">
        <v>453</v>
      </c>
      <c r="T1677" s="231"/>
    </row>
    <row r="1678" spans="1:20" ht="14">
      <c r="A1678" s="231">
        <v>1677</v>
      </c>
      <c r="B1678" s="231" t="s">
        <v>52</v>
      </c>
      <c r="C1678" s="231" t="s">
        <v>10</v>
      </c>
      <c r="D1678" s="237" t="s">
        <v>3449</v>
      </c>
      <c r="E1678" s="239"/>
      <c r="F1678" s="231"/>
      <c r="G1678" s="231"/>
      <c r="H1678" s="231" t="s">
        <v>3421</v>
      </c>
      <c r="I1678" s="249">
        <v>300</v>
      </c>
      <c r="J1678" s="249">
        <v>0</v>
      </c>
      <c r="K1678" s="231" t="b">
        <f t="shared" si="36"/>
        <v>0</v>
      </c>
      <c r="L1678" s="231"/>
      <c r="M1678" s="237" t="s">
        <v>3276</v>
      </c>
      <c r="N1678" s="231"/>
      <c r="O1678" s="231">
        <v>2025</v>
      </c>
      <c r="P1678" s="286">
        <v>45665</v>
      </c>
      <c r="Q1678" s="231"/>
      <c r="R1678" s="231"/>
      <c r="S1678" s="241" t="s">
        <v>453</v>
      </c>
      <c r="T1678" s="231"/>
    </row>
    <row r="1679" spans="1:20" ht="14">
      <c r="A1679" s="231">
        <v>1678</v>
      </c>
      <c r="B1679" s="231" t="s">
        <v>52</v>
      </c>
      <c r="C1679" s="231" t="s">
        <v>10</v>
      </c>
      <c r="D1679" s="237" t="s">
        <v>3450</v>
      </c>
      <c r="E1679" s="239"/>
      <c r="F1679" s="231"/>
      <c r="G1679" s="231"/>
      <c r="H1679" s="231" t="s">
        <v>3421</v>
      </c>
      <c r="I1679" s="249">
        <v>300</v>
      </c>
      <c r="J1679" s="249">
        <v>0</v>
      </c>
      <c r="K1679" s="231" t="b">
        <f t="shared" si="36"/>
        <v>0</v>
      </c>
      <c r="L1679" s="231"/>
      <c r="M1679" s="237" t="s">
        <v>3276</v>
      </c>
      <c r="N1679" s="231"/>
      <c r="O1679" s="231">
        <v>2025</v>
      </c>
      <c r="P1679" s="286">
        <v>45665</v>
      </c>
      <c r="Q1679" s="231"/>
      <c r="R1679" s="231"/>
      <c r="S1679" s="241" t="s">
        <v>453</v>
      </c>
      <c r="T1679" s="231"/>
    </row>
    <row r="1680" spans="1:20" ht="14">
      <c r="A1680" s="231">
        <v>1679</v>
      </c>
      <c r="B1680" s="231" t="s">
        <v>52</v>
      </c>
      <c r="C1680" s="231" t="s">
        <v>10</v>
      </c>
      <c r="D1680" s="237" t="s">
        <v>3451</v>
      </c>
      <c r="E1680" s="239"/>
      <c r="F1680" s="231"/>
      <c r="G1680" s="231"/>
      <c r="H1680" s="231" t="s">
        <v>3421</v>
      </c>
      <c r="I1680" s="249">
        <v>300</v>
      </c>
      <c r="J1680" s="249">
        <v>0</v>
      </c>
      <c r="K1680" s="231" t="b">
        <f t="shared" si="36"/>
        <v>0</v>
      </c>
      <c r="L1680" s="231"/>
      <c r="M1680" s="237" t="s">
        <v>3276</v>
      </c>
      <c r="N1680" s="231"/>
      <c r="O1680" s="231">
        <v>2025</v>
      </c>
      <c r="P1680" s="286">
        <v>45665</v>
      </c>
      <c r="Q1680" s="231"/>
      <c r="R1680" s="231"/>
      <c r="S1680" s="241" t="s">
        <v>453</v>
      </c>
      <c r="T1680" s="231"/>
    </row>
    <row r="1681" spans="1:20" ht="14">
      <c r="A1681" s="231">
        <v>1680</v>
      </c>
      <c r="B1681" s="231" t="s">
        <v>52</v>
      </c>
      <c r="C1681" s="231" t="s">
        <v>10</v>
      </c>
      <c r="D1681" s="237" t="s">
        <v>3452</v>
      </c>
      <c r="E1681" s="239"/>
      <c r="F1681" s="231"/>
      <c r="G1681" s="231"/>
      <c r="H1681" s="231" t="s">
        <v>3421</v>
      </c>
      <c r="I1681" s="249">
        <v>300</v>
      </c>
      <c r="J1681" s="249">
        <v>0</v>
      </c>
      <c r="K1681" s="231" t="b">
        <f t="shared" si="36"/>
        <v>0</v>
      </c>
      <c r="L1681" s="231"/>
      <c r="M1681" s="237" t="s">
        <v>3276</v>
      </c>
      <c r="N1681" s="231"/>
      <c r="O1681" s="231">
        <v>2025</v>
      </c>
      <c r="P1681" s="286">
        <v>45665</v>
      </c>
      <c r="Q1681" s="231"/>
      <c r="R1681" s="231"/>
      <c r="S1681" s="241" t="s">
        <v>453</v>
      </c>
      <c r="T1681" s="231"/>
    </row>
    <row r="1682" spans="1:20" ht="14">
      <c r="A1682" s="231">
        <v>1681</v>
      </c>
      <c r="B1682" s="231" t="s">
        <v>52</v>
      </c>
      <c r="C1682" s="231" t="s">
        <v>10</v>
      </c>
      <c r="D1682" s="237" t="s">
        <v>3453</v>
      </c>
      <c r="E1682" s="239"/>
      <c r="F1682" s="231"/>
      <c r="G1682" s="231"/>
      <c r="H1682" s="231" t="s">
        <v>3424</v>
      </c>
      <c r="I1682" s="249">
        <v>26</v>
      </c>
      <c r="J1682" s="249">
        <v>0</v>
      </c>
      <c r="K1682" s="231" t="b">
        <f t="shared" si="36"/>
        <v>0</v>
      </c>
      <c r="L1682" s="231"/>
      <c r="M1682" s="237" t="s">
        <v>3437</v>
      </c>
      <c r="N1682" s="231"/>
      <c r="O1682" s="231">
        <v>2025</v>
      </c>
      <c r="P1682" s="286">
        <v>45667</v>
      </c>
      <c r="Q1682" s="231"/>
      <c r="R1682" s="231"/>
      <c r="S1682" s="241" t="s">
        <v>453</v>
      </c>
      <c r="T1682" s="231"/>
    </row>
    <row r="1683" spans="1:20" ht="14">
      <c r="A1683" s="231">
        <v>1682</v>
      </c>
      <c r="B1683" s="231" t="s">
        <v>52</v>
      </c>
      <c r="C1683" s="231" t="s">
        <v>10</v>
      </c>
      <c r="D1683" s="237" t="s">
        <v>3454</v>
      </c>
      <c r="E1683" s="239"/>
      <c r="F1683" s="231"/>
      <c r="G1683" s="231"/>
      <c r="H1683" s="231" t="s">
        <v>3424</v>
      </c>
      <c r="I1683" s="249">
        <v>29</v>
      </c>
      <c r="J1683" s="249">
        <v>0</v>
      </c>
      <c r="K1683" s="231" t="b">
        <f t="shared" si="36"/>
        <v>0</v>
      </c>
      <c r="L1683" s="231"/>
      <c r="M1683" s="237" t="s">
        <v>3437</v>
      </c>
      <c r="N1683" s="231"/>
      <c r="O1683" s="231">
        <v>2025</v>
      </c>
      <c r="P1683" s="286">
        <v>45667</v>
      </c>
      <c r="Q1683" s="231"/>
      <c r="R1683" s="231"/>
      <c r="S1683" s="241" t="s">
        <v>453</v>
      </c>
      <c r="T1683" s="231"/>
    </row>
    <row r="1684" spans="1:20" ht="14">
      <c r="A1684" s="231">
        <v>1683</v>
      </c>
      <c r="B1684" s="231" t="s">
        <v>52</v>
      </c>
      <c r="C1684" s="231" t="s">
        <v>10</v>
      </c>
      <c r="D1684" s="237" t="s">
        <v>3455</v>
      </c>
      <c r="E1684" s="239"/>
      <c r="F1684" s="231"/>
      <c r="G1684" s="231"/>
      <c r="H1684" s="231" t="s">
        <v>3424</v>
      </c>
      <c r="I1684" s="249">
        <v>191</v>
      </c>
      <c r="J1684" s="249">
        <v>0</v>
      </c>
      <c r="K1684" s="231" t="b">
        <f t="shared" si="36"/>
        <v>0</v>
      </c>
      <c r="L1684" s="231"/>
      <c r="M1684" s="237" t="s">
        <v>3437</v>
      </c>
      <c r="N1684" s="231"/>
      <c r="O1684" s="231">
        <v>2025</v>
      </c>
      <c r="P1684" s="286">
        <v>45667</v>
      </c>
      <c r="Q1684" s="231"/>
      <c r="R1684" s="231"/>
      <c r="S1684" s="241" t="s">
        <v>453</v>
      </c>
      <c r="T1684" s="231"/>
    </row>
    <row r="1685" spans="1:20" ht="14">
      <c r="A1685" s="231">
        <v>1684</v>
      </c>
      <c r="B1685" s="231" t="s">
        <v>52</v>
      </c>
      <c r="C1685" s="231" t="s">
        <v>10</v>
      </c>
      <c r="D1685" s="237" t="s">
        <v>3456</v>
      </c>
      <c r="E1685" s="239"/>
      <c r="F1685" s="231"/>
      <c r="G1685" s="231"/>
      <c r="H1685" s="231" t="s">
        <v>3424</v>
      </c>
      <c r="I1685" s="249">
        <v>17</v>
      </c>
      <c r="J1685" s="249">
        <v>0</v>
      </c>
      <c r="K1685" s="231" t="b">
        <f t="shared" si="36"/>
        <v>0</v>
      </c>
      <c r="L1685" s="231"/>
      <c r="M1685" s="237" t="s">
        <v>3437</v>
      </c>
      <c r="N1685" s="231"/>
      <c r="O1685" s="231">
        <v>2025</v>
      </c>
      <c r="P1685" s="286">
        <v>45667</v>
      </c>
      <c r="Q1685" s="231"/>
      <c r="R1685" s="231"/>
      <c r="S1685" s="241" t="s">
        <v>453</v>
      </c>
      <c r="T1685" s="231"/>
    </row>
    <row r="1686" spans="1:20" ht="14">
      <c r="A1686" s="231">
        <v>1685</v>
      </c>
      <c r="B1686" s="231" t="s">
        <v>52</v>
      </c>
      <c r="C1686" s="231" t="s">
        <v>10</v>
      </c>
      <c r="D1686" s="237" t="s">
        <v>3457</v>
      </c>
      <c r="E1686" s="239"/>
      <c r="F1686" s="231"/>
      <c r="G1686" s="231"/>
      <c r="H1686" s="231" t="s">
        <v>3458</v>
      </c>
      <c r="I1686" s="249">
        <v>0</v>
      </c>
      <c r="J1686" s="249">
        <v>3100</v>
      </c>
      <c r="K1686" s="231">
        <v>20</v>
      </c>
      <c r="L1686" s="231"/>
      <c r="M1686" s="237" t="s">
        <v>15</v>
      </c>
      <c r="N1686" s="231"/>
      <c r="O1686" s="231">
        <v>2025</v>
      </c>
      <c r="P1686" s="286">
        <v>45665</v>
      </c>
      <c r="Q1686" s="231"/>
      <c r="R1686" s="231"/>
      <c r="S1686" s="241" t="s">
        <v>453</v>
      </c>
      <c r="T1686" s="231"/>
    </row>
    <row r="1687" spans="1:20" ht="14">
      <c r="A1687" s="231">
        <v>1686</v>
      </c>
      <c r="B1687" s="231" t="s">
        <v>52</v>
      </c>
      <c r="C1687" s="231" t="s">
        <v>10</v>
      </c>
      <c r="D1687" s="237" t="s">
        <v>3459</v>
      </c>
      <c r="E1687" s="239"/>
      <c r="F1687" s="231"/>
      <c r="G1687" s="231"/>
      <c r="H1687" s="237" t="s">
        <v>3360</v>
      </c>
      <c r="I1687" s="249">
        <v>380</v>
      </c>
      <c r="J1687" s="249">
        <v>0</v>
      </c>
      <c r="K1687" s="231" t="b">
        <f t="shared" ref="K1687:K1747" si="37">IF(M1687="ONT",20,IF(M1687="N/A","N/A",IF(M1687="MIKROTIK",IF(J1687&lt;3000,10,IF(3000&lt;J1687&gt;10000,20,IF(10000&lt;J1687&gt;20000,40,IF(20000&lt;J1687&gt;40000,60,IF(J1687&gt;40000,80,IF(J1687&lt;300,3,)))))))))</f>
        <v>0</v>
      </c>
      <c r="L1687" s="231"/>
      <c r="M1687" s="237" t="s">
        <v>3437</v>
      </c>
      <c r="N1687" s="231"/>
      <c r="O1687" s="231">
        <v>2025</v>
      </c>
      <c r="P1687" s="286">
        <v>45671</v>
      </c>
      <c r="Q1687" s="231"/>
      <c r="R1687" s="231"/>
      <c r="S1687" s="241" t="s">
        <v>453</v>
      </c>
      <c r="T1687" s="231"/>
    </row>
    <row r="1688" spans="1:20" ht="14">
      <c r="A1688" s="231">
        <v>1687</v>
      </c>
      <c r="B1688" s="231" t="s">
        <v>52</v>
      </c>
      <c r="C1688" s="231" t="s">
        <v>10</v>
      </c>
      <c r="D1688" s="237" t="s">
        <v>3460</v>
      </c>
      <c r="E1688" s="239"/>
      <c r="F1688" s="231"/>
      <c r="G1688" s="231"/>
      <c r="H1688" s="237" t="s">
        <v>3330</v>
      </c>
      <c r="I1688" s="249">
        <v>200</v>
      </c>
      <c r="J1688" s="249">
        <v>0</v>
      </c>
      <c r="K1688" s="231" t="b">
        <f t="shared" si="37"/>
        <v>0</v>
      </c>
      <c r="L1688" s="231"/>
      <c r="M1688" s="237" t="s">
        <v>3437</v>
      </c>
      <c r="N1688" s="231"/>
      <c r="O1688" s="231">
        <v>2025</v>
      </c>
      <c r="P1688" s="286">
        <v>45672</v>
      </c>
      <c r="Q1688" s="231"/>
      <c r="R1688" s="231"/>
      <c r="S1688" s="241" t="s">
        <v>453</v>
      </c>
      <c r="T1688" s="231"/>
    </row>
    <row r="1689" spans="1:20" ht="14">
      <c r="A1689" s="231">
        <v>1688</v>
      </c>
      <c r="B1689" s="231" t="s">
        <v>52</v>
      </c>
      <c r="C1689" s="231" t="s">
        <v>10</v>
      </c>
      <c r="D1689" s="237" t="s">
        <v>3461</v>
      </c>
      <c r="E1689" s="239"/>
      <c r="F1689" s="231"/>
      <c r="G1689" s="231"/>
      <c r="H1689" s="237" t="s">
        <v>3360</v>
      </c>
      <c r="I1689" s="249">
        <v>200</v>
      </c>
      <c r="J1689" s="249">
        <v>0</v>
      </c>
      <c r="K1689" s="231" t="b">
        <f t="shared" si="37"/>
        <v>0</v>
      </c>
      <c r="L1689" s="231"/>
      <c r="M1689" s="237" t="s">
        <v>3437</v>
      </c>
      <c r="N1689" s="231"/>
      <c r="O1689" s="231">
        <v>2025</v>
      </c>
      <c r="P1689" s="286">
        <v>45673</v>
      </c>
      <c r="Q1689" s="231"/>
      <c r="R1689" s="231"/>
      <c r="S1689" s="241" t="s">
        <v>453</v>
      </c>
      <c r="T1689" s="231"/>
    </row>
    <row r="1690" spans="1:20" ht="14">
      <c r="A1690" s="231">
        <v>1689</v>
      </c>
      <c r="B1690" s="231" t="s">
        <v>52</v>
      </c>
      <c r="C1690" s="231" t="s">
        <v>10</v>
      </c>
      <c r="D1690" s="237" t="s">
        <v>3462</v>
      </c>
      <c r="E1690" s="239"/>
      <c r="F1690" s="231"/>
      <c r="G1690" s="231"/>
      <c r="H1690" s="237" t="s">
        <v>3463</v>
      </c>
      <c r="I1690" s="249">
        <v>217</v>
      </c>
      <c r="J1690" s="249">
        <v>0</v>
      </c>
      <c r="K1690" s="231" t="b">
        <f t="shared" si="37"/>
        <v>0</v>
      </c>
      <c r="L1690" s="231"/>
      <c r="M1690" s="237" t="s">
        <v>3437</v>
      </c>
      <c r="N1690" s="231"/>
      <c r="O1690" s="231">
        <v>2025</v>
      </c>
      <c r="P1690" s="286">
        <v>45675</v>
      </c>
      <c r="Q1690" s="231"/>
      <c r="R1690" s="231"/>
      <c r="S1690" s="241" t="s">
        <v>453</v>
      </c>
      <c r="T1690" s="231"/>
    </row>
    <row r="1691" spans="1:20" ht="14">
      <c r="A1691" s="231">
        <v>1690</v>
      </c>
      <c r="B1691" s="231" t="s">
        <v>52</v>
      </c>
      <c r="C1691" s="231" t="s">
        <v>10</v>
      </c>
      <c r="D1691" s="237" t="s">
        <v>3464</v>
      </c>
      <c r="E1691" s="239"/>
      <c r="F1691" s="231"/>
      <c r="G1691" s="231"/>
      <c r="H1691" s="237" t="s">
        <v>3312</v>
      </c>
      <c r="I1691" s="249">
        <v>0</v>
      </c>
      <c r="J1691" s="249">
        <v>530</v>
      </c>
      <c r="K1691" s="231" t="b">
        <f t="shared" si="37"/>
        <v>0</v>
      </c>
      <c r="L1691" s="231"/>
      <c r="M1691" s="237" t="s">
        <v>3437</v>
      </c>
      <c r="N1691" s="231"/>
      <c r="O1691" s="231">
        <v>2025</v>
      </c>
      <c r="P1691" s="286">
        <v>45670</v>
      </c>
      <c r="Q1691" s="231"/>
      <c r="R1691" s="231"/>
      <c r="S1691" s="241" t="s">
        <v>453</v>
      </c>
      <c r="T1691" s="231"/>
    </row>
    <row r="1692" spans="1:20" ht="14">
      <c r="A1692" s="231">
        <v>1691</v>
      </c>
      <c r="B1692" s="231" t="s">
        <v>52</v>
      </c>
      <c r="C1692" s="231" t="s">
        <v>10</v>
      </c>
      <c r="D1692" s="237" t="s">
        <v>3465</v>
      </c>
      <c r="E1692" s="239"/>
      <c r="F1692" s="231"/>
      <c r="G1692" s="231"/>
      <c r="H1692" s="237" t="s">
        <v>3431</v>
      </c>
      <c r="I1692" s="249">
        <v>200</v>
      </c>
      <c r="J1692" s="249">
        <v>0</v>
      </c>
      <c r="K1692" s="231" t="b">
        <f t="shared" si="37"/>
        <v>0</v>
      </c>
      <c r="L1692" s="231"/>
      <c r="M1692" s="237" t="s">
        <v>3276</v>
      </c>
      <c r="N1692" s="231"/>
      <c r="O1692" s="231">
        <v>2025</v>
      </c>
      <c r="P1692" s="286">
        <v>45671</v>
      </c>
      <c r="Q1692" s="231"/>
      <c r="R1692" s="231"/>
      <c r="S1692" s="241" t="s">
        <v>453</v>
      </c>
      <c r="T1692" s="231"/>
    </row>
    <row r="1693" spans="1:20" ht="14">
      <c r="A1693" s="231">
        <v>1692</v>
      </c>
      <c r="B1693" s="231" t="s">
        <v>52</v>
      </c>
      <c r="C1693" s="231" t="s">
        <v>10</v>
      </c>
      <c r="D1693" s="237" t="s">
        <v>3466</v>
      </c>
      <c r="E1693" s="239"/>
      <c r="F1693" s="231"/>
      <c r="G1693" s="231"/>
      <c r="H1693" s="237" t="s">
        <v>2046</v>
      </c>
      <c r="I1693" s="249">
        <v>250</v>
      </c>
      <c r="J1693" s="249">
        <v>0</v>
      </c>
      <c r="K1693" s="231" t="b">
        <f t="shared" si="37"/>
        <v>0</v>
      </c>
      <c r="L1693" s="231"/>
      <c r="M1693" s="237" t="s">
        <v>3276</v>
      </c>
      <c r="N1693" s="231"/>
      <c r="O1693" s="231">
        <v>2025</v>
      </c>
      <c r="P1693" s="286">
        <v>45676</v>
      </c>
      <c r="Q1693" s="231"/>
      <c r="R1693" s="231"/>
      <c r="S1693" s="241" t="s">
        <v>453</v>
      </c>
      <c r="T1693" s="231"/>
    </row>
    <row r="1694" spans="1:20" ht="14">
      <c r="A1694" s="231">
        <v>1693</v>
      </c>
      <c r="B1694" s="231" t="s">
        <v>55</v>
      </c>
      <c r="C1694" s="231" t="s">
        <v>10</v>
      </c>
      <c r="D1694" s="237" t="s">
        <v>3467</v>
      </c>
      <c r="E1694" s="239"/>
      <c r="F1694" s="231"/>
      <c r="G1694" s="231"/>
      <c r="H1694" s="237" t="s">
        <v>3411</v>
      </c>
      <c r="I1694" s="249">
        <v>0</v>
      </c>
      <c r="J1694" s="249">
        <v>600</v>
      </c>
      <c r="K1694" s="231" t="b">
        <f t="shared" si="37"/>
        <v>0</v>
      </c>
      <c r="L1694" s="231"/>
      <c r="M1694" s="237" t="s">
        <v>3276</v>
      </c>
      <c r="N1694" s="231"/>
      <c r="O1694" s="231">
        <v>2025</v>
      </c>
      <c r="P1694" s="286">
        <v>45677</v>
      </c>
      <c r="Q1694" s="231"/>
      <c r="R1694" s="231"/>
      <c r="S1694" s="241" t="s">
        <v>453</v>
      </c>
      <c r="T1694" s="231"/>
    </row>
    <row r="1695" spans="1:20" ht="14">
      <c r="A1695" s="231">
        <v>1694</v>
      </c>
      <c r="B1695" s="231" t="s">
        <v>52</v>
      </c>
      <c r="C1695" s="231" t="s">
        <v>10</v>
      </c>
      <c r="D1695" s="237" t="s">
        <v>3468</v>
      </c>
      <c r="E1695" s="239"/>
      <c r="F1695" s="231"/>
      <c r="G1695" s="231"/>
      <c r="H1695" s="237" t="s">
        <v>3312</v>
      </c>
      <c r="I1695" s="249">
        <v>0</v>
      </c>
      <c r="J1695" s="249">
        <v>350</v>
      </c>
      <c r="K1695" s="231" t="b">
        <f t="shared" si="37"/>
        <v>0</v>
      </c>
      <c r="L1695" s="231"/>
      <c r="M1695" s="237" t="s">
        <v>3276</v>
      </c>
      <c r="N1695" s="231"/>
      <c r="O1695" s="231">
        <v>2025</v>
      </c>
      <c r="P1695" s="286">
        <v>45677</v>
      </c>
      <c r="Q1695" s="231"/>
      <c r="R1695" s="231"/>
      <c r="S1695" s="241" t="s">
        <v>453</v>
      </c>
      <c r="T1695" s="231"/>
    </row>
    <row r="1696" spans="1:20" ht="15" customHeight="1">
      <c r="A1696" s="231">
        <v>1695</v>
      </c>
      <c r="B1696" s="231" t="s">
        <v>52</v>
      </c>
      <c r="C1696" s="231" t="s">
        <v>10</v>
      </c>
      <c r="D1696" s="237" t="s">
        <v>3469</v>
      </c>
      <c r="E1696" s="268"/>
      <c r="F1696" s="231"/>
      <c r="G1696" s="231"/>
      <c r="H1696" s="237" t="s">
        <v>3330</v>
      </c>
      <c r="I1696" s="249">
        <v>0</v>
      </c>
      <c r="J1696" s="249">
        <v>350</v>
      </c>
      <c r="K1696" s="231" t="b">
        <f t="shared" si="37"/>
        <v>0</v>
      </c>
      <c r="L1696" s="231"/>
      <c r="M1696" s="237" t="s">
        <v>3276</v>
      </c>
      <c r="N1696" s="231"/>
      <c r="O1696" s="231">
        <v>2025</v>
      </c>
      <c r="P1696" s="286">
        <v>45679</v>
      </c>
      <c r="Q1696" s="231" t="s">
        <v>2771</v>
      </c>
      <c r="R1696" s="231"/>
      <c r="S1696" s="241" t="s">
        <v>453</v>
      </c>
      <c r="T1696" s="231"/>
    </row>
    <row r="1697" spans="1:16381" s="272" customFormat="1" ht="15" customHeight="1">
      <c r="A1697" s="231">
        <v>1696</v>
      </c>
      <c r="B1697" s="231" t="s">
        <v>52</v>
      </c>
      <c r="C1697" s="231" t="s">
        <v>10</v>
      </c>
      <c r="D1697" s="237" t="s">
        <v>3470</v>
      </c>
      <c r="E1697" s="231"/>
      <c r="F1697" s="249"/>
      <c r="G1697" s="249"/>
      <c r="H1697" s="237" t="s">
        <v>3471</v>
      </c>
      <c r="I1697" s="249">
        <v>0</v>
      </c>
      <c r="J1697" s="249">
        <v>350</v>
      </c>
      <c r="K1697" s="231" t="b">
        <f t="shared" si="37"/>
        <v>0</v>
      </c>
      <c r="L1697" s="231"/>
      <c r="M1697" s="237" t="s">
        <v>3276</v>
      </c>
      <c r="N1697" s="231"/>
      <c r="O1697" s="231">
        <v>2025</v>
      </c>
      <c r="P1697" s="286">
        <v>45679</v>
      </c>
      <c r="Q1697" s="231" t="s">
        <v>2771</v>
      </c>
      <c r="R1697" s="90"/>
      <c r="S1697" s="90" t="s">
        <v>453</v>
      </c>
      <c r="T1697" s="90"/>
      <c r="U1697" s="90"/>
      <c r="V1697" s="90"/>
      <c r="W1697" s="90"/>
      <c r="X1697" s="90"/>
      <c r="Y1697" s="90"/>
      <c r="Z1697" s="90"/>
      <c r="AA1697" s="90"/>
      <c r="AB1697" s="90"/>
      <c r="AC1697" s="90"/>
      <c r="AD1697" s="90"/>
      <c r="AE1697" s="90"/>
      <c r="AF1697" s="90"/>
      <c r="AG1697" s="90"/>
      <c r="AH1697" s="90"/>
      <c r="AI1697" s="90"/>
      <c r="AJ1697" s="90"/>
      <c r="AK1697" s="90"/>
      <c r="AL1697" s="90"/>
      <c r="AM1697" s="90"/>
      <c r="AN1697" s="90"/>
      <c r="AO1697" s="90"/>
      <c r="AP1697" s="90"/>
      <c r="AQ1697" s="90"/>
      <c r="AR1697" s="90"/>
      <c r="AS1697" s="90"/>
      <c r="AT1697" s="90"/>
      <c r="AU1697" s="90"/>
      <c r="AV1697" s="90"/>
      <c r="AW1697" s="90"/>
      <c r="AX1697" s="90"/>
      <c r="AY1697" s="90"/>
      <c r="AZ1697" s="90"/>
      <c r="BA1697" s="90"/>
      <c r="BB1697" s="90"/>
      <c r="BC1697" s="90"/>
      <c r="BD1697" s="90"/>
      <c r="BE1697" s="90"/>
      <c r="BF1697" s="90"/>
      <c r="BG1697" s="90"/>
      <c r="BH1697" s="90"/>
      <c r="BI1697" s="90"/>
      <c r="BJ1697" s="90"/>
      <c r="BK1697" s="90"/>
      <c r="BL1697" s="90"/>
      <c r="BM1697" s="90"/>
      <c r="BN1697" s="90"/>
      <c r="BO1697" s="90"/>
      <c r="BP1697" s="90"/>
      <c r="BQ1697" s="90"/>
      <c r="BR1697" s="90"/>
      <c r="BS1697" s="90"/>
      <c r="BT1697" s="90"/>
      <c r="BU1697" s="90"/>
      <c r="BV1697" s="90"/>
      <c r="BW1697" s="90"/>
      <c r="BX1697" s="90"/>
      <c r="BY1697" s="90"/>
      <c r="BZ1697" s="90"/>
      <c r="CA1697" s="90"/>
      <c r="CB1697" s="90"/>
      <c r="CC1697" s="90"/>
      <c r="CD1697" s="90"/>
      <c r="CE1697" s="90"/>
      <c r="CF1697" s="90"/>
      <c r="CG1697" s="90"/>
      <c r="CH1697" s="90"/>
      <c r="CI1697" s="90"/>
      <c r="CJ1697" s="90"/>
      <c r="CK1697" s="90"/>
      <c r="CL1697" s="90"/>
      <c r="CM1697" s="90"/>
      <c r="CN1697" s="90"/>
      <c r="CO1697" s="90"/>
      <c r="CP1697" s="90"/>
      <c r="CQ1697" s="90"/>
      <c r="CR1697" s="90"/>
      <c r="CS1697" s="90"/>
      <c r="CT1697" s="90"/>
      <c r="CU1697" s="90"/>
      <c r="CV1697" s="90"/>
      <c r="CW1697" s="90"/>
      <c r="CX1697" s="90"/>
      <c r="CY1697" s="90"/>
      <c r="CZ1697" s="90"/>
      <c r="DA1697" s="90"/>
      <c r="DB1697" s="90"/>
      <c r="DC1697" s="90"/>
      <c r="DD1697" s="90"/>
      <c r="DE1697" s="90"/>
      <c r="DF1697" s="90"/>
      <c r="DG1697" s="90"/>
      <c r="DH1697" s="90"/>
      <c r="DI1697" s="90"/>
      <c r="DJ1697" s="90"/>
      <c r="DK1697" s="90"/>
      <c r="DL1697" s="90"/>
      <c r="DM1697" s="90"/>
      <c r="DN1697" s="90"/>
      <c r="DO1697" s="90"/>
      <c r="DP1697" s="90"/>
      <c r="DQ1697" s="90"/>
      <c r="DR1697" s="90"/>
      <c r="DS1697" s="90"/>
      <c r="DT1697" s="90"/>
      <c r="DU1697" s="90"/>
      <c r="DV1697" s="90"/>
      <c r="DW1697" s="90"/>
      <c r="DX1697" s="90"/>
      <c r="DY1697" s="90"/>
      <c r="DZ1697" s="90"/>
      <c r="EA1697" s="90"/>
      <c r="EB1697" s="90"/>
      <c r="EC1697" s="90"/>
      <c r="ED1697" s="90"/>
      <c r="EE1697" s="90"/>
      <c r="EF1697" s="90"/>
      <c r="EG1697" s="90"/>
      <c r="EH1697" s="90"/>
      <c r="EI1697" s="90"/>
      <c r="EJ1697" s="90"/>
      <c r="EK1697" s="90"/>
      <c r="EL1697" s="90"/>
      <c r="EM1697" s="90"/>
      <c r="EN1697" s="90"/>
      <c r="EO1697" s="90"/>
      <c r="EP1697" s="90"/>
      <c r="EQ1697" s="90"/>
      <c r="ER1697" s="90"/>
      <c r="ES1697" s="90"/>
      <c r="ET1697" s="90"/>
      <c r="EU1697" s="90"/>
      <c r="EV1697" s="90"/>
      <c r="EW1697" s="90"/>
      <c r="EX1697" s="90"/>
      <c r="EY1697" s="90"/>
      <c r="EZ1697" s="90"/>
      <c r="FA1697" s="90"/>
      <c r="FB1697" s="90"/>
      <c r="FC1697" s="90"/>
      <c r="FD1697" s="90"/>
      <c r="FE1697" s="90"/>
      <c r="FF1697" s="90"/>
      <c r="FG1697" s="90"/>
      <c r="FH1697" s="90"/>
      <c r="FI1697" s="90"/>
      <c r="FJ1697" s="90"/>
      <c r="FK1697" s="90"/>
      <c r="FL1697" s="90"/>
      <c r="FM1697" s="90"/>
      <c r="FN1697" s="90"/>
      <c r="FO1697" s="90"/>
      <c r="FP1697" s="90"/>
      <c r="FQ1697" s="90"/>
      <c r="FR1697" s="90"/>
      <c r="FS1697" s="90"/>
      <c r="FT1697" s="90"/>
      <c r="FU1697" s="90"/>
      <c r="FV1697" s="90"/>
      <c r="FW1697" s="90"/>
      <c r="FX1697" s="90"/>
      <c r="FY1697" s="90"/>
      <c r="FZ1697" s="90"/>
      <c r="GA1697" s="90"/>
      <c r="GB1697" s="90"/>
      <c r="GC1697" s="90"/>
      <c r="GD1697" s="90"/>
      <c r="GE1697" s="90"/>
      <c r="GF1697" s="90"/>
      <c r="GG1697" s="90"/>
      <c r="GH1697" s="90"/>
      <c r="GI1697" s="90"/>
      <c r="GJ1697" s="90"/>
      <c r="GK1697" s="90"/>
      <c r="GL1697" s="90"/>
      <c r="GM1697" s="90"/>
      <c r="GN1697" s="90"/>
      <c r="GO1697" s="90"/>
      <c r="GP1697" s="90"/>
      <c r="GQ1697" s="90"/>
      <c r="GR1697" s="90"/>
      <c r="GS1697" s="90"/>
      <c r="GT1697" s="90"/>
      <c r="GU1697" s="90"/>
      <c r="GV1697" s="90"/>
      <c r="GW1697" s="90"/>
      <c r="GX1697" s="90"/>
      <c r="GY1697" s="90"/>
      <c r="GZ1697" s="90"/>
      <c r="HA1697" s="90"/>
      <c r="HB1697" s="90"/>
      <c r="HC1697" s="90"/>
      <c r="HD1697" s="90"/>
      <c r="HE1697" s="90"/>
      <c r="HF1697" s="90"/>
      <c r="HG1697" s="90"/>
      <c r="HH1697" s="90"/>
      <c r="HI1697" s="90"/>
      <c r="HJ1697" s="90"/>
      <c r="HK1697" s="90"/>
      <c r="HL1697" s="90"/>
      <c r="HM1697" s="90"/>
      <c r="HN1697" s="90"/>
      <c r="HO1697" s="90"/>
      <c r="HP1697" s="90"/>
      <c r="HQ1697" s="90"/>
      <c r="HR1697" s="90"/>
      <c r="HS1697" s="90"/>
      <c r="HT1697" s="90"/>
      <c r="HU1697" s="90"/>
      <c r="HV1697" s="90"/>
      <c r="HW1697" s="90"/>
      <c r="HX1697" s="90"/>
      <c r="HY1697" s="90"/>
      <c r="HZ1697" s="90"/>
      <c r="IA1697" s="90"/>
      <c r="IB1697" s="90"/>
      <c r="IC1697" s="90"/>
      <c r="ID1697" s="90"/>
      <c r="IE1697" s="90"/>
      <c r="IF1697" s="90"/>
      <c r="IG1697" s="90"/>
      <c r="IH1697" s="90"/>
      <c r="II1697" s="90"/>
      <c r="IJ1697" s="90"/>
      <c r="IK1697" s="90"/>
      <c r="IL1697" s="90"/>
      <c r="IM1697" s="90"/>
      <c r="IN1697" s="90"/>
      <c r="IO1697" s="90"/>
      <c r="IP1697" s="90"/>
      <c r="IQ1697" s="90"/>
      <c r="IR1697" s="90"/>
      <c r="IS1697" s="90"/>
      <c r="IT1697" s="90"/>
      <c r="IU1697" s="90"/>
      <c r="IV1697" s="90"/>
      <c r="IW1697" s="90"/>
      <c r="IX1697" s="90"/>
      <c r="IY1697" s="90"/>
      <c r="IZ1697" s="90"/>
      <c r="JA1697" s="90"/>
      <c r="JB1697" s="90"/>
      <c r="JC1697" s="90"/>
      <c r="JD1697" s="90"/>
      <c r="JE1697" s="90"/>
      <c r="JF1697" s="90"/>
      <c r="JG1697" s="90"/>
      <c r="JH1697" s="90"/>
      <c r="JI1697" s="90"/>
      <c r="JJ1697" s="90"/>
      <c r="JK1697" s="90"/>
      <c r="JL1697" s="90"/>
      <c r="JM1697" s="90"/>
      <c r="JN1697" s="90"/>
      <c r="JO1697" s="90"/>
      <c r="JP1697" s="90"/>
      <c r="JQ1697" s="90"/>
      <c r="JR1697" s="90"/>
      <c r="JS1697" s="90"/>
      <c r="JT1697" s="90"/>
      <c r="JU1697" s="90"/>
      <c r="JV1697" s="90"/>
      <c r="JW1697" s="90"/>
      <c r="JX1697" s="90"/>
      <c r="JY1697" s="90"/>
      <c r="JZ1697" s="90"/>
      <c r="KA1697" s="90"/>
      <c r="KB1697" s="90"/>
      <c r="KC1697" s="90"/>
      <c r="KD1697" s="90"/>
      <c r="KE1697" s="90"/>
      <c r="KF1697" s="90"/>
      <c r="KG1697" s="90"/>
      <c r="KH1697" s="90"/>
      <c r="KI1697" s="90"/>
      <c r="KJ1697" s="90"/>
      <c r="KK1697" s="90"/>
      <c r="KL1697" s="90"/>
      <c r="KM1697" s="90"/>
      <c r="KN1697" s="90"/>
      <c r="KO1697" s="90"/>
      <c r="KP1697" s="90"/>
      <c r="KQ1697" s="90"/>
      <c r="KR1697" s="90"/>
      <c r="KS1697" s="90"/>
      <c r="KT1697" s="90"/>
      <c r="KU1697" s="90"/>
      <c r="KV1697" s="90"/>
      <c r="KW1697" s="90"/>
      <c r="KX1697" s="90"/>
      <c r="KY1697" s="90"/>
      <c r="KZ1697" s="90"/>
      <c r="LA1697" s="90"/>
      <c r="LB1697" s="90"/>
      <c r="LC1697" s="90"/>
      <c r="LD1697" s="90"/>
      <c r="LE1697" s="90"/>
      <c r="LF1697" s="90"/>
      <c r="LG1697" s="90"/>
      <c r="LH1697" s="90"/>
      <c r="LI1697" s="90"/>
      <c r="LJ1697" s="90"/>
      <c r="LK1697" s="90"/>
      <c r="LL1697" s="90"/>
      <c r="LM1697" s="90"/>
      <c r="LN1697" s="90"/>
      <c r="LO1697" s="90"/>
      <c r="LP1697" s="90"/>
      <c r="LQ1697" s="90"/>
      <c r="LR1697" s="90"/>
      <c r="LS1697" s="90"/>
      <c r="LT1697" s="90"/>
      <c r="LU1697" s="90"/>
      <c r="LV1697" s="90"/>
      <c r="LW1697" s="90"/>
      <c r="LX1697" s="90"/>
      <c r="LY1697" s="90"/>
      <c r="LZ1697" s="90"/>
      <c r="MA1697" s="90"/>
      <c r="MB1697" s="90"/>
      <c r="MC1697" s="90"/>
      <c r="MD1697" s="90"/>
      <c r="ME1697" s="90"/>
      <c r="MF1697" s="90"/>
      <c r="MG1697" s="90"/>
      <c r="MH1697" s="90"/>
      <c r="MI1697" s="90"/>
      <c r="MJ1697" s="90"/>
      <c r="MK1697" s="90"/>
      <c r="ML1697" s="90"/>
      <c r="MM1697" s="90"/>
      <c r="MN1697" s="90"/>
      <c r="MO1697" s="90"/>
      <c r="MP1697" s="90"/>
      <c r="MQ1697" s="90"/>
      <c r="MR1697" s="90"/>
      <c r="MS1697" s="90"/>
      <c r="MT1697" s="90"/>
      <c r="MU1697" s="90"/>
      <c r="MV1697" s="90"/>
      <c r="MW1697" s="90"/>
      <c r="MX1697" s="90"/>
      <c r="MY1697" s="90"/>
      <c r="MZ1697" s="90"/>
      <c r="NA1697" s="90"/>
      <c r="NB1697" s="90"/>
      <c r="NC1697" s="90"/>
      <c r="ND1697" s="90"/>
      <c r="NE1697" s="90"/>
      <c r="NF1697" s="90"/>
      <c r="NG1697" s="90"/>
      <c r="NH1697" s="90"/>
      <c r="NI1697" s="90"/>
      <c r="NJ1697" s="90"/>
      <c r="NK1697" s="90"/>
      <c r="NL1697" s="90"/>
      <c r="NM1697" s="90"/>
      <c r="NN1697" s="90"/>
      <c r="NO1697" s="90"/>
      <c r="NP1697" s="90"/>
      <c r="NQ1697" s="90"/>
      <c r="NR1697" s="90"/>
      <c r="NS1697" s="90"/>
      <c r="NT1697" s="90"/>
      <c r="NU1697" s="90"/>
      <c r="NV1697" s="90"/>
      <c r="NW1697" s="90"/>
      <c r="NX1697" s="90"/>
      <c r="NY1697" s="90"/>
      <c r="NZ1697" s="90"/>
      <c r="OA1697" s="90"/>
      <c r="OB1697" s="90"/>
      <c r="OC1697" s="90"/>
      <c r="OD1697" s="90"/>
      <c r="OE1697" s="90"/>
      <c r="OF1697" s="90"/>
      <c r="OG1697" s="90"/>
      <c r="OH1697" s="90"/>
      <c r="OI1697" s="90"/>
      <c r="OJ1697" s="90"/>
      <c r="OK1697" s="90"/>
      <c r="OL1697" s="90"/>
      <c r="OM1697" s="90"/>
      <c r="ON1697" s="90"/>
      <c r="OO1697" s="90"/>
      <c r="OP1697" s="90"/>
      <c r="OQ1697" s="90"/>
      <c r="OR1697" s="90"/>
      <c r="OS1697" s="90"/>
      <c r="OT1697" s="90"/>
      <c r="OU1697" s="90"/>
      <c r="OV1697" s="90"/>
      <c r="OW1697" s="90"/>
      <c r="OX1697" s="90"/>
      <c r="OY1697" s="90"/>
      <c r="OZ1697" s="90"/>
      <c r="PA1697" s="90"/>
      <c r="PB1697" s="90"/>
      <c r="PC1697" s="90"/>
      <c r="PD1697" s="90"/>
      <c r="PE1697" s="90"/>
      <c r="PF1697" s="90"/>
      <c r="PG1697" s="90"/>
      <c r="PH1697" s="90"/>
      <c r="PI1697" s="90"/>
      <c r="PJ1697" s="90"/>
      <c r="PK1697" s="90"/>
      <c r="PL1697" s="90"/>
      <c r="PM1697" s="90"/>
      <c r="PN1697" s="90"/>
      <c r="PO1697" s="90"/>
      <c r="PP1697" s="90"/>
      <c r="PQ1697" s="90"/>
      <c r="PR1697" s="90"/>
      <c r="PS1697" s="90"/>
      <c r="PT1697" s="90"/>
      <c r="PU1697" s="90"/>
      <c r="PV1697" s="90"/>
      <c r="PW1697" s="90"/>
      <c r="PX1697" s="90"/>
      <c r="PY1697" s="90"/>
      <c r="PZ1697" s="90"/>
      <c r="QA1697" s="90"/>
      <c r="QB1697" s="90"/>
      <c r="QC1697" s="90"/>
      <c r="QD1697" s="90"/>
      <c r="QE1697" s="90"/>
      <c r="QF1697" s="90"/>
      <c r="QG1697" s="90"/>
      <c r="QH1697" s="90"/>
      <c r="QI1697" s="90"/>
      <c r="QJ1697" s="90"/>
      <c r="QK1697" s="90"/>
      <c r="QL1697" s="90"/>
      <c r="QM1697" s="90"/>
      <c r="QN1697" s="90"/>
      <c r="QO1697" s="90"/>
      <c r="QP1697" s="90"/>
      <c r="QQ1697" s="90"/>
      <c r="QR1697" s="90"/>
      <c r="QS1697" s="90"/>
      <c r="QT1697" s="90"/>
      <c r="QU1697" s="90"/>
      <c r="QV1697" s="90"/>
      <c r="QW1697" s="90"/>
      <c r="QX1697" s="90"/>
      <c r="QY1697" s="90"/>
      <c r="QZ1697" s="90"/>
      <c r="RA1697" s="90"/>
      <c r="RB1697" s="90"/>
      <c r="RC1697" s="90"/>
      <c r="RD1697" s="90"/>
      <c r="RE1697" s="90"/>
      <c r="RF1697" s="90"/>
      <c r="RG1697" s="90"/>
      <c r="RH1697" s="90"/>
      <c r="RI1697" s="90"/>
      <c r="RJ1697" s="90"/>
      <c r="RK1697" s="90"/>
      <c r="RL1697" s="90"/>
      <c r="RM1697" s="90"/>
      <c r="RN1697" s="90"/>
      <c r="RO1697" s="90"/>
      <c r="RP1697" s="90"/>
      <c r="RQ1697" s="90"/>
      <c r="RR1697" s="90"/>
      <c r="RS1697" s="90"/>
      <c r="RT1697" s="90"/>
      <c r="RU1697" s="90"/>
      <c r="RV1697" s="90"/>
      <c r="RW1697" s="90"/>
      <c r="RX1697" s="90"/>
      <c r="RY1697" s="90"/>
      <c r="RZ1697" s="90"/>
      <c r="SA1697" s="90"/>
      <c r="SB1697" s="90"/>
      <c r="SC1697" s="90"/>
      <c r="SD1697" s="90"/>
      <c r="SE1697" s="90"/>
      <c r="SF1697" s="90"/>
      <c r="SG1697" s="90"/>
      <c r="SH1697" s="90"/>
      <c r="SI1697" s="90"/>
      <c r="SJ1697" s="90"/>
      <c r="SK1697" s="90"/>
      <c r="SL1697" s="90"/>
      <c r="SM1697" s="90"/>
      <c r="SN1697" s="90"/>
      <c r="SO1697" s="90"/>
      <c r="SP1697" s="90"/>
      <c r="SQ1697" s="90"/>
      <c r="SR1697" s="90"/>
      <c r="SS1697" s="90"/>
      <c r="ST1697" s="90"/>
      <c r="SU1697" s="90"/>
      <c r="SV1697" s="90"/>
      <c r="SW1697" s="90"/>
      <c r="SX1697" s="90"/>
      <c r="SY1697" s="90"/>
      <c r="SZ1697" s="90"/>
      <c r="TA1697" s="90"/>
      <c r="TB1697" s="90"/>
      <c r="TC1697" s="90"/>
      <c r="TD1697" s="90"/>
      <c r="TE1697" s="90"/>
      <c r="TF1697" s="90"/>
      <c r="TG1697" s="90"/>
      <c r="TH1697" s="90"/>
      <c r="TI1697" s="90"/>
      <c r="TJ1697" s="90"/>
      <c r="TK1697" s="90"/>
      <c r="TL1697" s="90"/>
      <c r="TM1697" s="90"/>
      <c r="TN1697" s="90"/>
      <c r="TO1697" s="90"/>
      <c r="TP1697" s="90"/>
      <c r="TQ1697" s="90"/>
      <c r="TR1697" s="90"/>
      <c r="TS1697" s="90"/>
      <c r="TT1697" s="90"/>
      <c r="TU1697" s="90"/>
      <c r="TV1697" s="90"/>
      <c r="TW1697" s="90"/>
      <c r="TX1697" s="90"/>
      <c r="TY1697" s="90"/>
      <c r="TZ1697" s="90"/>
      <c r="UA1697" s="90"/>
      <c r="UB1697" s="90"/>
      <c r="UC1697" s="90"/>
      <c r="UD1697" s="90"/>
      <c r="UE1697" s="90"/>
      <c r="UF1697" s="90"/>
      <c r="UG1697" s="90"/>
      <c r="UH1697" s="90"/>
      <c r="UI1697" s="90"/>
      <c r="UJ1697" s="90"/>
      <c r="UK1697" s="90"/>
      <c r="UL1697" s="90"/>
      <c r="UM1697" s="90"/>
      <c r="UN1697" s="90"/>
      <c r="UO1697" s="90"/>
      <c r="UP1697" s="90"/>
      <c r="UQ1697" s="90"/>
      <c r="UR1697" s="90"/>
      <c r="US1697" s="90"/>
      <c r="UT1697" s="90"/>
      <c r="UU1697" s="90"/>
      <c r="UV1697" s="90"/>
      <c r="UW1697" s="90"/>
      <c r="UX1697" s="90"/>
      <c r="UY1697" s="90"/>
      <c r="UZ1697" s="90"/>
      <c r="VA1697" s="90"/>
      <c r="VB1697" s="90"/>
      <c r="VC1697" s="90"/>
      <c r="VD1697" s="90"/>
      <c r="VE1697" s="90"/>
      <c r="VF1697" s="90"/>
      <c r="VG1697" s="90"/>
      <c r="VH1697" s="90"/>
      <c r="VI1697" s="90"/>
      <c r="VJ1697" s="90"/>
      <c r="VK1697" s="90"/>
      <c r="VL1697" s="90"/>
      <c r="VM1697" s="90"/>
      <c r="VN1697" s="90"/>
      <c r="VO1697" s="90"/>
      <c r="VP1697" s="90"/>
      <c r="VQ1697" s="90"/>
      <c r="VR1697" s="90"/>
      <c r="VS1697" s="90"/>
      <c r="VT1697" s="90"/>
      <c r="VU1697" s="90"/>
      <c r="VV1697" s="90"/>
      <c r="VW1697" s="90"/>
      <c r="VX1697" s="90"/>
      <c r="VY1697" s="90"/>
      <c r="VZ1697" s="90"/>
      <c r="WA1697" s="90"/>
      <c r="WB1697" s="90"/>
      <c r="WC1697" s="90"/>
      <c r="WD1697" s="90"/>
      <c r="WE1697" s="90"/>
      <c r="WF1697" s="90"/>
      <c r="WG1697" s="90"/>
      <c r="WH1697" s="90"/>
      <c r="WI1697" s="90"/>
      <c r="WJ1697" s="90"/>
      <c r="WK1697" s="90"/>
      <c r="WL1697" s="90"/>
      <c r="WM1697" s="90"/>
      <c r="WN1697" s="90"/>
      <c r="WO1697" s="90"/>
      <c r="WP1697" s="90"/>
      <c r="WQ1697" s="90"/>
      <c r="WR1697" s="90"/>
      <c r="WS1697" s="90"/>
      <c r="WT1697" s="90"/>
      <c r="WU1697" s="90"/>
      <c r="WV1697" s="90"/>
      <c r="WW1697" s="90"/>
      <c r="WX1697" s="90"/>
      <c r="WY1697" s="90"/>
      <c r="WZ1697" s="90"/>
      <c r="XA1697" s="90"/>
      <c r="XB1697" s="90"/>
      <c r="XC1697" s="90"/>
      <c r="XD1697" s="90"/>
      <c r="XE1697" s="90"/>
      <c r="XF1697" s="90"/>
      <c r="XG1697" s="90"/>
      <c r="XH1697" s="90"/>
      <c r="XI1697" s="90"/>
      <c r="XJ1697" s="90"/>
      <c r="XK1697" s="90"/>
      <c r="XL1697" s="90"/>
      <c r="XM1697" s="90"/>
      <c r="XN1697" s="90"/>
      <c r="XO1697" s="90"/>
      <c r="XP1697" s="90"/>
      <c r="XQ1697" s="90"/>
      <c r="XR1697" s="90"/>
      <c r="XS1697" s="90"/>
      <c r="XT1697" s="90"/>
      <c r="XU1697" s="90"/>
      <c r="XV1697" s="90"/>
      <c r="XW1697" s="90"/>
      <c r="XX1697" s="90"/>
      <c r="XY1697" s="90"/>
      <c r="XZ1697" s="90"/>
      <c r="YA1697" s="90"/>
      <c r="YB1697" s="90"/>
      <c r="YC1697" s="90"/>
      <c r="YD1697" s="90"/>
      <c r="YE1697" s="90"/>
      <c r="YF1697" s="90"/>
      <c r="YG1697" s="90"/>
      <c r="YH1697" s="90"/>
      <c r="YI1697" s="90"/>
      <c r="YJ1697" s="90"/>
      <c r="YK1697" s="90"/>
      <c r="YL1697" s="90"/>
      <c r="YM1697" s="90"/>
      <c r="YN1697" s="90"/>
      <c r="YO1697" s="90"/>
      <c r="YP1697" s="90"/>
      <c r="YQ1697" s="90"/>
      <c r="YR1697" s="90"/>
      <c r="YS1697" s="90"/>
      <c r="YT1697" s="90"/>
      <c r="YU1697" s="90"/>
      <c r="YV1697" s="90"/>
      <c r="YW1697" s="90"/>
      <c r="YX1697" s="90"/>
      <c r="YY1697" s="90"/>
      <c r="YZ1697" s="90"/>
      <c r="ZA1697" s="90"/>
      <c r="ZB1697" s="90"/>
      <c r="ZC1697" s="90"/>
      <c r="ZD1697" s="90"/>
      <c r="ZE1697" s="90"/>
      <c r="ZF1697" s="90"/>
      <c r="ZG1697" s="90"/>
      <c r="ZH1697" s="90"/>
      <c r="ZI1697" s="90"/>
      <c r="ZJ1697" s="90"/>
      <c r="ZK1697" s="90"/>
      <c r="ZL1697" s="90"/>
      <c r="ZM1697" s="90"/>
      <c r="ZN1697" s="90"/>
      <c r="ZO1697" s="90"/>
      <c r="ZP1697" s="90"/>
      <c r="ZQ1697" s="90"/>
      <c r="ZR1697" s="90"/>
      <c r="ZS1697" s="90"/>
      <c r="ZT1697" s="90"/>
      <c r="ZU1697" s="90"/>
      <c r="ZV1697" s="90"/>
      <c r="ZW1697" s="90"/>
      <c r="ZX1697" s="90"/>
      <c r="ZY1697" s="90"/>
      <c r="ZZ1697" s="90"/>
      <c r="AAA1697" s="90"/>
      <c r="AAB1697" s="90"/>
      <c r="AAC1697" s="90"/>
      <c r="AAD1697" s="90"/>
      <c r="AAE1697" s="90"/>
      <c r="AAF1697" s="90"/>
      <c r="AAG1697" s="90"/>
      <c r="AAH1697" s="90"/>
      <c r="AAI1697" s="90"/>
      <c r="AAJ1697" s="90"/>
      <c r="AAK1697" s="90"/>
      <c r="AAL1697" s="90"/>
      <c r="AAM1697" s="90"/>
      <c r="AAN1697" s="90"/>
      <c r="AAO1697" s="90"/>
      <c r="AAP1697" s="90"/>
      <c r="AAQ1697" s="90"/>
      <c r="AAR1697" s="90"/>
      <c r="AAS1697" s="90"/>
      <c r="AAT1697" s="90"/>
      <c r="AAU1697" s="90"/>
      <c r="AAV1697" s="90"/>
      <c r="AAW1697" s="90"/>
      <c r="AAX1697" s="90"/>
      <c r="AAY1697" s="90"/>
      <c r="AAZ1697" s="90"/>
      <c r="ABA1697" s="90"/>
      <c r="ABB1697" s="90"/>
      <c r="ABC1697" s="90"/>
      <c r="ABD1697" s="90"/>
      <c r="ABE1697" s="90"/>
      <c r="ABF1697" s="90"/>
      <c r="ABG1697" s="90"/>
      <c r="ABH1697" s="90"/>
      <c r="ABI1697" s="90"/>
      <c r="ABJ1697" s="90"/>
      <c r="ABK1697" s="90"/>
      <c r="ABL1697" s="90"/>
      <c r="ABM1697" s="90"/>
      <c r="ABN1697" s="90"/>
      <c r="ABO1697" s="90"/>
      <c r="ABP1697" s="90"/>
      <c r="ABQ1697" s="90"/>
      <c r="ABR1697" s="90"/>
      <c r="ABS1697" s="90"/>
      <c r="ABT1697" s="90"/>
      <c r="ABU1697" s="90"/>
      <c r="ABV1697" s="90"/>
      <c r="ABW1697" s="90"/>
      <c r="ABX1697" s="90"/>
      <c r="ABY1697" s="90"/>
      <c r="ABZ1697" s="90"/>
      <c r="ACA1697" s="90"/>
      <c r="ACB1697" s="90"/>
      <c r="ACC1697" s="90"/>
      <c r="ACD1697" s="90"/>
      <c r="ACE1697" s="90"/>
      <c r="ACF1697" s="90"/>
      <c r="ACG1697" s="90"/>
      <c r="ACH1697" s="90"/>
      <c r="ACI1697" s="90"/>
      <c r="ACJ1697" s="90"/>
      <c r="ACK1697" s="90"/>
      <c r="ACL1697" s="90"/>
      <c r="ACM1697" s="90"/>
      <c r="ACN1697" s="90"/>
      <c r="ACO1697" s="90"/>
      <c r="ACP1697" s="90"/>
      <c r="ACQ1697" s="90"/>
      <c r="ACR1697" s="90"/>
      <c r="ACS1697" s="90"/>
      <c r="ACT1697" s="90"/>
      <c r="ACU1697" s="90"/>
      <c r="ACV1697" s="90"/>
      <c r="ACW1697" s="90"/>
      <c r="ACX1697" s="90"/>
      <c r="ACY1697" s="90"/>
      <c r="ACZ1697" s="90"/>
      <c r="ADA1697" s="90"/>
      <c r="ADB1697" s="90"/>
      <c r="ADC1697" s="90"/>
      <c r="ADD1697" s="90"/>
      <c r="ADE1697" s="90"/>
      <c r="ADF1697" s="90"/>
      <c r="ADG1697" s="90"/>
      <c r="ADH1697" s="90"/>
      <c r="ADI1697" s="90"/>
      <c r="ADJ1697" s="90"/>
      <c r="ADK1697" s="90"/>
      <c r="ADL1697" s="90"/>
      <c r="ADM1697" s="90"/>
      <c r="ADN1697" s="90"/>
      <c r="ADO1697" s="90"/>
      <c r="ADP1697" s="90"/>
      <c r="ADQ1697" s="90"/>
      <c r="ADR1697" s="90"/>
      <c r="ADS1697" s="90"/>
      <c r="ADT1697" s="90"/>
      <c r="ADU1697" s="90"/>
      <c r="ADV1697" s="90"/>
      <c r="ADW1697" s="90"/>
      <c r="ADX1697" s="90"/>
      <c r="ADY1697" s="90"/>
      <c r="ADZ1697" s="90"/>
      <c r="AEA1697" s="90"/>
      <c r="AEB1697" s="90"/>
      <c r="AEC1697" s="90"/>
      <c r="AED1697" s="90"/>
      <c r="AEE1697" s="90"/>
      <c r="AEF1697" s="90"/>
      <c r="AEG1697" s="90"/>
      <c r="AEH1697" s="90"/>
      <c r="AEI1697" s="90"/>
      <c r="AEJ1697" s="90"/>
      <c r="AEK1697" s="90"/>
      <c r="AEL1697" s="90"/>
      <c r="AEM1697" s="90"/>
      <c r="AEN1697" s="90"/>
      <c r="AEO1697" s="90"/>
      <c r="AEP1697" s="90"/>
      <c r="AEQ1697" s="90"/>
      <c r="AER1697" s="90"/>
      <c r="AES1697" s="90"/>
      <c r="AET1697" s="90"/>
      <c r="AEU1697" s="90"/>
      <c r="AEV1697" s="90"/>
      <c r="AEW1697" s="90"/>
      <c r="AEX1697" s="90"/>
      <c r="AEY1697" s="90"/>
      <c r="AEZ1697" s="90"/>
      <c r="AFA1697" s="90"/>
      <c r="AFB1697" s="90"/>
      <c r="AFC1697" s="90"/>
      <c r="AFD1697" s="90"/>
      <c r="AFE1697" s="90"/>
      <c r="AFF1697" s="90"/>
      <c r="AFG1697" s="90"/>
      <c r="AFH1697" s="90"/>
      <c r="AFI1697" s="90"/>
      <c r="AFJ1697" s="90"/>
      <c r="AFK1697" s="90"/>
      <c r="AFL1697" s="90"/>
      <c r="AFM1697" s="90"/>
      <c r="AFN1697" s="90"/>
      <c r="AFO1697" s="90"/>
      <c r="AFP1697" s="90"/>
      <c r="AFQ1697" s="90"/>
      <c r="AFR1697" s="90"/>
      <c r="AFS1697" s="90"/>
      <c r="AFT1697" s="90"/>
      <c r="AFU1697" s="90"/>
      <c r="AFV1697" s="90"/>
      <c r="AFW1697" s="90"/>
      <c r="AFX1697" s="90"/>
      <c r="AFY1697" s="90"/>
      <c r="AFZ1697" s="90"/>
      <c r="AGA1697" s="90"/>
      <c r="AGB1697" s="90"/>
      <c r="AGC1697" s="90"/>
      <c r="AGD1697" s="90"/>
      <c r="AGE1697" s="90"/>
      <c r="AGF1697" s="90"/>
      <c r="AGG1697" s="90"/>
      <c r="AGH1697" s="90"/>
      <c r="AGI1697" s="90"/>
      <c r="AGJ1697" s="90"/>
      <c r="AGK1697" s="90"/>
      <c r="AGL1697" s="90"/>
      <c r="AGM1697" s="90"/>
      <c r="AGN1697" s="90"/>
      <c r="AGO1697" s="90"/>
      <c r="AGP1697" s="90"/>
      <c r="AGQ1697" s="90"/>
      <c r="AGR1697" s="90"/>
      <c r="AGS1697" s="90"/>
      <c r="AGT1697" s="90"/>
      <c r="AGU1697" s="90"/>
      <c r="AGV1697" s="90"/>
      <c r="AGW1697" s="90"/>
      <c r="AGX1697" s="90"/>
      <c r="AGY1697" s="90"/>
      <c r="AGZ1697" s="90"/>
      <c r="AHA1697" s="90"/>
      <c r="AHB1697" s="90"/>
      <c r="AHC1697" s="90"/>
      <c r="AHD1697" s="90"/>
      <c r="AHE1697" s="90"/>
      <c r="AHF1697" s="90"/>
      <c r="AHG1697" s="90"/>
      <c r="AHH1697" s="90"/>
      <c r="AHI1697" s="90"/>
      <c r="AHJ1697" s="90"/>
      <c r="AHK1697" s="90"/>
      <c r="AHL1697" s="90"/>
      <c r="AHM1697" s="90"/>
      <c r="AHN1697" s="90"/>
      <c r="AHO1697" s="90"/>
      <c r="AHP1697" s="90"/>
      <c r="AHQ1697" s="90"/>
      <c r="AHR1697" s="90"/>
      <c r="AHS1697" s="90"/>
      <c r="AHT1697" s="90"/>
      <c r="AHU1697" s="90"/>
      <c r="AHV1697" s="90"/>
      <c r="AHW1697" s="90"/>
      <c r="AHX1697" s="90"/>
      <c r="AHY1697" s="90"/>
      <c r="AHZ1697" s="90"/>
      <c r="AIA1697" s="90"/>
      <c r="AIB1697" s="90"/>
      <c r="AIC1697" s="90"/>
      <c r="AID1697" s="90"/>
      <c r="AIE1697" s="90"/>
      <c r="AIF1697" s="90"/>
      <c r="AIG1697" s="90"/>
      <c r="AIH1697" s="90"/>
      <c r="AII1697" s="90"/>
      <c r="AIJ1697" s="90"/>
      <c r="AIK1697" s="90"/>
      <c r="AIL1697" s="90"/>
      <c r="AIM1697" s="90"/>
      <c r="AIN1697" s="90"/>
      <c r="AIO1697" s="90"/>
      <c r="AIP1697" s="90"/>
      <c r="AIQ1697" s="90"/>
      <c r="AIR1697" s="90"/>
      <c r="AIS1697" s="90"/>
      <c r="AIT1697" s="90"/>
      <c r="AIU1697" s="90"/>
      <c r="AIV1697" s="90"/>
      <c r="AIW1697" s="90"/>
      <c r="AIX1697" s="90"/>
      <c r="AIY1697" s="90"/>
      <c r="AIZ1697" s="90"/>
      <c r="AJA1697" s="90"/>
      <c r="AJB1697" s="90"/>
      <c r="AJC1697" s="90"/>
      <c r="AJD1697" s="90"/>
      <c r="AJE1697" s="90"/>
      <c r="AJF1697" s="90"/>
      <c r="AJG1697" s="90"/>
      <c r="AJH1697" s="90"/>
      <c r="AJI1697" s="90"/>
      <c r="AJJ1697" s="90"/>
      <c r="AJK1697" s="90"/>
      <c r="AJL1697" s="90"/>
      <c r="AJM1697" s="90"/>
      <c r="AJN1697" s="90"/>
      <c r="AJO1697" s="90"/>
      <c r="AJP1697" s="90"/>
      <c r="AJQ1697" s="90"/>
      <c r="AJR1697" s="90"/>
      <c r="AJS1697" s="90"/>
      <c r="AJT1697" s="90"/>
      <c r="AJU1697" s="90"/>
      <c r="AJV1697" s="90"/>
      <c r="AJW1697" s="90"/>
      <c r="AJX1697" s="90"/>
      <c r="AJY1697" s="90"/>
      <c r="AJZ1697" s="90"/>
      <c r="AKA1697" s="90"/>
      <c r="AKB1697" s="90"/>
      <c r="AKC1697" s="90"/>
      <c r="AKD1697" s="90"/>
      <c r="AKE1697" s="90"/>
      <c r="AKF1697" s="90"/>
      <c r="AKG1697" s="90"/>
      <c r="AKH1697" s="90"/>
      <c r="AKI1697" s="90"/>
      <c r="AKJ1697" s="90"/>
      <c r="AKK1697" s="90"/>
      <c r="AKL1697" s="90"/>
      <c r="AKM1697" s="90"/>
      <c r="AKN1697" s="90"/>
      <c r="AKO1697" s="90"/>
      <c r="AKP1697" s="90"/>
      <c r="AKQ1697" s="90"/>
      <c r="AKR1697" s="90"/>
      <c r="AKS1697" s="90"/>
      <c r="AKT1697" s="90"/>
      <c r="AKU1697" s="90"/>
      <c r="AKV1697" s="90"/>
      <c r="AKW1697" s="90"/>
      <c r="AKX1697" s="90"/>
      <c r="AKY1697" s="90"/>
      <c r="AKZ1697" s="90"/>
      <c r="ALA1697" s="90"/>
      <c r="ALB1697" s="90"/>
      <c r="ALC1697" s="90"/>
      <c r="ALD1697" s="90"/>
      <c r="ALE1697" s="90"/>
      <c r="ALF1697" s="90"/>
      <c r="ALG1697" s="90"/>
      <c r="ALH1697" s="90"/>
      <c r="ALI1697" s="90"/>
      <c r="ALJ1697" s="90"/>
      <c r="ALK1697" s="90"/>
      <c r="ALL1697" s="90"/>
      <c r="ALM1697" s="90"/>
      <c r="ALN1697" s="90"/>
      <c r="ALO1697" s="90"/>
      <c r="ALP1697" s="90"/>
      <c r="ALQ1697" s="90"/>
      <c r="ALR1697" s="90"/>
      <c r="ALS1697" s="90"/>
      <c r="ALT1697" s="90"/>
      <c r="ALU1697" s="90"/>
      <c r="ALV1697" s="90"/>
      <c r="ALW1697" s="90"/>
      <c r="ALX1697" s="90"/>
      <c r="ALY1697" s="90"/>
      <c r="ALZ1697" s="90"/>
      <c r="AMA1697" s="90"/>
      <c r="AMB1697" s="90"/>
      <c r="AMC1697" s="90"/>
      <c r="AMD1697" s="90"/>
      <c r="AME1697" s="90"/>
      <c r="AMF1697" s="90"/>
      <c r="AMG1697" s="90"/>
      <c r="AMH1697" s="90"/>
      <c r="AMI1697" s="90"/>
      <c r="AMJ1697" s="90"/>
      <c r="AMK1697" s="90"/>
      <c r="AML1697" s="90"/>
      <c r="AMM1697" s="90"/>
      <c r="AMN1697" s="90"/>
      <c r="AMO1697" s="90"/>
      <c r="AMP1697" s="90"/>
      <c r="AMQ1697" s="90"/>
      <c r="AMR1697" s="90"/>
      <c r="AMS1697" s="90"/>
      <c r="AMT1697" s="90"/>
      <c r="AMU1697" s="90"/>
      <c r="AMV1697" s="90"/>
      <c r="AMW1697" s="90"/>
      <c r="AMX1697" s="90"/>
      <c r="AMY1697" s="90"/>
      <c r="AMZ1697" s="90"/>
      <c r="ANA1697" s="90"/>
      <c r="ANB1697" s="90"/>
      <c r="ANC1697" s="90"/>
      <c r="AND1697" s="90"/>
      <c r="ANE1697" s="90"/>
      <c r="ANF1697" s="90"/>
      <c r="ANG1697" s="90"/>
      <c r="ANH1697" s="90"/>
      <c r="ANI1697" s="90"/>
      <c r="ANJ1697" s="90"/>
      <c r="ANK1697" s="90"/>
      <c r="ANL1697" s="90"/>
      <c r="ANM1697" s="90"/>
      <c r="ANN1697" s="90"/>
      <c r="ANO1697" s="90"/>
      <c r="ANP1697" s="90"/>
      <c r="ANQ1697" s="90"/>
      <c r="ANR1697" s="90"/>
      <c r="ANS1697" s="90"/>
      <c r="ANT1697" s="90"/>
      <c r="ANU1697" s="90"/>
      <c r="ANV1697" s="90"/>
      <c r="ANW1697" s="90"/>
      <c r="ANX1697" s="90"/>
      <c r="ANY1697" s="90"/>
      <c r="ANZ1697" s="90"/>
      <c r="AOA1697" s="90"/>
      <c r="AOB1697" s="90"/>
      <c r="AOC1697" s="90"/>
      <c r="AOD1697" s="90"/>
      <c r="AOE1697" s="90"/>
      <c r="AOF1697" s="90"/>
      <c r="AOG1697" s="90"/>
      <c r="AOH1697" s="90"/>
      <c r="AOI1697" s="90"/>
      <c r="AOJ1697" s="90"/>
      <c r="AOK1697" s="90"/>
      <c r="AOL1697" s="90"/>
      <c r="AOM1697" s="90"/>
      <c r="AON1697" s="90"/>
      <c r="AOO1697" s="90"/>
      <c r="AOP1697" s="90"/>
      <c r="AOQ1697" s="90"/>
      <c r="AOR1697" s="90"/>
      <c r="AOS1697" s="90"/>
      <c r="AOT1697" s="90"/>
      <c r="AOU1697" s="90"/>
      <c r="AOV1697" s="90"/>
      <c r="AOW1697" s="90"/>
      <c r="AOX1697" s="90"/>
      <c r="AOY1697" s="90"/>
      <c r="AOZ1697" s="90"/>
      <c r="APA1697" s="90"/>
      <c r="APB1697" s="90"/>
      <c r="APC1697" s="90"/>
      <c r="APD1697" s="90"/>
      <c r="APE1697" s="90"/>
      <c r="APF1697" s="90"/>
      <c r="APG1697" s="90"/>
      <c r="APH1697" s="90"/>
      <c r="API1697" s="90"/>
      <c r="APJ1697" s="90"/>
      <c r="APK1697" s="90"/>
      <c r="APL1697" s="90"/>
      <c r="APM1697" s="90"/>
      <c r="APN1697" s="90"/>
      <c r="APO1697" s="90"/>
      <c r="APP1697" s="90"/>
      <c r="APQ1697" s="90"/>
      <c r="APR1697" s="90"/>
      <c r="APS1697" s="90"/>
      <c r="APT1697" s="90"/>
      <c r="APU1697" s="90"/>
      <c r="APV1697" s="90"/>
      <c r="APW1697" s="90"/>
      <c r="APX1697" s="90"/>
      <c r="APY1697" s="90"/>
      <c r="APZ1697" s="90"/>
      <c r="AQA1697" s="90"/>
      <c r="AQB1697" s="90"/>
      <c r="AQC1697" s="90"/>
      <c r="AQD1697" s="90"/>
      <c r="AQE1697" s="90"/>
      <c r="AQF1697" s="90"/>
      <c r="AQG1697" s="90"/>
      <c r="AQH1697" s="90"/>
      <c r="AQI1697" s="90"/>
      <c r="AQJ1697" s="90"/>
      <c r="AQK1697" s="90"/>
      <c r="AQL1697" s="90"/>
      <c r="AQM1697" s="90"/>
      <c r="AQN1697" s="90"/>
      <c r="AQO1697" s="90"/>
      <c r="AQP1697" s="90"/>
      <c r="AQQ1697" s="90"/>
      <c r="AQR1697" s="90"/>
      <c r="AQS1697" s="90"/>
      <c r="AQT1697" s="90"/>
      <c r="AQU1697" s="90"/>
      <c r="AQV1697" s="90"/>
      <c r="AQW1697" s="90"/>
      <c r="AQX1697" s="90"/>
      <c r="AQY1697" s="90"/>
      <c r="AQZ1697" s="90"/>
      <c r="ARA1697" s="90"/>
      <c r="ARB1697" s="90"/>
      <c r="ARC1697" s="90"/>
      <c r="ARD1697" s="90"/>
      <c r="ARE1697" s="90"/>
      <c r="ARF1697" s="90"/>
      <c r="ARG1697" s="90"/>
      <c r="ARH1697" s="90"/>
      <c r="ARI1697" s="90"/>
      <c r="ARJ1697" s="90"/>
      <c r="ARK1697" s="90"/>
      <c r="ARL1697" s="90"/>
      <c r="ARM1697" s="90"/>
      <c r="ARN1697" s="90"/>
      <c r="ARO1697" s="90"/>
      <c r="ARP1697" s="90"/>
      <c r="ARQ1697" s="90"/>
      <c r="ARR1697" s="90"/>
      <c r="ARS1697" s="90"/>
      <c r="ART1697" s="90"/>
      <c r="ARU1697" s="90"/>
      <c r="ARV1697" s="90"/>
      <c r="ARW1697" s="90"/>
      <c r="ARX1697" s="90"/>
      <c r="ARY1697" s="90"/>
      <c r="ARZ1697" s="90"/>
      <c r="ASA1697" s="90"/>
      <c r="ASB1697" s="90"/>
      <c r="ASC1697" s="90"/>
      <c r="ASD1697" s="90"/>
      <c r="ASE1697" s="90"/>
      <c r="ASF1697" s="90"/>
      <c r="ASG1697" s="90"/>
      <c r="ASH1697" s="90"/>
      <c r="ASI1697" s="90"/>
      <c r="ASJ1697" s="90"/>
      <c r="ASK1697" s="90"/>
      <c r="ASL1697" s="90"/>
      <c r="ASM1697" s="90"/>
      <c r="ASN1697" s="90"/>
      <c r="ASO1697" s="90"/>
      <c r="ASP1697" s="90"/>
      <c r="ASQ1697" s="90"/>
      <c r="ASR1697" s="90"/>
      <c r="ASS1697" s="90"/>
      <c r="AST1697" s="90"/>
      <c r="ASU1697" s="90"/>
      <c r="ASV1697" s="90"/>
      <c r="ASW1697" s="90"/>
      <c r="ASX1697" s="90"/>
      <c r="ASY1697" s="90"/>
      <c r="ASZ1697" s="90"/>
      <c r="ATA1697" s="90"/>
      <c r="ATB1697" s="90"/>
      <c r="ATC1697" s="90"/>
      <c r="ATD1697" s="90"/>
      <c r="ATE1697" s="90"/>
      <c r="ATF1697" s="90"/>
      <c r="ATG1697" s="90"/>
      <c r="ATH1697" s="90"/>
      <c r="ATI1697" s="90"/>
      <c r="ATJ1697" s="90"/>
      <c r="ATK1697" s="90"/>
      <c r="ATL1697" s="90"/>
      <c r="ATM1697" s="90"/>
      <c r="ATN1697" s="90"/>
      <c r="ATO1697" s="90"/>
      <c r="ATP1697" s="90"/>
      <c r="ATQ1697" s="90"/>
      <c r="ATR1697" s="90"/>
      <c r="ATS1697" s="90"/>
      <c r="ATT1697" s="90"/>
      <c r="ATU1697" s="90"/>
      <c r="ATV1697" s="90"/>
      <c r="ATW1697" s="90"/>
      <c r="ATX1697" s="90"/>
      <c r="ATY1697" s="90"/>
      <c r="ATZ1697" s="90"/>
      <c r="AUA1697" s="90"/>
      <c r="AUB1697" s="90"/>
      <c r="AUC1697" s="90"/>
      <c r="AUD1697" s="90"/>
      <c r="AUE1697" s="90"/>
      <c r="AUF1697" s="90"/>
      <c r="AUG1697" s="90"/>
      <c r="AUH1697" s="90"/>
      <c r="AUI1697" s="90"/>
      <c r="AUJ1697" s="90"/>
      <c r="AUK1697" s="90"/>
      <c r="AUL1697" s="90"/>
      <c r="AUM1697" s="90"/>
      <c r="AUN1697" s="90"/>
      <c r="AUO1697" s="90"/>
      <c r="AUP1697" s="90"/>
      <c r="AUQ1697" s="90"/>
      <c r="AUR1697" s="90"/>
      <c r="AUS1697" s="90"/>
      <c r="AUT1697" s="90"/>
      <c r="AUU1697" s="90"/>
      <c r="AUV1697" s="90"/>
      <c r="AUW1697" s="90"/>
      <c r="AUX1697" s="90"/>
      <c r="AUY1697" s="90"/>
      <c r="AUZ1697" s="90"/>
      <c r="AVA1697" s="90"/>
      <c r="AVB1697" s="90"/>
      <c r="AVC1697" s="90"/>
      <c r="AVD1697" s="90"/>
      <c r="AVE1697" s="90"/>
      <c r="AVF1697" s="90"/>
      <c r="AVG1697" s="90"/>
      <c r="AVH1697" s="90"/>
      <c r="AVI1697" s="90"/>
      <c r="AVJ1697" s="90"/>
      <c r="AVK1697" s="90"/>
      <c r="AVL1697" s="90"/>
      <c r="AVM1697" s="90"/>
      <c r="AVN1697" s="90"/>
      <c r="AVO1697" s="90"/>
      <c r="AVP1697" s="90"/>
      <c r="AVQ1697" s="90"/>
      <c r="AVR1697" s="90"/>
      <c r="AVS1697" s="90"/>
      <c r="AVT1697" s="90"/>
      <c r="AVU1697" s="90"/>
      <c r="AVV1697" s="90"/>
      <c r="AVW1697" s="90"/>
      <c r="AVX1697" s="90"/>
      <c r="AVY1697" s="90"/>
      <c r="AVZ1697" s="90"/>
      <c r="AWA1697" s="90"/>
      <c r="AWB1697" s="90"/>
      <c r="AWC1697" s="90"/>
      <c r="AWD1697" s="90"/>
      <c r="AWE1697" s="90"/>
      <c r="AWF1697" s="90"/>
      <c r="AWG1697" s="90"/>
      <c r="AWH1697" s="90"/>
      <c r="AWI1697" s="90"/>
      <c r="AWJ1697" s="90"/>
      <c r="AWK1697" s="90"/>
      <c r="AWL1697" s="90"/>
      <c r="AWM1697" s="90"/>
      <c r="AWN1697" s="90"/>
      <c r="AWO1697" s="90"/>
      <c r="AWP1697" s="90"/>
      <c r="AWQ1697" s="90"/>
      <c r="AWR1697" s="90"/>
      <c r="AWS1697" s="90"/>
      <c r="AWT1697" s="90"/>
      <c r="AWU1697" s="90"/>
      <c r="AWV1697" s="90"/>
      <c r="AWW1697" s="90"/>
      <c r="AWX1697" s="90"/>
      <c r="AWY1697" s="90"/>
      <c r="AWZ1697" s="90"/>
      <c r="AXA1697" s="90"/>
      <c r="AXB1697" s="90"/>
      <c r="AXC1697" s="90"/>
      <c r="AXD1697" s="90"/>
      <c r="AXE1697" s="90"/>
      <c r="AXF1697" s="90"/>
      <c r="AXG1697" s="90"/>
      <c r="AXH1697" s="90"/>
      <c r="AXI1697" s="90"/>
      <c r="AXJ1697" s="90"/>
      <c r="AXK1697" s="90"/>
      <c r="AXL1697" s="90"/>
      <c r="AXM1697" s="90"/>
      <c r="AXN1697" s="90"/>
      <c r="AXO1697" s="90"/>
      <c r="AXP1697" s="90"/>
      <c r="AXQ1697" s="90"/>
      <c r="AXR1697" s="90"/>
      <c r="AXS1697" s="90"/>
      <c r="AXT1697" s="90"/>
      <c r="AXU1697" s="90"/>
      <c r="AXV1697" s="90"/>
      <c r="AXW1697" s="90"/>
      <c r="AXX1697" s="90"/>
      <c r="AXY1697" s="90"/>
      <c r="AXZ1697" s="90"/>
      <c r="AYA1697" s="90"/>
      <c r="AYB1697" s="90"/>
      <c r="AYC1697" s="90"/>
      <c r="AYD1697" s="90"/>
      <c r="AYE1697" s="90"/>
      <c r="AYF1697" s="90"/>
      <c r="AYG1697" s="90"/>
      <c r="AYH1697" s="90"/>
      <c r="AYI1697" s="90"/>
      <c r="AYJ1697" s="90"/>
      <c r="AYK1697" s="90"/>
      <c r="AYL1697" s="90"/>
      <c r="AYM1697" s="90"/>
      <c r="AYN1697" s="90"/>
      <c r="AYO1697" s="90"/>
      <c r="AYP1697" s="90"/>
      <c r="AYQ1697" s="90"/>
      <c r="AYR1697" s="90"/>
      <c r="AYS1697" s="90"/>
      <c r="AYT1697" s="90"/>
      <c r="AYU1697" s="90"/>
      <c r="AYV1697" s="90"/>
      <c r="AYW1697" s="90"/>
      <c r="AYX1697" s="90"/>
      <c r="AYY1697" s="90"/>
      <c r="AYZ1697" s="90"/>
      <c r="AZA1697" s="90"/>
      <c r="AZB1697" s="90"/>
      <c r="AZC1697" s="90"/>
      <c r="AZD1697" s="90"/>
      <c r="AZE1697" s="90"/>
      <c r="AZF1697" s="90"/>
      <c r="AZG1697" s="90"/>
      <c r="AZH1697" s="90"/>
      <c r="AZI1697" s="90"/>
      <c r="AZJ1697" s="90"/>
      <c r="AZK1697" s="90"/>
      <c r="AZL1697" s="90"/>
      <c r="AZM1697" s="90"/>
      <c r="AZN1697" s="90"/>
      <c r="AZO1697" s="90"/>
      <c r="AZP1697" s="90"/>
      <c r="AZQ1697" s="90"/>
      <c r="AZR1697" s="90"/>
      <c r="AZS1697" s="90"/>
      <c r="AZT1697" s="90"/>
      <c r="AZU1697" s="90"/>
      <c r="AZV1697" s="90"/>
      <c r="AZW1697" s="90"/>
      <c r="AZX1697" s="90"/>
      <c r="AZY1697" s="90"/>
      <c r="AZZ1697" s="90"/>
      <c r="BAA1697" s="90"/>
      <c r="BAB1697" s="90"/>
      <c r="BAC1697" s="90"/>
      <c r="BAD1697" s="90"/>
      <c r="BAE1697" s="90"/>
      <c r="BAF1697" s="90"/>
      <c r="BAG1697" s="90"/>
      <c r="BAH1697" s="90"/>
      <c r="BAI1697" s="90"/>
      <c r="BAJ1697" s="90"/>
      <c r="BAK1697" s="90"/>
      <c r="BAL1697" s="90"/>
      <c r="BAM1697" s="90"/>
      <c r="BAN1697" s="90"/>
      <c r="BAO1697" s="90"/>
      <c r="BAP1697" s="90"/>
      <c r="BAQ1697" s="90"/>
      <c r="BAR1697" s="90"/>
      <c r="BAS1697" s="90"/>
      <c r="BAT1697" s="90"/>
      <c r="BAU1697" s="90"/>
      <c r="BAV1697" s="90"/>
      <c r="BAW1697" s="90"/>
      <c r="BAX1697" s="90"/>
      <c r="BAY1697" s="90"/>
      <c r="BAZ1697" s="90"/>
      <c r="BBA1697" s="90"/>
      <c r="BBB1697" s="90"/>
      <c r="BBC1697" s="90"/>
      <c r="BBD1697" s="90"/>
      <c r="BBE1697" s="90"/>
      <c r="BBF1697" s="90"/>
      <c r="BBG1697" s="90"/>
      <c r="BBH1697" s="90"/>
      <c r="BBI1697" s="90"/>
      <c r="BBJ1697" s="90"/>
      <c r="BBK1697" s="90"/>
      <c r="BBL1697" s="90"/>
      <c r="BBM1697" s="90"/>
      <c r="BBN1697" s="90"/>
      <c r="BBO1697" s="90"/>
      <c r="BBP1697" s="90"/>
      <c r="BBQ1697" s="90"/>
      <c r="BBR1697" s="90"/>
      <c r="BBS1697" s="90"/>
      <c r="BBT1697" s="90"/>
      <c r="BBU1697" s="90"/>
      <c r="BBV1697" s="90"/>
      <c r="BBW1697" s="90"/>
      <c r="BBX1697" s="90"/>
      <c r="BBY1697" s="90"/>
      <c r="BBZ1697" s="90"/>
      <c r="BCA1697" s="90"/>
      <c r="BCB1697" s="90"/>
      <c r="BCC1697" s="90"/>
      <c r="BCD1697" s="90"/>
      <c r="BCE1697" s="90"/>
      <c r="BCF1697" s="90"/>
      <c r="BCG1697" s="90"/>
      <c r="BCH1697" s="90"/>
      <c r="BCI1697" s="90"/>
      <c r="BCJ1697" s="90"/>
      <c r="BCK1697" s="90"/>
      <c r="BCL1697" s="90"/>
      <c r="BCM1697" s="90"/>
      <c r="BCN1697" s="90"/>
      <c r="BCO1697" s="90"/>
      <c r="BCP1697" s="90"/>
      <c r="BCQ1697" s="90"/>
      <c r="BCR1697" s="90"/>
      <c r="BCS1697" s="90"/>
      <c r="BCT1697" s="90"/>
      <c r="BCU1697" s="90"/>
      <c r="BCV1697" s="90"/>
      <c r="BCW1697" s="90"/>
      <c r="BCX1697" s="90"/>
      <c r="BCY1697" s="90"/>
      <c r="BCZ1697" s="90"/>
      <c r="BDA1697" s="90"/>
      <c r="BDB1697" s="90"/>
      <c r="BDC1697" s="90"/>
      <c r="BDD1697" s="90"/>
      <c r="BDE1697" s="90"/>
      <c r="BDF1697" s="90"/>
      <c r="BDG1697" s="90"/>
      <c r="BDH1697" s="90"/>
      <c r="BDI1697" s="90"/>
      <c r="BDJ1697" s="90"/>
      <c r="BDK1697" s="90"/>
      <c r="BDL1697" s="90"/>
      <c r="BDM1697" s="90"/>
      <c r="BDN1697" s="90"/>
      <c r="BDO1697" s="90"/>
      <c r="BDP1697" s="90"/>
      <c r="BDQ1697" s="90"/>
      <c r="BDR1697" s="90"/>
      <c r="BDS1697" s="90"/>
      <c r="BDT1697" s="90"/>
      <c r="BDU1697" s="90"/>
      <c r="BDV1697" s="90"/>
      <c r="BDW1697" s="90"/>
      <c r="BDX1697" s="90"/>
      <c r="BDY1697" s="90"/>
      <c r="BDZ1697" s="90"/>
      <c r="BEA1697" s="90"/>
      <c r="BEB1697" s="90"/>
      <c r="BEC1697" s="90"/>
      <c r="BED1697" s="90"/>
      <c r="BEE1697" s="90"/>
      <c r="BEF1697" s="90"/>
      <c r="BEG1697" s="90"/>
      <c r="BEH1697" s="90"/>
      <c r="BEI1697" s="90"/>
      <c r="BEJ1697" s="90"/>
      <c r="BEK1697" s="90"/>
      <c r="BEL1697" s="90"/>
      <c r="BEM1697" s="90"/>
      <c r="BEN1697" s="90"/>
      <c r="BEO1697" s="90"/>
      <c r="BEP1697" s="90"/>
      <c r="BEQ1697" s="90"/>
      <c r="BER1697" s="90"/>
      <c r="BES1697" s="90"/>
      <c r="BET1697" s="90"/>
      <c r="BEU1697" s="90"/>
      <c r="BEV1697" s="90"/>
      <c r="BEW1697" s="90"/>
      <c r="BEX1697" s="90"/>
      <c r="BEY1697" s="90"/>
      <c r="BEZ1697" s="90"/>
      <c r="BFA1697" s="90"/>
      <c r="BFB1697" s="90"/>
      <c r="BFC1697" s="90"/>
      <c r="BFD1697" s="90"/>
      <c r="BFE1697" s="90"/>
      <c r="BFF1697" s="90"/>
      <c r="BFG1697" s="90"/>
      <c r="BFH1697" s="90"/>
      <c r="BFI1697" s="90"/>
      <c r="BFJ1697" s="90"/>
      <c r="BFK1697" s="90"/>
      <c r="BFL1697" s="90"/>
      <c r="BFM1697" s="90"/>
      <c r="BFN1697" s="90"/>
      <c r="BFO1697" s="90"/>
      <c r="BFP1697" s="90"/>
      <c r="BFQ1697" s="90"/>
      <c r="BFR1697" s="90"/>
      <c r="BFS1697" s="90"/>
      <c r="BFT1697" s="90"/>
      <c r="BFU1697" s="90"/>
      <c r="BFV1697" s="90"/>
      <c r="BFW1697" s="90"/>
      <c r="BFX1697" s="90"/>
      <c r="BFY1697" s="90"/>
      <c r="BFZ1697" s="90"/>
      <c r="BGA1697" s="90"/>
      <c r="BGB1697" s="90"/>
      <c r="BGC1697" s="90"/>
      <c r="BGD1697" s="90"/>
      <c r="BGE1697" s="90"/>
      <c r="BGF1697" s="90"/>
      <c r="BGG1697" s="90"/>
      <c r="BGH1697" s="90"/>
      <c r="BGI1697" s="90"/>
      <c r="BGJ1697" s="90"/>
      <c r="BGK1697" s="90"/>
      <c r="BGL1697" s="90"/>
      <c r="BGM1697" s="90"/>
      <c r="BGN1697" s="90"/>
      <c r="BGO1697" s="90"/>
      <c r="BGP1697" s="90"/>
      <c r="BGQ1697" s="90"/>
      <c r="BGR1697" s="90"/>
      <c r="BGS1697" s="90"/>
      <c r="BGT1697" s="90"/>
      <c r="BGU1697" s="90"/>
      <c r="BGV1697" s="90"/>
      <c r="BGW1697" s="90"/>
      <c r="BGX1697" s="90"/>
      <c r="BGY1697" s="90"/>
      <c r="BGZ1697" s="90"/>
      <c r="BHA1697" s="90"/>
      <c r="BHB1697" s="90"/>
      <c r="BHC1697" s="90"/>
      <c r="BHD1697" s="90"/>
      <c r="BHE1697" s="90"/>
      <c r="BHF1697" s="90"/>
      <c r="BHG1697" s="90"/>
      <c r="BHH1697" s="90"/>
      <c r="BHI1697" s="90"/>
      <c r="BHJ1697" s="90"/>
      <c r="BHK1697" s="90"/>
      <c r="BHL1697" s="90"/>
      <c r="BHM1697" s="90"/>
      <c r="BHN1697" s="90"/>
      <c r="BHO1697" s="90"/>
      <c r="BHP1697" s="90"/>
      <c r="BHQ1697" s="90"/>
      <c r="BHR1697" s="90"/>
      <c r="BHS1697" s="90"/>
      <c r="BHT1697" s="90"/>
      <c r="BHU1697" s="90"/>
      <c r="BHV1697" s="90"/>
      <c r="BHW1697" s="90"/>
      <c r="BHX1697" s="90"/>
      <c r="BHY1697" s="90"/>
      <c r="BHZ1697" s="90"/>
      <c r="BIA1697" s="90"/>
      <c r="BIB1697" s="90"/>
      <c r="BIC1697" s="90"/>
      <c r="BID1697" s="90"/>
      <c r="BIE1697" s="90"/>
      <c r="BIF1697" s="90"/>
      <c r="BIG1697" s="90"/>
      <c r="BIH1697" s="90"/>
      <c r="BII1697" s="90"/>
      <c r="BIJ1697" s="90"/>
      <c r="BIK1697" s="90"/>
      <c r="BIL1697" s="90"/>
      <c r="BIM1697" s="90"/>
      <c r="BIN1697" s="90"/>
      <c r="BIO1697" s="90"/>
      <c r="BIP1697" s="90"/>
      <c r="BIQ1697" s="90"/>
      <c r="BIR1697" s="90"/>
      <c r="BIS1697" s="90"/>
      <c r="BIT1697" s="90"/>
      <c r="BIU1697" s="90"/>
      <c r="BIV1697" s="90"/>
      <c r="BIW1697" s="90"/>
      <c r="BIX1697" s="90"/>
      <c r="BIY1697" s="90"/>
      <c r="BIZ1697" s="90"/>
      <c r="BJA1697" s="90"/>
      <c r="BJB1697" s="90"/>
      <c r="BJC1697" s="90"/>
      <c r="BJD1697" s="90"/>
      <c r="BJE1697" s="90"/>
      <c r="BJF1697" s="90"/>
      <c r="BJG1697" s="90"/>
      <c r="BJH1697" s="90"/>
      <c r="BJI1697" s="90"/>
      <c r="BJJ1697" s="90"/>
      <c r="BJK1697" s="90"/>
      <c r="BJL1697" s="90"/>
      <c r="BJM1697" s="90"/>
      <c r="BJN1697" s="90"/>
      <c r="BJO1697" s="90"/>
      <c r="BJP1697" s="90"/>
      <c r="BJQ1697" s="90"/>
      <c r="BJR1697" s="90"/>
      <c r="BJS1697" s="90"/>
      <c r="BJT1697" s="90"/>
      <c r="BJU1697" s="90"/>
      <c r="BJV1697" s="90"/>
      <c r="BJW1697" s="90"/>
      <c r="BJX1697" s="90"/>
      <c r="BJY1697" s="90"/>
      <c r="BJZ1697" s="90"/>
      <c r="BKA1697" s="90"/>
      <c r="BKB1697" s="90"/>
      <c r="BKC1697" s="90"/>
      <c r="BKD1697" s="90"/>
      <c r="BKE1697" s="90"/>
      <c r="BKF1697" s="90"/>
      <c r="BKG1697" s="90"/>
      <c r="BKH1697" s="90"/>
      <c r="BKI1697" s="90"/>
      <c r="BKJ1697" s="90"/>
      <c r="BKK1697" s="90"/>
      <c r="BKL1697" s="90"/>
      <c r="BKM1697" s="90"/>
      <c r="BKN1697" s="90"/>
      <c r="BKO1697" s="90"/>
      <c r="BKP1697" s="90"/>
      <c r="BKQ1697" s="90"/>
      <c r="BKR1697" s="90"/>
      <c r="BKS1697" s="90"/>
      <c r="BKT1697" s="90"/>
      <c r="BKU1697" s="90"/>
      <c r="BKV1697" s="90"/>
      <c r="BKW1697" s="90"/>
      <c r="BKX1697" s="90"/>
      <c r="BKY1697" s="90"/>
      <c r="BKZ1697" s="90"/>
      <c r="BLA1697" s="90"/>
      <c r="BLB1697" s="90"/>
      <c r="BLC1697" s="90"/>
      <c r="BLD1697" s="90"/>
      <c r="BLE1697" s="90"/>
      <c r="BLF1697" s="90"/>
      <c r="BLG1697" s="90"/>
      <c r="BLH1697" s="90"/>
      <c r="BLI1697" s="90"/>
      <c r="BLJ1697" s="90"/>
      <c r="BLK1697" s="90"/>
      <c r="BLL1697" s="90"/>
      <c r="BLM1697" s="90"/>
      <c r="BLN1697" s="90"/>
      <c r="BLO1697" s="90"/>
      <c r="BLP1697" s="90"/>
      <c r="BLQ1697" s="90"/>
      <c r="BLR1697" s="90"/>
      <c r="BLS1697" s="90"/>
      <c r="BLT1697" s="90"/>
      <c r="BLU1697" s="90"/>
      <c r="BLV1697" s="90"/>
      <c r="BLW1697" s="90"/>
      <c r="BLX1697" s="90"/>
      <c r="BLY1697" s="90"/>
      <c r="BLZ1697" s="90"/>
      <c r="BMA1697" s="90"/>
      <c r="BMB1697" s="90"/>
      <c r="BMC1697" s="90"/>
      <c r="BMD1697" s="90"/>
      <c r="BME1697" s="90"/>
      <c r="BMF1697" s="90"/>
      <c r="BMG1697" s="90"/>
      <c r="BMH1697" s="90"/>
      <c r="BMI1697" s="90"/>
      <c r="BMJ1697" s="90"/>
      <c r="BMK1697" s="90"/>
      <c r="BML1697" s="90"/>
      <c r="BMM1697" s="90"/>
      <c r="BMN1697" s="90"/>
      <c r="BMO1697" s="90"/>
      <c r="BMP1697" s="90"/>
      <c r="BMQ1697" s="90"/>
      <c r="BMR1697" s="90"/>
      <c r="BMS1697" s="90"/>
      <c r="BMT1697" s="90"/>
      <c r="BMU1697" s="90"/>
      <c r="BMV1697" s="90"/>
      <c r="BMW1697" s="90"/>
      <c r="BMX1697" s="90"/>
      <c r="BMY1697" s="90"/>
      <c r="BMZ1697" s="90"/>
      <c r="BNA1697" s="90"/>
      <c r="BNB1697" s="90"/>
      <c r="BNC1697" s="90"/>
      <c r="BND1697" s="90"/>
      <c r="BNE1697" s="90"/>
      <c r="BNF1697" s="90"/>
      <c r="BNG1697" s="90"/>
      <c r="BNH1697" s="90"/>
      <c r="BNI1697" s="90"/>
      <c r="BNJ1697" s="90"/>
      <c r="BNK1697" s="90"/>
      <c r="BNL1697" s="90"/>
      <c r="BNM1697" s="90"/>
      <c r="BNN1697" s="90"/>
      <c r="BNO1697" s="90"/>
      <c r="BNP1697" s="90"/>
      <c r="BNQ1697" s="90"/>
      <c r="BNR1697" s="90"/>
      <c r="BNS1697" s="90"/>
      <c r="BNT1697" s="90"/>
      <c r="BNU1697" s="90"/>
      <c r="BNV1697" s="90"/>
      <c r="BNW1697" s="90"/>
      <c r="BNX1697" s="90"/>
      <c r="BNY1697" s="90"/>
      <c r="BNZ1697" s="90"/>
      <c r="BOA1697" s="90"/>
      <c r="BOB1697" s="90"/>
      <c r="BOC1697" s="90"/>
      <c r="BOD1697" s="90"/>
      <c r="BOE1697" s="90"/>
      <c r="BOF1697" s="90"/>
      <c r="BOG1697" s="90"/>
      <c r="BOH1697" s="90"/>
      <c r="BOI1697" s="90"/>
      <c r="BOJ1697" s="90"/>
      <c r="BOK1697" s="90"/>
      <c r="BOL1697" s="90"/>
      <c r="BOM1697" s="90"/>
      <c r="BON1697" s="90"/>
      <c r="BOO1697" s="90"/>
      <c r="BOP1697" s="90"/>
      <c r="BOQ1697" s="90"/>
      <c r="BOR1697" s="90"/>
      <c r="BOS1697" s="90"/>
      <c r="BOT1697" s="90"/>
      <c r="BOU1697" s="90"/>
      <c r="BOV1697" s="90"/>
      <c r="BOW1697" s="90"/>
      <c r="BOX1697" s="90"/>
      <c r="BOY1697" s="90"/>
      <c r="BOZ1697" s="90"/>
      <c r="BPA1697" s="90"/>
      <c r="BPB1697" s="90"/>
      <c r="BPC1697" s="90"/>
      <c r="BPD1697" s="90"/>
      <c r="BPE1697" s="90"/>
      <c r="BPF1697" s="90"/>
      <c r="BPG1697" s="90"/>
      <c r="BPH1697" s="90"/>
      <c r="BPI1697" s="90"/>
      <c r="BPJ1697" s="90"/>
      <c r="BPK1697" s="90"/>
      <c r="BPL1697" s="90"/>
      <c r="BPM1697" s="90"/>
      <c r="BPN1697" s="90"/>
      <c r="BPO1697" s="90"/>
      <c r="BPP1697" s="90"/>
      <c r="BPQ1697" s="90"/>
      <c r="BPR1697" s="90"/>
      <c r="BPS1697" s="90"/>
      <c r="BPT1697" s="90"/>
      <c r="BPU1697" s="90"/>
      <c r="BPV1697" s="90"/>
      <c r="BPW1697" s="90"/>
      <c r="BPX1697" s="90"/>
      <c r="BPY1697" s="90"/>
      <c r="BPZ1697" s="90"/>
      <c r="BQA1697" s="90"/>
      <c r="BQB1697" s="90"/>
      <c r="BQC1697" s="90"/>
      <c r="BQD1697" s="90"/>
      <c r="BQE1697" s="90"/>
      <c r="BQF1697" s="90"/>
      <c r="BQG1697" s="90"/>
      <c r="BQH1697" s="90"/>
      <c r="BQI1697" s="90"/>
      <c r="BQJ1697" s="90"/>
      <c r="BQK1697" s="90"/>
      <c r="BQL1697" s="90"/>
      <c r="BQM1697" s="90"/>
      <c r="BQN1697" s="90"/>
      <c r="BQO1697" s="90"/>
      <c r="BQP1697" s="90"/>
      <c r="BQQ1697" s="90"/>
      <c r="BQR1697" s="90"/>
      <c r="BQS1697" s="90"/>
      <c r="BQT1697" s="90"/>
      <c r="BQU1697" s="90"/>
      <c r="BQV1697" s="90"/>
      <c r="BQW1697" s="90"/>
      <c r="BQX1697" s="90"/>
      <c r="BQY1697" s="90"/>
      <c r="BQZ1697" s="90"/>
      <c r="BRA1697" s="90"/>
      <c r="BRB1697" s="90"/>
      <c r="BRC1697" s="90"/>
      <c r="BRD1697" s="90"/>
      <c r="BRE1697" s="90"/>
      <c r="BRF1697" s="90"/>
      <c r="BRG1697" s="90"/>
      <c r="BRH1697" s="90"/>
      <c r="BRI1697" s="90"/>
      <c r="BRJ1697" s="90"/>
      <c r="BRK1697" s="90"/>
      <c r="BRL1697" s="90"/>
      <c r="BRM1697" s="90"/>
      <c r="BRN1697" s="90"/>
      <c r="BRO1697" s="90"/>
      <c r="BRP1697" s="90"/>
      <c r="BRQ1697" s="90"/>
      <c r="BRR1697" s="90"/>
      <c r="BRS1697" s="90"/>
      <c r="BRT1697" s="90"/>
      <c r="BRU1697" s="90"/>
      <c r="BRV1697" s="90"/>
      <c r="BRW1697" s="90"/>
      <c r="BRX1697" s="90"/>
      <c r="BRY1697" s="90"/>
      <c r="BRZ1697" s="90"/>
      <c r="BSA1697" s="90"/>
      <c r="BSB1697" s="90"/>
      <c r="BSC1697" s="90"/>
      <c r="BSD1697" s="90"/>
      <c r="BSE1697" s="90"/>
      <c r="BSF1697" s="90"/>
      <c r="BSG1697" s="90"/>
      <c r="BSH1697" s="90"/>
      <c r="BSI1697" s="90"/>
      <c r="BSJ1697" s="90"/>
      <c r="BSK1697" s="90"/>
      <c r="BSL1697" s="90"/>
      <c r="BSM1697" s="90"/>
      <c r="BSN1697" s="90"/>
      <c r="BSO1697" s="90"/>
      <c r="BSP1697" s="90"/>
      <c r="BSQ1697" s="90"/>
      <c r="BSR1697" s="90"/>
      <c r="BSS1697" s="90"/>
      <c r="BST1697" s="90"/>
      <c r="BSU1697" s="90"/>
      <c r="BSV1697" s="90"/>
      <c r="BSW1697" s="90"/>
      <c r="BSX1697" s="90"/>
      <c r="BSY1697" s="90"/>
      <c r="BSZ1697" s="90"/>
      <c r="BTA1697" s="90"/>
      <c r="BTB1697" s="90"/>
      <c r="BTC1697" s="90"/>
      <c r="BTD1697" s="90"/>
      <c r="BTE1697" s="90"/>
      <c r="BTF1697" s="90"/>
      <c r="BTG1697" s="90"/>
      <c r="BTH1697" s="90"/>
      <c r="BTI1697" s="90"/>
      <c r="BTJ1697" s="90"/>
      <c r="BTK1697" s="90"/>
      <c r="BTL1697" s="90"/>
      <c r="BTM1697" s="90"/>
      <c r="BTN1697" s="90"/>
      <c r="BTO1697" s="90"/>
      <c r="BTP1697" s="90"/>
      <c r="BTQ1697" s="90"/>
      <c r="BTR1697" s="90"/>
      <c r="BTS1697" s="90"/>
      <c r="BTT1697" s="90"/>
      <c r="BTU1697" s="90"/>
      <c r="BTV1697" s="90"/>
      <c r="BTW1697" s="90"/>
      <c r="BTX1697" s="90"/>
      <c r="BTY1697" s="90"/>
      <c r="BTZ1697" s="90"/>
      <c r="BUA1697" s="90"/>
      <c r="BUB1697" s="90"/>
      <c r="BUC1697" s="90"/>
      <c r="BUD1697" s="90"/>
      <c r="BUE1697" s="90"/>
      <c r="BUF1697" s="90"/>
      <c r="BUG1697" s="90"/>
      <c r="BUH1697" s="90"/>
      <c r="BUI1697" s="90"/>
      <c r="BUJ1697" s="90"/>
      <c r="BUK1697" s="90"/>
      <c r="BUL1697" s="90"/>
      <c r="BUM1697" s="90"/>
      <c r="BUN1697" s="90"/>
      <c r="BUO1697" s="90"/>
      <c r="BUP1697" s="90"/>
      <c r="BUQ1697" s="90"/>
      <c r="BUR1697" s="90"/>
      <c r="BUS1697" s="90"/>
      <c r="BUT1697" s="90"/>
      <c r="BUU1697" s="90"/>
      <c r="BUV1697" s="90"/>
      <c r="BUW1697" s="90"/>
      <c r="BUX1697" s="90"/>
      <c r="BUY1697" s="90"/>
      <c r="BUZ1697" s="90"/>
      <c r="BVA1697" s="90"/>
      <c r="BVB1697" s="90"/>
      <c r="BVC1697" s="90"/>
      <c r="BVD1697" s="90"/>
      <c r="BVE1697" s="90"/>
      <c r="BVF1697" s="90"/>
      <c r="BVG1697" s="90"/>
      <c r="BVH1697" s="90"/>
      <c r="BVI1697" s="90"/>
      <c r="BVJ1697" s="90"/>
      <c r="BVK1697" s="90"/>
      <c r="BVL1697" s="90"/>
      <c r="BVM1697" s="90"/>
      <c r="BVN1697" s="90"/>
      <c r="BVO1697" s="90"/>
      <c r="BVP1697" s="90"/>
      <c r="BVQ1697" s="90"/>
      <c r="BVR1697" s="90"/>
      <c r="BVS1697" s="90"/>
      <c r="BVT1697" s="90"/>
      <c r="BVU1697" s="90"/>
      <c r="BVV1697" s="90"/>
      <c r="BVW1697" s="90"/>
      <c r="BVX1697" s="90"/>
      <c r="BVY1697" s="90"/>
      <c r="BVZ1697" s="90"/>
      <c r="BWA1697" s="90"/>
      <c r="BWB1697" s="90"/>
      <c r="BWC1697" s="90"/>
      <c r="BWD1697" s="90"/>
      <c r="BWE1697" s="90"/>
      <c r="BWF1697" s="90"/>
      <c r="BWG1697" s="90"/>
      <c r="BWH1697" s="90"/>
      <c r="BWI1697" s="90"/>
      <c r="BWJ1697" s="90"/>
      <c r="BWK1697" s="90"/>
      <c r="BWL1697" s="90"/>
      <c r="BWM1697" s="90"/>
      <c r="BWN1697" s="90"/>
      <c r="BWO1697" s="90"/>
      <c r="BWP1697" s="90"/>
      <c r="BWQ1697" s="90"/>
      <c r="BWR1697" s="90"/>
      <c r="BWS1697" s="90"/>
      <c r="BWT1697" s="90"/>
      <c r="BWU1697" s="90"/>
      <c r="BWV1697" s="90"/>
      <c r="BWW1697" s="90"/>
      <c r="BWX1697" s="90"/>
      <c r="BWY1697" s="90"/>
      <c r="BWZ1697" s="90"/>
      <c r="BXA1697" s="90"/>
      <c r="BXB1697" s="90"/>
      <c r="BXC1697" s="90"/>
      <c r="BXD1697" s="90"/>
      <c r="BXE1697" s="90"/>
      <c r="BXF1697" s="90"/>
      <c r="BXG1697" s="90"/>
      <c r="BXH1697" s="90"/>
      <c r="BXI1697" s="90"/>
      <c r="BXJ1697" s="90"/>
      <c r="BXK1697" s="90"/>
      <c r="BXL1697" s="90"/>
      <c r="BXM1697" s="90"/>
      <c r="BXN1697" s="90"/>
      <c r="BXO1697" s="90"/>
      <c r="BXP1697" s="90"/>
      <c r="BXQ1697" s="90"/>
      <c r="BXR1697" s="90"/>
      <c r="BXS1697" s="90"/>
      <c r="BXT1697" s="90"/>
      <c r="BXU1697" s="90"/>
      <c r="BXV1697" s="90"/>
      <c r="BXW1697" s="90"/>
      <c r="BXX1697" s="90"/>
      <c r="BXY1697" s="90"/>
      <c r="BXZ1697" s="90"/>
      <c r="BYA1697" s="90"/>
      <c r="BYB1697" s="90"/>
      <c r="BYC1697" s="90"/>
      <c r="BYD1697" s="90"/>
      <c r="BYE1697" s="90"/>
      <c r="BYF1697" s="90"/>
      <c r="BYG1697" s="90"/>
      <c r="BYH1697" s="90"/>
      <c r="BYI1697" s="90"/>
      <c r="BYJ1697" s="90"/>
      <c r="BYK1697" s="90"/>
      <c r="BYL1697" s="90"/>
      <c r="BYM1697" s="90"/>
      <c r="BYN1697" s="90"/>
      <c r="BYO1697" s="90"/>
      <c r="BYP1697" s="90"/>
      <c r="BYQ1697" s="90"/>
      <c r="BYR1697" s="90"/>
      <c r="BYS1697" s="90"/>
      <c r="BYT1697" s="90"/>
      <c r="BYU1697" s="90"/>
      <c r="BYV1697" s="90"/>
      <c r="BYW1697" s="90"/>
      <c r="BYX1697" s="90"/>
      <c r="BYY1697" s="90"/>
      <c r="BYZ1697" s="90"/>
      <c r="BZA1697" s="90"/>
      <c r="BZB1697" s="90"/>
      <c r="BZC1697" s="90"/>
      <c r="BZD1697" s="90"/>
      <c r="BZE1697" s="90"/>
      <c r="BZF1697" s="90"/>
      <c r="BZG1697" s="90"/>
      <c r="BZH1697" s="90"/>
      <c r="BZI1697" s="90"/>
      <c r="BZJ1697" s="90"/>
      <c r="BZK1697" s="90"/>
      <c r="BZL1697" s="90"/>
      <c r="BZM1697" s="90"/>
      <c r="BZN1697" s="90"/>
      <c r="BZO1697" s="90"/>
      <c r="BZP1697" s="90"/>
      <c r="BZQ1697" s="90"/>
      <c r="BZR1697" s="90"/>
      <c r="BZS1697" s="90"/>
      <c r="BZT1697" s="90"/>
      <c r="BZU1697" s="90"/>
      <c r="BZV1697" s="90"/>
      <c r="BZW1697" s="90"/>
      <c r="BZX1697" s="90"/>
      <c r="BZY1697" s="90"/>
      <c r="BZZ1697" s="90"/>
      <c r="CAA1697" s="90"/>
      <c r="CAB1697" s="90"/>
      <c r="CAC1697" s="90"/>
      <c r="CAD1697" s="90"/>
      <c r="CAE1697" s="90"/>
      <c r="CAF1697" s="90"/>
      <c r="CAG1697" s="90"/>
      <c r="CAH1697" s="90"/>
      <c r="CAI1697" s="90"/>
      <c r="CAJ1697" s="90"/>
      <c r="CAK1697" s="90"/>
      <c r="CAL1697" s="90"/>
      <c r="CAM1697" s="90"/>
      <c r="CAN1697" s="90"/>
      <c r="CAO1697" s="90"/>
      <c r="CAP1697" s="90"/>
      <c r="CAQ1697" s="90"/>
      <c r="CAR1697" s="90"/>
      <c r="CAS1697" s="90"/>
      <c r="CAT1697" s="90"/>
      <c r="CAU1697" s="90"/>
      <c r="CAV1697" s="90"/>
      <c r="CAW1697" s="90"/>
      <c r="CAX1697" s="90"/>
      <c r="CAY1697" s="90"/>
      <c r="CAZ1697" s="90"/>
      <c r="CBA1697" s="90"/>
      <c r="CBB1697" s="90"/>
      <c r="CBC1697" s="90"/>
      <c r="CBD1697" s="90"/>
      <c r="CBE1697" s="90"/>
      <c r="CBF1697" s="90"/>
      <c r="CBG1697" s="90"/>
      <c r="CBH1697" s="90"/>
      <c r="CBI1697" s="90"/>
      <c r="CBJ1697" s="90"/>
      <c r="CBK1697" s="90"/>
      <c r="CBL1697" s="90"/>
      <c r="CBM1697" s="90"/>
      <c r="CBN1697" s="90"/>
      <c r="CBO1697" s="90"/>
      <c r="CBP1697" s="90"/>
      <c r="CBQ1697" s="90"/>
      <c r="CBR1697" s="90"/>
      <c r="CBS1697" s="90"/>
      <c r="CBT1697" s="90"/>
      <c r="CBU1697" s="90"/>
      <c r="CBV1697" s="90"/>
      <c r="CBW1697" s="90"/>
      <c r="CBX1697" s="90"/>
      <c r="CBY1697" s="90"/>
      <c r="CBZ1697" s="90"/>
      <c r="CCA1697" s="90"/>
      <c r="CCB1697" s="90"/>
      <c r="CCC1697" s="90"/>
      <c r="CCD1697" s="90"/>
      <c r="CCE1697" s="90"/>
      <c r="CCF1697" s="90"/>
      <c r="CCG1697" s="90"/>
      <c r="CCH1697" s="90"/>
      <c r="CCI1697" s="90"/>
      <c r="CCJ1697" s="90"/>
      <c r="CCK1697" s="90"/>
      <c r="CCL1697" s="90"/>
      <c r="CCM1697" s="90"/>
      <c r="CCN1697" s="90"/>
      <c r="CCO1697" s="90"/>
      <c r="CCP1697" s="90"/>
      <c r="CCQ1697" s="90"/>
      <c r="CCR1697" s="90"/>
      <c r="CCS1697" s="90"/>
      <c r="CCT1697" s="90"/>
      <c r="CCU1697" s="90"/>
      <c r="CCV1697" s="90"/>
      <c r="CCW1697" s="90"/>
      <c r="CCX1697" s="90"/>
      <c r="CCY1697" s="90"/>
      <c r="CCZ1697" s="90"/>
      <c r="CDA1697" s="90"/>
      <c r="CDB1697" s="90"/>
      <c r="CDC1697" s="90"/>
      <c r="CDD1697" s="90"/>
      <c r="CDE1697" s="90"/>
      <c r="CDF1697" s="90"/>
      <c r="CDG1697" s="90"/>
      <c r="CDH1697" s="90"/>
      <c r="CDI1697" s="90"/>
      <c r="CDJ1697" s="90"/>
      <c r="CDK1697" s="90"/>
      <c r="CDL1697" s="90"/>
      <c r="CDM1697" s="90"/>
      <c r="CDN1697" s="90"/>
      <c r="CDO1697" s="90"/>
      <c r="CDP1697" s="90"/>
      <c r="CDQ1697" s="90"/>
      <c r="CDR1697" s="90"/>
      <c r="CDS1697" s="90"/>
      <c r="CDT1697" s="90"/>
      <c r="CDU1697" s="90"/>
      <c r="CDV1697" s="90"/>
      <c r="CDW1697" s="90"/>
      <c r="CDX1697" s="90"/>
      <c r="CDY1697" s="90"/>
      <c r="CDZ1697" s="90"/>
      <c r="CEA1697" s="90"/>
      <c r="CEB1697" s="90"/>
      <c r="CEC1697" s="90"/>
      <c r="CED1697" s="90"/>
      <c r="CEE1697" s="90"/>
      <c r="CEF1697" s="90"/>
      <c r="CEG1697" s="90"/>
      <c r="CEH1697" s="90"/>
      <c r="CEI1697" s="90"/>
      <c r="CEJ1697" s="90"/>
      <c r="CEK1697" s="90"/>
      <c r="CEL1697" s="90"/>
      <c r="CEM1697" s="90"/>
      <c r="CEN1697" s="90"/>
      <c r="CEO1697" s="90"/>
      <c r="CEP1697" s="90"/>
      <c r="CEQ1697" s="90"/>
      <c r="CER1697" s="90"/>
      <c r="CES1697" s="90"/>
      <c r="CET1697" s="90"/>
      <c r="CEU1697" s="90"/>
      <c r="CEV1697" s="90"/>
      <c r="CEW1697" s="90"/>
      <c r="CEX1697" s="90"/>
      <c r="CEY1697" s="90"/>
      <c r="CEZ1697" s="90"/>
      <c r="CFA1697" s="90"/>
      <c r="CFB1697" s="90"/>
      <c r="CFC1697" s="90"/>
      <c r="CFD1697" s="90"/>
      <c r="CFE1697" s="90"/>
      <c r="CFF1697" s="90"/>
      <c r="CFG1697" s="90"/>
      <c r="CFH1697" s="90"/>
      <c r="CFI1697" s="90"/>
      <c r="CFJ1697" s="90"/>
      <c r="CFK1697" s="90"/>
      <c r="CFL1697" s="90"/>
      <c r="CFM1697" s="90"/>
      <c r="CFN1697" s="90"/>
      <c r="CFO1697" s="90"/>
      <c r="CFP1697" s="90"/>
      <c r="CFQ1697" s="90"/>
      <c r="CFR1697" s="90"/>
      <c r="CFS1697" s="90"/>
      <c r="CFT1697" s="90"/>
      <c r="CFU1697" s="90"/>
      <c r="CFV1697" s="90"/>
      <c r="CFW1697" s="90"/>
      <c r="CFX1697" s="90"/>
      <c r="CFY1697" s="90"/>
      <c r="CFZ1697" s="90"/>
      <c r="CGA1697" s="90"/>
      <c r="CGB1697" s="90"/>
      <c r="CGC1697" s="90"/>
      <c r="CGD1697" s="90"/>
      <c r="CGE1697" s="90"/>
      <c r="CGF1697" s="90"/>
      <c r="CGG1697" s="90"/>
      <c r="CGH1697" s="90"/>
      <c r="CGI1697" s="90"/>
      <c r="CGJ1697" s="90"/>
      <c r="CGK1697" s="90"/>
      <c r="CGL1697" s="90"/>
      <c r="CGM1697" s="90"/>
      <c r="CGN1697" s="90"/>
      <c r="CGO1697" s="90"/>
      <c r="CGP1697" s="90"/>
      <c r="CGQ1697" s="90"/>
      <c r="CGR1697" s="90"/>
      <c r="CGS1697" s="90"/>
      <c r="CGT1697" s="90"/>
      <c r="CGU1697" s="90"/>
      <c r="CGV1697" s="90"/>
      <c r="CGW1697" s="90"/>
      <c r="CGX1697" s="90"/>
      <c r="CGY1697" s="90"/>
      <c r="CGZ1697" s="90"/>
      <c r="CHA1697" s="90"/>
      <c r="CHB1697" s="90"/>
      <c r="CHC1697" s="90"/>
      <c r="CHD1697" s="90"/>
      <c r="CHE1697" s="90"/>
      <c r="CHF1697" s="90"/>
      <c r="CHG1697" s="90"/>
      <c r="CHH1697" s="90"/>
      <c r="CHI1697" s="90"/>
      <c r="CHJ1697" s="90"/>
      <c r="CHK1697" s="90"/>
      <c r="CHL1697" s="90"/>
      <c r="CHM1697" s="90"/>
      <c r="CHN1697" s="90"/>
      <c r="CHO1697" s="90"/>
      <c r="CHP1697" s="90"/>
      <c r="CHQ1697" s="90"/>
      <c r="CHR1697" s="90"/>
      <c r="CHS1697" s="90"/>
      <c r="CHT1697" s="90"/>
      <c r="CHU1697" s="90"/>
      <c r="CHV1697" s="90"/>
      <c r="CHW1697" s="90"/>
      <c r="CHX1697" s="90"/>
      <c r="CHY1697" s="90"/>
      <c r="CHZ1697" s="90"/>
      <c r="CIA1697" s="90"/>
      <c r="CIB1697" s="90"/>
      <c r="CIC1697" s="90"/>
      <c r="CID1697" s="90"/>
      <c r="CIE1697" s="90"/>
      <c r="CIF1697" s="90"/>
      <c r="CIG1697" s="90"/>
      <c r="CIH1697" s="90"/>
      <c r="CII1697" s="90"/>
      <c r="CIJ1697" s="90"/>
      <c r="CIK1697" s="90"/>
      <c r="CIL1697" s="90"/>
      <c r="CIM1697" s="90"/>
      <c r="CIN1697" s="90"/>
      <c r="CIO1697" s="90"/>
      <c r="CIP1697" s="90"/>
      <c r="CIQ1697" s="90"/>
      <c r="CIR1697" s="90"/>
      <c r="CIS1697" s="90"/>
      <c r="CIT1697" s="90"/>
      <c r="CIU1697" s="90"/>
      <c r="CIV1697" s="90"/>
      <c r="CIW1697" s="90"/>
      <c r="CIX1697" s="90"/>
      <c r="CIY1697" s="90"/>
      <c r="CIZ1697" s="90"/>
      <c r="CJA1697" s="90"/>
      <c r="CJB1697" s="90"/>
      <c r="CJC1697" s="90"/>
      <c r="CJD1697" s="90"/>
      <c r="CJE1697" s="90"/>
      <c r="CJF1697" s="90"/>
      <c r="CJG1697" s="90"/>
      <c r="CJH1697" s="90"/>
      <c r="CJI1697" s="90"/>
      <c r="CJJ1697" s="90"/>
      <c r="CJK1697" s="90"/>
      <c r="CJL1697" s="90"/>
      <c r="CJM1697" s="90"/>
      <c r="CJN1697" s="90"/>
      <c r="CJO1697" s="90"/>
      <c r="CJP1697" s="90"/>
      <c r="CJQ1697" s="90"/>
      <c r="CJR1697" s="90"/>
      <c r="CJS1697" s="90"/>
      <c r="CJT1697" s="90"/>
      <c r="CJU1697" s="90"/>
      <c r="CJV1697" s="90"/>
      <c r="CJW1697" s="90"/>
      <c r="CJX1697" s="90"/>
      <c r="CJY1697" s="90"/>
      <c r="CJZ1697" s="90"/>
      <c r="CKA1697" s="90"/>
      <c r="CKB1697" s="90"/>
      <c r="CKC1697" s="90"/>
      <c r="CKD1697" s="90"/>
      <c r="CKE1697" s="90"/>
      <c r="CKF1697" s="90"/>
      <c r="CKG1697" s="90"/>
      <c r="CKH1697" s="90"/>
      <c r="CKI1697" s="90"/>
      <c r="CKJ1697" s="90"/>
      <c r="CKK1697" s="90"/>
      <c r="CKL1697" s="90"/>
      <c r="CKM1697" s="90"/>
      <c r="CKN1697" s="90"/>
      <c r="CKO1697" s="90"/>
      <c r="CKP1697" s="90"/>
      <c r="CKQ1697" s="90"/>
      <c r="CKR1697" s="90"/>
      <c r="CKS1697" s="90"/>
      <c r="CKT1697" s="90"/>
      <c r="CKU1697" s="90"/>
      <c r="CKV1697" s="90"/>
      <c r="CKW1697" s="90"/>
      <c r="CKX1697" s="90"/>
      <c r="CKY1697" s="90"/>
      <c r="CKZ1697" s="90"/>
      <c r="CLA1697" s="90"/>
      <c r="CLB1697" s="90"/>
      <c r="CLC1697" s="90"/>
      <c r="CLD1697" s="90"/>
      <c r="CLE1697" s="90"/>
      <c r="CLF1697" s="90"/>
      <c r="CLG1697" s="90"/>
      <c r="CLH1697" s="90"/>
      <c r="CLI1697" s="90"/>
      <c r="CLJ1697" s="90"/>
      <c r="CLK1697" s="90"/>
      <c r="CLL1697" s="90"/>
      <c r="CLM1697" s="90"/>
      <c r="CLN1697" s="90"/>
      <c r="CLO1697" s="90"/>
      <c r="CLP1697" s="90"/>
      <c r="CLQ1697" s="90"/>
      <c r="CLR1697" s="90"/>
      <c r="CLS1697" s="90"/>
      <c r="CLT1697" s="90"/>
      <c r="CLU1697" s="90"/>
      <c r="CLV1697" s="90"/>
      <c r="CLW1697" s="90"/>
      <c r="CLX1697" s="90"/>
      <c r="CLY1697" s="90"/>
      <c r="CLZ1697" s="90"/>
      <c r="CMA1697" s="90"/>
      <c r="CMB1697" s="90"/>
      <c r="CMC1697" s="90"/>
      <c r="CMD1697" s="90"/>
      <c r="CME1697" s="90"/>
      <c r="CMF1697" s="90"/>
      <c r="CMG1697" s="90"/>
      <c r="CMH1697" s="90"/>
      <c r="CMI1697" s="90"/>
      <c r="CMJ1697" s="90"/>
      <c r="CMK1697" s="90"/>
      <c r="CML1697" s="90"/>
      <c r="CMM1697" s="90"/>
      <c r="CMN1697" s="90"/>
      <c r="CMO1697" s="90"/>
      <c r="CMP1697" s="90"/>
      <c r="CMQ1697" s="90"/>
      <c r="CMR1697" s="90"/>
      <c r="CMS1697" s="90"/>
      <c r="CMT1697" s="90"/>
      <c r="CMU1697" s="90"/>
      <c r="CMV1697" s="90"/>
      <c r="CMW1697" s="90"/>
      <c r="CMX1697" s="90"/>
      <c r="CMY1697" s="90"/>
      <c r="CMZ1697" s="90"/>
      <c r="CNA1697" s="90"/>
      <c r="CNB1697" s="90"/>
      <c r="CNC1697" s="90"/>
      <c r="CND1697" s="90"/>
      <c r="CNE1697" s="90"/>
      <c r="CNF1697" s="90"/>
      <c r="CNG1697" s="90"/>
      <c r="CNH1697" s="90"/>
      <c r="CNI1697" s="90"/>
      <c r="CNJ1697" s="90"/>
      <c r="CNK1697" s="90"/>
      <c r="CNL1697" s="90"/>
      <c r="CNM1697" s="90"/>
      <c r="CNN1697" s="90"/>
      <c r="CNO1697" s="90"/>
      <c r="CNP1697" s="90"/>
      <c r="CNQ1697" s="90"/>
      <c r="CNR1697" s="90"/>
      <c r="CNS1697" s="90"/>
      <c r="CNT1697" s="90"/>
      <c r="CNU1697" s="90"/>
      <c r="CNV1697" s="90"/>
      <c r="CNW1697" s="90"/>
      <c r="CNX1697" s="90"/>
      <c r="CNY1697" s="90"/>
      <c r="CNZ1697" s="90"/>
      <c r="COA1697" s="90"/>
      <c r="COB1697" s="90"/>
      <c r="COC1697" s="90"/>
      <c r="COD1697" s="90"/>
      <c r="COE1697" s="90"/>
      <c r="COF1697" s="90"/>
      <c r="COG1697" s="90"/>
      <c r="COH1697" s="90"/>
      <c r="COI1697" s="90"/>
      <c r="COJ1697" s="90"/>
      <c r="COK1697" s="90"/>
      <c r="COL1697" s="90"/>
      <c r="COM1697" s="90"/>
      <c r="CON1697" s="90"/>
      <c r="COO1697" s="90"/>
      <c r="COP1697" s="90"/>
      <c r="COQ1697" s="90"/>
      <c r="COR1697" s="90"/>
      <c r="COS1697" s="90"/>
      <c r="COT1697" s="90"/>
      <c r="COU1697" s="90"/>
      <c r="COV1697" s="90"/>
      <c r="COW1697" s="90"/>
      <c r="COX1697" s="90"/>
      <c r="COY1697" s="90"/>
      <c r="COZ1697" s="90"/>
      <c r="CPA1697" s="90"/>
      <c r="CPB1697" s="90"/>
      <c r="CPC1697" s="90"/>
      <c r="CPD1697" s="90"/>
      <c r="CPE1697" s="90"/>
      <c r="CPF1697" s="90"/>
      <c r="CPG1697" s="90"/>
      <c r="CPH1697" s="90"/>
      <c r="CPI1697" s="90"/>
      <c r="CPJ1697" s="90"/>
      <c r="CPK1697" s="90"/>
      <c r="CPL1697" s="90"/>
      <c r="CPM1697" s="90"/>
      <c r="CPN1697" s="90"/>
      <c r="CPO1697" s="90"/>
      <c r="CPP1697" s="90"/>
      <c r="CPQ1697" s="90"/>
      <c r="CPR1697" s="90"/>
      <c r="CPS1697" s="90"/>
      <c r="CPT1697" s="90"/>
      <c r="CPU1697" s="90"/>
      <c r="CPV1697" s="90"/>
      <c r="CPW1697" s="90"/>
      <c r="CPX1697" s="90"/>
      <c r="CPY1697" s="90"/>
      <c r="CPZ1697" s="90"/>
      <c r="CQA1697" s="90"/>
      <c r="CQB1697" s="90"/>
      <c r="CQC1697" s="90"/>
      <c r="CQD1697" s="90"/>
      <c r="CQE1697" s="90"/>
      <c r="CQF1697" s="90"/>
      <c r="CQG1697" s="90"/>
      <c r="CQH1697" s="90"/>
      <c r="CQI1697" s="90"/>
      <c r="CQJ1697" s="90"/>
      <c r="CQK1697" s="90"/>
      <c r="CQL1697" s="90"/>
      <c r="CQM1697" s="90"/>
      <c r="CQN1697" s="90"/>
      <c r="CQO1697" s="90"/>
      <c r="CQP1697" s="90"/>
      <c r="CQQ1697" s="90"/>
      <c r="CQR1697" s="90"/>
      <c r="CQS1697" s="90"/>
      <c r="CQT1697" s="90"/>
      <c r="CQU1697" s="90"/>
      <c r="CQV1697" s="90"/>
      <c r="CQW1697" s="90"/>
      <c r="CQX1697" s="90"/>
      <c r="CQY1697" s="90"/>
      <c r="CQZ1697" s="90"/>
      <c r="CRA1697" s="90"/>
      <c r="CRB1697" s="90"/>
      <c r="CRC1697" s="90"/>
      <c r="CRD1697" s="90"/>
      <c r="CRE1697" s="90"/>
      <c r="CRF1697" s="90"/>
      <c r="CRG1697" s="90"/>
      <c r="CRH1697" s="90"/>
      <c r="CRI1697" s="90"/>
      <c r="CRJ1697" s="90"/>
      <c r="CRK1697" s="90"/>
      <c r="CRL1697" s="90"/>
      <c r="CRM1697" s="90"/>
      <c r="CRN1697" s="90"/>
      <c r="CRO1697" s="90"/>
      <c r="CRP1697" s="90"/>
      <c r="CRQ1697" s="90"/>
      <c r="CRR1697" s="90"/>
      <c r="CRS1697" s="90"/>
      <c r="CRT1697" s="90"/>
      <c r="CRU1697" s="90"/>
      <c r="CRV1697" s="90"/>
      <c r="CRW1697" s="90"/>
      <c r="CRX1697" s="90"/>
      <c r="CRY1697" s="90"/>
      <c r="CRZ1697" s="90"/>
      <c r="CSA1697" s="90"/>
      <c r="CSB1697" s="90"/>
      <c r="CSC1697" s="90"/>
      <c r="CSD1697" s="90"/>
      <c r="CSE1697" s="90"/>
      <c r="CSF1697" s="90"/>
      <c r="CSG1697" s="90"/>
      <c r="CSH1697" s="90"/>
      <c r="CSI1697" s="90"/>
      <c r="CSJ1697" s="90"/>
      <c r="CSK1697" s="90"/>
      <c r="CSL1697" s="90"/>
      <c r="CSM1697" s="90"/>
      <c r="CSN1697" s="90"/>
      <c r="CSO1697" s="90"/>
      <c r="CSP1697" s="90"/>
      <c r="CSQ1697" s="90"/>
      <c r="CSR1697" s="90"/>
      <c r="CSS1697" s="90"/>
      <c r="CST1697" s="90"/>
      <c r="CSU1697" s="90"/>
      <c r="CSV1697" s="90"/>
      <c r="CSW1697" s="90"/>
      <c r="CSX1697" s="90"/>
      <c r="CSY1697" s="90"/>
      <c r="CSZ1697" s="90"/>
      <c r="CTA1697" s="90"/>
      <c r="CTB1697" s="90"/>
      <c r="CTC1697" s="90"/>
      <c r="CTD1697" s="90"/>
      <c r="CTE1697" s="90"/>
      <c r="CTF1697" s="90"/>
      <c r="CTG1697" s="90"/>
      <c r="CTH1697" s="90"/>
      <c r="CTI1697" s="90"/>
      <c r="CTJ1697" s="90"/>
      <c r="CTK1697" s="90"/>
      <c r="CTL1697" s="90"/>
      <c r="CTM1697" s="90"/>
      <c r="CTN1697" s="90"/>
      <c r="CTO1697" s="90"/>
      <c r="CTP1697" s="90"/>
      <c r="CTQ1697" s="90"/>
      <c r="CTR1697" s="90"/>
      <c r="CTS1697" s="90"/>
      <c r="CTT1697" s="90"/>
      <c r="CTU1697" s="90"/>
      <c r="CTV1697" s="90"/>
      <c r="CTW1697" s="90"/>
      <c r="CTX1697" s="90"/>
      <c r="CTY1697" s="90"/>
      <c r="CTZ1697" s="90"/>
      <c r="CUA1697" s="90"/>
      <c r="CUB1697" s="90"/>
      <c r="CUC1697" s="90"/>
      <c r="CUD1697" s="90"/>
      <c r="CUE1697" s="90"/>
      <c r="CUF1697" s="90"/>
      <c r="CUG1697" s="90"/>
      <c r="CUH1697" s="90"/>
      <c r="CUI1697" s="90"/>
      <c r="CUJ1697" s="90"/>
      <c r="CUK1697" s="90"/>
      <c r="CUL1697" s="90"/>
      <c r="CUM1697" s="90"/>
      <c r="CUN1697" s="90"/>
      <c r="CUO1697" s="90"/>
      <c r="CUP1697" s="90"/>
      <c r="CUQ1697" s="90"/>
      <c r="CUR1697" s="90"/>
      <c r="CUS1697" s="90"/>
      <c r="CUT1697" s="90"/>
      <c r="CUU1697" s="90"/>
      <c r="CUV1697" s="90"/>
      <c r="CUW1697" s="90"/>
      <c r="CUX1697" s="90"/>
      <c r="CUY1697" s="90"/>
      <c r="CUZ1697" s="90"/>
      <c r="CVA1697" s="90"/>
      <c r="CVB1697" s="90"/>
      <c r="CVC1697" s="90"/>
      <c r="CVD1697" s="90"/>
      <c r="CVE1697" s="90"/>
      <c r="CVF1697" s="90"/>
      <c r="CVG1697" s="90"/>
      <c r="CVH1697" s="90"/>
      <c r="CVI1697" s="90"/>
      <c r="CVJ1697" s="90"/>
      <c r="CVK1697" s="90"/>
      <c r="CVL1697" s="90"/>
      <c r="CVM1697" s="90"/>
      <c r="CVN1697" s="90"/>
      <c r="CVO1697" s="90"/>
      <c r="CVP1697" s="90"/>
      <c r="CVQ1697" s="90"/>
      <c r="CVR1697" s="90"/>
      <c r="CVS1697" s="90"/>
      <c r="CVT1697" s="90"/>
      <c r="CVU1697" s="90"/>
      <c r="CVV1697" s="90"/>
      <c r="CVW1697" s="90"/>
      <c r="CVX1697" s="90"/>
      <c r="CVY1697" s="90"/>
      <c r="CVZ1697" s="90"/>
      <c r="CWA1697" s="90"/>
      <c r="CWB1697" s="90"/>
      <c r="CWC1697" s="90"/>
      <c r="CWD1697" s="90"/>
      <c r="CWE1697" s="90"/>
      <c r="CWF1697" s="90"/>
      <c r="CWG1697" s="90"/>
      <c r="CWH1697" s="90"/>
      <c r="CWI1697" s="90"/>
      <c r="CWJ1697" s="90"/>
      <c r="CWK1697" s="90"/>
      <c r="CWL1697" s="90"/>
      <c r="CWM1697" s="90"/>
      <c r="CWN1697" s="90"/>
      <c r="CWO1697" s="90"/>
      <c r="CWP1697" s="90"/>
      <c r="CWQ1697" s="90"/>
      <c r="CWR1697" s="90"/>
      <c r="CWS1697" s="90"/>
      <c r="CWT1697" s="90"/>
      <c r="CWU1697" s="90"/>
      <c r="CWV1697" s="90"/>
      <c r="CWW1697" s="90"/>
      <c r="CWX1697" s="90"/>
      <c r="CWY1697" s="90"/>
      <c r="CWZ1697" s="90"/>
      <c r="CXA1697" s="90"/>
      <c r="CXB1697" s="90"/>
      <c r="CXC1697" s="90"/>
      <c r="CXD1697" s="90"/>
      <c r="CXE1697" s="90"/>
      <c r="CXF1697" s="90"/>
      <c r="CXG1697" s="90"/>
      <c r="CXH1697" s="90"/>
      <c r="CXI1697" s="90"/>
      <c r="CXJ1697" s="90"/>
      <c r="CXK1697" s="90"/>
      <c r="CXL1697" s="90"/>
      <c r="CXM1697" s="90"/>
      <c r="CXN1697" s="90"/>
      <c r="CXO1697" s="90"/>
      <c r="CXP1697" s="90"/>
      <c r="CXQ1697" s="90"/>
      <c r="CXR1697" s="90"/>
      <c r="CXS1697" s="90"/>
      <c r="CXT1697" s="90"/>
      <c r="CXU1697" s="90"/>
      <c r="CXV1697" s="90"/>
      <c r="CXW1697" s="90"/>
      <c r="CXX1697" s="90"/>
      <c r="CXY1697" s="90"/>
      <c r="CXZ1697" s="90"/>
      <c r="CYA1697" s="90"/>
      <c r="CYB1697" s="90"/>
      <c r="CYC1697" s="90"/>
      <c r="CYD1697" s="90"/>
      <c r="CYE1697" s="90"/>
      <c r="CYF1697" s="90"/>
      <c r="CYG1697" s="90"/>
      <c r="CYH1697" s="90"/>
      <c r="CYI1697" s="90"/>
      <c r="CYJ1697" s="90"/>
      <c r="CYK1697" s="90"/>
      <c r="CYL1697" s="90"/>
      <c r="CYM1697" s="90"/>
      <c r="CYN1697" s="90"/>
      <c r="CYO1697" s="90"/>
      <c r="CYP1697" s="90"/>
      <c r="CYQ1697" s="90"/>
      <c r="CYR1697" s="90"/>
      <c r="CYS1697" s="90"/>
      <c r="CYT1697" s="90"/>
      <c r="CYU1697" s="90"/>
      <c r="CYV1697" s="90"/>
      <c r="CYW1697" s="90"/>
      <c r="CYX1697" s="90"/>
      <c r="CYY1697" s="90"/>
      <c r="CYZ1697" s="90"/>
      <c r="CZA1697" s="90"/>
      <c r="CZB1697" s="90"/>
      <c r="CZC1697" s="90"/>
      <c r="CZD1697" s="90"/>
      <c r="CZE1697" s="90"/>
      <c r="CZF1697" s="90"/>
      <c r="CZG1697" s="90"/>
      <c r="CZH1697" s="90"/>
      <c r="CZI1697" s="90"/>
      <c r="CZJ1697" s="90"/>
      <c r="CZK1697" s="90"/>
      <c r="CZL1697" s="90"/>
      <c r="CZM1697" s="90"/>
      <c r="CZN1697" s="90"/>
      <c r="CZO1697" s="90"/>
      <c r="CZP1697" s="90"/>
      <c r="CZQ1697" s="90"/>
      <c r="CZR1697" s="90"/>
      <c r="CZS1697" s="90"/>
      <c r="CZT1697" s="90"/>
      <c r="CZU1697" s="90"/>
      <c r="CZV1697" s="90"/>
      <c r="CZW1697" s="90"/>
      <c r="CZX1697" s="90"/>
      <c r="CZY1697" s="90"/>
      <c r="CZZ1697" s="90"/>
      <c r="DAA1697" s="90"/>
      <c r="DAB1697" s="90"/>
      <c r="DAC1697" s="90"/>
      <c r="DAD1697" s="90"/>
      <c r="DAE1697" s="90"/>
      <c r="DAF1697" s="90"/>
      <c r="DAG1697" s="90"/>
      <c r="DAH1697" s="90"/>
      <c r="DAI1697" s="90"/>
      <c r="DAJ1697" s="90"/>
      <c r="DAK1697" s="90"/>
      <c r="DAL1697" s="90"/>
      <c r="DAM1697" s="90"/>
      <c r="DAN1697" s="90"/>
      <c r="DAO1697" s="90"/>
      <c r="DAP1697" s="90"/>
      <c r="DAQ1697" s="90"/>
      <c r="DAR1697" s="90"/>
      <c r="DAS1697" s="90"/>
      <c r="DAT1697" s="90"/>
      <c r="DAU1697" s="90"/>
      <c r="DAV1697" s="90"/>
      <c r="DAW1697" s="90"/>
      <c r="DAX1697" s="90"/>
      <c r="DAY1697" s="90"/>
      <c r="DAZ1697" s="90"/>
      <c r="DBA1697" s="90"/>
      <c r="DBB1697" s="90"/>
      <c r="DBC1697" s="90"/>
      <c r="DBD1697" s="90"/>
      <c r="DBE1697" s="90"/>
      <c r="DBF1697" s="90"/>
      <c r="DBG1697" s="90"/>
      <c r="DBH1697" s="90"/>
      <c r="DBI1697" s="90"/>
      <c r="DBJ1697" s="90"/>
      <c r="DBK1697" s="90"/>
      <c r="DBL1697" s="90"/>
      <c r="DBM1697" s="90"/>
      <c r="DBN1697" s="90"/>
      <c r="DBO1697" s="90"/>
      <c r="DBP1697" s="90"/>
      <c r="DBQ1697" s="90"/>
      <c r="DBR1697" s="90"/>
      <c r="DBS1697" s="90"/>
      <c r="DBT1697" s="90"/>
      <c r="DBU1697" s="90"/>
      <c r="DBV1697" s="90"/>
      <c r="DBW1697" s="90"/>
      <c r="DBX1697" s="90"/>
      <c r="DBY1697" s="90"/>
      <c r="DBZ1697" s="90"/>
      <c r="DCA1697" s="90"/>
      <c r="DCB1697" s="90"/>
      <c r="DCC1697" s="90"/>
      <c r="DCD1697" s="90"/>
      <c r="DCE1697" s="90"/>
      <c r="DCF1697" s="90"/>
      <c r="DCG1697" s="90"/>
      <c r="DCH1697" s="90"/>
      <c r="DCI1697" s="90"/>
      <c r="DCJ1697" s="90"/>
      <c r="DCK1697" s="90"/>
      <c r="DCL1697" s="90"/>
      <c r="DCM1697" s="90"/>
      <c r="DCN1697" s="90"/>
      <c r="DCO1697" s="90"/>
      <c r="DCP1697" s="90"/>
      <c r="DCQ1697" s="90"/>
      <c r="DCR1697" s="90"/>
      <c r="DCS1697" s="90"/>
      <c r="DCT1697" s="90"/>
      <c r="DCU1697" s="90"/>
      <c r="DCV1697" s="90"/>
      <c r="DCW1697" s="90"/>
      <c r="DCX1697" s="90"/>
      <c r="DCY1697" s="90"/>
      <c r="DCZ1697" s="90"/>
      <c r="DDA1697" s="90"/>
      <c r="DDB1697" s="90"/>
      <c r="DDC1697" s="90"/>
      <c r="DDD1697" s="90"/>
      <c r="DDE1697" s="90"/>
      <c r="DDF1697" s="90"/>
      <c r="DDG1697" s="90"/>
      <c r="DDH1697" s="90"/>
      <c r="DDI1697" s="90"/>
      <c r="DDJ1697" s="90"/>
      <c r="DDK1697" s="90"/>
      <c r="DDL1697" s="90"/>
      <c r="DDM1697" s="90"/>
      <c r="DDN1697" s="90"/>
      <c r="DDO1697" s="90"/>
      <c r="DDP1697" s="90"/>
      <c r="DDQ1697" s="90"/>
      <c r="DDR1697" s="90"/>
      <c r="DDS1697" s="90"/>
      <c r="DDT1697" s="90"/>
      <c r="DDU1697" s="90"/>
      <c r="DDV1697" s="90"/>
      <c r="DDW1697" s="90"/>
      <c r="DDX1697" s="90"/>
      <c r="DDY1697" s="90"/>
      <c r="DDZ1697" s="90"/>
      <c r="DEA1697" s="90"/>
      <c r="DEB1697" s="90"/>
      <c r="DEC1697" s="90"/>
      <c r="DED1697" s="90"/>
      <c r="DEE1697" s="90"/>
      <c r="DEF1697" s="90"/>
      <c r="DEG1697" s="90"/>
      <c r="DEH1697" s="90"/>
      <c r="DEI1697" s="90"/>
      <c r="DEJ1697" s="90"/>
      <c r="DEK1697" s="90"/>
      <c r="DEL1697" s="90"/>
      <c r="DEM1697" s="90"/>
      <c r="DEN1697" s="90"/>
      <c r="DEO1697" s="90"/>
      <c r="DEP1697" s="90"/>
      <c r="DEQ1697" s="90"/>
      <c r="DER1697" s="90"/>
      <c r="DES1697" s="90"/>
      <c r="DET1697" s="90"/>
      <c r="DEU1697" s="90"/>
      <c r="DEV1697" s="90"/>
      <c r="DEW1697" s="90"/>
      <c r="DEX1697" s="90"/>
      <c r="DEY1697" s="90"/>
      <c r="DEZ1697" s="90"/>
      <c r="DFA1697" s="90"/>
      <c r="DFB1697" s="90"/>
      <c r="DFC1697" s="90"/>
      <c r="DFD1697" s="90"/>
      <c r="DFE1697" s="90"/>
      <c r="DFF1697" s="90"/>
      <c r="DFG1697" s="90"/>
      <c r="DFH1697" s="90"/>
      <c r="DFI1697" s="90"/>
      <c r="DFJ1697" s="90"/>
      <c r="DFK1697" s="90"/>
      <c r="DFL1697" s="90"/>
      <c r="DFM1697" s="90"/>
      <c r="DFN1697" s="90"/>
      <c r="DFO1697" s="90"/>
      <c r="DFP1697" s="90"/>
      <c r="DFQ1697" s="90"/>
      <c r="DFR1697" s="90"/>
      <c r="DFS1697" s="90"/>
      <c r="DFT1697" s="90"/>
      <c r="DFU1697" s="90"/>
      <c r="DFV1697" s="90"/>
      <c r="DFW1697" s="90"/>
      <c r="DFX1697" s="90"/>
      <c r="DFY1697" s="90"/>
      <c r="DFZ1697" s="90"/>
      <c r="DGA1697" s="90"/>
      <c r="DGB1697" s="90"/>
      <c r="DGC1697" s="90"/>
      <c r="DGD1697" s="90"/>
      <c r="DGE1697" s="90"/>
      <c r="DGF1697" s="90"/>
      <c r="DGG1697" s="90"/>
      <c r="DGH1697" s="90"/>
      <c r="DGI1697" s="90"/>
      <c r="DGJ1697" s="90"/>
      <c r="DGK1697" s="90"/>
      <c r="DGL1697" s="90"/>
      <c r="DGM1697" s="90"/>
      <c r="DGN1697" s="90"/>
      <c r="DGO1697" s="90"/>
      <c r="DGP1697" s="90"/>
      <c r="DGQ1697" s="90"/>
      <c r="DGR1697" s="90"/>
      <c r="DGS1697" s="90"/>
      <c r="DGT1697" s="90"/>
      <c r="DGU1697" s="90"/>
      <c r="DGV1697" s="90"/>
      <c r="DGW1697" s="90"/>
      <c r="DGX1697" s="90"/>
      <c r="DGY1697" s="90"/>
      <c r="DGZ1697" s="90"/>
      <c r="DHA1697" s="90"/>
      <c r="DHB1697" s="90"/>
      <c r="DHC1697" s="90"/>
      <c r="DHD1697" s="90"/>
      <c r="DHE1697" s="90"/>
      <c r="DHF1697" s="90"/>
      <c r="DHG1697" s="90"/>
      <c r="DHH1697" s="90"/>
      <c r="DHI1697" s="90"/>
      <c r="DHJ1697" s="90"/>
      <c r="DHK1697" s="90"/>
      <c r="DHL1697" s="90"/>
      <c r="DHM1697" s="90"/>
      <c r="DHN1697" s="90"/>
      <c r="DHO1697" s="90"/>
      <c r="DHP1697" s="90"/>
      <c r="DHQ1697" s="90"/>
      <c r="DHR1697" s="90"/>
      <c r="DHS1697" s="90"/>
      <c r="DHT1697" s="90"/>
      <c r="DHU1697" s="90"/>
      <c r="DHV1697" s="90"/>
      <c r="DHW1697" s="90"/>
      <c r="DHX1697" s="90"/>
      <c r="DHY1697" s="90"/>
      <c r="DHZ1697" s="90"/>
      <c r="DIA1697" s="90"/>
      <c r="DIB1697" s="90"/>
      <c r="DIC1697" s="90"/>
      <c r="DID1697" s="90"/>
      <c r="DIE1697" s="90"/>
      <c r="DIF1697" s="90"/>
      <c r="DIG1697" s="90"/>
      <c r="DIH1697" s="90"/>
      <c r="DII1697" s="90"/>
      <c r="DIJ1697" s="90"/>
      <c r="DIK1697" s="90"/>
      <c r="DIL1697" s="90"/>
      <c r="DIM1697" s="90"/>
      <c r="DIN1697" s="90"/>
      <c r="DIO1697" s="90"/>
      <c r="DIP1697" s="90"/>
      <c r="DIQ1697" s="90"/>
      <c r="DIR1697" s="90"/>
      <c r="DIS1697" s="90"/>
      <c r="DIT1697" s="90"/>
      <c r="DIU1697" s="90"/>
      <c r="DIV1697" s="90"/>
      <c r="DIW1697" s="90"/>
      <c r="DIX1697" s="90"/>
      <c r="DIY1697" s="90"/>
      <c r="DIZ1697" s="90"/>
      <c r="DJA1697" s="90"/>
      <c r="DJB1697" s="90"/>
      <c r="DJC1697" s="90"/>
      <c r="DJD1697" s="90"/>
      <c r="DJE1697" s="90"/>
      <c r="DJF1697" s="90"/>
      <c r="DJG1697" s="90"/>
      <c r="DJH1697" s="90"/>
      <c r="DJI1697" s="90"/>
      <c r="DJJ1697" s="90"/>
      <c r="DJK1697" s="90"/>
      <c r="DJL1697" s="90"/>
      <c r="DJM1697" s="90"/>
      <c r="DJN1697" s="90"/>
      <c r="DJO1697" s="90"/>
      <c r="DJP1697" s="90"/>
      <c r="DJQ1697" s="90"/>
      <c r="DJR1697" s="90"/>
      <c r="DJS1697" s="90"/>
      <c r="DJT1697" s="90"/>
      <c r="DJU1697" s="90"/>
      <c r="DJV1697" s="90"/>
      <c r="DJW1697" s="90"/>
      <c r="DJX1697" s="90"/>
      <c r="DJY1697" s="90"/>
      <c r="DJZ1697" s="90"/>
      <c r="DKA1697" s="90"/>
      <c r="DKB1697" s="90"/>
      <c r="DKC1697" s="90"/>
      <c r="DKD1697" s="90"/>
      <c r="DKE1697" s="90"/>
      <c r="DKF1697" s="90"/>
      <c r="DKG1697" s="90"/>
      <c r="DKH1697" s="90"/>
      <c r="DKI1697" s="90"/>
      <c r="DKJ1697" s="90"/>
      <c r="DKK1697" s="90"/>
      <c r="DKL1697" s="90"/>
      <c r="DKM1697" s="90"/>
      <c r="DKN1697" s="90"/>
      <c r="DKO1697" s="90"/>
      <c r="DKP1697" s="90"/>
      <c r="DKQ1697" s="90"/>
      <c r="DKR1697" s="90"/>
      <c r="DKS1697" s="90"/>
      <c r="DKT1697" s="90"/>
      <c r="DKU1697" s="90"/>
      <c r="DKV1697" s="90"/>
      <c r="DKW1697" s="90"/>
      <c r="DKX1697" s="90"/>
      <c r="DKY1697" s="90"/>
      <c r="DKZ1697" s="90"/>
      <c r="DLA1697" s="90"/>
      <c r="DLB1697" s="90"/>
      <c r="DLC1697" s="90"/>
      <c r="DLD1697" s="90"/>
      <c r="DLE1697" s="90"/>
      <c r="DLF1697" s="90"/>
      <c r="DLG1697" s="90"/>
      <c r="DLH1697" s="90"/>
      <c r="DLI1697" s="90"/>
      <c r="DLJ1697" s="90"/>
      <c r="DLK1697" s="90"/>
      <c r="DLL1697" s="90"/>
      <c r="DLM1697" s="90"/>
      <c r="DLN1697" s="90"/>
      <c r="DLO1697" s="90"/>
      <c r="DLP1697" s="90"/>
      <c r="DLQ1697" s="90"/>
      <c r="DLR1697" s="90"/>
      <c r="DLS1697" s="90"/>
      <c r="DLT1697" s="90"/>
      <c r="DLU1697" s="90"/>
      <c r="DLV1697" s="90"/>
      <c r="DLW1697" s="90"/>
      <c r="DLX1697" s="90"/>
      <c r="DLY1697" s="90"/>
      <c r="DLZ1697" s="90"/>
      <c r="DMA1697" s="90"/>
      <c r="DMB1697" s="90"/>
      <c r="DMC1697" s="90"/>
      <c r="DMD1697" s="90"/>
      <c r="DME1697" s="90"/>
      <c r="DMF1697" s="90"/>
      <c r="DMG1697" s="90"/>
      <c r="DMH1697" s="90"/>
      <c r="DMI1697" s="90"/>
      <c r="DMJ1697" s="90"/>
      <c r="DMK1697" s="90"/>
      <c r="DML1697" s="90"/>
      <c r="DMM1697" s="90"/>
      <c r="DMN1697" s="90"/>
      <c r="DMO1697" s="90"/>
      <c r="DMP1697" s="90"/>
      <c r="DMQ1697" s="90"/>
      <c r="DMR1697" s="90"/>
      <c r="DMS1697" s="90"/>
      <c r="DMT1697" s="90"/>
      <c r="DMU1697" s="90"/>
      <c r="DMV1697" s="90"/>
      <c r="DMW1697" s="90"/>
      <c r="DMX1697" s="90"/>
      <c r="DMY1697" s="90"/>
      <c r="DMZ1697" s="90"/>
      <c r="DNA1697" s="90"/>
      <c r="DNB1697" s="90"/>
      <c r="DNC1697" s="90"/>
      <c r="DND1697" s="90"/>
      <c r="DNE1697" s="90"/>
      <c r="DNF1697" s="90"/>
      <c r="DNG1697" s="90"/>
      <c r="DNH1697" s="90"/>
      <c r="DNI1697" s="90"/>
      <c r="DNJ1697" s="90"/>
      <c r="DNK1697" s="90"/>
      <c r="DNL1697" s="90"/>
      <c r="DNM1697" s="90"/>
      <c r="DNN1697" s="90"/>
      <c r="DNO1697" s="90"/>
      <c r="DNP1697" s="90"/>
      <c r="DNQ1697" s="90"/>
      <c r="DNR1697" s="90"/>
      <c r="DNS1697" s="90"/>
      <c r="DNT1697" s="90"/>
      <c r="DNU1697" s="90"/>
      <c r="DNV1697" s="90"/>
      <c r="DNW1697" s="90"/>
      <c r="DNX1697" s="90"/>
      <c r="DNY1697" s="90"/>
      <c r="DNZ1697" s="90"/>
      <c r="DOA1697" s="90"/>
      <c r="DOB1697" s="90"/>
      <c r="DOC1697" s="90"/>
      <c r="DOD1697" s="90"/>
      <c r="DOE1697" s="90"/>
      <c r="DOF1697" s="90"/>
      <c r="DOG1697" s="90"/>
      <c r="DOH1697" s="90"/>
      <c r="DOI1697" s="90"/>
      <c r="DOJ1697" s="90"/>
      <c r="DOK1697" s="90"/>
      <c r="DOL1697" s="90"/>
      <c r="DOM1697" s="90"/>
      <c r="DON1697" s="90"/>
      <c r="DOO1697" s="90"/>
      <c r="DOP1697" s="90"/>
      <c r="DOQ1697" s="90"/>
      <c r="DOR1697" s="90"/>
      <c r="DOS1697" s="90"/>
      <c r="DOT1697" s="90"/>
      <c r="DOU1697" s="90"/>
      <c r="DOV1697" s="90"/>
      <c r="DOW1697" s="90"/>
      <c r="DOX1697" s="90"/>
      <c r="DOY1697" s="90"/>
      <c r="DOZ1697" s="90"/>
      <c r="DPA1697" s="90"/>
      <c r="DPB1697" s="90"/>
      <c r="DPC1697" s="90"/>
      <c r="DPD1697" s="90"/>
      <c r="DPE1697" s="90"/>
      <c r="DPF1697" s="90"/>
      <c r="DPG1697" s="90"/>
      <c r="DPH1697" s="90"/>
      <c r="DPI1697" s="90"/>
      <c r="DPJ1697" s="90"/>
      <c r="DPK1697" s="90"/>
      <c r="DPL1697" s="90"/>
      <c r="DPM1697" s="90"/>
      <c r="DPN1697" s="90"/>
      <c r="DPO1697" s="90"/>
      <c r="DPP1697" s="90"/>
      <c r="DPQ1697" s="90"/>
      <c r="DPR1697" s="90"/>
      <c r="DPS1697" s="90"/>
      <c r="DPT1697" s="90"/>
      <c r="DPU1697" s="90"/>
      <c r="DPV1697" s="90"/>
      <c r="DPW1697" s="90"/>
      <c r="DPX1697" s="90"/>
      <c r="DPY1697" s="90"/>
      <c r="DPZ1697" s="90"/>
      <c r="DQA1697" s="90"/>
      <c r="DQB1697" s="90"/>
      <c r="DQC1697" s="90"/>
      <c r="DQD1697" s="90"/>
      <c r="DQE1697" s="90"/>
      <c r="DQF1697" s="90"/>
      <c r="DQG1697" s="90"/>
      <c r="DQH1697" s="90"/>
      <c r="DQI1697" s="90"/>
      <c r="DQJ1697" s="90"/>
      <c r="DQK1697" s="90"/>
      <c r="DQL1697" s="90"/>
      <c r="DQM1697" s="90"/>
      <c r="DQN1697" s="90"/>
      <c r="DQO1697" s="90"/>
      <c r="DQP1697" s="90"/>
      <c r="DQQ1697" s="90"/>
      <c r="DQR1697" s="90"/>
      <c r="DQS1697" s="90"/>
      <c r="DQT1697" s="90"/>
      <c r="DQU1697" s="90"/>
      <c r="DQV1697" s="90"/>
      <c r="DQW1697" s="90"/>
      <c r="DQX1697" s="90"/>
      <c r="DQY1697" s="90"/>
      <c r="DQZ1697" s="90"/>
      <c r="DRA1697" s="90"/>
      <c r="DRB1697" s="90"/>
      <c r="DRC1697" s="90"/>
      <c r="DRD1697" s="90"/>
      <c r="DRE1697" s="90"/>
      <c r="DRF1697" s="90"/>
      <c r="DRG1697" s="90"/>
      <c r="DRH1697" s="90"/>
      <c r="DRI1697" s="90"/>
      <c r="DRJ1697" s="90"/>
      <c r="DRK1697" s="90"/>
      <c r="DRL1697" s="90"/>
      <c r="DRM1697" s="90"/>
      <c r="DRN1697" s="90"/>
      <c r="DRO1697" s="90"/>
      <c r="DRP1697" s="90"/>
      <c r="DRQ1697" s="90"/>
      <c r="DRR1697" s="90"/>
      <c r="DRS1697" s="90"/>
      <c r="DRT1697" s="90"/>
      <c r="DRU1697" s="90"/>
      <c r="DRV1697" s="90"/>
      <c r="DRW1697" s="90"/>
      <c r="DRX1697" s="90"/>
      <c r="DRY1697" s="90"/>
      <c r="DRZ1697" s="90"/>
      <c r="DSA1697" s="90"/>
      <c r="DSB1697" s="90"/>
      <c r="DSC1697" s="90"/>
      <c r="DSD1697" s="90"/>
      <c r="DSE1697" s="90"/>
      <c r="DSF1697" s="90"/>
      <c r="DSG1697" s="90"/>
      <c r="DSH1697" s="90"/>
      <c r="DSI1697" s="90"/>
      <c r="DSJ1697" s="90"/>
      <c r="DSK1697" s="90"/>
      <c r="DSL1697" s="90"/>
      <c r="DSM1697" s="90"/>
      <c r="DSN1697" s="90"/>
      <c r="DSO1697" s="90"/>
      <c r="DSP1697" s="90"/>
      <c r="DSQ1697" s="90"/>
      <c r="DSR1697" s="90"/>
      <c r="DSS1697" s="90"/>
      <c r="DST1697" s="90"/>
      <c r="DSU1697" s="90"/>
      <c r="DSV1697" s="90"/>
      <c r="DSW1697" s="90"/>
      <c r="DSX1697" s="90"/>
      <c r="DSY1697" s="90"/>
      <c r="DSZ1697" s="90"/>
      <c r="DTA1697" s="90"/>
      <c r="DTB1697" s="90"/>
      <c r="DTC1697" s="90"/>
      <c r="DTD1697" s="90"/>
      <c r="DTE1697" s="90"/>
      <c r="DTF1697" s="90"/>
      <c r="DTG1697" s="90"/>
      <c r="DTH1697" s="90"/>
      <c r="DTI1697" s="90"/>
      <c r="DTJ1697" s="90"/>
      <c r="DTK1697" s="90"/>
      <c r="DTL1697" s="90"/>
      <c r="DTM1697" s="90"/>
      <c r="DTN1697" s="90"/>
      <c r="DTO1697" s="90"/>
      <c r="DTP1697" s="90"/>
      <c r="DTQ1697" s="90"/>
      <c r="DTR1697" s="90"/>
      <c r="DTS1697" s="90"/>
      <c r="DTT1697" s="90"/>
      <c r="DTU1697" s="90"/>
      <c r="DTV1697" s="90"/>
      <c r="DTW1697" s="90"/>
      <c r="DTX1697" s="90"/>
      <c r="DTY1697" s="90"/>
      <c r="DTZ1697" s="90"/>
      <c r="DUA1697" s="90"/>
      <c r="DUB1697" s="90"/>
      <c r="DUC1697" s="90"/>
      <c r="DUD1697" s="90"/>
      <c r="DUE1697" s="90"/>
      <c r="DUF1697" s="90"/>
      <c r="DUG1697" s="90"/>
      <c r="DUH1697" s="90"/>
      <c r="DUI1697" s="90"/>
      <c r="DUJ1697" s="90"/>
      <c r="DUK1697" s="90"/>
      <c r="DUL1697" s="90"/>
      <c r="DUM1697" s="90"/>
      <c r="DUN1697" s="90"/>
      <c r="DUO1697" s="90"/>
      <c r="DUP1697" s="90"/>
      <c r="DUQ1697" s="90"/>
      <c r="DUR1697" s="90"/>
      <c r="DUS1697" s="90"/>
      <c r="DUT1697" s="90"/>
      <c r="DUU1697" s="90"/>
      <c r="DUV1697" s="90"/>
      <c r="DUW1697" s="90"/>
      <c r="DUX1697" s="90"/>
      <c r="DUY1697" s="90"/>
      <c r="DUZ1697" s="90"/>
      <c r="DVA1697" s="90"/>
      <c r="DVB1697" s="90"/>
      <c r="DVC1697" s="90"/>
      <c r="DVD1697" s="90"/>
      <c r="DVE1697" s="90"/>
      <c r="DVF1697" s="90"/>
      <c r="DVG1697" s="90"/>
      <c r="DVH1697" s="90"/>
      <c r="DVI1697" s="90"/>
      <c r="DVJ1697" s="90"/>
      <c r="DVK1697" s="90"/>
      <c r="DVL1697" s="90"/>
      <c r="DVM1697" s="90"/>
      <c r="DVN1697" s="90"/>
      <c r="DVO1697" s="90"/>
      <c r="DVP1697" s="90"/>
      <c r="DVQ1697" s="90"/>
      <c r="DVR1697" s="90"/>
      <c r="DVS1697" s="90"/>
      <c r="DVT1697" s="90"/>
      <c r="DVU1697" s="90"/>
      <c r="DVV1697" s="90"/>
      <c r="DVW1697" s="90"/>
      <c r="DVX1697" s="90"/>
      <c r="DVY1697" s="90"/>
      <c r="DVZ1697" s="90"/>
      <c r="DWA1697" s="90"/>
      <c r="DWB1697" s="90"/>
      <c r="DWC1697" s="90"/>
      <c r="DWD1697" s="90"/>
      <c r="DWE1697" s="90"/>
      <c r="DWF1697" s="90"/>
      <c r="DWG1697" s="90"/>
      <c r="DWH1697" s="90"/>
      <c r="DWI1697" s="90"/>
      <c r="DWJ1697" s="90"/>
      <c r="DWK1697" s="90"/>
      <c r="DWL1697" s="90"/>
      <c r="DWM1697" s="90"/>
      <c r="DWN1697" s="90"/>
      <c r="DWO1697" s="90"/>
      <c r="DWP1697" s="90"/>
      <c r="DWQ1697" s="90"/>
      <c r="DWR1697" s="90"/>
      <c r="DWS1697" s="90"/>
      <c r="DWT1697" s="90"/>
      <c r="DWU1697" s="90"/>
      <c r="DWV1697" s="90"/>
      <c r="DWW1697" s="90"/>
      <c r="DWX1697" s="90"/>
      <c r="DWY1697" s="90"/>
      <c r="DWZ1697" s="90"/>
      <c r="DXA1697" s="90"/>
      <c r="DXB1697" s="90"/>
      <c r="DXC1697" s="90"/>
      <c r="DXD1697" s="90"/>
      <c r="DXE1697" s="90"/>
      <c r="DXF1697" s="90"/>
      <c r="DXG1697" s="90"/>
      <c r="DXH1697" s="90"/>
      <c r="DXI1697" s="90"/>
      <c r="DXJ1697" s="90"/>
      <c r="DXK1697" s="90"/>
      <c r="DXL1697" s="90"/>
      <c r="DXM1697" s="90"/>
      <c r="DXN1697" s="90"/>
      <c r="DXO1697" s="90"/>
      <c r="DXP1697" s="90"/>
      <c r="DXQ1697" s="90"/>
      <c r="DXR1697" s="90"/>
      <c r="DXS1697" s="90"/>
      <c r="DXT1697" s="90"/>
      <c r="DXU1697" s="90"/>
      <c r="DXV1697" s="90"/>
      <c r="DXW1697" s="90"/>
      <c r="DXX1697" s="90"/>
      <c r="DXY1697" s="90"/>
      <c r="DXZ1697" s="90"/>
      <c r="DYA1697" s="90"/>
      <c r="DYB1697" s="90"/>
      <c r="DYC1697" s="90"/>
      <c r="DYD1697" s="90"/>
      <c r="DYE1697" s="90"/>
      <c r="DYF1697" s="90"/>
      <c r="DYG1697" s="90"/>
      <c r="DYH1697" s="90"/>
      <c r="DYI1697" s="90"/>
      <c r="DYJ1697" s="90"/>
      <c r="DYK1697" s="90"/>
      <c r="DYL1697" s="90"/>
      <c r="DYM1697" s="90"/>
      <c r="DYN1697" s="90"/>
      <c r="DYO1697" s="90"/>
      <c r="DYP1697" s="90"/>
      <c r="DYQ1697" s="90"/>
      <c r="DYR1697" s="90"/>
      <c r="DYS1697" s="90"/>
      <c r="DYT1697" s="90"/>
      <c r="DYU1697" s="90"/>
      <c r="DYV1697" s="90"/>
      <c r="DYW1697" s="90"/>
      <c r="DYX1697" s="90"/>
      <c r="DYY1697" s="90"/>
      <c r="DYZ1697" s="90"/>
      <c r="DZA1697" s="90"/>
      <c r="DZB1697" s="90"/>
      <c r="DZC1697" s="90"/>
      <c r="DZD1697" s="90"/>
      <c r="DZE1697" s="90"/>
      <c r="DZF1697" s="90"/>
      <c r="DZG1697" s="90"/>
      <c r="DZH1697" s="90"/>
      <c r="DZI1697" s="90"/>
      <c r="DZJ1697" s="90"/>
      <c r="DZK1697" s="90"/>
      <c r="DZL1697" s="90"/>
      <c r="DZM1697" s="90"/>
      <c r="DZN1697" s="90"/>
      <c r="DZO1697" s="90"/>
      <c r="DZP1697" s="90"/>
      <c r="DZQ1697" s="90"/>
      <c r="DZR1697" s="90"/>
      <c r="DZS1697" s="90"/>
      <c r="DZT1697" s="90"/>
      <c r="DZU1697" s="90"/>
      <c r="DZV1697" s="90"/>
      <c r="DZW1697" s="90"/>
      <c r="DZX1697" s="90"/>
      <c r="DZY1697" s="90"/>
      <c r="DZZ1697" s="90"/>
      <c r="EAA1697" s="90"/>
      <c r="EAB1697" s="90"/>
      <c r="EAC1697" s="90"/>
      <c r="EAD1697" s="90"/>
      <c r="EAE1697" s="90"/>
      <c r="EAF1697" s="90"/>
      <c r="EAG1697" s="90"/>
      <c r="EAH1697" s="90"/>
      <c r="EAI1697" s="90"/>
      <c r="EAJ1697" s="90"/>
      <c r="EAK1697" s="90"/>
      <c r="EAL1697" s="90"/>
      <c r="EAM1697" s="90"/>
      <c r="EAN1697" s="90"/>
      <c r="EAO1697" s="90"/>
      <c r="EAP1697" s="90"/>
      <c r="EAQ1697" s="90"/>
      <c r="EAR1697" s="90"/>
      <c r="EAS1697" s="90"/>
      <c r="EAT1697" s="90"/>
      <c r="EAU1697" s="90"/>
      <c r="EAV1697" s="90"/>
      <c r="EAW1697" s="90"/>
      <c r="EAX1697" s="90"/>
      <c r="EAY1697" s="90"/>
      <c r="EAZ1697" s="90"/>
      <c r="EBA1697" s="90"/>
      <c r="EBB1697" s="90"/>
      <c r="EBC1697" s="90"/>
      <c r="EBD1697" s="90"/>
      <c r="EBE1697" s="90"/>
      <c r="EBF1697" s="90"/>
      <c r="EBG1697" s="90"/>
      <c r="EBH1697" s="90"/>
      <c r="EBI1697" s="90"/>
      <c r="EBJ1697" s="90"/>
      <c r="EBK1697" s="90"/>
      <c r="EBL1697" s="90"/>
      <c r="EBM1697" s="90"/>
      <c r="EBN1697" s="90"/>
      <c r="EBO1697" s="90"/>
      <c r="EBP1697" s="90"/>
      <c r="EBQ1697" s="90"/>
      <c r="EBR1697" s="90"/>
      <c r="EBS1697" s="90"/>
      <c r="EBT1697" s="90"/>
      <c r="EBU1697" s="90"/>
      <c r="EBV1697" s="90"/>
      <c r="EBW1697" s="90"/>
      <c r="EBX1697" s="90"/>
      <c r="EBY1697" s="90"/>
      <c r="EBZ1697" s="90"/>
      <c r="ECA1697" s="90"/>
      <c r="ECB1697" s="90"/>
      <c r="ECC1697" s="90"/>
      <c r="ECD1697" s="90"/>
      <c r="ECE1697" s="90"/>
      <c r="ECF1697" s="90"/>
      <c r="ECG1697" s="90"/>
      <c r="ECH1697" s="90"/>
      <c r="ECI1697" s="90"/>
      <c r="ECJ1697" s="90"/>
      <c r="ECK1697" s="90"/>
      <c r="ECL1697" s="90"/>
      <c r="ECM1697" s="90"/>
      <c r="ECN1697" s="90"/>
      <c r="ECO1697" s="90"/>
      <c r="ECP1697" s="90"/>
      <c r="ECQ1697" s="90"/>
      <c r="ECR1697" s="90"/>
      <c r="ECS1697" s="90"/>
      <c r="ECT1697" s="90"/>
      <c r="ECU1697" s="90"/>
      <c r="ECV1697" s="90"/>
      <c r="ECW1697" s="90"/>
      <c r="ECX1697" s="90"/>
      <c r="ECY1697" s="90"/>
      <c r="ECZ1697" s="90"/>
      <c r="EDA1697" s="90"/>
      <c r="EDB1697" s="90"/>
      <c r="EDC1697" s="90"/>
      <c r="EDD1697" s="90"/>
      <c r="EDE1697" s="90"/>
      <c r="EDF1697" s="90"/>
      <c r="EDG1697" s="90"/>
      <c r="EDH1697" s="90"/>
      <c r="EDI1697" s="90"/>
      <c r="EDJ1697" s="90"/>
      <c r="EDK1697" s="90"/>
      <c r="EDL1697" s="90"/>
      <c r="EDM1697" s="90"/>
      <c r="EDN1697" s="90"/>
      <c r="EDO1697" s="90"/>
      <c r="EDP1697" s="90"/>
      <c r="EDQ1697" s="90"/>
      <c r="EDR1697" s="90"/>
      <c r="EDS1697" s="90"/>
      <c r="EDT1697" s="90"/>
      <c r="EDU1697" s="90"/>
      <c r="EDV1697" s="90"/>
      <c r="EDW1697" s="90"/>
      <c r="EDX1697" s="90"/>
      <c r="EDY1697" s="90"/>
      <c r="EDZ1697" s="90"/>
      <c r="EEA1697" s="90"/>
      <c r="EEB1697" s="90"/>
      <c r="EEC1697" s="90"/>
      <c r="EED1697" s="90"/>
      <c r="EEE1697" s="90"/>
      <c r="EEF1697" s="90"/>
      <c r="EEG1697" s="90"/>
      <c r="EEH1697" s="90"/>
      <c r="EEI1697" s="90"/>
      <c r="EEJ1697" s="90"/>
      <c r="EEK1697" s="90"/>
      <c r="EEL1697" s="90"/>
      <c r="EEM1697" s="90"/>
      <c r="EEN1697" s="90"/>
      <c r="EEO1697" s="90"/>
      <c r="EEP1697" s="90"/>
      <c r="EEQ1697" s="90"/>
      <c r="EER1697" s="90"/>
      <c r="EES1697" s="90"/>
      <c r="EET1697" s="90"/>
      <c r="EEU1697" s="90"/>
      <c r="EEV1697" s="90"/>
      <c r="EEW1697" s="90"/>
      <c r="EEX1697" s="90"/>
      <c r="EEY1697" s="90"/>
      <c r="EEZ1697" s="90"/>
      <c r="EFA1697" s="90"/>
      <c r="EFB1697" s="90"/>
      <c r="EFC1697" s="90"/>
      <c r="EFD1697" s="90"/>
      <c r="EFE1697" s="90"/>
      <c r="EFF1697" s="90"/>
      <c r="EFG1697" s="90"/>
      <c r="EFH1697" s="90"/>
      <c r="EFI1697" s="90"/>
      <c r="EFJ1697" s="90"/>
      <c r="EFK1697" s="90"/>
      <c r="EFL1697" s="90"/>
      <c r="EFM1697" s="90"/>
      <c r="EFN1697" s="90"/>
      <c r="EFO1697" s="90"/>
      <c r="EFP1697" s="90"/>
      <c r="EFQ1697" s="90"/>
      <c r="EFR1697" s="90"/>
      <c r="EFS1697" s="90"/>
      <c r="EFT1697" s="90"/>
      <c r="EFU1697" s="90"/>
      <c r="EFV1697" s="90"/>
      <c r="EFW1697" s="90"/>
      <c r="EFX1697" s="90"/>
      <c r="EFY1697" s="90"/>
      <c r="EFZ1697" s="90"/>
      <c r="EGA1697" s="90"/>
      <c r="EGB1697" s="90"/>
      <c r="EGC1697" s="90"/>
      <c r="EGD1697" s="90"/>
      <c r="EGE1697" s="90"/>
      <c r="EGF1697" s="90"/>
      <c r="EGG1697" s="90"/>
      <c r="EGH1697" s="90"/>
      <c r="EGI1697" s="90"/>
      <c r="EGJ1697" s="90"/>
      <c r="EGK1697" s="90"/>
      <c r="EGL1697" s="90"/>
      <c r="EGM1697" s="90"/>
      <c r="EGN1697" s="90"/>
      <c r="EGO1697" s="90"/>
      <c r="EGP1697" s="90"/>
      <c r="EGQ1697" s="90"/>
      <c r="EGR1697" s="90"/>
      <c r="EGS1697" s="90"/>
      <c r="EGT1697" s="90"/>
      <c r="EGU1697" s="90"/>
      <c r="EGV1697" s="90"/>
      <c r="EGW1697" s="90"/>
      <c r="EGX1697" s="90"/>
      <c r="EGY1697" s="90"/>
      <c r="EGZ1697" s="90"/>
      <c r="EHA1697" s="90"/>
      <c r="EHB1697" s="90"/>
      <c r="EHC1697" s="90"/>
      <c r="EHD1697" s="90"/>
      <c r="EHE1697" s="90"/>
      <c r="EHF1697" s="90"/>
      <c r="EHG1697" s="90"/>
      <c r="EHH1697" s="90"/>
      <c r="EHI1697" s="90"/>
      <c r="EHJ1697" s="90"/>
      <c r="EHK1697" s="90"/>
      <c r="EHL1697" s="90"/>
      <c r="EHM1697" s="90"/>
      <c r="EHN1697" s="90"/>
      <c r="EHO1697" s="90"/>
      <c r="EHP1697" s="90"/>
      <c r="EHQ1697" s="90"/>
      <c r="EHR1697" s="90"/>
      <c r="EHS1697" s="90"/>
      <c r="EHT1697" s="90"/>
      <c r="EHU1697" s="90"/>
      <c r="EHV1697" s="90"/>
      <c r="EHW1697" s="90"/>
      <c r="EHX1697" s="90"/>
      <c r="EHY1697" s="90"/>
      <c r="EHZ1697" s="90"/>
      <c r="EIA1697" s="90"/>
      <c r="EIB1697" s="90"/>
      <c r="EIC1697" s="90"/>
      <c r="EID1697" s="90"/>
      <c r="EIE1697" s="90"/>
      <c r="EIF1697" s="90"/>
      <c r="EIG1697" s="90"/>
      <c r="EIH1697" s="90"/>
      <c r="EII1697" s="90"/>
      <c r="EIJ1697" s="90"/>
      <c r="EIK1697" s="90"/>
      <c r="EIL1697" s="90"/>
      <c r="EIM1697" s="90"/>
      <c r="EIN1697" s="90"/>
      <c r="EIO1697" s="90"/>
      <c r="EIP1697" s="90"/>
      <c r="EIQ1697" s="90"/>
      <c r="EIR1697" s="90"/>
      <c r="EIS1697" s="90"/>
      <c r="EIT1697" s="90"/>
      <c r="EIU1697" s="90"/>
      <c r="EIV1697" s="90"/>
      <c r="EIW1697" s="90"/>
      <c r="EIX1697" s="90"/>
      <c r="EIY1697" s="90"/>
      <c r="EIZ1697" s="90"/>
      <c r="EJA1697" s="90"/>
      <c r="EJB1697" s="90"/>
      <c r="EJC1697" s="90"/>
      <c r="EJD1697" s="90"/>
      <c r="EJE1697" s="90"/>
      <c r="EJF1697" s="90"/>
      <c r="EJG1697" s="90"/>
      <c r="EJH1697" s="90"/>
      <c r="EJI1697" s="90"/>
      <c r="EJJ1697" s="90"/>
      <c r="EJK1697" s="90"/>
      <c r="EJL1697" s="90"/>
      <c r="EJM1697" s="90"/>
      <c r="EJN1697" s="90"/>
      <c r="EJO1697" s="90"/>
      <c r="EJP1697" s="90"/>
      <c r="EJQ1697" s="90"/>
      <c r="EJR1697" s="90"/>
      <c r="EJS1697" s="90"/>
      <c r="EJT1697" s="90"/>
      <c r="EJU1697" s="90"/>
      <c r="EJV1697" s="90"/>
      <c r="EJW1697" s="90"/>
      <c r="EJX1697" s="90"/>
      <c r="EJY1697" s="90"/>
      <c r="EJZ1697" s="90"/>
      <c r="EKA1697" s="90"/>
      <c r="EKB1697" s="90"/>
      <c r="EKC1697" s="90"/>
      <c r="EKD1697" s="90"/>
      <c r="EKE1697" s="90"/>
      <c r="EKF1697" s="90"/>
      <c r="EKG1697" s="90"/>
      <c r="EKH1697" s="90"/>
      <c r="EKI1697" s="90"/>
      <c r="EKJ1697" s="90"/>
      <c r="EKK1697" s="90"/>
      <c r="EKL1697" s="90"/>
      <c r="EKM1697" s="90"/>
      <c r="EKN1697" s="90"/>
      <c r="EKO1697" s="90"/>
      <c r="EKP1697" s="90"/>
      <c r="EKQ1697" s="90"/>
      <c r="EKR1697" s="90"/>
      <c r="EKS1697" s="90"/>
      <c r="EKT1697" s="90"/>
      <c r="EKU1697" s="90"/>
      <c r="EKV1697" s="90"/>
      <c r="EKW1697" s="90"/>
      <c r="EKX1697" s="90"/>
      <c r="EKY1697" s="90"/>
      <c r="EKZ1697" s="90"/>
      <c r="ELA1697" s="90"/>
      <c r="ELB1697" s="90"/>
      <c r="ELC1697" s="90"/>
      <c r="ELD1697" s="90"/>
      <c r="ELE1697" s="90"/>
      <c r="ELF1697" s="90"/>
      <c r="ELG1697" s="90"/>
      <c r="ELH1697" s="90"/>
      <c r="ELI1697" s="90"/>
      <c r="ELJ1697" s="90"/>
      <c r="ELK1697" s="90"/>
      <c r="ELL1697" s="90"/>
      <c r="ELM1697" s="90"/>
      <c r="ELN1697" s="90"/>
      <c r="ELO1697" s="90"/>
      <c r="ELP1697" s="90"/>
      <c r="ELQ1697" s="90"/>
      <c r="ELR1697" s="90"/>
      <c r="ELS1697" s="90"/>
      <c r="ELT1697" s="90"/>
      <c r="ELU1697" s="90"/>
      <c r="ELV1697" s="90"/>
      <c r="ELW1697" s="90"/>
      <c r="ELX1697" s="90"/>
      <c r="ELY1697" s="90"/>
      <c r="ELZ1697" s="90"/>
      <c r="EMA1697" s="90"/>
      <c r="EMB1697" s="90"/>
      <c r="EMC1697" s="90"/>
      <c r="EMD1697" s="90"/>
      <c r="EME1697" s="90"/>
      <c r="EMF1697" s="90"/>
      <c r="EMG1697" s="90"/>
      <c r="EMH1697" s="90"/>
      <c r="EMI1697" s="90"/>
      <c r="EMJ1697" s="90"/>
      <c r="EMK1697" s="90"/>
      <c r="EML1697" s="90"/>
      <c r="EMM1697" s="90"/>
      <c r="EMN1697" s="90"/>
      <c r="EMO1697" s="90"/>
      <c r="EMP1697" s="90"/>
      <c r="EMQ1697" s="90"/>
      <c r="EMR1697" s="90"/>
      <c r="EMS1697" s="90"/>
      <c r="EMT1697" s="90"/>
      <c r="EMU1697" s="90"/>
      <c r="EMV1697" s="90"/>
      <c r="EMW1697" s="90"/>
      <c r="EMX1697" s="90"/>
      <c r="EMY1697" s="90"/>
      <c r="EMZ1697" s="90"/>
      <c r="ENA1697" s="90"/>
      <c r="ENB1697" s="90"/>
      <c r="ENC1697" s="90"/>
      <c r="END1697" s="90"/>
      <c r="ENE1697" s="90"/>
      <c r="ENF1697" s="90"/>
      <c r="ENG1697" s="90"/>
      <c r="ENH1697" s="90"/>
      <c r="ENI1697" s="90"/>
      <c r="ENJ1697" s="90"/>
      <c r="ENK1697" s="90"/>
      <c r="ENL1697" s="90"/>
      <c r="ENM1697" s="90"/>
      <c r="ENN1697" s="90"/>
      <c r="ENO1697" s="90"/>
      <c r="ENP1697" s="90"/>
      <c r="ENQ1697" s="90"/>
      <c r="ENR1697" s="90"/>
      <c r="ENS1697" s="90"/>
      <c r="ENT1697" s="90"/>
      <c r="ENU1697" s="90"/>
      <c r="ENV1697" s="90"/>
      <c r="ENW1697" s="90"/>
      <c r="ENX1697" s="90"/>
      <c r="ENY1697" s="90"/>
      <c r="ENZ1697" s="90"/>
      <c r="EOA1697" s="90"/>
      <c r="EOB1697" s="90"/>
      <c r="EOC1697" s="90"/>
      <c r="EOD1697" s="90"/>
      <c r="EOE1697" s="90"/>
      <c r="EOF1697" s="90"/>
      <c r="EOG1697" s="90"/>
      <c r="EOH1697" s="90"/>
      <c r="EOI1697" s="90"/>
      <c r="EOJ1697" s="90"/>
      <c r="EOK1697" s="90"/>
      <c r="EOL1697" s="90"/>
      <c r="EOM1697" s="90"/>
      <c r="EON1697" s="90"/>
      <c r="EOO1697" s="90"/>
      <c r="EOP1697" s="90"/>
      <c r="EOQ1697" s="90"/>
      <c r="EOR1697" s="90"/>
      <c r="EOS1697" s="90"/>
      <c r="EOT1697" s="90"/>
      <c r="EOU1697" s="90"/>
      <c r="EOV1697" s="90"/>
      <c r="EOW1697" s="90"/>
      <c r="EOX1697" s="90"/>
      <c r="EOY1697" s="90"/>
      <c r="EOZ1697" s="90"/>
      <c r="EPA1697" s="90"/>
      <c r="EPB1697" s="90"/>
      <c r="EPC1697" s="90"/>
      <c r="EPD1697" s="90"/>
      <c r="EPE1697" s="90"/>
      <c r="EPF1697" s="90"/>
      <c r="EPG1697" s="90"/>
      <c r="EPH1697" s="90"/>
      <c r="EPI1697" s="90"/>
      <c r="EPJ1697" s="90"/>
      <c r="EPK1697" s="90"/>
      <c r="EPL1697" s="90"/>
      <c r="EPM1697" s="90"/>
      <c r="EPN1697" s="90"/>
      <c r="EPO1697" s="90"/>
      <c r="EPP1697" s="90"/>
      <c r="EPQ1697" s="90"/>
      <c r="EPR1697" s="90"/>
      <c r="EPS1697" s="90"/>
      <c r="EPT1697" s="90"/>
      <c r="EPU1697" s="90"/>
      <c r="EPV1697" s="90"/>
      <c r="EPW1697" s="90"/>
      <c r="EPX1697" s="90"/>
      <c r="EPY1697" s="90"/>
      <c r="EPZ1697" s="90"/>
      <c r="EQA1697" s="90"/>
      <c r="EQB1697" s="90"/>
      <c r="EQC1697" s="90"/>
      <c r="EQD1697" s="90"/>
      <c r="EQE1697" s="90"/>
      <c r="EQF1697" s="90"/>
      <c r="EQG1697" s="90"/>
      <c r="EQH1697" s="90"/>
      <c r="EQI1697" s="90"/>
      <c r="EQJ1697" s="90"/>
      <c r="EQK1697" s="90"/>
      <c r="EQL1697" s="90"/>
      <c r="EQM1697" s="90"/>
      <c r="EQN1697" s="90"/>
      <c r="EQO1697" s="90"/>
      <c r="EQP1697" s="90"/>
      <c r="EQQ1697" s="90"/>
      <c r="EQR1697" s="90"/>
      <c r="EQS1697" s="90"/>
      <c r="EQT1697" s="90"/>
      <c r="EQU1697" s="90"/>
      <c r="EQV1697" s="90"/>
      <c r="EQW1697" s="90"/>
      <c r="EQX1697" s="90"/>
      <c r="EQY1697" s="90"/>
      <c r="EQZ1697" s="90"/>
      <c r="ERA1697" s="90"/>
      <c r="ERB1697" s="90"/>
      <c r="ERC1697" s="90"/>
      <c r="ERD1697" s="90"/>
      <c r="ERE1697" s="90"/>
      <c r="ERF1697" s="90"/>
      <c r="ERG1697" s="90"/>
      <c r="ERH1697" s="90"/>
      <c r="ERI1697" s="90"/>
      <c r="ERJ1697" s="90"/>
      <c r="ERK1697" s="90"/>
      <c r="ERL1697" s="90"/>
      <c r="ERM1697" s="90"/>
      <c r="ERN1697" s="90"/>
      <c r="ERO1697" s="90"/>
      <c r="ERP1697" s="90"/>
      <c r="ERQ1697" s="90"/>
      <c r="ERR1697" s="90"/>
      <c r="ERS1697" s="90"/>
      <c r="ERT1697" s="90"/>
      <c r="ERU1697" s="90"/>
      <c r="ERV1697" s="90"/>
      <c r="ERW1697" s="90"/>
      <c r="ERX1697" s="90"/>
      <c r="ERY1697" s="90"/>
      <c r="ERZ1697" s="90"/>
      <c r="ESA1697" s="90"/>
      <c r="ESB1697" s="90"/>
      <c r="ESC1697" s="90"/>
      <c r="ESD1697" s="90"/>
      <c r="ESE1697" s="90"/>
      <c r="ESF1697" s="90"/>
      <c r="ESG1697" s="90"/>
      <c r="ESH1697" s="90"/>
      <c r="ESI1697" s="90"/>
      <c r="ESJ1697" s="90"/>
      <c r="ESK1697" s="90"/>
      <c r="ESL1697" s="90"/>
      <c r="ESM1697" s="90"/>
      <c r="ESN1697" s="90"/>
      <c r="ESO1697" s="90"/>
      <c r="ESP1697" s="90"/>
      <c r="ESQ1697" s="90"/>
      <c r="ESR1697" s="90"/>
      <c r="ESS1697" s="90"/>
      <c r="EST1697" s="90"/>
      <c r="ESU1697" s="90"/>
      <c r="ESV1697" s="90"/>
      <c r="ESW1697" s="90"/>
      <c r="ESX1697" s="90"/>
      <c r="ESY1697" s="90"/>
      <c r="ESZ1697" s="90"/>
      <c r="ETA1697" s="90"/>
      <c r="ETB1697" s="90"/>
      <c r="ETC1697" s="90"/>
      <c r="ETD1697" s="90"/>
      <c r="ETE1697" s="90"/>
      <c r="ETF1697" s="90"/>
      <c r="ETG1697" s="90"/>
      <c r="ETH1697" s="90"/>
      <c r="ETI1697" s="90"/>
      <c r="ETJ1697" s="90"/>
      <c r="ETK1697" s="90"/>
      <c r="ETL1697" s="90"/>
      <c r="ETM1697" s="90"/>
      <c r="ETN1697" s="90"/>
      <c r="ETO1697" s="90"/>
      <c r="ETP1697" s="90"/>
      <c r="ETQ1697" s="90"/>
      <c r="ETR1697" s="90"/>
      <c r="ETS1697" s="90"/>
      <c r="ETT1697" s="90"/>
      <c r="ETU1697" s="90"/>
      <c r="ETV1697" s="90"/>
      <c r="ETW1697" s="90"/>
      <c r="ETX1697" s="90"/>
      <c r="ETY1697" s="90"/>
      <c r="ETZ1697" s="90"/>
      <c r="EUA1697" s="90"/>
      <c r="EUB1697" s="90"/>
      <c r="EUC1697" s="90"/>
      <c r="EUD1697" s="90"/>
      <c r="EUE1697" s="90"/>
      <c r="EUF1697" s="90"/>
      <c r="EUG1697" s="90"/>
      <c r="EUH1697" s="90"/>
      <c r="EUI1697" s="90"/>
      <c r="EUJ1697" s="90"/>
      <c r="EUK1697" s="90"/>
      <c r="EUL1697" s="90"/>
      <c r="EUM1697" s="90"/>
      <c r="EUN1697" s="90"/>
      <c r="EUO1697" s="90"/>
      <c r="EUP1697" s="90"/>
      <c r="EUQ1697" s="90"/>
      <c r="EUR1697" s="90"/>
      <c r="EUS1697" s="90"/>
      <c r="EUT1697" s="90"/>
      <c r="EUU1697" s="90"/>
      <c r="EUV1697" s="90"/>
      <c r="EUW1697" s="90"/>
      <c r="EUX1697" s="90"/>
      <c r="EUY1697" s="90"/>
      <c r="EUZ1697" s="90"/>
      <c r="EVA1697" s="90"/>
      <c r="EVB1697" s="90"/>
      <c r="EVC1697" s="90"/>
      <c r="EVD1697" s="90"/>
      <c r="EVE1697" s="90"/>
      <c r="EVF1697" s="90"/>
      <c r="EVG1697" s="90"/>
      <c r="EVH1697" s="90"/>
      <c r="EVI1697" s="90"/>
      <c r="EVJ1697" s="90"/>
      <c r="EVK1697" s="90"/>
      <c r="EVL1697" s="90"/>
      <c r="EVM1697" s="90"/>
      <c r="EVN1697" s="90"/>
      <c r="EVO1697" s="90"/>
      <c r="EVP1697" s="90"/>
      <c r="EVQ1697" s="90"/>
      <c r="EVR1697" s="90"/>
      <c r="EVS1697" s="90"/>
      <c r="EVT1697" s="90"/>
      <c r="EVU1697" s="90"/>
      <c r="EVV1697" s="90"/>
      <c r="EVW1697" s="90"/>
      <c r="EVX1697" s="90"/>
      <c r="EVY1697" s="90"/>
      <c r="EVZ1697" s="90"/>
      <c r="EWA1697" s="90"/>
      <c r="EWB1697" s="90"/>
      <c r="EWC1697" s="90"/>
      <c r="EWD1697" s="90"/>
      <c r="EWE1697" s="90"/>
      <c r="EWF1697" s="90"/>
      <c r="EWG1697" s="90"/>
      <c r="EWH1697" s="90"/>
      <c r="EWI1697" s="90"/>
      <c r="EWJ1697" s="90"/>
      <c r="EWK1697" s="90"/>
      <c r="EWL1697" s="90"/>
      <c r="EWM1697" s="90"/>
      <c r="EWN1697" s="90"/>
      <c r="EWO1697" s="90"/>
      <c r="EWP1697" s="90"/>
      <c r="EWQ1697" s="90"/>
      <c r="EWR1697" s="90"/>
      <c r="EWS1697" s="90"/>
      <c r="EWT1697" s="90"/>
      <c r="EWU1697" s="90"/>
      <c r="EWV1697" s="90"/>
      <c r="EWW1697" s="90"/>
      <c r="EWX1697" s="90"/>
      <c r="EWY1697" s="90"/>
      <c r="EWZ1697" s="90"/>
      <c r="EXA1697" s="90"/>
      <c r="EXB1697" s="90"/>
      <c r="EXC1697" s="90"/>
      <c r="EXD1697" s="90"/>
      <c r="EXE1697" s="90"/>
      <c r="EXF1697" s="90"/>
      <c r="EXG1697" s="90"/>
      <c r="EXH1697" s="90"/>
      <c r="EXI1697" s="90"/>
      <c r="EXJ1697" s="90"/>
      <c r="EXK1697" s="90"/>
      <c r="EXL1697" s="90"/>
      <c r="EXM1697" s="90"/>
      <c r="EXN1697" s="90"/>
      <c r="EXO1697" s="90"/>
      <c r="EXP1697" s="90"/>
      <c r="EXQ1697" s="90"/>
      <c r="EXR1697" s="90"/>
      <c r="EXS1697" s="90"/>
      <c r="EXT1697" s="90"/>
      <c r="EXU1697" s="90"/>
      <c r="EXV1697" s="90"/>
      <c r="EXW1697" s="90"/>
      <c r="EXX1697" s="90"/>
      <c r="EXY1697" s="90"/>
      <c r="EXZ1697" s="90"/>
      <c r="EYA1697" s="90"/>
      <c r="EYB1697" s="90"/>
      <c r="EYC1697" s="90"/>
      <c r="EYD1697" s="90"/>
      <c r="EYE1697" s="90"/>
      <c r="EYF1697" s="90"/>
      <c r="EYG1697" s="90"/>
      <c r="EYH1697" s="90"/>
      <c r="EYI1697" s="90"/>
      <c r="EYJ1697" s="90"/>
      <c r="EYK1697" s="90"/>
      <c r="EYL1697" s="90"/>
      <c r="EYM1697" s="90"/>
      <c r="EYN1697" s="90"/>
      <c r="EYO1697" s="90"/>
      <c r="EYP1697" s="90"/>
      <c r="EYQ1697" s="90"/>
      <c r="EYR1697" s="90"/>
      <c r="EYS1697" s="90"/>
      <c r="EYT1697" s="90"/>
      <c r="EYU1697" s="90"/>
      <c r="EYV1697" s="90"/>
      <c r="EYW1697" s="90"/>
      <c r="EYX1697" s="90"/>
      <c r="EYY1697" s="90"/>
      <c r="EYZ1697" s="90"/>
      <c r="EZA1697" s="90"/>
      <c r="EZB1697" s="90"/>
      <c r="EZC1697" s="90"/>
      <c r="EZD1697" s="90"/>
      <c r="EZE1697" s="90"/>
      <c r="EZF1697" s="90"/>
      <c r="EZG1697" s="90"/>
      <c r="EZH1697" s="90"/>
      <c r="EZI1697" s="90"/>
      <c r="EZJ1697" s="90"/>
      <c r="EZK1697" s="90"/>
      <c r="EZL1697" s="90"/>
      <c r="EZM1697" s="90"/>
      <c r="EZN1697" s="90"/>
      <c r="EZO1697" s="90"/>
      <c r="EZP1697" s="90"/>
      <c r="EZQ1697" s="90"/>
      <c r="EZR1697" s="90"/>
      <c r="EZS1697" s="90"/>
      <c r="EZT1697" s="90"/>
      <c r="EZU1697" s="90"/>
      <c r="EZV1697" s="90"/>
      <c r="EZW1697" s="90"/>
      <c r="EZX1697" s="90"/>
      <c r="EZY1697" s="90"/>
      <c r="EZZ1697" s="90"/>
      <c r="FAA1697" s="90"/>
      <c r="FAB1697" s="90"/>
      <c r="FAC1697" s="90"/>
      <c r="FAD1697" s="90"/>
      <c r="FAE1697" s="90"/>
      <c r="FAF1697" s="90"/>
      <c r="FAG1697" s="90"/>
      <c r="FAH1697" s="90"/>
      <c r="FAI1697" s="90"/>
      <c r="FAJ1697" s="90"/>
      <c r="FAK1697" s="90"/>
      <c r="FAL1697" s="90"/>
      <c r="FAM1697" s="90"/>
      <c r="FAN1697" s="90"/>
      <c r="FAO1697" s="90"/>
      <c r="FAP1697" s="90"/>
      <c r="FAQ1697" s="90"/>
      <c r="FAR1697" s="90"/>
      <c r="FAS1697" s="90"/>
      <c r="FAT1697" s="90"/>
      <c r="FAU1697" s="90"/>
      <c r="FAV1697" s="90"/>
      <c r="FAW1697" s="90"/>
      <c r="FAX1697" s="90"/>
      <c r="FAY1697" s="90"/>
      <c r="FAZ1697" s="90"/>
      <c r="FBA1697" s="90"/>
      <c r="FBB1697" s="90"/>
      <c r="FBC1697" s="90"/>
      <c r="FBD1697" s="90"/>
      <c r="FBE1697" s="90"/>
      <c r="FBF1697" s="90"/>
      <c r="FBG1697" s="90"/>
      <c r="FBH1697" s="90"/>
      <c r="FBI1697" s="90"/>
      <c r="FBJ1697" s="90"/>
      <c r="FBK1697" s="90"/>
      <c r="FBL1697" s="90"/>
      <c r="FBM1697" s="90"/>
      <c r="FBN1697" s="90"/>
      <c r="FBO1697" s="90"/>
      <c r="FBP1697" s="90"/>
      <c r="FBQ1697" s="90"/>
      <c r="FBR1697" s="90"/>
      <c r="FBS1697" s="90"/>
      <c r="FBT1697" s="90"/>
      <c r="FBU1697" s="90"/>
      <c r="FBV1697" s="90"/>
      <c r="FBW1697" s="90"/>
      <c r="FBX1697" s="90"/>
      <c r="FBY1697" s="90"/>
      <c r="FBZ1697" s="90"/>
      <c r="FCA1697" s="90"/>
      <c r="FCB1697" s="90"/>
      <c r="FCC1697" s="90"/>
      <c r="FCD1697" s="90"/>
      <c r="FCE1697" s="90"/>
      <c r="FCF1697" s="90"/>
      <c r="FCG1697" s="90"/>
      <c r="FCH1697" s="90"/>
      <c r="FCI1697" s="90"/>
      <c r="FCJ1697" s="90"/>
      <c r="FCK1697" s="90"/>
      <c r="FCL1697" s="90"/>
      <c r="FCM1697" s="90"/>
      <c r="FCN1697" s="90"/>
      <c r="FCO1697" s="90"/>
      <c r="FCP1697" s="90"/>
      <c r="FCQ1697" s="90"/>
      <c r="FCR1697" s="90"/>
      <c r="FCS1697" s="90"/>
      <c r="FCT1697" s="90"/>
      <c r="FCU1697" s="90"/>
      <c r="FCV1697" s="90"/>
      <c r="FCW1697" s="90"/>
      <c r="FCX1697" s="90"/>
      <c r="FCY1697" s="90"/>
      <c r="FCZ1697" s="90"/>
      <c r="FDA1697" s="90"/>
      <c r="FDB1697" s="90"/>
      <c r="FDC1697" s="90"/>
      <c r="FDD1697" s="90"/>
      <c r="FDE1697" s="90"/>
      <c r="FDF1697" s="90"/>
      <c r="FDG1697" s="90"/>
      <c r="FDH1697" s="90"/>
      <c r="FDI1697" s="90"/>
      <c r="FDJ1697" s="90"/>
      <c r="FDK1697" s="90"/>
      <c r="FDL1697" s="90"/>
      <c r="FDM1697" s="90"/>
      <c r="FDN1697" s="90"/>
      <c r="FDO1697" s="90"/>
      <c r="FDP1697" s="90"/>
      <c r="FDQ1697" s="90"/>
      <c r="FDR1697" s="90"/>
      <c r="FDS1697" s="90"/>
      <c r="FDT1697" s="90"/>
      <c r="FDU1697" s="90"/>
      <c r="FDV1697" s="90"/>
      <c r="FDW1697" s="90"/>
      <c r="FDX1697" s="90"/>
      <c r="FDY1697" s="90"/>
      <c r="FDZ1697" s="90"/>
      <c r="FEA1697" s="90"/>
      <c r="FEB1697" s="90"/>
      <c r="FEC1697" s="90"/>
      <c r="FED1697" s="90"/>
      <c r="FEE1697" s="90"/>
      <c r="FEF1697" s="90"/>
      <c r="FEG1697" s="90"/>
      <c r="FEH1697" s="90"/>
      <c r="FEI1697" s="90"/>
      <c r="FEJ1697" s="90"/>
      <c r="FEK1697" s="90"/>
      <c r="FEL1697" s="90"/>
      <c r="FEM1697" s="90"/>
      <c r="FEN1697" s="90"/>
      <c r="FEO1697" s="90"/>
      <c r="FEP1697" s="90"/>
      <c r="FEQ1697" s="90"/>
      <c r="FER1697" s="90"/>
      <c r="FES1697" s="90"/>
      <c r="FET1697" s="90"/>
      <c r="FEU1697" s="90"/>
      <c r="FEV1697" s="90"/>
      <c r="FEW1697" s="90"/>
      <c r="FEX1697" s="90"/>
      <c r="FEY1697" s="90"/>
      <c r="FEZ1697" s="90"/>
      <c r="FFA1697" s="90"/>
      <c r="FFB1697" s="90"/>
      <c r="FFC1697" s="90"/>
      <c r="FFD1697" s="90"/>
      <c r="FFE1697" s="90"/>
      <c r="FFF1697" s="90"/>
      <c r="FFG1697" s="90"/>
      <c r="FFH1697" s="90"/>
      <c r="FFI1697" s="90"/>
      <c r="FFJ1697" s="90"/>
      <c r="FFK1697" s="90"/>
      <c r="FFL1697" s="90"/>
      <c r="FFM1697" s="90"/>
      <c r="FFN1697" s="90"/>
      <c r="FFO1697" s="90"/>
      <c r="FFP1697" s="90"/>
      <c r="FFQ1697" s="90"/>
      <c r="FFR1697" s="90"/>
      <c r="FFS1697" s="90"/>
      <c r="FFT1697" s="90"/>
      <c r="FFU1697" s="90"/>
      <c r="FFV1697" s="90"/>
      <c r="FFW1697" s="90"/>
      <c r="FFX1697" s="90"/>
      <c r="FFY1697" s="90"/>
      <c r="FFZ1697" s="90"/>
      <c r="FGA1697" s="90"/>
      <c r="FGB1697" s="90"/>
      <c r="FGC1697" s="90"/>
      <c r="FGD1697" s="90"/>
      <c r="FGE1697" s="90"/>
      <c r="FGF1697" s="90"/>
      <c r="FGG1697" s="90"/>
      <c r="FGH1697" s="90"/>
      <c r="FGI1697" s="90"/>
      <c r="FGJ1697" s="90"/>
      <c r="FGK1697" s="90"/>
      <c r="FGL1697" s="90"/>
      <c r="FGM1697" s="90"/>
      <c r="FGN1697" s="90"/>
      <c r="FGO1697" s="90"/>
      <c r="FGP1697" s="90"/>
      <c r="FGQ1697" s="90"/>
      <c r="FGR1697" s="90"/>
      <c r="FGS1697" s="90"/>
      <c r="FGT1697" s="90"/>
      <c r="FGU1697" s="90"/>
      <c r="FGV1697" s="90"/>
      <c r="FGW1697" s="90"/>
      <c r="FGX1697" s="90"/>
      <c r="FGY1697" s="90"/>
      <c r="FGZ1697" s="90"/>
      <c r="FHA1697" s="90"/>
      <c r="FHB1697" s="90"/>
      <c r="FHC1697" s="90"/>
      <c r="FHD1697" s="90"/>
      <c r="FHE1697" s="90"/>
      <c r="FHF1697" s="90"/>
      <c r="FHG1697" s="90"/>
      <c r="FHH1697" s="90"/>
      <c r="FHI1697" s="90"/>
      <c r="FHJ1697" s="90"/>
      <c r="FHK1697" s="90"/>
      <c r="FHL1697" s="90"/>
      <c r="FHM1697" s="90"/>
      <c r="FHN1697" s="90"/>
      <c r="FHO1697" s="90"/>
      <c r="FHP1697" s="90"/>
      <c r="FHQ1697" s="90"/>
      <c r="FHR1697" s="90"/>
      <c r="FHS1697" s="90"/>
      <c r="FHT1697" s="90"/>
      <c r="FHU1697" s="90"/>
      <c r="FHV1697" s="90"/>
      <c r="FHW1697" s="90"/>
      <c r="FHX1697" s="90"/>
      <c r="FHY1697" s="90"/>
      <c r="FHZ1697" s="90"/>
      <c r="FIA1697" s="90"/>
      <c r="FIB1697" s="90"/>
      <c r="FIC1697" s="90"/>
      <c r="FID1697" s="90"/>
      <c r="FIE1697" s="90"/>
      <c r="FIF1697" s="90"/>
      <c r="FIG1697" s="90"/>
      <c r="FIH1697" s="90"/>
      <c r="FII1697" s="90"/>
      <c r="FIJ1697" s="90"/>
      <c r="FIK1697" s="90"/>
      <c r="FIL1697" s="90"/>
      <c r="FIM1697" s="90"/>
      <c r="FIN1697" s="90"/>
      <c r="FIO1697" s="90"/>
      <c r="FIP1697" s="90"/>
      <c r="FIQ1697" s="90"/>
      <c r="FIR1697" s="90"/>
      <c r="FIS1697" s="90"/>
      <c r="FIT1697" s="90"/>
      <c r="FIU1697" s="90"/>
      <c r="FIV1697" s="90"/>
      <c r="FIW1697" s="90"/>
      <c r="FIX1697" s="90"/>
      <c r="FIY1697" s="90"/>
      <c r="FIZ1697" s="90"/>
      <c r="FJA1697" s="90"/>
      <c r="FJB1697" s="90"/>
      <c r="FJC1697" s="90"/>
      <c r="FJD1697" s="90"/>
      <c r="FJE1697" s="90"/>
      <c r="FJF1697" s="90"/>
      <c r="FJG1697" s="90"/>
      <c r="FJH1697" s="90"/>
      <c r="FJI1697" s="90"/>
      <c r="FJJ1697" s="90"/>
      <c r="FJK1697" s="90"/>
      <c r="FJL1697" s="90"/>
      <c r="FJM1697" s="90"/>
      <c r="FJN1697" s="90"/>
      <c r="FJO1697" s="90"/>
      <c r="FJP1697" s="90"/>
      <c r="FJQ1697" s="90"/>
      <c r="FJR1697" s="90"/>
      <c r="FJS1697" s="90"/>
      <c r="FJT1697" s="90"/>
      <c r="FJU1697" s="90"/>
      <c r="FJV1697" s="90"/>
      <c r="FJW1697" s="90"/>
      <c r="FJX1697" s="90"/>
      <c r="FJY1697" s="90"/>
      <c r="FJZ1697" s="90"/>
      <c r="FKA1697" s="90"/>
      <c r="FKB1697" s="90"/>
      <c r="FKC1697" s="90"/>
      <c r="FKD1697" s="90"/>
      <c r="FKE1697" s="90"/>
      <c r="FKF1697" s="90"/>
      <c r="FKG1697" s="90"/>
      <c r="FKH1697" s="90"/>
      <c r="FKI1697" s="90"/>
      <c r="FKJ1697" s="90"/>
      <c r="FKK1697" s="90"/>
      <c r="FKL1697" s="90"/>
      <c r="FKM1697" s="90"/>
      <c r="FKN1697" s="90"/>
      <c r="FKO1697" s="90"/>
      <c r="FKP1697" s="90"/>
      <c r="FKQ1697" s="90"/>
      <c r="FKR1697" s="90"/>
      <c r="FKS1697" s="90"/>
      <c r="FKT1697" s="90"/>
      <c r="FKU1697" s="90"/>
      <c r="FKV1697" s="90"/>
      <c r="FKW1697" s="90"/>
      <c r="FKX1697" s="90"/>
      <c r="FKY1697" s="90"/>
      <c r="FKZ1697" s="90"/>
      <c r="FLA1697" s="90"/>
      <c r="FLB1697" s="90"/>
      <c r="FLC1697" s="90"/>
      <c r="FLD1697" s="90"/>
      <c r="FLE1697" s="90"/>
      <c r="FLF1697" s="90"/>
      <c r="FLG1697" s="90"/>
      <c r="FLH1697" s="90"/>
      <c r="FLI1697" s="90"/>
      <c r="FLJ1697" s="90"/>
      <c r="FLK1697" s="90"/>
      <c r="FLL1697" s="90"/>
      <c r="FLM1697" s="90"/>
      <c r="FLN1697" s="90"/>
      <c r="FLO1697" s="90"/>
      <c r="FLP1697" s="90"/>
      <c r="FLQ1697" s="90"/>
      <c r="FLR1697" s="90"/>
      <c r="FLS1697" s="90"/>
      <c r="FLT1697" s="90"/>
      <c r="FLU1697" s="90"/>
      <c r="FLV1697" s="90"/>
      <c r="FLW1697" s="90"/>
      <c r="FLX1697" s="90"/>
      <c r="FLY1697" s="90"/>
      <c r="FLZ1697" s="90"/>
      <c r="FMA1697" s="90"/>
      <c r="FMB1697" s="90"/>
      <c r="FMC1697" s="90"/>
      <c r="FMD1697" s="90"/>
      <c r="FME1697" s="90"/>
      <c r="FMF1697" s="90"/>
      <c r="FMG1697" s="90"/>
      <c r="FMH1697" s="90"/>
      <c r="FMI1697" s="90"/>
      <c r="FMJ1697" s="90"/>
      <c r="FMK1697" s="90"/>
      <c r="FML1697" s="90"/>
      <c r="FMM1697" s="90"/>
      <c r="FMN1697" s="90"/>
      <c r="FMO1697" s="90"/>
      <c r="FMP1697" s="90"/>
      <c r="FMQ1697" s="90"/>
      <c r="FMR1697" s="90"/>
      <c r="FMS1697" s="90"/>
      <c r="FMT1697" s="90"/>
      <c r="FMU1697" s="90"/>
      <c r="FMV1697" s="90"/>
      <c r="FMW1697" s="90"/>
      <c r="FMX1697" s="90"/>
      <c r="FMY1697" s="90"/>
      <c r="FMZ1697" s="90"/>
      <c r="FNA1697" s="90"/>
      <c r="FNB1697" s="90"/>
      <c r="FNC1697" s="90"/>
      <c r="FND1697" s="90"/>
      <c r="FNE1697" s="90"/>
      <c r="FNF1697" s="90"/>
      <c r="FNG1697" s="90"/>
      <c r="FNH1697" s="90"/>
      <c r="FNI1697" s="90"/>
      <c r="FNJ1697" s="90"/>
      <c r="FNK1697" s="90"/>
      <c r="FNL1697" s="90"/>
      <c r="FNM1697" s="90"/>
      <c r="FNN1697" s="90"/>
      <c r="FNO1697" s="90"/>
      <c r="FNP1697" s="90"/>
      <c r="FNQ1697" s="90"/>
      <c r="FNR1697" s="90"/>
      <c r="FNS1697" s="90"/>
      <c r="FNT1697" s="90"/>
      <c r="FNU1697" s="90"/>
      <c r="FNV1697" s="90"/>
      <c r="FNW1697" s="90"/>
      <c r="FNX1697" s="90"/>
      <c r="FNY1697" s="90"/>
      <c r="FNZ1697" s="90"/>
      <c r="FOA1697" s="90"/>
      <c r="FOB1697" s="90"/>
      <c r="FOC1697" s="90"/>
      <c r="FOD1697" s="90"/>
      <c r="FOE1697" s="90"/>
      <c r="FOF1697" s="90"/>
      <c r="FOG1697" s="90"/>
      <c r="FOH1697" s="90"/>
      <c r="FOI1697" s="90"/>
      <c r="FOJ1697" s="90"/>
      <c r="FOK1697" s="90"/>
      <c r="FOL1697" s="90"/>
      <c r="FOM1697" s="90"/>
      <c r="FON1697" s="90"/>
      <c r="FOO1697" s="90"/>
      <c r="FOP1697" s="90"/>
      <c r="FOQ1697" s="90"/>
      <c r="FOR1697" s="90"/>
      <c r="FOS1697" s="90"/>
      <c r="FOT1697" s="90"/>
      <c r="FOU1697" s="90"/>
      <c r="FOV1697" s="90"/>
      <c r="FOW1697" s="90"/>
      <c r="FOX1697" s="90"/>
      <c r="FOY1697" s="90"/>
      <c r="FOZ1697" s="90"/>
      <c r="FPA1697" s="90"/>
      <c r="FPB1697" s="90"/>
      <c r="FPC1697" s="90"/>
      <c r="FPD1697" s="90"/>
      <c r="FPE1697" s="90"/>
      <c r="FPF1697" s="90"/>
      <c r="FPG1697" s="90"/>
      <c r="FPH1697" s="90"/>
      <c r="FPI1697" s="90"/>
      <c r="FPJ1697" s="90"/>
      <c r="FPK1697" s="90"/>
      <c r="FPL1697" s="90"/>
      <c r="FPM1697" s="90"/>
      <c r="FPN1697" s="90"/>
      <c r="FPO1697" s="90"/>
      <c r="FPP1697" s="90"/>
      <c r="FPQ1697" s="90"/>
      <c r="FPR1697" s="90"/>
      <c r="FPS1697" s="90"/>
      <c r="FPT1697" s="90"/>
      <c r="FPU1697" s="90"/>
      <c r="FPV1697" s="90"/>
      <c r="FPW1697" s="90"/>
      <c r="FPX1697" s="90"/>
      <c r="FPY1697" s="90"/>
      <c r="FPZ1697" s="90"/>
      <c r="FQA1697" s="90"/>
      <c r="FQB1697" s="90"/>
      <c r="FQC1697" s="90"/>
      <c r="FQD1697" s="90"/>
      <c r="FQE1697" s="90"/>
      <c r="FQF1697" s="90"/>
      <c r="FQG1697" s="90"/>
      <c r="FQH1697" s="90"/>
      <c r="FQI1697" s="90"/>
      <c r="FQJ1697" s="90"/>
      <c r="FQK1697" s="90"/>
      <c r="FQL1697" s="90"/>
      <c r="FQM1697" s="90"/>
      <c r="FQN1697" s="90"/>
      <c r="FQO1697" s="90"/>
      <c r="FQP1697" s="90"/>
      <c r="FQQ1697" s="90"/>
      <c r="FQR1697" s="90"/>
      <c r="FQS1697" s="90"/>
      <c r="FQT1697" s="90"/>
      <c r="FQU1697" s="90"/>
      <c r="FQV1697" s="90"/>
      <c r="FQW1697" s="90"/>
      <c r="FQX1697" s="90"/>
      <c r="FQY1697" s="90"/>
      <c r="FQZ1697" s="90"/>
      <c r="FRA1697" s="90"/>
      <c r="FRB1697" s="90"/>
      <c r="FRC1697" s="90"/>
      <c r="FRD1697" s="90"/>
      <c r="FRE1697" s="90"/>
      <c r="FRF1697" s="90"/>
      <c r="FRG1697" s="90"/>
      <c r="FRH1697" s="90"/>
      <c r="FRI1697" s="90"/>
      <c r="FRJ1697" s="90"/>
      <c r="FRK1697" s="90"/>
      <c r="FRL1697" s="90"/>
      <c r="FRM1697" s="90"/>
      <c r="FRN1697" s="90"/>
      <c r="FRO1697" s="90"/>
      <c r="FRP1697" s="90"/>
      <c r="FRQ1697" s="90"/>
      <c r="FRR1697" s="90"/>
      <c r="FRS1697" s="90"/>
      <c r="FRT1697" s="90"/>
      <c r="FRU1697" s="90"/>
      <c r="FRV1697" s="90"/>
      <c r="FRW1697" s="90"/>
      <c r="FRX1697" s="90"/>
      <c r="FRY1697" s="90"/>
      <c r="FRZ1697" s="90"/>
      <c r="FSA1697" s="90"/>
      <c r="FSB1697" s="90"/>
      <c r="FSC1697" s="90"/>
      <c r="FSD1697" s="90"/>
      <c r="FSE1697" s="90"/>
      <c r="FSF1697" s="90"/>
      <c r="FSG1697" s="90"/>
      <c r="FSH1697" s="90"/>
      <c r="FSI1697" s="90"/>
      <c r="FSJ1697" s="90"/>
      <c r="FSK1697" s="90"/>
      <c r="FSL1697" s="90"/>
      <c r="FSM1697" s="90"/>
      <c r="FSN1697" s="90"/>
      <c r="FSO1697" s="90"/>
      <c r="FSP1697" s="90"/>
      <c r="FSQ1697" s="90"/>
      <c r="FSR1697" s="90"/>
      <c r="FSS1697" s="90"/>
      <c r="FST1697" s="90"/>
      <c r="FSU1697" s="90"/>
      <c r="FSV1697" s="90"/>
      <c r="FSW1697" s="90"/>
      <c r="FSX1697" s="90"/>
      <c r="FSY1697" s="90"/>
      <c r="FSZ1697" s="90"/>
      <c r="FTA1697" s="90"/>
      <c r="FTB1697" s="90"/>
      <c r="FTC1697" s="90"/>
      <c r="FTD1697" s="90"/>
      <c r="FTE1697" s="90"/>
      <c r="FTF1697" s="90"/>
      <c r="FTG1697" s="90"/>
      <c r="FTH1697" s="90"/>
      <c r="FTI1697" s="90"/>
      <c r="FTJ1697" s="90"/>
      <c r="FTK1697" s="90"/>
      <c r="FTL1697" s="90"/>
      <c r="FTM1697" s="90"/>
      <c r="FTN1697" s="90"/>
      <c r="FTO1697" s="90"/>
      <c r="FTP1697" s="90"/>
      <c r="FTQ1697" s="90"/>
      <c r="FTR1697" s="90"/>
      <c r="FTS1697" s="90"/>
      <c r="FTT1697" s="90"/>
      <c r="FTU1697" s="90"/>
      <c r="FTV1697" s="90"/>
      <c r="FTW1697" s="90"/>
      <c r="FTX1697" s="90"/>
      <c r="FTY1697" s="90"/>
      <c r="FTZ1697" s="90"/>
      <c r="FUA1697" s="90"/>
      <c r="FUB1697" s="90"/>
      <c r="FUC1697" s="90"/>
      <c r="FUD1697" s="90"/>
      <c r="FUE1697" s="90"/>
      <c r="FUF1697" s="90"/>
      <c r="FUG1697" s="90"/>
      <c r="FUH1697" s="90"/>
      <c r="FUI1697" s="90"/>
      <c r="FUJ1697" s="90"/>
      <c r="FUK1697" s="90"/>
      <c r="FUL1697" s="90"/>
      <c r="FUM1697" s="90"/>
      <c r="FUN1697" s="90"/>
      <c r="FUO1697" s="90"/>
      <c r="FUP1697" s="90"/>
      <c r="FUQ1697" s="90"/>
      <c r="FUR1697" s="90"/>
      <c r="FUS1697" s="90"/>
      <c r="FUT1697" s="90"/>
      <c r="FUU1697" s="90"/>
      <c r="FUV1697" s="90"/>
      <c r="FUW1697" s="90"/>
      <c r="FUX1697" s="90"/>
      <c r="FUY1697" s="90"/>
      <c r="FUZ1697" s="90"/>
      <c r="FVA1697" s="90"/>
      <c r="FVB1697" s="90"/>
      <c r="FVC1697" s="90"/>
      <c r="FVD1697" s="90"/>
      <c r="FVE1697" s="90"/>
      <c r="FVF1697" s="90"/>
      <c r="FVG1697" s="90"/>
      <c r="FVH1697" s="90"/>
      <c r="FVI1697" s="90"/>
      <c r="FVJ1697" s="90"/>
      <c r="FVK1697" s="90"/>
      <c r="FVL1697" s="90"/>
      <c r="FVM1697" s="90"/>
      <c r="FVN1697" s="90"/>
      <c r="FVO1697" s="90"/>
      <c r="FVP1697" s="90"/>
      <c r="FVQ1697" s="90"/>
      <c r="FVR1697" s="90"/>
      <c r="FVS1697" s="90"/>
      <c r="FVT1697" s="90"/>
      <c r="FVU1697" s="90"/>
      <c r="FVV1697" s="90"/>
      <c r="FVW1697" s="90"/>
      <c r="FVX1697" s="90"/>
      <c r="FVY1697" s="90"/>
      <c r="FVZ1697" s="90"/>
      <c r="FWA1697" s="90"/>
      <c r="FWB1697" s="90"/>
      <c r="FWC1697" s="90"/>
      <c r="FWD1697" s="90"/>
      <c r="FWE1697" s="90"/>
      <c r="FWF1697" s="90"/>
      <c r="FWG1697" s="90"/>
      <c r="FWH1697" s="90"/>
      <c r="FWI1697" s="90"/>
      <c r="FWJ1697" s="90"/>
      <c r="FWK1697" s="90"/>
      <c r="FWL1697" s="90"/>
      <c r="FWM1697" s="90"/>
      <c r="FWN1697" s="90"/>
      <c r="FWO1697" s="90"/>
      <c r="FWP1697" s="90"/>
      <c r="FWQ1697" s="90"/>
      <c r="FWR1697" s="90"/>
      <c r="FWS1697" s="90"/>
      <c r="FWT1697" s="90"/>
      <c r="FWU1697" s="90"/>
      <c r="FWV1697" s="90"/>
      <c r="FWW1697" s="90"/>
      <c r="FWX1697" s="90"/>
      <c r="FWY1697" s="90"/>
      <c r="FWZ1697" s="90"/>
      <c r="FXA1697" s="90"/>
      <c r="FXB1697" s="90"/>
      <c r="FXC1697" s="90"/>
      <c r="FXD1697" s="90"/>
      <c r="FXE1697" s="90"/>
      <c r="FXF1697" s="90"/>
      <c r="FXG1697" s="90"/>
      <c r="FXH1697" s="90"/>
      <c r="FXI1697" s="90"/>
      <c r="FXJ1697" s="90"/>
      <c r="FXK1697" s="90"/>
      <c r="FXL1697" s="90"/>
      <c r="FXM1697" s="90"/>
      <c r="FXN1697" s="90"/>
      <c r="FXO1697" s="90"/>
      <c r="FXP1697" s="90"/>
      <c r="FXQ1697" s="90"/>
      <c r="FXR1697" s="90"/>
      <c r="FXS1697" s="90"/>
      <c r="FXT1697" s="90"/>
      <c r="FXU1697" s="90"/>
      <c r="FXV1697" s="90"/>
      <c r="FXW1697" s="90"/>
      <c r="FXX1697" s="90"/>
      <c r="FXY1697" s="90"/>
      <c r="FXZ1697" s="90"/>
      <c r="FYA1697" s="90"/>
      <c r="FYB1697" s="90"/>
      <c r="FYC1697" s="90"/>
      <c r="FYD1697" s="90"/>
      <c r="FYE1697" s="90"/>
      <c r="FYF1697" s="90"/>
      <c r="FYG1697" s="90"/>
      <c r="FYH1697" s="90"/>
      <c r="FYI1697" s="90"/>
      <c r="FYJ1697" s="90"/>
      <c r="FYK1697" s="90"/>
      <c r="FYL1697" s="90"/>
      <c r="FYM1697" s="90"/>
      <c r="FYN1697" s="90"/>
      <c r="FYO1697" s="90"/>
      <c r="FYP1697" s="90"/>
      <c r="FYQ1697" s="90"/>
      <c r="FYR1697" s="90"/>
      <c r="FYS1697" s="90"/>
      <c r="FYT1697" s="90"/>
      <c r="FYU1697" s="90"/>
      <c r="FYV1697" s="90"/>
      <c r="FYW1697" s="90"/>
      <c r="FYX1697" s="90"/>
      <c r="FYY1697" s="90"/>
      <c r="FYZ1697" s="90"/>
      <c r="FZA1697" s="90"/>
      <c r="FZB1697" s="90"/>
      <c r="FZC1697" s="90"/>
      <c r="FZD1697" s="90"/>
      <c r="FZE1697" s="90"/>
      <c r="FZF1697" s="90"/>
      <c r="FZG1697" s="90"/>
      <c r="FZH1697" s="90"/>
      <c r="FZI1697" s="90"/>
      <c r="FZJ1697" s="90"/>
      <c r="FZK1697" s="90"/>
      <c r="FZL1697" s="90"/>
      <c r="FZM1697" s="90"/>
      <c r="FZN1697" s="90"/>
      <c r="FZO1697" s="90"/>
      <c r="FZP1697" s="90"/>
      <c r="FZQ1697" s="90"/>
      <c r="FZR1697" s="90"/>
      <c r="FZS1697" s="90"/>
      <c r="FZT1697" s="90"/>
      <c r="FZU1697" s="90"/>
      <c r="FZV1697" s="90"/>
      <c r="FZW1697" s="90"/>
      <c r="FZX1697" s="90"/>
      <c r="FZY1697" s="90"/>
      <c r="FZZ1697" s="90"/>
      <c r="GAA1697" s="90"/>
      <c r="GAB1697" s="90"/>
      <c r="GAC1697" s="90"/>
      <c r="GAD1697" s="90"/>
      <c r="GAE1697" s="90"/>
      <c r="GAF1697" s="90"/>
      <c r="GAG1697" s="90"/>
      <c r="GAH1697" s="90"/>
      <c r="GAI1697" s="90"/>
      <c r="GAJ1697" s="90"/>
      <c r="GAK1697" s="90"/>
      <c r="GAL1697" s="90"/>
      <c r="GAM1697" s="90"/>
      <c r="GAN1697" s="90"/>
      <c r="GAO1697" s="90"/>
      <c r="GAP1697" s="90"/>
      <c r="GAQ1697" s="90"/>
      <c r="GAR1697" s="90"/>
      <c r="GAS1697" s="90"/>
      <c r="GAT1697" s="90"/>
      <c r="GAU1697" s="90"/>
      <c r="GAV1697" s="90"/>
      <c r="GAW1697" s="90"/>
      <c r="GAX1697" s="90"/>
      <c r="GAY1697" s="90"/>
      <c r="GAZ1697" s="90"/>
      <c r="GBA1697" s="90"/>
      <c r="GBB1697" s="90"/>
      <c r="GBC1697" s="90"/>
      <c r="GBD1697" s="90"/>
      <c r="GBE1697" s="90"/>
      <c r="GBF1697" s="90"/>
      <c r="GBG1697" s="90"/>
      <c r="GBH1697" s="90"/>
      <c r="GBI1697" s="90"/>
      <c r="GBJ1697" s="90"/>
      <c r="GBK1697" s="90"/>
      <c r="GBL1697" s="90"/>
      <c r="GBM1697" s="90"/>
      <c r="GBN1697" s="90"/>
      <c r="GBO1697" s="90"/>
      <c r="GBP1697" s="90"/>
      <c r="GBQ1697" s="90"/>
      <c r="GBR1697" s="90"/>
      <c r="GBS1697" s="90"/>
      <c r="GBT1697" s="90"/>
      <c r="GBU1697" s="90"/>
      <c r="GBV1697" s="90"/>
      <c r="GBW1697" s="90"/>
      <c r="GBX1697" s="90"/>
      <c r="GBY1697" s="90"/>
      <c r="GBZ1697" s="90"/>
      <c r="GCA1697" s="90"/>
      <c r="GCB1697" s="90"/>
      <c r="GCC1697" s="90"/>
      <c r="GCD1697" s="90"/>
      <c r="GCE1697" s="90"/>
      <c r="GCF1697" s="90"/>
      <c r="GCG1697" s="90"/>
      <c r="GCH1697" s="90"/>
      <c r="GCI1697" s="90"/>
      <c r="GCJ1697" s="90"/>
      <c r="GCK1697" s="90"/>
      <c r="GCL1697" s="90"/>
      <c r="GCM1697" s="90"/>
      <c r="GCN1697" s="90"/>
      <c r="GCO1697" s="90"/>
      <c r="GCP1697" s="90"/>
      <c r="GCQ1697" s="90"/>
      <c r="GCR1697" s="90"/>
      <c r="GCS1697" s="90"/>
      <c r="GCT1697" s="90"/>
      <c r="GCU1697" s="90"/>
      <c r="GCV1697" s="90"/>
      <c r="GCW1697" s="90"/>
      <c r="GCX1697" s="90"/>
      <c r="GCY1697" s="90"/>
      <c r="GCZ1697" s="90"/>
      <c r="GDA1697" s="90"/>
      <c r="GDB1697" s="90"/>
      <c r="GDC1697" s="90"/>
      <c r="GDD1697" s="90"/>
      <c r="GDE1697" s="90"/>
      <c r="GDF1697" s="90"/>
      <c r="GDG1697" s="90"/>
      <c r="GDH1697" s="90"/>
      <c r="GDI1697" s="90"/>
      <c r="GDJ1697" s="90"/>
      <c r="GDK1697" s="90"/>
      <c r="GDL1697" s="90"/>
      <c r="GDM1697" s="90"/>
      <c r="GDN1697" s="90"/>
      <c r="GDO1697" s="90"/>
      <c r="GDP1697" s="90"/>
      <c r="GDQ1697" s="90"/>
      <c r="GDR1697" s="90"/>
      <c r="GDS1697" s="90"/>
      <c r="GDT1697" s="90"/>
      <c r="GDU1697" s="90"/>
      <c r="GDV1697" s="90"/>
      <c r="GDW1697" s="90"/>
      <c r="GDX1697" s="90"/>
      <c r="GDY1697" s="90"/>
      <c r="GDZ1697" s="90"/>
      <c r="GEA1697" s="90"/>
      <c r="GEB1697" s="90"/>
      <c r="GEC1697" s="90"/>
      <c r="GED1697" s="90"/>
      <c r="GEE1697" s="90"/>
      <c r="GEF1697" s="90"/>
      <c r="GEG1697" s="90"/>
      <c r="GEH1697" s="90"/>
      <c r="GEI1697" s="90"/>
      <c r="GEJ1697" s="90"/>
      <c r="GEK1697" s="90"/>
      <c r="GEL1697" s="90"/>
      <c r="GEM1697" s="90"/>
      <c r="GEN1697" s="90"/>
      <c r="GEO1697" s="90"/>
      <c r="GEP1697" s="90"/>
      <c r="GEQ1697" s="90"/>
      <c r="GER1697" s="90"/>
      <c r="GES1697" s="90"/>
      <c r="GET1697" s="90"/>
      <c r="GEU1697" s="90"/>
      <c r="GEV1697" s="90"/>
      <c r="GEW1697" s="90"/>
      <c r="GEX1697" s="90"/>
      <c r="GEY1697" s="90"/>
      <c r="GEZ1697" s="90"/>
      <c r="GFA1697" s="90"/>
      <c r="GFB1697" s="90"/>
      <c r="GFC1697" s="90"/>
      <c r="GFD1697" s="90"/>
      <c r="GFE1697" s="90"/>
      <c r="GFF1697" s="90"/>
      <c r="GFG1697" s="90"/>
      <c r="GFH1697" s="90"/>
      <c r="GFI1697" s="90"/>
      <c r="GFJ1697" s="90"/>
      <c r="GFK1697" s="90"/>
      <c r="GFL1697" s="90"/>
      <c r="GFM1697" s="90"/>
      <c r="GFN1697" s="90"/>
      <c r="GFO1697" s="90"/>
      <c r="GFP1697" s="90"/>
      <c r="GFQ1697" s="90"/>
      <c r="GFR1697" s="90"/>
      <c r="GFS1697" s="90"/>
      <c r="GFT1697" s="90"/>
      <c r="GFU1697" s="90"/>
      <c r="GFV1697" s="90"/>
      <c r="GFW1697" s="90"/>
      <c r="GFX1697" s="90"/>
      <c r="GFY1697" s="90"/>
      <c r="GFZ1697" s="90"/>
      <c r="GGA1697" s="90"/>
      <c r="GGB1697" s="90"/>
      <c r="GGC1697" s="90"/>
      <c r="GGD1697" s="90"/>
      <c r="GGE1697" s="90"/>
      <c r="GGF1697" s="90"/>
      <c r="GGG1697" s="90"/>
      <c r="GGH1697" s="90"/>
      <c r="GGI1697" s="90"/>
      <c r="GGJ1697" s="90"/>
      <c r="GGK1697" s="90"/>
      <c r="GGL1697" s="90"/>
      <c r="GGM1697" s="90"/>
      <c r="GGN1697" s="90"/>
      <c r="GGO1697" s="90"/>
      <c r="GGP1697" s="90"/>
      <c r="GGQ1697" s="90"/>
      <c r="GGR1697" s="90"/>
      <c r="GGS1697" s="90"/>
      <c r="GGT1697" s="90"/>
      <c r="GGU1697" s="90"/>
      <c r="GGV1697" s="90"/>
      <c r="GGW1697" s="90"/>
      <c r="GGX1697" s="90"/>
      <c r="GGY1697" s="90"/>
      <c r="GGZ1697" s="90"/>
      <c r="GHA1697" s="90"/>
      <c r="GHB1697" s="90"/>
      <c r="GHC1697" s="90"/>
      <c r="GHD1697" s="90"/>
      <c r="GHE1697" s="90"/>
      <c r="GHF1697" s="90"/>
      <c r="GHG1697" s="90"/>
      <c r="GHH1697" s="90"/>
      <c r="GHI1697" s="90"/>
      <c r="GHJ1697" s="90"/>
      <c r="GHK1697" s="90"/>
      <c r="GHL1697" s="90"/>
      <c r="GHM1697" s="90"/>
      <c r="GHN1697" s="90"/>
      <c r="GHO1697" s="90"/>
      <c r="GHP1697" s="90"/>
      <c r="GHQ1697" s="90"/>
      <c r="GHR1697" s="90"/>
      <c r="GHS1697" s="90"/>
      <c r="GHT1697" s="90"/>
      <c r="GHU1697" s="90"/>
      <c r="GHV1697" s="90"/>
      <c r="GHW1697" s="90"/>
      <c r="GHX1697" s="90"/>
      <c r="GHY1697" s="90"/>
      <c r="GHZ1697" s="90"/>
      <c r="GIA1697" s="90"/>
      <c r="GIB1697" s="90"/>
      <c r="GIC1697" s="90"/>
      <c r="GID1697" s="90"/>
      <c r="GIE1697" s="90"/>
      <c r="GIF1697" s="90"/>
      <c r="GIG1697" s="90"/>
      <c r="GIH1697" s="90"/>
      <c r="GII1697" s="90"/>
      <c r="GIJ1697" s="90"/>
      <c r="GIK1697" s="90"/>
      <c r="GIL1697" s="90"/>
      <c r="GIM1697" s="90"/>
      <c r="GIN1697" s="90"/>
      <c r="GIO1697" s="90"/>
      <c r="GIP1697" s="90"/>
      <c r="GIQ1697" s="90"/>
      <c r="GIR1697" s="90"/>
      <c r="GIS1697" s="90"/>
      <c r="GIT1697" s="90"/>
      <c r="GIU1697" s="90"/>
      <c r="GIV1697" s="90"/>
      <c r="GIW1697" s="90"/>
      <c r="GIX1697" s="90"/>
      <c r="GIY1697" s="90"/>
      <c r="GIZ1697" s="90"/>
      <c r="GJA1697" s="90"/>
      <c r="GJB1697" s="90"/>
      <c r="GJC1697" s="90"/>
      <c r="GJD1697" s="90"/>
      <c r="GJE1697" s="90"/>
      <c r="GJF1697" s="90"/>
      <c r="GJG1697" s="90"/>
      <c r="GJH1697" s="90"/>
      <c r="GJI1697" s="90"/>
      <c r="GJJ1697" s="90"/>
      <c r="GJK1697" s="90"/>
      <c r="GJL1697" s="90"/>
      <c r="GJM1697" s="90"/>
      <c r="GJN1697" s="90"/>
      <c r="GJO1697" s="90"/>
      <c r="GJP1697" s="90"/>
      <c r="GJQ1697" s="90"/>
      <c r="GJR1697" s="90"/>
      <c r="GJS1697" s="90"/>
      <c r="GJT1697" s="90"/>
      <c r="GJU1697" s="90"/>
      <c r="GJV1697" s="90"/>
      <c r="GJW1697" s="90"/>
      <c r="GJX1697" s="90"/>
      <c r="GJY1697" s="90"/>
      <c r="GJZ1697" s="90"/>
      <c r="GKA1697" s="90"/>
      <c r="GKB1697" s="90"/>
      <c r="GKC1697" s="90"/>
      <c r="GKD1697" s="90"/>
      <c r="GKE1697" s="90"/>
      <c r="GKF1697" s="90"/>
      <c r="GKG1697" s="90"/>
      <c r="GKH1697" s="90"/>
      <c r="GKI1697" s="90"/>
      <c r="GKJ1697" s="90"/>
      <c r="GKK1697" s="90"/>
      <c r="GKL1697" s="90"/>
      <c r="GKM1697" s="90"/>
      <c r="GKN1697" s="90"/>
      <c r="GKO1697" s="90"/>
      <c r="GKP1697" s="90"/>
      <c r="GKQ1697" s="90"/>
      <c r="GKR1697" s="90"/>
      <c r="GKS1697" s="90"/>
      <c r="GKT1697" s="90"/>
      <c r="GKU1697" s="90"/>
      <c r="GKV1697" s="90"/>
      <c r="GKW1697" s="90"/>
      <c r="GKX1697" s="90"/>
      <c r="GKY1697" s="90"/>
      <c r="GKZ1697" s="90"/>
      <c r="GLA1697" s="90"/>
      <c r="GLB1697" s="90"/>
      <c r="GLC1697" s="90"/>
      <c r="GLD1697" s="90"/>
      <c r="GLE1697" s="90"/>
      <c r="GLF1697" s="90"/>
      <c r="GLG1697" s="90"/>
      <c r="GLH1697" s="90"/>
      <c r="GLI1697" s="90"/>
      <c r="GLJ1697" s="90"/>
      <c r="GLK1697" s="90"/>
      <c r="GLL1697" s="90"/>
      <c r="GLM1697" s="90"/>
      <c r="GLN1697" s="90"/>
      <c r="GLO1697" s="90"/>
      <c r="GLP1697" s="90"/>
      <c r="GLQ1697" s="90"/>
      <c r="GLR1697" s="90"/>
      <c r="GLS1697" s="90"/>
      <c r="GLT1697" s="90"/>
      <c r="GLU1697" s="90"/>
      <c r="GLV1697" s="90"/>
      <c r="GLW1697" s="90"/>
      <c r="GLX1697" s="90"/>
      <c r="GLY1697" s="90"/>
      <c r="GLZ1697" s="90"/>
      <c r="GMA1697" s="90"/>
      <c r="GMB1697" s="90"/>
      <c r="GMC1697" s="90"/>
      <c r="GMD1697" s="90"/>
      <c r="GME1697" s="90"/>
      <c r="GMF1697" s="90"/>
      <c r="GMG1697" s="90"/>
      <c r="GMH1697" s="90"/>
      <c r="GMI1697" s="90"/>
      <c r="GMJ1697" s="90"/>
      <c r="GMK1697" s="90"/>
      <c r="GML1697" s="90"/>
      <c r="GMM1697" s="90"/>
      <c r="GMN1697" s="90"/>
      <c r="GMO1697" s="90"/>
      <c r="GMP1697" s="90"/>
      <c r="GMQ1697" s="90"/>
      <c r="GMR1697" s="90"/>
      <c r="GMS1697" s="90"/>
      <c r="GMT1697" s="90"/>
      <c r="GMU1697" s="90"/>
      <c r="GMV1697" s="90"/>
      <c r="GMW1697" s="90"/>
      <c r="GMX1697" s="90"/>
      <c r="GMY1697" s="90"/>
      <c r="GMZ1697" s="90"/>
      <c r="GNA1697" s="90"/>
      <c r="GNB1697" s="90"/>
      <c r="GNC1697" s="90"/>
      <c r="GND1697" s="90"/>
      <c r="GNE1697" s="90"/>
      <c r="GNF1697" s="90"/>
      <c r="GNG1697" s="90"/>
      <c r="GNH1697" s="90"/>
      <c r="GNI1697" s="90"/>
      <c r="GNJ1697" s="90"/>
      <c r="GNK1697" s="90"/>
      <c r="GNL1697" s="90"/>
      <c r="GNM1697" s="90"/>
      <c r="GNN1697" s="90"/>
      <c r="GNO1697" s="90"/>
      <c r="GNP1697" s="90"/>
      <c r="GNQ1697" s="90"/>
      <c r="GNR1697" s="90"/>
      <c r="GNS1697" s="90"/>
      <c r="GNT1697" s="90"/>
      <c r="GNU1697" s="90"/>
      <c r="GNV1697" s="90"/>
      <c r="GNW1697" s="90"/>
      <c r="GNX1697" s="90"/>
      <c r="GNY1697" s="90"/>
      <c r="GNZ1697" s="90"/>
      <c r="GOA1697" s="90"/>
      <c r="GOB1697" s="90"/>
      <c r="GOC1697" s="90"/>
      <c r="GOD1697" s="90"/>
      <c r="GOE1697" s="90"/>
      <c r="GOF1697" s="90"/>
      <c r="GOG1697" s="90"/>
      <c r="GOH1697" s="90"/>
      <c r="GOI1697" s="90"/>
      <c r="GOJ1697" s="90"/>
      <c r="GOK1697" s="90"/>
      <c r="GOL1697" s="90"/>
      <c r="GOM1697" s="90"/>
      <c r="GON1697" s="90"/>
      <c r="GOO1697" s="90"/>
      <c r="GOP1697" s="90"/>
      <c r="GOQ1697" s="90"/>
      <c r="GOR1697" s="90"/>
      <c r="GOS1697" s="90"/>
      <c r="GOT1697" s="90"/>
      <c r="GOU1697" s="90"/>
      <c r="GOV1697" s="90"/>
      <c r="GOW1697" s="90"/>
      <c r="GOX1697" s="90"/>
      <c r="GOY1697" s="90"/>
      <c r="GOZ1697" s="90"/>
      <c r="GPA1697" s="90"/>
      <c r="GPB1697" s="90"/>
      <c r="GPC1697" s="90"/>
      <c r="GPD1697" s="90"/>
      <c r="GPE1697" s="90"/>
      <c r="GPF1697" s="90"/>
      <c r="GPG1697" s="90"/>
      <c r="GPH1697" s="90"/>
      <c r="GPI1697" s="90"/>
      <c r="GPJ1697" s="90"/>
      <c r="GPK1697" s="90"/>
      <c r="GPL1697" s="90"/>
      <c r="GPM1697" s="90"/>
      <c r="GPN1697" s="90"/>
      <c r="GPO1697" s="90"/>
      <c r="GPP1697" s="90"/>
      <c r="GPQ1697" s="90"/>
      <c r="GPR1697" s="90"/>
      <c r="GPS1697" s="90"/>
      <c r="GPT1697" s="90"/>
      <c r="GPU1697" s="90"/>
      <c r="GPV1697" s="90"/>
      <c r="GPW1697" s="90"/>
      <c r="GPX1697" s="90"/>
      <c r="GPY1697" s="90"/>
      <c r="GPZ1697" s="90"/>
      <c r="GQA1697" s="90"/>
      <c r="GQB1697" s="90"/>
      <c r="GQC1697" s="90"/>
      <c r="GQD1697" s="90"/>
      <c r="GQE1697" s="90"/>
      <c r="GQF1697" s="90"/>
      <c r="GQG1697" s="90"/>
      <c r="GQH1697" s="90"/>
      <c r="GQI1697" s="90"/>
      <c r="GQJ1697" s="90"/>
      <c r="GQK1697" s="90"/>
      <c r="GQL1697" s="90"/>
      <c r="GQM1697" s="90"/>
      <c r="GQN1697" s="90"/>
      <c r="GQO1697" s="90"/>
      <c r="GQP1697" s="90"/>
      <c r="GQQ1697" s="90"/>
      <c r="GQR1697" s="90"/>
      <c r="GQS1697" s="90"/>
      <c r="GQT1697" s="90"/>
      <c r="GQU1697" s="90"/>
      <c r="GQV1697" s="90"/>
      <c r="GQW1697" s="90"/>
      <c r="GQX1697" s="90"/>
      <c r="GQY1697" s="90"/>
      <c r="GQZ1697" s="90"/>
      <c r="GRA1697" s="90"/>
      <c r="GRB1697" s="90"/>
      <c r="GRC1697" s="90"/>
      <c r="GRD1697" s="90"/>
      <c r="GRE1697" s="90"/>
      <c r="GRF1697" s="90"/>
      <c r="GRG1697" s="90"/>
      <c r="GRH1697" s="90"/>
      <c r="GRI1697" s="90"/>
      <c r="GRJ1697" s="90"/>
      <c r="GRK1697" s="90"/>
      <c r="GRL1697" s="90"/>
      <c r="GRM1697" s="90"/>
      <c r="GRN1697" s="90"/>
      <c r="GRO1697" s="90"/>
      <c r="GRP1697" s="90"/>
      <c r="GRQ1697" s="90"/>
      <c r="GRR1697" s="90"/>
      <c r="GRS1697" s="90"/>
      <c r="GRT1697" s="90"/>
      <c r="GRU1697" s="90"/>
      <c r="GRV1697" s="90"/>
      <c r="GRW1697" s="90"/>
      <c r="GRX1697" s="90"/>
      <c r="GRY1697" s="90"/>
      <c r="GRZ1697" s="90"/>
      <c r="GSA1697" s="90"/>
      <c r="GSB1697" s="90"/>
      <c r="GSC1697" s="90"/>
      <c r="GSD1697" s="90"/>
      <c r="GSE1697" s="90"/>
      <c r="GSF1697" s="90"/>
      <c r="GSG1697" s="90"/>
      <c r="GSH1697" s="90"/>
      <c r="GSI1697" s="90"/>
      <c r="GSJ1697" s="90"/>
      <c r="GSK1697" s="90"/>
      <c r="GSL1697" s="90"/>
      <c r="GSM1697" s="90"/>
      <c r="GSN1697" s="90"/>
      <c r="GSO1697" s="90"/>
      <c r="GSP1697" s="90"/>
      <c r="GSQ1697" s="90"/>
      <c r="GSR1697" s="90"/>
      <c r="GSS1697" s="90"/>
      <c r="GST1697" s="90"/>
      <c r="GSU1697" s="90"/>
      <c r="GSV1697" s="90"/>
      <c r="GSW1697" s="90"/>
      <c r="GSX1697" s="90"/>
      <c r="GSY1697" s="90"/>
      <c r="GSZ1697" s="90"/>
      <c r="GTA1697" s="90"/>
      <c r="GTB1697" s="90"/>
      <c r="GTC1697" s="90"/>
      <c r="GTD1697" s="90"/>
      <c r="GTE1697" s="90"/>
      <c r="GTF1697" s="90"/>
      <c r="GTG1697" s="90"/>
      <c r="GTH1697" s="90"/>
      <c r="GTI1697" s="90"/>
      <c r="GTJ1697" s="90"/>
      <c r="GTK1697" s="90"/>
      <c r="GTL1697" s="90"/>
      <c r="GTM1697" s="90"/>
      <c r="GTN1697" s="90"/>
      <c r="GTO1697" s="90"/>
      <c r="GTP1697" s="90"/>
      <c r="GTQ1697" s="90"/>
      <c r="GTR1697" s="90"/>
      <c r="GTS1697" s="90"/>
      <c r="GTT1697" s="90"/>
      <c r="GTU1697" s="90"/>
      <c r="GTV1697" s="90"/>
      <c r="GTW1697" s="90"/>
      <c r="GTX1697" s="90"/>
      <c r="GTY1697" s="90"/>
      <c r="GTZ1697" s="90"/>
      <c r="GUA1697" s="90"/>
      <c r="GUB1697" s="90"/>
      <c r="GUC1697" s="90"/>
      <c r="GUD1697" s="90"/>
      <c r="GUE1697" s="90"/>
      <c r="GUF1697" s="90"/>
      <c r="GUG1697" s="90"/>
      <c r="GUH1697" s="90"/>
      <c r="GUI1697" s="90"/>
      <c r="GUJ1697" s="90"/>
      <c r="GUK1697" s="90"/>
      <c r="GUL1697" s="90"/>
      <c r="GUM1697" s="90"/>
      <c r="GUN1697" s="90"/>
      <c r="GUO1697" s="90"/>
      <c r="GUP1697" s="90"/>
      <c r="GUQ1697" s="90"/>
      <c r="GUR1697" s="90"/>
      <c r="GUS1697" s="90"/>
      <c r="GUT1697" s="90"/>
      <c r="GUU1697" s="90"/>
      <c r="GUV1697" s="90"/>
      <c r="GUW1697" s="90"/>
      <c r="GUX1697" s="90"/>
      <c r="GUY1697" s="90"/>
      <c r="GUZ1697" s="90"/>
      <c r="GVA1697" s="90"/>
      <c r="GVB1697" s="90"/>
      <c r="GVC1697" s="90"/>
      <c r="GVD1697" s="90"/>
      <c r="GVE1697" s="90"/>
      <c r="GVF1697" s="90"/>
      <c r="GVG1697" s="90"/>
      <c r="GVH1697" s="90"/>
      <c r="GVI1697" s="90"/>
      <c r="GVJ1697" s="90"/>
      <c r="GVK1697" s="90"/>
      <c r="GVL1697" s="90"/>
      <c r="GVM1697" s="90"/>
      <c r="GVN1697" s="90"/>
      <c r="GVO1697" s="90"/>
      <c r="GVP1697" s="90"/>
      <c r="GVQ1697" s="90"/>
      <c r="GVR1697" s="90"/>
      <c r="GVS1697" s="90"/>
      <c r="GVT1697" s="90"/>
      <c r="GVU1697" s="90"/>
      <c r="GVV1697" s="90"/>
      <c r="GVW1697" s="90"/>
      <c r="GVX1697" s="90"/>
      <c r="GVY1697" s="90"/>
      <c r="GVZ1697" s="90"/>
      <c r="GWA1697" s="90"/>
      <c r="GWB1697" s="90"/>
      <c r="GWC1697" s="90"/>
      <c r="GWD1697" s="90"/>
      <c r="GWE1697" s="90"/>
      <c r="GWF1697" s="90"/>
      <c r="GWG1697" s="90"/>
      <c r="GWH1697" s="90"/>
      <c r="GWI1697" s="90"/>
      <c r="GWJ1697" s="90"/>
      <c r="GWK1697" s="90"/>
      <c r="GWL1697" s="90"/>
      <c r="GWM1697" s="90"/>
      <c r="GWN1697" s="90"/>
      <c r="GWO1697" s="90"/>
      <c r="GWP1697" s="90"/>
      <c r="GWQ1697" s="90"/>
      <c r="GWR1697" s="90"/>
      <c r="GWS1697" s="90"/>
      <c r="GWT1697" s="90"/>
      <c r="GWU1697" s="90"/>
      <c r="GWV1697" s="90"/>
      <c r="GWW1697" s="90"/>
      <c r="GWX1697" s="90"/>
      <c r="GWY1697" s="90"/>
      <c r="GWZ1697" s="90"/>
      <c r="GXA1697" s="90"/>
      <c r="GXB1697" s="90"/>
      <c r="GXC1697" s="90"/>
      <c r="GXD1697" s="90"/>
      <c r="GXE1697" s="90"/>
      <c r="GXF1697" s="90"/>
      <c r="GXG1697" s="90"/>
      <c r="GXH1697" s="90"/>
      <c r="GXI1697" s="90"/>
      <c r="GXJ1697" s="90"/>
      <c r="GXK1697" s="90"/>
      <c r="GXL1697" s="90"/>
      <c r="GXM1697" s="90"/>
      <c r="GXN1697" s="90"/>
      <c r="GXO1697" s="90"/>
      <c r="GXP1697" s="90"/>
      <c r="GXQ1697" s="90"/>
      <c r="GXR1697" s="90"/>
      <c r="GXS1697" s="90"/>
      <c r="GXT1697" s="90"/>
      <c r="GXU1697" s="90"/>
      <c r="GXV1697" s="90"/>
      <c r="GXW1697" s="90"/>
      <c r="GXX1697" s="90"/>
      <c r="GXY1697" s="90"/>
      <c r="GXZ1697" s="90"/>
      <c r="GYA1697" s="90"/>
      <c r="GYB1697" s="90"/>
      <c r="GYC1697" s="90"/>
      <c r="GYD1697" s="90"/>
      <c r="GYE1697" s="90"/>
      <c r="GYF1697" s="90"/>
      <c r="GYG1697" s="90"/>
      <c r="GYH1697" s="90"/>
      <c r="GYI1697" s="90"/>
      <c r="GYJ1697" s="90"/>
      <c r="GYK1697" s="90"/>
      <c r="GYL1697" s="90"/>
      <c r="GYM1697" s="90"/>
      <c r="GYN1697" s="90"/>
      <c r="GYO1697" s="90"/>
      <c r="GYP1697" s="90"/>
      <c r="GYQ1697" s="90"/>
      <c r="GYR1697" s="90"/>
      <c r="GYS1697" s="90"/>
      <c r="GYT1697" s="90"/>
      <c r="GYU1697" s="90"/>
      <c r="GYV1697" s="90"/>
      <c r="GYW1697" s="90"/>
      <c r="GYX1697" s="90"/>
      <c r="GYY1697" s="90"/>
      <c r="GYZ1697" s="90"/>
      <c r="GZA1697" s="90"/>
      <c r="GZB1697" s="90"/>
      <c r="GZC1697" s="90"/>
      <c r="GZD1697" s="90"/>
      <c r="GZE1697" s="90"/>
      <c r="GZF1697" s="90"/>
      <c r="GZG1697" s="90"/>
      <c r="GZH1697" s="90"/>
      <c r="GZI1697" s="90"/>
      <c r="GZJ1697" s="90"/>
      <c r="GZK1697" s="90"/>
      <c r="GZL1697" s="90"/>
      <c r="GZM1697" s="90"/>
      <c r="GZN1697" s="90"/>
      <c r="GZO1697" s="90"/>
      <c r="GZP1697" s="90"/>
      <c r="GZQ1697" s="90"/>
      <c r="GZR1697" s="90"/>
      <c r="GZS1697" s="90"/>
      <c r="GZT1697" s="90"/>
      <c r="GZU1697" s="90"/>
      <c r="GZV1697" s="90"/>
      <c r="GZW1697" s="90"/>
      <c r="GZX1697" s="90"/>
      <c r="GZY1697" s="90"/>
      <c r="GZZ1697" s="90"/>
      <c r="HAA1697" s="90"/>
      <c r="HAB1697" s="90"/>
      <c r="HAC1697" s="90"/>
      <c r="HAD1697" s="90"/>
      <c r="HAE1697" s="90"/>
      <c r="HAF1697" s="90"/>
      <c r="HAG1697" s="90"/>
      <c r="HAH1697" s="90"/>
      <c r="HAI1697" s="90"/>
      <c r="HAJ1697" s="90"/>
      <c r="HAK1697" s="90"/>
      <c r="HAL1697" s="90"/>
      <c r="HAM1697" s="90"/>
      <c r="HAN1697" s="90"/>
      <c r="HAO1697" s="90"/>
      <c r="HAP1697" s="90"/>
      <c r="HAQ1697" s="90"/>
      <c r="HAR1697" s="90"/>
      <c r="HAS1697" s="90"/>
      <c r="HAT1697" s="90"/>
      <c r="HAU1697" s="90"/>
      <c r="HAV1697" s="90"/>
      <c r="HAW1697" s="90"/>
      <c r="HAX1697" s="90"/>
      <c r="HAY1697" s="90"/>
      <c r="HAZ1697" s="90"/>
      <c r="HBA1697" s="90"/>
      <c r="HBB1697" s="90"/>
      <c r="HBC1697" s="90"/>
      <c r="HBD1697" s="90"/>
      <c r="HBE1697" s="90"/>
      <c r="HBF1697" s="90"/>
      <c r="HBG1697" s="90"/>
      <c r="HBH1697" s="90"/>
      <c r="HBI1697" s="90"/>
      <c r="HBJ1697" s="90"/>
      <c r="HBK1697" s="90"/>
      <c r="HBL1697" s="90"/>
      <c r="HBM1697" s="90"/>
      <c r="HBN1697" s="90"/>
      <c r="HBO1697" s="90"/>
      <c r="HBP1697" s="90"/>
      <c r="HBQ1697" s="90"/>
      <c r="HBR1697" s="90"/>
      <c r="HBS1697" s="90"/>
      <c r="HBT1697" s="90"/>
      <c r="HBU1697" s="90"/>
      <c r="HBV1697" s="90"/>
      <c r="HBW1697" s="90"/>
      <c r="HBX1697" s="90"/>
      <c r="HBY1697" s="90"/>
      <c r="HBZ1697" s="90"/>
      <c r="HCA1697" s="90"/>
      <c r="HCB1697" s="90"/>
      <c r="HCC1697" s="90"/>
      <c r="HCD1697" s="90"/>
      <c r="HCE1697" s="90"/>
      <c r="HCF1697" s="90"/>
      <c r="HCG1697" s="90"/>
      <c r="HCH1697" s="90"/>
      <c r="HCI1697" s="90"/>
      <c r="HCJ1697" s="90"/>
      <c r="HCK1697" s="90"/>
      <c r="HCL1697" s="90"/>
      <c r="HCM1697" s="90"/>
      <c r="HCN1697" s="90"/>
      <c r="HCO1697" s="90"/>
      <c r="HCP1697" s="90"/>
      <c r="HCQ1697" s="90"/>
      <c r="HCR1697" s="90"/>
      <c r="HCS1697" s="90"/>
      <c r="HCT1697" s="90"/>
      <c r="HCU1697" s="90"/>
      <c r="HCV1697" s="90"/>
      <c r="HCW1697" s="90"/>
      <c r="HCX1697" s="90"/>
      <c r="HCY1697" s="90"/>
      <c r="HCZ1697" s="90"/>
      <c r="HDA1697" s="90"/>
      <c r="HDB1697" s="90"/>
      <c r="HDC1697" s="90"/>
      <c r="HDD1697" s="90"/>
      <c r="HDE1697" s="90"/>
      <c r="HDF1697" s="90"/>
      <c r="HDG1697" s="90"/>
      <c r="HDH1697" s="90"/>
      <c r="HDI1697" s="90"/>
      <c r="HDJ1697" s="90"/>
      <c r="HDK1697" s="90"/>
      <c r="HDL1697" s="90"/>
      <c r="HDM1697" s="90"/>
      <c r="HDN1697" s="90"/>
      <c r="HDO1697" s="90"/>
      <c r="HDP1697" s="90"/>
      <c r="HDQ1697" s="90"/>
      <c r="HDR1697" s="90"/>
      <c r="HDS1697" s="90"/>
      <c r="HDT1697" s="90"/>
      <c r="HDU1697" s="90"/>
      <c r="HDV1697" s="90"/>
      <c r="HDW1697" s="90"/>
      <c r="HDX1697" s="90"/>
      <c r="HDY1697" s="90"/>
      <c r="HDZ1697" s="90"/>
      <c r="HEA1697" s="90"/>
      <c r="HEB1697" s="90"/>
      <c r="HEC1697" s="90"/>
      <c r="HED1697" s="90"/>
      <c r="HEE1697" s="90"/>
      <c r="HEF1697" s="90"/>
      <c r="HEG1697" s="90"/>
      <c r="HEH1697" s="90"/>
      <c r="HEI1697" s="90"/>
      <c r="HEJ1697" s="90"/>
      <c r="HEK1697" s="90"/>
      <c r="HEL1697" s="90"/>
      <c r="HEM1697" s="90"/>
      <c r="HEN1697" s="90"/>
      <c r="HEO1697" s="90"/>
      <c r="HEP1697" s="90"/>
      <c r="HEQ1697" s="90"/>
      <c r="HER1697" s="90"/>
      <c r="HES1697" s="90"/>
      <c r="HET1697" s="90"/>
      <c r="HEU1697" s="90"/>
      <c r="HEV1697" s="90"/>
      <c r="HEW1697" s="90"/>
      <c r="HEX1697" s="90"/>
      <c r="HEY1697" s="90"/>
      <c r="HEZ1697" s="90"/>
      <c r="HFA1697" s="90"/>
      <c r="HFB1697" s="90"/>
      <c r="HFC1697" s="90"/>
      <c r="HFD1697" s="90"/>
      <c r="HFE1697" s="90"/>
      <c r="HFF1697" s="90"/>
      <c r="HFG1697" s="90"/>
      <c r="HFH1697" s="90"/>
      <c r="HFI1697" s="90"/>
      <c r="HFJ1697" s="90"/>
      <c r="HFK1697" s="90"/>
      <c r="HFL1697" s="90"/>
      <c r="HFM1697" s="90"/>
      <c r="HFN1697" s="90"/>
      <c r="HFO1697" s="90"/>
      <c r="HFP1697" s="90"/>
      <c r="HFQ1697" s="90"/>
      <c r="HFR1697" s="90"/>
      <c r="HFS1697" s="90"/>
      <c r="HFT1697" s="90"/>
      <c r="HFU1697" s="90"/>
      <c r="HFV1697" s="90"/>
      <c r="HFW1697" s="90"/>
      <c r="HFX1697" s="90"/>
      <c r="HFY1697" s="90"/>
      <c r="HFZ1697" s="90"/>
      <c r="HGA1697" s="90"/>
      <c r="HGB1697" s="90"/>
      <c r="HGC1697" s="90"/>
      <c r="HGD1697" s="90"/>
      <c r="HGE1697" s="90"/>
      <c r="HGF1697" s="90"/>
      <c r="HGG1697" s="90"/>
      <c r="HGH1697" s="90"/>
      <c r="HGI1697" s="90"/>
      <c r="HGJ1697" s="90"/>
      <c r="HGK1697" s="90"/>
      <c r="HGL1697" s="90"/>
      <c r="HGM1697" s="90"/>
      <c r="HGN1697" s="90"/>
      <c r="HGO1697" s="90"/>
      <c r="HGP1697" s="90"/>
      <c r="HGQ1697" s="90"/>
      <c r="HGR1697" s="90"/>
      <c r="HGS1697" s="90"/>
      <c r="HGT1697" s="90"/>
      <c r="HGU1697" s="90"/>
      <c r="HGV1697" s="90"/>
      <c r="HGW1697" s="90"/>
      <c r="HGX1697" s="90"/>
      <c r="HGY1697" s="90"/>
      <c r="HGZ1697" s="90"/>
      <c r="HHA1697" s="90"/>
      <c r="HHB1697" s="90"/>
      <c r="HHC1697" s="90"/>
      <c r="HHD1697" s="90"/>
      <c r="HHE1697" s="90"/>
      <c r="HHF1697" s="90"/>
      <c r="HHG1697" s="90"/>
      <c r="HHH1697" s="90"/>
      <c r="HHI1697" s="90"/>
      <c r="HHJ1697" s="90"/>
      <c r="HHK1697" s="90"/>
      <c r="HHL1697" s="90"/>
      <c r="HHM1697" s="90"/>
      <c r="HHN1697" s="90"/>
      <c r="HHO1697" s="90"/>
      <c r="HHP1697" s="90"/>
      <c r="HHQ1697" s="90"/>
      <c r="HHR1697" s="90"/>
      <c r="HHS1697" s="90"/>
      <c r="HHT1697" s="90"/>
      <c r="HHU1697" s="90"/>
      <c r="HHV1697" s="90"/>
      <c r="HHW1697" s="90"/>
      <c r="HHX1697" s="90"/>
      <c r="HHY1697" s="90"/>
      <c r="HHZ1697" s="90"/>
      <c r="HIA1697" s="90"/>
      <c r="HIB1697" s="90"/>
      <c r="HIC1697" s="90"/>
      <c r="HID1697" s="90"/>
      <c r="HIE1697" s="90"/>
      <c r="HIF1697" s="90"/>
      <c r="HIG1697" s="90"/>
      <c r="HIH1697" s="90"/>
      <c r="HII1697" s="90"/>
      <c r="HIJ1697" s="90"/>
      <c r="HIK1697" s="90"/>
      <c r="HIL1697" s="90"/>
      <c r="HIM1697" s="90"/>
      <c r="HIN1697" s="90"/>
      <c r="HIO1697" s="90"/>
      <c r="HIP1697" s="90"/>
      <c r="HIQ1697" s="90"/>
      <c r="HIR1697" s="90"/>
      <c r="HIS1697" s="90"/>
      <c r="HIT1697" s="90"/>
      <c r="HIU1697" s="90"/>
      <c r="HIV1697" s="90"/>
      <c r="HIW1697" s="90"/>
      <c r="HIX1697" s="90"/>
      <c r="HIY1697" s="90"/>
      <c r="HIZ1697" s="90"/>
      <c r="HJA1697" s="90"/>
      <c r="HJB1697" s="90"/>
      <c r="HJC1697" s="90"/>
      <c r="HJD1697" s="90"/>
      <c r="HJE1697" s="90"/>
      <c r="HJF1697" s="90"/>
      <c r="HJG1697" s="90"/>
      <c r="HJH1697" s="90"/>
      <c r="HJI1697" s="90"/>
      <c r="HJJ1697" s="90"/>
      <c r="HJK1697" s="90"/>
      <c r="HJL1697" s="90"/>
      <c r="HJM1697" s="90"/>
      <c r="HJN1697" s="90"/>
      <c r="HJO1697" s="90"/>
      <c r="HJP1697" s="90"/>
      <c r="HJQ1697" s="90"/>
      <c r="HJR1697" s="90"/>
      <c r="HJS1697" s="90"/>
      <c r="HJT1697" s="90"/>
      <c r="HJU1697" s="90"/>
      <c r="HJV1697" s="90"/>
      <c r="HJW1697" s="90"/>
      <c r="HJX1697" s="90"/>
      <c r="HJY1697" s="90"/>
      <c r="HJZ1697" s="90"/>
      <c r="HKA1697" s="90"/>
      <c r="HKB1697" s="90"/>
      <c r="HKC1697" s="90"/>
      <c r="HKD1697" s="90"/>
      <c r="HKE1697" s="90"/>
      <c r="HKF1697" s="90"/>
      <c r="HKG1697" s="90"/>
      <c r="HKH1697" s="90"/>
      <c r="HKI1697" s="90"/>
      <c r="HKJ1697" s="90"/>
      <c r="HKK1697" s="90"/>
      <c r="HKL1697" s="90"/>
      <c r="HKM1697" s="90"/>
      <c r="HKN1697" s="90"/>
      <c r="HKO1697" s="90"/>
      <c r="HKP1697" s="90"/>
      <c r="HKQ1697" s="90"/>
      <c r="HKR1697" s="90"/>
      <c r="HKS1697" s="90"/>
      <c r="HKT1697" s="90"/>
      <c r="HKU1697" s="90"/>
      <c r="HKV1697" s="90"/>
      <c r="HKW1697" s="90"/>
      <c r="HKX1697" s="90"/>
      <c r="HKY1697" s="90"/>
      <c r="HKZ1697" s="90"/>
      <c r="HLA1697" s="90"/>
      <c r="HLB1697" s="90"/>
      <c r="HLC1697" s="90"/>
      <c r="HLD1697" s="90"/>
      <c r="HLE1697" s="90"/>
      <c r="HLF1697" s="90"/>
      <c r="HLG1697" s="90"/>
      <c r="HLH1697" s="90"/>
      <c r="HLI1697" s="90"/>
      <c r="HLJ1697" s="90"/>
      <c r="HLK1697" s="90"/>
      <c r="HLL1697" s="90"/>
      <c r="HLM1697" s="90"/>
      <c r="HLN1697" s="90"/>
      <c r="HLO1697" s="90"/>
      <c r="HLP1697" s="90"/>
      <c r="HLQ1697" s="90"/>
      <c r="HLR1697" s="90"/>
      <c r="HLS1697" s="90"/>
      <c r="HLT1697" s="90"/>
      <c r="HLU1697" s="90"/>
      <c r="HLV1697" s="90"/>
      <c r="HLW1697" s="90"/>
      <c r="HLX1697" s="90"/>
      <c r="HLY1697" s="90"/>
      <c r="HLZ1697" s="90"/>
      <c r="HMA1697" s="90"/>
      <c r="HMB1697" s="90"/>
      <c r="HMC1697" s="90"/>
      <c r="HMD1697" s="90"/>
      <c r="HME1697" s="90"/>
      <c r="HMF1697" s="90"/>
      <c r="HMG1697" s="90"/>
      <c r="HMH1697" s="90"/>
      <c r="HMI1697" s="90"/>
      <c r="HMJ1697" s="90"/>
      <c r="HMK1697" s="90"/>
      <c r="HML1697" s="90"/>
      <c r="HMM1697" s="90"/>
      <c r="HMN1697" s="90"/>
      <c r="HMO1697" s="90"/>
      <c r="HMP1697" s="90"/>
      <c r="HMQ1697" s="90"/>
      <c r="HMR1697" s="90"/>
      <c r="HMS1697" s="90"/>
      <c r="HMT1697" s="90"/>
      <c r="HMU1697" s="90"/>
      <c r="HMV1697" s="90"/>
      <c r="HMW1697" s="90"/>
      <c r="HMX1697" s="90"/>
      <c r="HMY1697" s="90"/>
      <c r="HMZ1697" s="90"/>
      <c r="HNA1697" s="90"/>
      <c r="HNB1697" s="90"/>
      <c r="HNC1697" s="90"/>
      <c r="HND1697" s="90"/>
      <c r="HNE1697" s="90"/>
      <c r="HNF1697" s="90"/>
      <c r="HNG1697" s="90"/>
      <c r="HNH1697" s="90"/>
      <c r="HNI1697" s="90"/>
      <c r="HNJ1697" s="90"/>
      <c r="HNK1697" s="90"/>
      <c r="HNL1697" s="90"/>
      <c r="HNM1697" s="90"/>
      <c r="HNN1697" s="90"/>
      <c r="HNO1697" s="90"/>
      <c r="HNP1697" s="90"/>
      <c r="HNQ1697" s="90"/>
      <c r="HNR1697" s="90"/>
      <c r="HNS1697" s="90"/>
      <c r="HNT1697" s="90"/>
      <c r="HNU1697" s="90"/>
      <c r="HNV1697" s="90"/>
      <c r="HNW1697" s="90"/>
      <c r="HNX1697" s="90"/>
      <c r="HNY1697" s="90"/>
      <c r="HNZ1697" s="90"/>
      <c r="HOA1697" s="90"/>
      <c r="HOB1697" s="90"/>
      <c r="HOC1697" s="90"/>
      <c r="HOD1697" s="90"/>
      <c r="HOE1697" s="90"/>
      <c r="HOF1697" s="90"/>
      <c r="HOG1697" s="90"/>
      <c r="HOH1697" s="90"/>
      <c r="HOI1697" s="90"/>
      <c r="HOJ1697" s="90"/>
      <c r="HOK1697" s="90"/>
      <c r="HOL1697" s="90"/>
      <c r="HOM1697" s="90"/>
      <c r="HON1697" s="90"/>
      <c r="HOO1697" s="90"/>
      <c r="HOP1697" s="90"/>
      <c r="HOQ1697" s="90"/>
      <c r="HOR1697" s="90"/>
      <c r="HOS1697" s="90"/>
      <c r="HOT1697" s="90"/>
      <c r="HOU1697" s="90"/>
      <c r="HOV1697" s="90"/>
      <c r="HOW1697" s="90"/>
      <c r="HOX1697" s="90"/>
      <c r="HOY1697" s="90"/>
      <c r="HOZ1697" s="90"/>
      <c r="HPA1697" s="90"/>
      <c r="HPB1697" s="90"/>
      <c r="HPC1697" s="90"/>
      <c r="HPD1697" s="90"/>
      <c r="HPE1697" s="90"/>
      <c r="HPF1697" s="90"/>
      <c r="HPG1697" s="90"/>
      <c r="HPH1697" s="90"/>
      <c r="HPI1697" s="90"/>
      <c r="HPJ1697" s="90"/>
      <c r="HPK1697" s="90"/>
      <c r="HPL1697" s="90"/>
      <c r="HPM1697" s="90"/>
      <c r="HPN1697" s="90"/>
      <c r="HPO1697" s="90"/>
      <c r="HPP1697" s="90"/>
      <c r="HPQ1697" s="90"/>
      <c r="HPR1697" s="90"/>
      <c r="HPS1697" s="90"/>
      <c r="HPT1697" s="90"/>
      <c r="HPU1697" s="90"/>
      <c r="HPV1697" s="90"/>
      <c r="HPW1697" s="90"/>
      <c r="HPX1697" s="90"/>
      <c r="HPY1697" s="90"/>
      <c r="HPZ1697" s="90"/>
      <c r="HQA1697" s="90"/>
      <c r="HQB1697" s="90"/>
      <c r="HQC1697" s="90"/>
      <c r="HQD1697" s="90"/>
      <c r="HQE1697" s="90"/>
      <c r="HQF1697" s="90"/>
      <c r="HQG1697" s="90"/>
      <c r="HQH1697" s="90"/>
      <c r="HQI1697" s="90"/>
      <c r="HQJ1697" s="90"/>
      <c r="HQK1697" s="90"/>
      <c r="HQL1697" s="90"/>
      <c r="HQM1697" s="90"/>
      <c r="HQN1697" s="90"/>
      <c r="HQO1697" s="90"/>
      <c r="HQP1697" s="90"/>
      <c r="HQQ1697" s="90"/>
      <c r="HQR1697" s="90"/>
      <c r="HQS1697" s="90"/>
      <c r="HQT1697" s="90"/>
      <c r="HQU1697" s="90"/>
      <c r="HQV1697" s="90"/>
      <c r="HQW1697" s="90"/>
      <c r="HQX1697" s="90"/>
      <c r="HQY1697" s="90"/>
      <c r="HQZ1697" s="90"/>
      <c r="HRA1697" s="90"/>
      <c r="HRB1697" s="90"/>
      <c r="HRC1697" s="90"/>
      <c r="HRD1697" s="90"/>
      <c r="HRE1697" s="90"/>
      <c r="HRF1697" s="90"/>
      <c r="HRG1697" s="90"/>
      <c r="HRH1697" s="90"/>
      <c r="HRI1697" s="90"/>
      <c r="HRJ1697" s="90"/>
      <c r="HRK1697" s="90"/>
      <c r="HRL1697" s="90"/>
      <c r="HRM1697" s="90"/>
      <c r="HRN1697" s="90"/>
      <c r="HRO1697" s="90"/>
      <c r="HRP1697" s="90"/>
      <c r="HRQ1697" s="90"/>
      <c r="HRR1697" s="90"/>
      <c r="HRS1697" s="90"/>
      <c r="HRT1697" s="90"/>
      <c r="HRU1697" s="90"/>
      <c r="HRV1697" s="90"/>
      <c r="HRW1697" s="90"/>
      <c r="HRX1697" s="90"/>
      <c r="HRY1697" s="90"/>
      <c r="HRZ1697" s="90"/>
      <c r="HSA1697" s="90"/>
      <c r="HSB1697" s="90"/>
      <c r="HSC1697" s="90"/>
      <c r="HSD1697" s="90"/>
      <c r="HSE1697" s="90"/>
      <c r="HSF1697" s="90"/>
      <c r="HSG1697" s="90"/>
      <c r="HSH1697" s="90"/>
      <c r="HSI1697" s="90"/>
      <c r="HSJ1697" s="90"/>
      <c r="HSK1697" s="90"/>
      <c r="HSL1697" s="90"/>
      <c r="HSM1697" s="90"/>
      <c r="HSN1697" s="90"/>
      <c r="HSO1697" s="90"/>
      <c r="HSP1697" s="90"/>
      <c r="HSQ1697" s="90"/>
      <c r="HSR1697" s="90"/>
      <c r="HSS1697" s="90"/>
      <c r="HST1697" s="90"/>
      <c r="HSU1697" s="90"/>
      <c r="HSV1697" s="90"/>
      <c r="HSW1697" s="90"/>
      <c r="HSX1697" s="90"/>
      <c r="HSY1697" s="90"/>
      <c r="HSZ1697" s="90"/>
      <c r="HTA1697" s="90"/>
      <c r="HTB1697" s="90"/>
      <c r="HTC1697" s="90"/>
      <c r="HTD1697" s="90"/>
      <c r="HTE1697" s="90"/>
      <c r="HTF1697" s="90"/>
      <c r="HTG1697" s="90"/>
      <c r="HTH1697" s="90"/>
      <c r="HTI1697" s="90"/>
      <c r="HTJ1697" s="90"/>
      <c r="HTK1697" s="90"/>
      <c r="HTL1697" s="90"/>
      <c r="HTM1697" s="90"/>
      <c r="HTN1697" s="90"/>
      <c r="HTO1697" s="90"/>
      <c r="HTP1697" s="90"/>
      <c r="HTQ1697" s="90"/>
      <c r="HTR1697" s="90"/>
      <c r="HTS1697" s="90"/>
      <c r="HTT1697" s="90"/>
      <c r="HTU1697" s="90"/>
      <c r="HTV1697" s="90"/>
      <c r="HTW1697" s="90"/>
      <c r="HTX1697" s="90"/>
      <c r="HTY1697" s="90"/>
      <c r="HTZ1697" s="90"/>
      <c r="HUA1697" s="90"/>
      <c r="HUB1697" s="90"/>
      <c r="HUC1697" s="90"/>
      <c r="HUD1697" s="90"/>
      <c r="HUE1697" s="90"/>
      <c r="HUF1697" s="90"/>
      <c r="HUG1697" s="90"/>
      <c r="HUH1697" s="90"/>
      <c r="HUI1697" s="90"/>
      <c r="HUJ1697" s="90"/>
      <c r="HUK1697" s="90"/>
      <c r="HUL1697" s="90"/>
      <c r="HUM1697" s="90"/>
      <c r="HUN1697" s="90"/>
      <c r="HUO1697" s="90"/>
      <c r="HUP1697" s="90"/>
      <c r="HUQ1697" s="90"/>
      <c r="HUR1697" s="90"/>
      <c r="HUS1697" s="90"/>
      <c r="HUT1697" s="90"/>
      <c r="HUU1697" s="90"/>
      <c r="HUV1697" s="90"/>
      <c r="HUW1697" s="90"/>
      <c r="HUX1697" s="90"/>
      <c r="HUY1697" s="90"/>
      <c r="HUZ1697" s="90"/>
      <c r="HVA1697" s="90"/>
      <c r="HVB1697" s="90"/>
      <c r="HVC1697" s="90"/>
      <c r="HVD1697" s="90"/>
      <c r="HVE1697" s="90"/>
      <c r="HVF1697" s="90"/>
      <c r="HVG1697" s="90"/>
      <c r="HVH1697" s="90"/>
      <c r="HVI1697" s="90"/>
      <c r="HVJ1697" s="90"/>
      <c r="HVK1697" s="90"/>
      <c r="HVL1697" s="90"/>
      <c r="HVM1697" s="90"/>
      <c r="HVN1697" s="90"/>
      <c r="HVO1697" s="90"/>
      <c r="HVP1697" s="90"/>
      <c r="HVQ1697" s="90"/>
      <c r="HVR1697" s="90"/>
      <c r="HVS1697" s="90"/>
      <c r="HVT1697" s="90"/>
      <c r="HVU1697" s="90"/>
      <c r="HVV1697" s="90"/>
      <c r="HVW1697" s="90"/>
      <c r="HVX1697" s="90"/>
      <c r="HVY1697" s="90"/>
      <c r="HVZ1697" s="90"/>
      <c r="HWA1697" s="90"/>
      <c r="HWB1697" s="90"/>
      <c r="HWC1697" s="90"/>
      <c r="HWD1697" s="90"/>
      <c r="HWE1697" s="90"/>
      <c r="HWF1697" s="90"/>
      <c r="HWG1697" s="90"/>
      <c r="HWH1697" s="90"/>
      <c r="HWI1697" s="90"/>
      <c r="HWJ1697" s="90"/>
      <c r="HWK1697" s="90"/>
      <c r="HWL1697" s="90"/>
      <c r="HWM1697" s="90"/>
      <c r="HWN1697" s="90"/>
      <c r="HWO1697" s="90"/>
      <c r="HWP1697" s="90"/>
      <c r="HWQ1697" s="90"/>
      <c r="HWR1697" s="90"/>
      <c r="HWS1697" s="90"/>
      <c r="HWT1697" s="90"/>
      <c r="HWU1697" s="90"/>
      <c r="HWV1697" s="90"/>
      <c r="HWW1697" s="90"/>
      <c r="HWX1697" s="90"/>
      <c r="HWY1697" s="90"/>
      <c r="HWZ1697" s="90"/>
      <c r="HXA1697" s="90"/>
      <c r="HXB1697" s="90"/>
      <c r="HXC1697" s="90"/>
      <c r="HXD1697" s="90"/>
      <c r="HXE1697" s="90"/>
      <c r="HXF1697" s="90"/>
      <c r="HXG1697" s="90"/>
      <c r="HXH1697" s="90"/>
      <c r="HXI1697" s="90"/>
      <c r="HXJ1697" s="90"/>
      <c r="HXK1697" s="90"/>
      <c r="HXL1697" s="90"/>
      <c r="HXM1697" s="90"/>
      <c r="HXN1697" s="90"/>
      <c r="HXO1697" s="90"/>
      <c r="HXP1697" s="90"/>
      <c r="HXQ1697" s="90"/>
      <c r="HXR1697" s="90"/>
      <c r="HXS1697" s="90"/>
      <c r="HXT1697" s="90"/>
      <c r="HXU1697" s="90"/>
      <c r="HXV1697" s="90"/>
      <c r="HXW1697" s="90"/>
      <c r="HXX1697" s="90"/>
      <c r="HXY1697" s="90"/>
      <c r="HXZ1697" s="90"/>
      <c r="HYA1697" s="90"/>
      <c r="HYB1697" s="90"/>
      <c r="HYC1697" s="90"/>
      <c r="HYD1697" s="90"/>
      <c r="HYE1697" s="90"/>
      <c r="HYF1697" s="90"/>
      <c r="HYG1697" s="90"/>
      <c r="HYH1697" s="90"/>
      <c r="HYI1697" s="90"/>
      <c r="HYJ1697" s="90"/>
      <c r="HYK1697" s="90"/>
      <c r="HYL1697" s="90"/>
      <c r="HYM1697" s="90"/>
      <c r="HYN1697" s="90"/>
      <c r="HYO1697" s="90"/>
      <c r="HYP1697" s="90"/>
      <c r="HYQ1697" s="90"/>
      <c r="HYR1697" s="90"/>
      <c r="HYS1697" s="90"/>
      <c r="HYT1697" s="90"/>
      <c r="HYU1697" s="90"/>
      <c r="HYV1697" s="90"/>
      <c r="HYW1697" s="90"/>
      <c r="HYX1697" s="90"/>
      <c r="HYY1697" s="90"/>
      <c r="HYZ1697" s="90"/>
      <c r="HZA1697" s="90"/>
      <c r="HZB1697" s="90"/>
      <c r="HZC1697" s="90"/>
      <c r="HZD1697" s="90"/>
      <c r="HZE1697" s="90"/>
      <c r="HZF1697" s="90"/>
      <c r="HZG1697" s="90"/>
      <c r="HZH1697" s="90"/>
      <c r="HZI1697" s="90"/>
      <c r="HZJ1697" s="90"/>
      <c r="HZK1697" s="90"/>
      <c r="HZL1697" s="90"/>
      <c r="HZM1697" s="90"/>
      <c r="HZN1697" s="90"/>
      <c r="HZO1697" s="90"/>
      <c r="HZP1697" s="90"/>
      <c r="HZQ1697" s="90"/>
      <c r="HZR1697" s="90"/>
      <c r="HZS1697" s="90"/>
      <c r="HZT1697" s="90"/>
      <c r="HZU1697" s="90"/>
      <c r="HZV1697" s="90"/>
      <c r="HZW1697" s="90"/>
      <c r="HZX1697" s="90"/>
      <c r="HZY1697" s="90"/>
      <c r="HZZ1697" s="90"/>
      <c r="IAA1697" s="90"/>
      <c r="IAB1697" s="90"/>
      <c r="IAC1697" s="90"/>
      <c r="IAD1697" s="90"/>
      <c r="IAE1697" s="90"/>
      <c r="IAF1697" s="90"/>
      <c r="IAG1697" s="90"/>
      <c r="IAH1697" s="90"/>
      <c r="IAI1697" s="90"/>
      <c r="IAJ1697" s="90"/>
      <c r="IAK1697" s="90"/>
      <c r="IAL1697" s="90"/>
      <c r="IAM1697" s="90"/>
      <c r="IAN1697" s="90"/>
      <c r="IAO1697" s="90"/>
      <c r="IAP1697" s="90"/>
      <c r="IAQ1697" s="90"/>
      <c r="IAR1697" s="90"/>
      <c r="IAS1697" s="90"/>
      <c r="IAT1697" s="90"/>
      <c r="IAU1697" s="90"/>
      <c r="IAV1697" s="90"/>
      <c r="IAW1697" s="90"/>
      <c r="IAX1697" s="90"/>
      <c r="IAY1697" s="90"/>
      <c r="IAZ1697" s="90"/>
      <c r="IBA1697" s="90"/>
      <c r="IBB1697" s="90"/>
      <c r="IBC1697" s="90"/>
      <c r="IBD1697" s="90"/>
      <c r="IBE1697" s="90"/>
      <c r="IBF1697" s="90"/>
      <c r="IBG1697" s="90"/>
      <c r="IBH1697" s="90"/>
      <c r="IBI1697" s="90"/>
      <c r="IBJ1697" s="90"/>
      <c r="IBK1697" s="90"/>
      <c r="IBL1697" s="90"/>
      <c r="IBM1697" s="90"/>
      <c r="IBN1697" s="90"/>
      <c r="IBO1697" s="90"/>
      <c r="IBP1697" s="90"/>
      <c r="IBQ1697" s="90"/>
      <c r="IBR1697" s="90"/>
      <c r="IBS1697" s="90"/>
      <c r="IBT1697" s="90"/>
      <c r="IBU1697" s="90"/>
      <c r="IBV1697" s="90"/>
      <c r="IBW1697" s="90"/>
      <c r="IBX1697" s="90"/>
      <c r="IBY1697" s="90"/>
      <c r="IBZ1697" s="90"/>
      <c r="ICA1697" s="90"/>
      <c r="ICB1697" s="90"/>
      <c r="ICC1697" s="90"/>
      <c r="ICD1697" s="90"/>
      <c r="ICE1697" s="90"/>
      <c r="ICF1697" s="90"/>
      <c r="ICG1697" s="90"/>
      <c r="ICH1697" s="90"/>
      <c r="ICI1697" s="90"/>
      <c r="ICJ1697" s="90"/>
      <c r="ICK1697" s="90"/>
      <c r="ICL1697" s="90"/>
      <c r="ICM1697" s="90"/>
      <c r="ICN1697" s="90"/>
      <c r="ICO1697" s="90"/>
      <c r="ICP1697" s="90"/>
      <c r="ICQ1697" s="90"/>
      <c r="ICR1697" s="90"/>
      <c r="ICS1697" s="90"/>
      <c r="ICT1697" s="90"/>
      <c r="ICU1697" s="90"/>
      <c r="ICV1697" s="90"/>
      <c r="ICW1697" s="90"/>
      <c r="ICX1697" s="90"/>
      <c r="ICY1697" s="90"/>
      <c r="ICZ1697" s="90"/>
      <c r="IDA1697" s="90"/>
      <c r="IDB1697" s="90"/>
      <c r="IDC1697" s="90"/>
      <c r="IDD1697" s="90"/>
      <c r="IDE1697" s="90"/>
      <c r="IDF1697" s="90"/>
      <c r="IDG1697" s="90"/>
      <c r="IDH1697" s="90"/>
      <c r="IDI1697" s="90"/>
      <c r="IDJ1697" s="90"/>
      <c r="IDK1697" s="90"/>
      <c r="IDL1697" s="90"/>
      <c r="IDM1697" s="90"/>
      <c r="IDN1697" s="90"/>
      <c r="IDO1697" s="90"/>
      <c r="IDP1697" s="90"/>
      <c r="IDQ1697" s="90"/>
      <c r="IDR1697" s="90"/>
      <c r="IDS1697" s="90"/>
      <c r="IDT1697" s="90"/>
      <c r="IDU1697" s="90"/>
      <c r="IDV1697" s="90"/>
      <c r="IDW1697" s="90"/>
      <c r="IDX1697" s="90"/>
      <c r="IDY1697" s="90"/>
      <c r="IDZ1697" s="90"/>
      <c r="IEA1697" s="90"/>
      <c r="IEB1697" s="90"/>
      <c r="IEC1697" s="90"/>
      <c r="IED1697" s="90"/>
      <c r="IEE1697" s="90"/>
      <c r="IEF1697" s="90"/>
      <c r="IEG1697" s="90"/>
      <c r="IEH1697" s="90"/>
      <c r="IEI1697" s="90"/>
      <c r="IEJ1697" s="90"/>
      <c r="IEK1697" s="90"/>
      <c r="IEL1697" s="90"/>
      <c r="IEM1697" s="90"/>
      <c r="IEN1697" s="90"/>
      <c r="IEO1697" s="90"/>
      <c r="IEP1697" s="90"/>
      <c r="IEQ1697" s="90"/>
      <c r="IER1697" s="90"/>
      <c r="IES1697" s="90"/>
      <c r="IET1697" s="90"/>
      <c r="IEU1697" s="90"/>
      <c r="IEV1697" s="90"/>
      <c r="IEW1697" s="90"/>
      <c r="IEX1697" s="90"/>
      <c r="IEY1697" s="90"/>
      <c r="IEZ1697" s="90"/>
      <c r="IFA1697" s="90"/>
      <c r="IFB1697" s="90"/>
      <c r="IFC1697" s="90"/>
      <c r="IFD1697" s="90"/>
      <c r="IFE1697" s="90"/>
      <c r="IFF1697" s="90"/>
      <c r="IFG1697" s="90"/>
      <c r="IFH1697" s="90"/>
      <c r="IFI1697" s="90"/>
      <c r="IFJ1697" s="90"/>
      <c r="IFK1697" s="90"/>
      <c r="IFL1697" s="90"/>
      <c r="IFM1697" s="90"/>
      <c r="IFN1697" s="90"/>
      <c r="IFO1697" s="90"/>
      <c r="IFP1697" s="90"/>
      <c r="IFQ1697" s="90"/>
      <c r="IFR1697" s="90"/>
      <c r="IFS1697" s="90"/>
      <c r="IFT1697" s="90"/>
      <c r="IFU1697" s="90"/>
      <c r="IFV1697" s="90"/>
      <c r="IFW1697" s="90"/>
      <c r="IFX1697" s="90"/>
      <c r="IFY1697" s="90"/>
      <c r="IFZ1697" s="90"/>
      <c r="IGA1697" s="90"/>
      <c r="IGB1697" s="90"/>
      <c r="IGC1697" s="90"/>
      <c r="IGD1697" s="90"/>
      <c r="IGE1697" s="90"/>
      <c r="IGF1697" s="90"/>
      <c r="IGG1697" s="90"/>
      <c r="IGH1697" s="90"/>
      <c r="IGI1697" s="90"/>
      <c r="IGJ1697" s="90"/>
      <c r="IGK1697" s="90"/>
      <c r="IGL1697" s="90"/>
      <c r="IGM1697" s="90"/>
      <c r="IGN1697" s="90"/>
      <c r="IGO1697" s="90"/>
      <c r="IGP1697" s="90"/>
      <c r="IGQ1697" s="90"/>
      <c r="IGR1697" s="90"/>
      <c r="IGS1697" s="90"/>
      <c r="IGT1697" s="90"/>
      <c r="IGU1697" s="90"/>
      <c r="IGV1697" s="90"/>
      <c r="IGW1697" s="90"/>
      <c r="IGX1697" s="90"/>
      <c r="IGY1697" s="90"/>
      <c r="IGZ1697" s="90"/>
      <c r="IHA1697" s="90"/>
      <c r="IHB1697" s="90"/>
      <c r="IHC1697" s="90"/>
      <c r="IHD1697" s="90"/>
      <c r="IHE1697" s="90"/>
      <c r="IHF1697" s="90"/>
      <c r="IHG1697" s="90"/>
      <c r="IHH1697" s="90"/>
      <c r="IHI1697" s="90"/>
      <c r="IHJ1697" s="90"/>
      <c r="IHK1697" s="90"/>
      <c r="IHL1697" s="90"/>
      <c r="IHM1697" s="90"/>
      <c r="IHN1697" s="90"/>
      <c r="IHO1697" s="90"/>
      <c r="IHP1697" s="90"/>
      <c r="IHQ1697" s="90"/>
      <c r="IHR1697" s="90"/>
      <c r="IHS1697" s="90"/>
      <c r="IHT1697" s="90"/>
      <c r="IHU1697" s="90"/>
      <c r="IHV1697" s="90"/>
      <c r="IHW1697" s="90"/>
      <c r="IHX1697" s="90"/>
      <c r="IHY1697" s="90"/>
      <c r="IHZ1697" s="90"/>
      <c r="IIA1697" s="90"/>
      <c r="IIB1697" s="90"/>
      <c r="IIC1697" s="90"/>
      <c r="IID1697" s="90"/>
      <c r="IIE1697" s="90"/>
      <c r="IIF1697" s="90"/>
      <c r="IIG1697" s="90"/>
      <c r="IIH1697" s="90"/>
      <c r="III1697" s="90"/>
      <c r="IIJ1697" s="90"/>
      <c r="IIK1697" s="90"/>
      <c r="IIL1697" s="90"/>
      <c r="IIM1697" s="90"/>
      <c r="IIN1697" s="90"/>
      <c r="IIO1697" s="90"/>
      <c r="IIP1697" s="90"/>
      <c r="IIQ1697" s="90"/>
      <c r="IIR1697" s="90"/>
      <c r="IIS1697" s="90"/>
      <c r="IIT1697" s="90"/>
      <c r="IIU1697" s="90"/>
      <c r="IIV1697" s="90"/>
      <c r="IIW1697" s="90"/>
      <c r="IIX1697" s="90"/>
      <c r="IIY1697" s="90"/>
      <c r="IIZ1697" s="90"/>
      <c r="IJA1697" s="90"/>
      <c r="IJB1697" s="90"/>
      <c r="IJC1697" s="90"/>
      <c r="IJD1697" s="90"/>
      <c r="IJE1697" s="90"/>
      <c r="IJF1697" s="90"/>
      <c r="IJG1697" s="90"/>
      <c r="IJH1697" s="90"/>
      <c r="IJI1697" s="90"/>
      <c r="IJJ1697" s="90"/>
      <c r="IJK1697" s="90"/>
      <c r="IJL1697" s="90"/>
      <c r="IJM1697" s="90"/>
      <c r="IJN1697" s="90"/>
      <c r="IJO1697" s="90"/>
      <c r="IJP1697" s="90"/>
      <c r="IJQ1697" s="90"/>
      <c r="IJR1697" s="90"/>
      <c r="IJS1697" s="90"/>
      <c r="IJT1697" s="90"/>
      <c r="IJU1697" s="90"/>
      <c r="IJV1697" s="90"/>
      <c r="IJW1697" s="90"/>
      <c r="IJX1697" s="90"/>
      <c r="IJY1697" s="90"/>
      <c r="IJZ1697" s="90"/>
      <c r="IKA1697" s="90"/>
      <c r="IKB1697" s="90"/>
      <c r="IKC1697" s="90"/>
      <c r="IKD1697" s="90"/>
      <c r="IKE1697" s="90"/>
      <c r="IKF1697" s="90"/>
      <c r="IKG1697" s="90"/>
      <c r="IKH1697" s="90"/>
      <c r="IKI1697" s="90"/>
      <c r="IKJ1697" s="90"/>
      <c r="IKK1697" s="90"/>
      <c r="IKL1697" s="90"/>
      <c r="IKM1697" s="90"/>
      <c r="IKN1697" s="90"/>
      <c r="IKO1697" s="90"/>
      <c r="IKP1697" s="90"/>
      <c r="IKQ1697" s="90"/>
      <c r="IKR1697" s="90"/>
      <c r="IKS1697" s="90"/>
      <c r="IKT1697" s="90"/>
      <c r="IKU1697" s="90"/>
      <c r="IKV1697" s="90"/>
      <c r="IKW1697" s="90"/>
      <c r="IKX1697" s="90"/>
      <c r="IKY1697" s="90"/>
      <c r="IKZ1697" s="90"/>
      <c r="ILA1697" s="90"/>
      <c r="ILB1697" s="90"/>
      <c r="ILC1697" s="90"/>
      <c r="ILD1697" s="90"/>
      <c r="ILE1697" s="90"/>
      <c r="ILF1697" s="90"/>
      <c r="ILG1697" s="90"/>
      <c r="ILH1697" s="90"/>
      <c r="ILI1697" s="90"/>
      <c r="ILJ1697" s="90"/>
      <c r="ILK1697" s="90"/>
      <c r="ILL1697" s="90"/>
      <c r="ILM1697" s="90"/>
      <c r="ILN1697" s="90"/>
      <c r="ILO1697" s="90"/>
      <c r="ILP1697" s="90"/>
      <c r="ILQ1697" s="90"/>
      <c r="ILR1697" s="90"/>
      <c r="ILS1697" s="90"/>
      <c r="ILT1697" s="90"/>
      <c r="ILU1697" s="90"/>
      <c r="ILV1697" s="90"/>
      <c r="ILW1697" s="90"/>
      <c r="ILX1697" s="90"/>
      <c r="ILY1697" s="90"/>
      <c r="ILZ1697" s="90"/>
      <c r="IMA1697" s="90"/>
      <c r="IMB1697" s="90"/>
      <c r="IMC1697" s="90"/>
      <c r="IMD1697" s="90"/>
      <c r="IME1697" s="90"/>
      <c r="IMF1697" s="90"/>
      <c r="IMG1697" s="90"/>
      <c r="IMH1697" s="90"/>
      <c r="IMI1697" s="90"/>
      <c r="IMJ1697" s="90"/>
      <c r="IMK1697" s="90"/>
      <c r="IML1697" s="90"/>
      <c r="IMM1697" s="90"/>
      <c r="IMN1697" s="90"/>
      <c r="IMO1697" s="90"/>
      <c r="IMP1697" s="90"/>
      <c r="IMQ1697" s="90"/>
      <c r="IMR1697" s="90"/>
      <c r="IMS1697" s="90"/>
      <c r="IMT1697" s="90"/>
      <c r="IMU1697" s="90"/>
      <c r="IMV1697" s="90"/>
      <c r="IMW1697" s="90"/>
      <c r="IMX1697" s="90"/>
      <c r="IMY1697" s="90"/>
      <c r="IMZ1697" s="90"/>
      <c r="INA1697" s="90"/>
      <c r="INB1697" s="90"/>
      <c r="INC1697" s="90"/>
      <c r="IND1697" s="90"/>
      <c r="INE1697" s="90"/>
      <c r="INF1697" s="90"/>
      <c r="ING1697" s="90"/>
      <c r="INH1697" s="90"/>
      <c r="INI1697" s="90"/>
      <c r="INJ1697" s="90"/>
      <c r="INK1697" s="90"/>
      <c r="INL1697" s="90"/>
      <c r="INM1697" s="90"/>
      <c r="INN1697" s="90"/>
      <c r="INO1697" s="90"/>
      <c r="INP1697" s="90"/>
      <c r="INQ1697" s="90"/>
      <c r="INR1697" s="90"/>
      <c r="INS1697" s="90"/>
      <c r="INT1697" s="90"/>
      <c r="INU1697" s="90"/>
      <c r="INV1697" s="90"/>
      <c r="INW1697" s="90"/>
      <c r="INX1697" s="90"/>
      <c r="INY1697" s="90"/>
      <c r="INZ1697" s="90"/>
      <c r="IOA1697" s="90"/>
      <c r="IOB1697" s="90"/>
      <c r="IOC1697" s="90"/>
      <c r="IOD1697" s="90"/>
      <c r="IOE1697" s="90"/>
      <c r="IOF1697" s="90"/>
      <c r="IOG1697" s="90"/>
      <c r="IOH1697" s="90"/>
      <c r="IOI1697" s="90"/>
      <c r="IOJ1697" s="90"/>
      <c r="IOK1697" s="90"/>
      <c r="IOL1697" s="90"/>
      <c r="IOM1697" s="90"/>
      <c r="ION1697" s="90"/>
      <c r="IOO1697" s="90"/>
      <c r="IOP1697" s="90"/>
      <c r="IOQ1697" s="90"/>
      <c r="IOR1697" s="90"/>
      <c r="IOS1697" s="90"/>
      <c r="IOT1697" s="90"/>
      <c r="IOU1697" s="90"/>
      <c r="IOV1697" s="90"/>
      <c r="IOW1697" s="90"/>
      <c r="IOX1697" s="90"/>
      <c r="IOY1697" s="90"/>
      <c r="IOZ1697" s="90"/>
      <c r="IPA1697" s="90"/>
      <c r="IPB1697" s="90"/>
      <c r="IPC1697" s="90"/>
      <c r="IPD1697" s="90"/>
      <c r="IPE1697" s="90"/>
      <c r="IPF1697" s="90"/>
      <c r="IPG1697" s="90"/>
      <c r="IPH1697" s="90"/>
      <c r="IPI1697" s="90"/>
      <c r="IPJ1697" s="90"/>
      <c r="IPK1697" s="90"/>
      <c r="IPL1697" s="90"/>
      <c r="IPM1697" s="90"/>
      <c r="IPN1697" s="90"/>
      <c r="IPO1697" s="90"/>
      <c r="IPP1697" s="90"/>
      <c r="IPQ1697" s="90"/>
      <c r="IPR1697" s="90"/>
      <c r="IPS1697" s="90"/>
      <c r="IPT1697" s="90"/>
      <c r="IPU1697" s="90"/>
      <c r="IPV1697" s="90"/>
      <c r="IPW1697" s="90"/>
      <c r="IPX1697" s="90"/>
      <c r="IPY1697" s="90"/>
      <c r="IPZ1697" s="90"/>
      <c r="IQA1697" s="90"/>
      <c r="IQB1697" s="90"/>
      <c r="IQC1697" s="90"/>
      <c r="IQD1697" s="90"/>
      <c r="IQE1697" s="90"/>
      <c r="IQF1697" s="90"/>
      <c r="IQG1697" s="90"/>
      <c r="IQH1697" s="90"/>
      <c r="IQI1697" s="90"/>
      <c r="IQJ1697" s="90"/>
      <c r="IQK1697" s="90"/>
      <c r="IQL1697" s="90"/>
      <c r="IQM1697" s="90"/>
      <c r="IQN1697" s="90"/>
      <c r="IQO1697" s="90"/>
      <c r="IQP1697" s="90"/>
      <c r="IQQ1697" s="90"/>
      <c r="IQR1697" s="90"/>
      <c r="IQS1697" s="90"/>
      <c r="IQT1697" s="90"/>
      <c r="IQU1697" s="90"/>
      <c r="IQV1697" s="90"/>
      <c r="IQW1697" s="90"/>
      <c r="IQX1697" s="90"/>
      <c r="IQY1697" s="90"/>
      <c r="IQZ1697" s="90"/>
      <c r="IRA1697" s="90"/>
      <c r="IRB1697" s="90"/>
      <c r="IRC1697" s="90"/>
      <c r="IRD1697" s="90"/>
      <c r="IRE1697" s="90"/>
      <c r="IRF1697" s="90"/>
      <c r="IRG1697" s="90"/>
      <c r="IRH1697" s="90"/>
      <c r="IRI1697" s="90"/>
      <c r="IRJ1697" s="90"/>
      <c r="IRK1697" s="90"/>
      <c r="IRL1697" s="90"/>
      <c r="IRM1697" s="90"/>
      <c r="IRN1697" s="90"/>
      <c r="IRO1697" s="90"/>
      <c r="IRP1697" s="90"/>
      <c r="IRQ1697" s="90"/>
      <c r="IRR1697" s="90"/>
      <c r="IRS1697" s="90"/>
      <c r="IRT1697" s="90"/>
      <c r="IRU1697" s="90"/>
      <c r="IRV1697" s="90"/>
      <c r="IRW1697" s="90"/>
      <c r="IRX1697" s="90"/>
      <c r="IRY1697" s="90"/>
      <c r="IRZ1697" s="90"/>
      <c r="ISA1697" s="90"/>
      <c r="ISB1697" s="90"/>
      <c r="ISC1697" s="90"/>
      <c r="ISD1697" s="90"/>
      <c r="ISE1697" s="90"/>
      <c r="ISF1697" s="90"/>
      <c r="ISG1697" s="90"/>
      <c r="ISH1697" s="90"/>
      <c r="ISI1697" s="90"/>
      <c r="ISJ1697" s="90"/>
      <c r="ISK1697" s="90"/>
      <c r="ISL1697" s="90"/>
      <c r="ISM1697" s="90"/>
      <c r="ISN1697" s="90"/>
      <c r="ISO1697" s="90"/>
      <c r="ISP1697" s="90"/>
      <c r="ISQ1697" s="90"/>
      <c r="ISR1697" s="90"/>
      <c r="ISS1697" s="90"/>
      <c r="IST1697" s="90"/>
      <c r="ISU1697" s="90"/>
      <c r="ISV1697" s="90"/>
      <c r="ISW1697" s="90"/>
      <c r="ISX1697" s="90"/>
      <c r="ISY1697" s="90"/>
      <c r="ISZ1697" s="90"/>
      <c r="ITA1697" s="90"/>
      <c r="ITB1697" s="90"/>
      <c r="ITC1697" s="90"/>
      <c r="ITD1697" s="90"/>
      <c r="ITE1697" s="90"/>
      <c r="ITF1697" s="90"/>
      <c r="ITG1697" s="90"/>
      <c r="ITH1697" s="90"/>
      <c r="ITI1697" s="90"/>
      <c r="ITJ1697" s="90"/>
      <c r="ITK1697" s="90"/>
      <c r="ITL1697" s="90"/>
      <c r="ITM1697" s="90"/>
      <c r="ITN1697" s="90"/>
      <c r="ITO1697" s="90"/>
      <c r="ITP1697" s="90"/>
      <c r="ITQ1697" s="90"/>
      <c r="ITR1697" s="90"/>
      <c r="ITS1697" s="90"/>
      <c r="ITT1697" s="90"/>
      <c r="ITU1697" s="90"/>
      <c r="ITV1697" s="90"/>
      <c r="ITW1697" s="90"/>
      <c r="ITX1697" s="90"/>
      <c r="ITY1697" s="90"/>
      <c r="ITZ1697" s="90"/>
      <c r="IUA1697" s="90"/>
      <c r="IUB1697" s="90"/>
      <c r="IUC1697" s="90"/>
      <c r="IUD1697" s="90"/>
      <c r="IUE1697" s="90"/>
      <c r="IUF1697" s="90"/>
      <c r="IUG1697" s="90"/>
      <c r="IUH1697" s="90"/>
      <c r="IUI1697" s="90"/>
      <c r="IUJ1697" s="90"/>
      <c r="IUK1697" s="90"/>
      <c r="IUL1697" s="90"/>
      <c r="IUM1697" s="90"/>
      <c r="IUN1697" s="90"/>
      <c r="IUO1697" s="90"/>
      <c r="IUP1697" s="90"/>
      <c r="IUQ1697" s="90"/>
      <c r="IUR1697" s="90"/>
      <c r="IUS1697" s="90"/>
      <c r="IUT1697" s="90"/>
      <c r="IUU1697" s="90"/>
      <c r="IUV1697" s="90"/>
      <c r="IUW1697" s="90"/>
      <c r="IUX1697" s="90"/>
      <c r="IUY1697" s="90"/>
      <c r="IUZ1697" s="90"/>
      <c r="IVA1697" s="90"/>
      <c r="IVB1697" s="90"/>
      <c r="IVC1697" s="90"/>
      <c r="IVD1697" s="90"/>
      <c r="IVE1697" s="90"/>
      <c r="IVF1697" s="90"/>
      <c r="IVG1697" s="90"/>
      <c r="IVH1697" s="90"/>
      <c r="IVI1697" s="90"/>
      <c r="IVJ1697" s="90"/>
      <c r="IVK1697" s="90"/>
      <c r="IVL1697" s="90"/>
      <c r="IVM1697" s="90"/>
      <c r="IVN1697" s="90"/>
      <c r="IVO1697" s="90"/>
      <c r="IVP1697" s="90"/>
      <c r="IVQ1697" s="90"/>
      <c r="IVR1697" s="90"/>
      <c r="IVS1697" s="90"/>
      <c r="IVT1697" s="90"/>
      <c r="IVU1697" s="90"/>
      <c r="IVV1697" s="90"/>
      <c r="IVW1697" s="90"/>
      <c r="IVX1697" s="90"/>
      <c r="IVY1697" s="90"/>
      <c r="IVZ1697" s="90"/>
      <c r="IWA1697" s="90"/>
      <c r="IWB1697" s="90"/>
      <c r="IWC1697" s="90"/>
      <c r="IWD1697" s="90"/>
      <c r="IWE1697" s="90"/>
      <c r="IWF1697" s="90"/>
      <c r="IWG1697" s="90"/>
      <c r="IWH1697" s="90"/>
      <c r="IWI1697" s="90"/>
      <c r="IWJ1697" s="90"/>
      <c r="IWK1697" s="90"/>
      <c r="IWL1697" s="90"/>
      <c r="IWM1697" s="90"/>
      <c r="IWN1697" s="90"/>
      <c r="IWO1697" s="90"/>
      <c r="IWP1697" s="90"/>
      <c r="IWQ1697" s="90"/>
      <c r="IWR1697" s="90"/>
      <c r="IWS1697" s="90"/>
      <c r="IWT1697" s="90"/>
      <c r="IWU1697" s="90"/>
      <c r="IWV1697" s="90"/>
      <c r="IWW1697" s="90"/>
      <c r="IWX1697" s="90"/>
      <c r="IWY1697" s="90"/>
      <c r="IWZ1697" s="90"/>
      <c r="IXA1697" s="90"/>
      <c r="IXB1697" s="90"/>
      <c r="IXC1697" s="90"/>
      <c r="IXD1697" s="90"/>
      <c r="IXE1697" s="90"/>
      <c r="IXF1697" s="90"/>
      <c r="IXG1697" s="90"/>
      <c r="IXH1697" s="90"/>
      <c r="IXI1697" s="90"/>
      <c r="IXJ1697" s="90"/>
      <c r="IXK1697" s="90"/>
      <c r="IXL1697" s="90"/>
      <c r="IXM1697" s="90"/>
      <c r="IXN1697" s="90"/>
      <c r="IXO1697" s="90"/>
      <c r="IXP1697" s="90"/>
      <c r="IXQ1697" s="90"/>
      <c r="IXR1697" s="90"/>
      <c r="IXS1697" s="90"/>
      <c r="IXT1697" s="90"/>
      <c r="IXU1697" s="90"/>
      <c r="IXV1697" s="90"/>
      <c r="IXW1697" s="90"/>
      <c r="IXX1697" s="90"/>
      <c r="IXY1697" s="90"/>
      <c r="IXZ1697" s="90"/>
      <c r="IYA1697" s="90"/>
      <c r="IYB1697" s="90"/>
      <c r="IYC1697" s="90"/>
      <c r="IYD1697" s="90"/>
      <c r="IYE1697" s="90"/>
      <c r="IYF1697" s="90"/>
      <c r="IYG1697" s="90"/>
      <c r="IYH1697" s="90"/>
      <c r="IYI1697" s="90"/>
      <c r="IYJ1697" s="90"/>
      <c r="IYK1697" s="90"/>
      <c r="IYL1697" s="90"/>
      <c r="IYM1697" s="90"/>
      <c r="IYN1697" s="90"/>
      <c r="IYO1697" s="90"/>
      <c r="IYP1697" s="90"/>
      <c r="IYQ1697" s="90"/>
      <c r="IYR1697" s="90"/>
      <c r="IYS1697" s="90"/>
      <c r="IYT1697" s="90"/>
      <c r="IYU1697" s="90"/>
      <c r="IYV1697" s="90"/>
      <c r="IYW1697" s="90"/>
      <c r="IYX1697" s="90"/>
      <c r="IYY1697" s="90"/>
      <c r="IYZ1697" s="90"/>
      <c r="IZA1697" s="90"/>
      <c r="IZB1697" s="90"/>
      <c r="IZC1697" s="90"/>
      <c r="IZD1697" s="90"/>
      <c r="IZE1697" s="90"/>
      <c r="IZF1697" s="90"/>
      <c r="IZG1697" s="90"/>
      <c r="IZH1697" s="90"/>
      <c r="IZI1697" s="90"/>
      <c r="IZJ1697" s="90"/>
      <c r="IZK1697" s="90"/>
      <c r="IZL1697" s="90"/>
      <c r="IZM1697" s="90"/>
      <c r="IZN1697" s="90"/>
      <c r="IZO1697" s="90"/>
      <c r="IZP1697" s="90"/>
      <c r="IZQ1697" s="90"/>
      <c r="IZR1697" s="90"/>
      <c r="IZS1697" s="90"/>
      <c r="IZT1697" s="90"/>
      <c r="IZU1697" s="90"/>
      <c r="IZV1697" s="90"/>
      <c r="IZW1697" s="90"/>
      <c r="IZX1697" s="90"/>
      <c r="IZY1697" s="90"/>
      <c r="IZZ1697" s="90"/>
      <c r="JAA1697" s="90"/>
      <c r="JAB1697" s="90"/>
      <c r="JAC1697" s="90"/>
      <c r="JAD1697" s="90"/>
      <c r="JAE1697" s="90"/>
      <c r="JAF1697" s="90"/>
      <c r="JAG1697" s="90"/>
      <c r="JAH1697" s="90"/>
      <c r="JAI1697" s="90"/>
      <c r="JAJ1697" s="90"/>
      <c r="JAK1697" s="90"/>
      <c r="JAL1697" s="90"/>
      <c r="JAM1697" s="90"/>
      <c r="JAN1697" s="90"/>
      <c r="JAO1697" s="90"/>
      <c r="JAP1697" s="90"/>
      <c r="JAQ1697" s="90"/>
      <c r="JAR1697" s="90"/>
      <c r="JAS1697" s="90"/>
      <c r="JAT1697" s="90"/>
      <c r="JAU1697" s="90"/>
      <c r="JAV1697" s="90"/>
      <c r="JAW1697" s="90"/>
      <c r="JAX1697" s="90"/>
      <c r="JAY1697" s="90"/>
      <c r="JAZ1697" s="90"/>
      <c r="JBA1697" s="90"/>
      <c r="JBB1697" s="90"/>
      <c r="JBC1697" s="90"/>
      <c r="JBD1697" s="90"/>
      <c r="JBE1697" s="90"/>
      <c r="JBF1697" s="90"/>
      <c r="JBG1697" s="90"/>
      <c r="JBH1697" s="90"/>
      <c r="JBI1697" s="90"/>
      <c r="JBJ1697" s="90"/>
      <c r="JBK1697" s="90"/>
      <c r="JBL1697" s="90"/>
      <c r="JBM1697" s="90"/>
      <c r="JBN1697" s="90"/>
      <c r="JBO1697" s="90"/>
      <c r="JBP1697" s="90"/>
      <c r="JBQ1697" s="90"/>
      <c r="JBR1697" s="90"/>
      <c r="JBS1697" s="90"/>
      <c r="JBT1697" s="90"/>
      <c r="JBU1697" s="90"/>
      <c r="JBV1697" s="90"/>
      <c r="JBW1697" s="90"/>
      <c r="JBX1697" s="90"/>
      <c r="JBY1697" s="90"/>
      <c r="JBZ1697" s="90"/>
      <c r="JCA1697" s="90"/>
      <c r="JCB1697" s="90"/>
      <c r="JCC1697" s="90"/>
      <c r="JCD1697" s="90"/>
      <c r="JCE1697" s="90"/>
      <c r="JCF1697" s="90"/>
      <c r="JCG1697" s="90"/>
      <c r="JCH1697" s="90"/>
      <c r="JCI1697" s="90"/>
      <c r="JCJ1697" s="90"/>
      <c r="JCK1697" s="90"/>
      <c r="JCL1697" s="90"/>
      <c r="JCM1697" s="90"/>
      <c r="JCN1697" s="90"/>
      <c r="JCO1697" s="90"/>
      <c r="JCP1697" s="90"/>
      <c r="JCQ1697" s="90"/>
      <c r="JCR1697" s="90"/>
      <c r="JCS1697" s="90"/>
      <c r="JCT1697" s="90"/>
      <c r="JCU1697" s="90"/>
      <c r="JCV1697" s="90"/>
      <c r="JCW1697" s="90"/>
      <c r="JCX1697" s="90"/>
      <c r="JCY1697" s="90"/>
      <c r="JCZ1697" s="90"/>
      <c r="JDA1697" s="90"/>
      <c r="JDB1697" s="90"/>
      <c r="JDC1697" s="90"/>
      <c r="JDD1697" s="90"/>
      <c r="JDE1697" s="90"/>
      <c r="JDF1697" s="90"/>
      <c r="JDG1697" s="90"/>
      <c r="JDH1697" s="90"/>
      <c r="JDI1697" s="90"/>
      <c r="JDJ1697" s="90"/>
      <c r="JDK1697" s="90"/>
      <c r="JDL1697" s="90"/>
      <c r="JDM1697" s="90"/>
      <c r="JDN1697" s="90"/>
      <c r="JDO1697" s="90"/>
      <c r="JDP1697" s="90"/>
      <c r="JDQ1697" s="90"/>
      <c r="JDR1697" s="90"/>
      <c r="JDS1697" s="90"/>
      <c r="JDT1697" s="90"/>
      <c r="JDU1697" s="90"/>
      <c r="JDV1697" s="90"/>
      <c r="JDW1697" s="90"/>
      <c r="JDX1697" s="90"/>
      <c r="JDY1697" s="90"/>
      <c r="JDZ1697" s="90"/>
      <c r="JEA1697" s="90"/>
      <c r="JEB1697" s="90"/>
      <c r="JEC1697" s="90"/>
      <c r="JED1697" s="90"/>
      <c r="JEE1697" s="90"/>
      <c r="JEF1697" s="90"/>
      <c r="JEG1697" s="90"/>
      <c r="JEH1697" s="90"/>
      <c r="JEI1697" s="90"/>
      <c r="JEJ1697" s="90"/>
      <c r="JEK1697" s="90"/>
      <c r="JEL1697" s="90"/>
      <c r="JEM1697" s="90"/>
      <c r="JEN1697" s="90"/>
      <c r="JEO1697" s="90"/>
      <c r="JEP1697" s="90"/>
      <c r="JEQ1697" s="90"/>
      <c r="JER1697" s="90"/>
      <c r="JES1697" s="90"/>
      <c r="JET1697" s="90"/>
      <c r="JEU1697" s="90"/>
      <c r="JEV1697" s="90"/>
      <c r="JEW1697" s="90"/>
      <c r="JEX1697" s="90"/>
      <c r="JEY1697" s="90"/>
      <c r="JEZ1697" s="90"/>
      <c r="JFA1697" s="90"/>
      <c r="JFB1697" s="90"/>
      <c r="JFC1697" s="90"/>
      <c r="JFD1697" s="90"/>
      <c r="JFE1697" s="90"/>
      <c r="JFF1697" s="90"/>
      <c r="JFG1697" s="90"/>
      <c r="JFH1697" s="90"/>
      <c r="JFI1697" s="90"/>
      <c r="JFJ1697" s="90"/>
      <c r="JFK1697" s="90"/>
      <c r="JFL1697" s="90"/>
      <c r="JFM1697" s="90"/>
      <c r="JFN1697" s="90"/>
      <c r="JFO1697" s="90"/>
      <c r="JFP1697" s="90"/>
      <c r="JFQ1697" s="90"/>
      <c r="JFR1697" s="90"/>
      <c r="JFS1697" s="90"/>
      <c r="JFT1697" s="90"/>
      <c r="JFU1697" s="90"/>
      <c r="JFV1697" s="90"/>
      <c r="JFW1697" s="90"/>
      <c r="JFX1697" s="90"/>
      <c r="JFY1697" s="90"/>
      <c r="JFZ1697" s="90"/>
      <c r="JGA1697" s="90"/>
      <c r="JGB1697" s="90"/>
      <c r="JGC1697" s="90"/>
      <c r="JGD1697" s="90"/>
      <c r="JGE1697" s="90"/>
      <c r="JGF1697" s="90"/>
      <c r="JGG1697" s="90"/>
      <c r="JGH1697" s="90"/>
      <c r="JGI1697" s="90"/>
      <c r="JGJ1697" s="90"/>
      <c r="JGK1697" s="90"/>
      <c r="JGL1697" s="90"/>
      <c r="JGM1697" s="90"/>
      <c r="JGN1697" s="90"/>
      <c r="JGO1697" s="90"/>
      <c r="JGP1697" s="90"/>
      <c r="JGQ1697" s="90"/>
      <c r="JGR1697" s="90"/>
      <c r="JGS1697" s="90"/>
      <c r="JGT1697" s="90"/>
      <c r="JGU1697" s="90"/>
      <c r="JGV1697" s="90"/>
      <c r="JGW1697" s="90"/>
      <c r="JGX1697" s="90"/>
      <c r="JGY1697" s="90"/>
      <c r="JGZ1697" s="90"/>
      <c r="JHA1697" s="90"/>
      <c r="JHB1697" s="90"/>
      <c r="JHC1697" s="90"/>
      <c r="JHD1697" s="90"/>
      <c r="JHE1697" s="90"/>
      <c r="JHF1697" s="90"/>
      <c r="JHG1697" s="90"/>
      <c r="JHH1697" s="90"/>
      <c r="JHI1697" s="90"/>
      <c r="JHJ1697" s="90"/>
      <c r="JHK1697" s="90"/>
      <c r="JHL1697" s="90"/>
      <c r="JHM1697" s="90"/>
      <c r="JHN1697" s="90"/>
      <c r="JHO1697" s="90"/>
      <c r="JHP1697" s="90"/>
      <c r="JHQ1697" s="90"/>
      <c r="JHR1697" s="90"/>
      <c r="JHS1697" s="90"/>
      <c r="JHT1697" s="90"/>
      <c r="JHU1697" s="90"/>
      <c r="JHV1697" s="90"/>
      <c r="JHW1697" s="90"/>
      <c r="JHX1697" s="90"/>
      <c r="JHY1697" s="90"/>
      <c r="JHZ1697" s="90"/>
      <c r="JIA1697" s="90"/>
      <c r="JIB1697" s="90"/>
      <c r="JIC1697" s="90"/>
      <c r="JID1697" s="90"/>
      <c r="JIE1697" s="90"/>
      <c r="JIF1697" s="90"/>
      <c r="JIG1697" s="90"/>
      <c r="JIH1697" s="90"/>
      <c r="JII1697" s="90"/>
      <c r="JIJ1697" s="90"/>
      <c r="JIK1697" s="90"/>
      <c r="JIL1697" s="90"/>
      <c r="JIM1697" s="90"/>
      <c r="JIN1697" s="90"/>
      <c r="JIO1697" s="90"/>
      <c r="JIP1697" s="90"/>
      <c r="JIQ1697" s="90"/>
      <c r="JIR1697" s="90"/>
      <c r="JIS1697" s="90"/>
      <c r="JIT1697" s="90"/>
      <c r="JIU1697" s="90"/>
      <c r="JIV1697" s="90"/>
      <c r="JIW1697" s="90"/>
      <c r="JIX1697" s="90"/>
      <c r="JIY1697" s="90"/>
      <c r="JIZ1697" s="90"/>
      <c r="JJA1697" s="90"/>
      <c r="JJB1697" s="90"/>
      <c r="JJC1697" s="90"/>
      <c r="JJD1697" s="90"/>
      <c r="JJE1697" s="90"/>
      <c r="JJF1697" s="90"/>
      <c r="JJG1697" s="90"/>
      <c r="JJH1697" s="90"/>
      <c r="JJI1697" s="90"/>
      <c r="JJJ1697" s="90"/>
      <c r="JJK1697" s="90"/>
      <c r="JJL1697" s="90"/>
      <c r="JJM1697" s="90"/>
      <c r="JJN1697" s="90"/>
      <c r="JJO1697" s="90"/>
      <c r="JJP1697" s="90"/>
      <c r="JJQ1697" s="90"/>
      <c r="JJR1697" s="90"/>
      <c r="JJS1697" s="90"/>
      <c r="JJT1697" s="90"/>
      <c r="JJU1697" s="90"/>
      <c r="JJV1697" s="90"/>
      <c r="JJW1697" s="90"/>
      <c r="JJX1697" s="90"/>
      <c r="JJY1697" s="90"/>
      <c r="JJZ1697" s="90"/>
      <c r="JKA1697" s="90"/>
      <c r="JKB1697" s="90"/>
      <c r="JKC1697" s="90"/>
      <c r="JKD1697" s="90"/>
      <c r="JKE1697" s="90"/>
      <c r="JKF1697" s="90"/>
      <c r="JKG1697" s="90"/>
      <c r="JKH1697" s="90"/>
      <c r="JKI1697" s="90"/>
      <c r="JKJ1697" s="90"/>
      <c r="JKK1697" s="90"/>
      <c r="JKL1697" s="90"/>
      <c r="JKM1697" s="90"/>
      <c r="JKN1697" s="90"/>
      <c r="JKO1697" s="90"/>
      <c r="JKP1697" s="90"/>
      <c r="JKQ1697" s="90"/>
      <c r="JKR1697" s="90"/>
      <c r="JKS1697" s="90"/>
      <c r="JKT1697" s="90"/>
      <c r="JKU1697" s="90"/>
      <c r="JKV1697" s="90"/>
      <c r="JKW1697" s="90"/>
      <c r="JKX1697" s="90"/>
      <c r="JKY1697" s="90"/>
      <c r="JKZ1697" s="90"/>
      <c r="JLA1697" s="90"/>
      <c r="JLB1697" s="90"/>
      <c r="JLC1697" s="90"/>
      <c r="JLD1697" s="90"/>
      <c r="JLE1697" s="90"/>
      <c r="JLF1697" s="90"/>
      <c r="JLG1697" s="90"/>
      <c r="JLH1697" s="90"/>
      <c r="JLI1697" s="90"/>
      <c r="JLJ1697" s="90"/>
      <c r="JLK1697" s="90"/>
      <c r="JLL1697" s="90"/>
      <c r="JLM1697" s="90"/>
      <c r="JLN1697" s="90"/>
      <c r="JLO1697" s="90"/>
      <c r="JLP1697" s="90"/>
      <c r="JLQ1697" s="90"/>
      <c r="JLR1697" s="90"/>
      <c r="JLS1697" s="90"/>
      <c r="JLT1697" s="90"/>
      <c r="JLU1697" s="90"/>
      <c r="JLV1697" s="90"/>
      <c r="JLW1697" s="90"/>
      <c r="JLX1697" s="90"/>
      <c r="JLY1697" s="90"/>
      <c r="JLZ1697" s="90"/>
      <c r="JMA1697" s="90"/>
      <c r="JMB1697" s="90"/>
      <c r="JMC1697" s="90"/>
      <c r="JMD1697" s="90"/>
      <c r="JME1697" s="90"/>
      <c r="JMF1697" s="90"/>
      <c r="JMG1697" s="90"/>
      <c r="JMH1697" s="90"/>
      <c r="JMI1697" s="90"/>
      <c r="JMJ1697" s="90"/>
      <c r="JMK1697" s="90"/>
      <c r="JML1697" s="90"/>
      <c r="JMM1697" s="90"/>
      <c r="JMN1697" s="90"/>
      <c r="JMO1697" s="90"/>
      <c r="JMP1697" s="90"/>
      <c r="JMQ1697" s="90"/>
      <c r="JMR1697" s="90"/>
      <c r="JMS1697" s="90"/>
      <c r="JMT1697" s="90"/>
      <c r="JMU1697" s="90"/>
      <c r="JMV1697" s="90"/>
      <c r="JMW1697" s="90"/>
      <c r="JMX1697" s="90"/>
      <c r="JMY1697" s="90"/>
      <c r="JMZ1697" s="90"/>
      <c r="JNA1697" s="90"/>
      <c r="JNB1697" s="90"/>
      <c r="JNC1697" s="90"/>
      <c r="JND1697" s="90"/>
      <c r="JNE1697" s="90"/>
      <c r="JNF1697" s="90"/>
      <c r="JNG1697" s="90"/>
      <c r="JNH1697" s="90"/>
      <c r="JNI1697" s="90"/>
      <c r="JNJ1697" s="90"/>
      <c r="JNK1697" s="90"/>
      <c r="JNL1697" s="90"/>
      <c r="JNM1697" s="90"/>
      <c r="JNN1697" s="90"/>
      <c r="JNO1697" s="90"/>
      <c r="JNP1697" s="90"/>
      <c r="JNQ1697" s="90"/>
      <c r="JNR1697" s="90"/>
      <c r="JNS1697" s="90"/>
      <c r="JNT1697" s="90"/>
      <c r="JNU1697" s="90"/>
      <c r="JNV1697" s="90"/>
      <c r="JNW1697" s="90"/>
      <c r="JNX1697" s="90"/>
      <c r="JNY1697" s="90"/>
      <c r="JNZ1697" s="90"/>
      <c r="JOA1697" s="90"/>
      <c r="JOB1697" s="90"/>
      <c r="JOC1697" s="90"/>
      <c r="JOD1697" s="90"/>
      <c r="JOE1697" s="90"/>
      <c r="JOF1697" s="90"/>
      <c r="JOG1697" s="90"/>
      <c r="JOH1697" s="90"/>
      <c r="JOI1697" s="90"/>
      <c r="JOJ1697" s="90"/>
      <c r="JOK1697" s="90"/>
      <c r="JOL1697" s="90"/>
      <c r="JOM1697" s="90"/>
      <c r="JON1697" s="90"/>
      <c r="JOO1697" s="90"/>
      <c r="JOP1697" s="90"/>
      <c r="JOQ1697" s="90"/>
      <c r="JOR1697" s="90"/>
      <c r="JOS1697" s="90"/>
      <c r="JOT1697" s="90"/>
      <c r="JOU1697" s="90"/>
      <c r="JOV1697" s="90"/>
      <c r="JOW1697" s="90"/>
      <c r="JOX1697" s="90"/>
      <c r="JOY1697" s="90"/>
      <c r="JOZ1697" s="90"/>
      <c r="JPA1697" s="90"/>
      <c r="JPB1697" s="90"/>
      <c r="JPC1697" s="90"/>
      <c r="JPD1697" s="90"/>
      <c r="JPE1697" s="90"/>
      <c r="JPF1697" s="90"/>
      <c r="JPG1697" s="90"/>
      <c r="JPH1697" s="90"/>
      <c r="JPI1697" s="90"/>
      <c r="JPJ1697" s="90"/>
      <c r="JPK1697" s="90"/>
      <c r="JPL1697" s="90"/>
      <c r="JPM1697" s="90"/>
      <c r="JPN1697" s="90"/>
      <c r="JPO1697" s="90"/>
      <c r="JPP1697" s="90"/>
      <c r="JPQ1697" s="90"/>
      <c r="JPR1697" s="90"/>
      <c r="JPS1697" s="90"/>
      <c r="JPT1697" s="90"/>
      <c r="JPU1697" s="90"/>
      <c r="JPV1697" s="90"/>
      <c r="JPW1697" s="90"/>
      <c r="JPX1697" s="90"/>
      <c r="JPY1697" s="90"/>
      <c r="JPZ1697" s="90"/>
      <c r="JQA1697" s="90"/>
      <c r="JQB1697" s="90"/>
      <c r="JQC1697" s="90"/>
      <c r="JQD1697" s="90"/>
      <c r="JQE1697" s="90"/>
      <c r="JQF1697" s="90"/>
      <c r="JQG1697" s="90"/>
      <c r="JQH1697" s="90"/>
      <c r="JQI1697" s="90"/>
      <c r="JQJ1697" s="90"/>
      <c r="JQK1697" s="90"/>
      <c r="JQL1697" s="90"/>
      <c r="JQM1697" s="90"/>
      <c r="JQN1697" s="90"/>
      <c r="JQO1697" s="90"/>
      <c r="JQP1697" s="90"/>
      <c r="JQQ1697" s="90"/>
      <c r="JQR1697" s="90"/>
      <c r="JQS1697" s="90"/>
      <c r="JQT1697" s="90"/>
      <c r="JQU1697" s="90"/>
      <c r="JQV1697" s="90"/>
      <c r="JQW1697" s="90"/>
      <c r="JQX1697" s="90"/>
      <c r="JQY1697" s="90"/>
      <c r="JQZ1697" s="90"/>
      <c r="JRA1697" s="90"/>
      <c r="JRB1697" s="90"/>
      <c r="JRC1697" s="90"/>
      <c r="JRD1697" s="90"/>
      <c r="JRE1697" s="90"/>
      <c r="JRF1697" s="90"/>
      <c r="JRG1697" s="90"/>
      <c r="JRH1697" s="90"/>
      <c r="JRI1697" s="90"/>
      <c r="JRJ1697" s="90"/>
      <c r="JRK1697" s="90"/>
      <c r="JRL1697" s="90"/>
      <c r="JRM1697" s="90"/>
      <c r="JRN1697" s="90"/>
      <c r="JRO1697" s="90"/>
      <c r="JRP1697" s="90"/>
      <c r="JRQ1697" s="90"/>
      <c r="JRR1697" s="90"/>
      <c r="JRS1697" s="90"/>
      <c r="JRT1697" s="90"/>
      <c r="JRU1697" s="90"/>
      <c r="JRV1697" s="90"/>
      <c r="JRW1697" s="90"/>
      <c r="JRX1697" s="90"/>
      <c r="JRY1697" s="90"/>
      <c r="JRZ1697" s="90"/>
      <c r="JSA1697" s="90"/>
      <c r="JSB1697" s="90"/>
      <c r="JSC1697" s="90"/>
      <c r="JSD1697" s="90"/>
      <c r="JSE1697" s="90"/>
      <c r="JSF1697" s="90"/>
      <c r="JSG1697" s="90"/>
      <c r="JSH1697" s="90"/>
      <c r="JSI1697" s="90"/>
      <c r="JSJ1697" s="90"/>
      <c r="JSK1697" s="90"/>
      <c r="JSL1697" s="90"/>
      <c r="JSM1697" s="90"/>
      <c r="JSN1697" s="90"/>
      <c r="JSO1697" s="90"/>
      <c r="JSP1697" s="90"/>
      <c r="JSQ1697" s="90"/>
      <c r="JSR1697" s="90"/>
      <c r="JSS1697" s="90"/>
      <c r="JST1697" s="90"/>
      <c r="JSU1697" s="90"/>
      <c r="JSV1697" s="90"/>
      <c r="JSW1697" s="90"/>
      <c r="JSX1697" s="90"/>
      <c r="JSY1697" s="90"/>
      <c r="JSZ1697" s="90"/>
      <c r="JTA1697" s="90"/>
      <c r="JTB1697" s="90"/>
      <c r="JTC1697" s="90"/>
      <c r="JTD1697" s="90"/>
      <c r="JTE1697" s="90"/>
      <c r="JTF1697" s="90"/>
      <c r="JTG1697" s="90"/>
      <c r="JTH1697" s="90"/>
      <c r="JTI1697" s="90"/>
      <c r="JTJ1697" s="90"/>
      <c r="JTK1697" s="90"/>
      <c r="JTL1697" s="90"/>
      <c r="JTM1697" s="90"/>
      <c r="JTN1697" s="90"/>
      <c r="JTO1697" s="90"/>
      <c r="JTP1697" s="90"/>
      <c r="JTQ1697" s="90"/>
      <c r="JTR1697" s="90"/>
      <c r="JTS1697" s="90"/>
      <c r="JTT1697" s="90"/>
      <c r="JTU1697" s="90"/>
      <c r="JTV1697" s="90"/>
      <c r="JTW1697" s="90"/>
      <c r="JTX1697" s="90"/>
      <c r="JTY1697" s="90"/>
      <c r="JTZ1697" s="90"/>
      <c r="JUA1697" s="90"/>
      <c r="JUB1697" s="90"/>
      <c r="JUC1697" s="90"/>
      <c r="JUD1697" s="90"/>
      <c r="JUE1697" s="90"/>
      <c r="JUF1697" s="90"/>
      <c r="JUG1697" s="90"/>
      <c r="JUH1697" s="90"/>
      <c r="JUI1697" s="90"/>
      <c r="JUJ1697" s="90"/>
      <c r="JUK1697" s="90"/>
      <c r="JUL1697" s="90"/>
      <c r="JUM1697" s="90"/>
      <c r="JUN1697" s="90"/>
      <c r="JUO1697" s="90"/>
      <c r="JUP1697" s="90"/>
      <c r="JUQ1697" s="90"/>
      <c r="JUR1697" s="90"/>
      <c r="JUS1697" s="90"/>
      <c r="JUT1697" s="90"/>
      <c r="JUU1697" s="90"/>
      <c r="JUV1697" s="90"/>
      <c r="JUW1697" s="90"/>
      <c r="JUX1697" s="90"/>
      <c r="JUY1697" s="90"/>
      <c r="JUZ1697" s="90"/>
      <c r="JVA1697" s="90"/>
      <c r="JVB1697" s="90"/>
      <c r="JVC1697" s="90"/>
      <c r="JVD1697" s="90"/>
      <c r="JVE1697" s="90"/>
      <c r="JVF1697" s="90"/>
      <c r="JVG1697" s="90"/>
      <c r="JVH1697" s="90"/>
      <c r="JVI1697" s="90"/>
      <c r="JVJ1697" s="90"/>
      <c r="JVK1697" s="90"/>
      <c r="JVL1697" s="90"/>
      <c r="JVM1697" s="90"/>
      <c r="JVN1697" s="90"/>
      <c r="JVO1697" s="90"/>
      <c r="JVP1697" s="90"/>
      <c r="JVQ1697" s="90"/>
      <c r="JVR1697" s="90"/>
      <c r="JVS1697" s="90"/>
      <c r="JVT1697" s="90"/>
      <c r="JVU1697" s="90"/>
      <c r="JVV1697" s="90"/>
      <c r="JVW1697" s="90"/>
      <c r="JVX1697" s="90"/>
      <c r="JVY1697" s="90"/>
      <c r="JVZ1697" s="90"/>
      <c r="JWA1697" s="90"/>
      <c r="JWB1697" s="90"/>
      <c r="JWC1697" s="90"/>
      <c r="JWD1697" s="90"/>
      <c r="JWE1697" s="90"/>
      <c r="JWF1697" s="90"/>
      <c r="JWG1697" s="90"/>
      <c r="JWH1697" s="90"/>
      <c r="JWI1697" s="90"/>
      <c r="JWJ1697" s="90"/>
      <c r="JWK1697" s="90"/>
      <c r="JWL1697" s="90"/>
      <c r="JWM1697" s="90"/>
      <c r="JWN1697" s="90"/>
      <c r="JWO1697" s="90"/>
      <c r="JWP1697" s="90"/>
      <c r="JWQ1697" s="90"/>
      <c r="JWR1697" s="90"/>
      <c r="JWS1697" s="90"/>
      <c r="JWT1697" s="90"/>
      <c r="JWU1697" s="90"/>
      <c r="JWV1697" s="90"/>
      <c r="JWW1697" s="90"/>
      <c r="JWX1697" s="90"/>
      <c r="JWY1697" s="90"/>
      <c r="JWZ1697" s="90"/>
      <c r="JXA1697" s="90"/>
      <c r="JXB1697" s="90"/>
      <c r="JXC1697" s="90"/>
      <c r="JXD1697" s="90"/>
      <c r="JXE1697" s="90"/>
      <c r="JXF1697" s="90"/>
      <c r="JXG1697" s="90"/>
      <c r="JXH1697" s="90"/>
      <c r="JXI1697" s="90"/>
      <c r="JXJ1697" s="90"/>
      <c r="JXK1697" s="90"/>
      <c r="JXL1697" s="90"/>
      <c r="JXM1697" s="90"/>
      <c r="JXN1697" s="90"/>
      <c r="JXO1697" s="90"/>
      <c r="JXP1697" s="90"/>
      <c r="JXQ1697" s="90"/>
      <c r="JXR1697" s="90"/>
      <c r="JXS1697" s="90"/>
      <c r="JXT1697" s="90"/>
      <c r="JXU1697" s="90"/>
      <c r="JXV1697" s="90"/>
      <c r="JXW1697" s="90"/>
      <c r="JXX1697" s="90"/>
      <c r="JXY1697" s="90"/>
      <c r="JXZ1697" s="90"/>
      <c r="JYA1697" s="90"/>
      <c r="JYB1697" s="90"/>
      <c r="JYC1697" s="90"/>
      <c r="JYD1697" s="90"/>
      <c r="JYE1697" s="90"/>
      <c r="JYF1697" s="90"/>
      <c r="JYG1697" s="90"/>
      <c r="JYH1697" s="90"/>
      <c r="JYI1697" s="90"/>
      <c r="JYJ1697" s="90"/>
      <c r="JYK1697" s="90"/>
      <c r="JYL1697" s="90"/>
      <c r="JYM1697" s="90"/>
      <c r="JYN1697" s="90"/>
      <c r="JYO1697" s="90"/>
      <c r="JYP1697" s="90"/>
      <c r="JYQ1697" s="90"/>
      <c r="JYR1697" s="90"/>
      <c r="JYS1697" s="90"/>
      <c r="JYT1697" s="90"/>
      <c r="JYU1697" s="90"/>
      <c r="JYV1697" s="90"/>
      <c r="JYW1697" s="90"/>
      <c r="JYX1697" s="90"/>
      <c r="JYY1697" s="90"/>
      <c r="JYZ1697" s="90"/>
      <c r="JZA1697" s="90"/>
      <c r="JZB1697" s="90"/>
      <c r="JZC1697" s="90"/>
      <c r="JZD1697" s="90"/>
      <c r="JZE1697" s="90"/>
      <c r="JZF1697" s="90"/>
      <c r="JZG1697" s="90"/>
      <c r="JZH1697" s="90"/>
      <c r="JZI1697" s="90"/>
      <c r="JZJ1697" s="90"/>
      <c r="JZK1697" s="90"/>
      <c r="JZL1697" s="90"/>
      <c r="JZM1697" s="90"/>
      <c r="JZN1697" s="90"/>
      <c r="JZO1697" s="90"/>
      <c r="JZP1697" s="90"/>
      <c r="JZQ1697" s="90"/>
      <c r="JZR1697" s="90"/>
      <c r="JZS1697" s="90"/>
      <c r="JZT1697" s="90"/>
      <c r="JZU1697" s="90"/>
      <c r="JZV1697" s="90"/>
      <c r="JZW1697" s="90"/>
      <c r="JZX1697" s="90"/>
      <c r="JZY1697" s="90"/>
      <c r="JZZ1697" s="90"/>
      <c r="KAA1697" s="90"/>
      <c r="KAB1697" s="90"/>
      <c r="KAC1697" s="90"/>
      <c r="KAD1697" s="90"/>
      <c r="KAE1697" s="90"/>
      <c r="KAF1697" s="90"/>
      <c r="KAG1697" s="90"/>
      <c r="KAH1697" s="90"/>
      <c r="KAI1697" s="90"/>
      <c r="KAJ1697" s="90"/>
      <c r="KAK1697" s="90"/>
      <c r="KAL1697" s="90"/>
      <c r="KAM1697" s="90"/>
      <c r="KAN1697" s="90"/>
      <c r="KAO1697" s="90"/>
      <c r="KAP1697" s="90"/>
      <c r="KAQ1697" s="90"/>
      <c r="KAR1697" s="90"/>
      <c r="KAS1697" s="90"/>
      <c r="KAT1697" s="90"/>
      <c r="KAU1697" s="90"/>
      <c r="KAV1697" s="90"/>
      <c r="KAW1697" s="90"/>
      <c r="KAX1697" s="90"/>
      <c r="KAY1697" s="90"/>
      <c r="KAZ1697" s="90"/>
      <c r="KBA1697" s="90"/>
      <c r="KBB1697" s="90"/>
      <c r="KBC1697" s="90"/>
      <c r="KBD1697" s="90"/>
      <c r="KBE1697" s="90"/>
      <c r="KBF1697" s="90"/>
      <c r="KBG1697" s="90"/>
      <c r="KBH1697" s="90"/>
      <c r="KBI1697" s="90"/>
      <c r="KBJ1697" s="90"/>
      <c r="KBK1697" s="90"/>
      <c r="KBL1697" s="90"/>
      <c r="KBM1697" s="90"/>
      <c r="KBN1697" s="90"/>
      <c r="KBO1697" s="90"/>
      <c r="KBP1697" s="90"/>
      <c r="KBQ1697" s="90"/>
      <c r="KBR1697" s="90"/>
      <c r="KBS1697" s="90"/>
      <c r="KBT1697" s="90"/>
      <c r="KBU1697" s="90"/>
      <c r="KBV1697" s="90"/>
      <c r="KBW1697" s="90"/>
      <c r="KBX1697" s="90"/>
      <c r="KBY1697" s="90"/>
      <c r="KBZ1697" s="90"/>
      <c r="KCA1697" s="90"/>
      <c r="KCB1697" s="90"/>
      <c r="KCC1697" s="90"/>
      <c r="KCD1697" s="90"/>
      <c r="KCE1697" s="90"/>
      <c r="KCF1697" s="90"/>
      <c r="KCG1697" s="90"/>
      <c r="KCH1697" s="90"/>
      <c r="KCI1697" s="90"/>
      <c r="KCJ1697" s="90"/>
      <c r="KCK1697" s="90"/>
      <c r="KCL1697" s="90"/>
      <c r="KCM1697" s="90"/>
      <c r="KCN1697" s="90"/>
      <c r="KCO1697" s="90"/>
      <c r="KCP1697" s="90"/>
      <c r="KCQ1697" s="90"/>
      <c r="KCR1697" s="90"/>
      <c r="KCS1697" s="90"/>
      <c r="KCT1697" s="90"/>
      <c r="KCU1697" s="90"/>
      <c r="KCV1697" s="90"/>
      <c r="KCW1697" s="90"/>
      <c r="KCX1697" s="90"/>
      <c r="KCY1697" s="90"/>
      <c r="KCZ1697" s="90"/>
      <c r="KDA1697" s="90"/>
      <c r="KDB1697" s="90"/>
      <c r="KDC1697" s="90"/>
      <c r="KDD1697" s="90"/>
      <c r="KDE1697" s="90"/>
      <c r="KDF1697" s="90"/>
      <c r="KDG1697" s="90"/>
      <c r="KDH1697" s="90"/>
      <c r="KDI1697" s="90"/>
      <c r="KDJ1697" s="90"/>
      <c r="KDK1697" s="90"/>
      <c r="KDL1697" s="90"/>
      <c r="KDM1697" s="90"/>
      <c r="KDN1697" s="90"/>
      <c r="KDO1697" s="90"/>
      <c r="KDP1697" s="90"/>
      <c r="KDQ1697" s="90"/>
      <c r="KDR1697" s="90"/>
      <c r="KDS1697" s="90"/>
      <c r="KDT1697" s="90"/>
      <c r="KDU1697" s="90"/>
      <c r="KDV1697" s="90"/>
      <c r="KDW1697" s="90"/>
      <c r="KDX1697" s="90"/>
      <c r="KDY1697" s="90"/>
      <c r="KDZ1697" s="90"/>
      <c r="KEA1697" s="90"/>
      <c r="KEB1697" s="90"/>
      <c r="KEC1697" s="90"/>
      <c r="KED1697" s="90"/>
      <c r="KEE1697" s="90"/>
      <c r="KEF1697" s="90"/>
      <c r="KEG1697" s="90"/>
      <c r="KEH1697" s="90"/>
      <c r="KEI1697" s="90"/>
      <c r="KEJ1697" s="90"/>
      <c r="KEK1697" s="90"/>
      <c r="KEL1697" s="90"/>
      <c r="KEM1697" s="90"/>
      <c r="KEN1697" s="90"/>
      <c r="KEO1697" s="90"/>
      <c r="KEP1697" s="90"/>
      <c r="KEQ1697" s="90"/>
      <c r="KER1697" s="90"/>
      <c r="KES1697" s="90"/>
      <c r="KET1697" s="90"/>
      <c r="KEU1697" s="90"/>
      <c r="KEV1697" s="90"/>
      <c r="KEW1697" s="90"/>
      <c r="KEX1697" s="90"/>
      <c r="KEY1697" s="90"/>
      <c r="KEZ1697" s="90"/>
      <c r="KFA1697" s="90"/>
      <c r="KFB1697" s="90"/>
      <c r="KFC1697" s="90"/>
      <c r="KFD1697" s="90"/>
      <c r="KFE1697" s="90"/>
      <c r="KFF1697" s="90"/>
      <c r="KFG1697" s="90"/>
      <c r="KFH1697" s="90"/>
      <c r="KFI1697" s="90"/>
      <c r="KFJ1697" s="90"/>
      <c r="KFK1697" s="90"/>
      <c r="KFL1697" s="90"/>
      <c r="KFM1697" s="90"/>
      <c r="KFN1697" s="90"/>
      <c r="KFO1697" s="90"/>
      <c r="KFP1697" s="90"/>
      <c r="KFQ1697" s="90"/>
      <c r="KFR1697" s="90"/>
      <c r="KFS1697" s="90"/>
      <c r="KFT1697" s="90"/>
      <c r="KFU1697" s="90"/>
      <c r="KFV1697" s="90"/>
      <c r="KFW1697" s="90"/>
      <c r="KFX1697" s="90"/>
      <c r="KFY1697" s="90"/>
      <c r="KFZ1697" s="90"/>
      <c r="KGA1697" s="90"/>
      <c r="KGB1697" s="90"/>
      <c r="KGC1697" s="90"/>
      <c r="KGD1697" s="90"/>
      <c r="KGE1697" s="90"/>
      <c r="KGF1697" s="90"/>
      <c r="KGG1697" s="90"/>
      <c r="KGH1697" s="90"/>
      <c r="KGI1697" s="90"/>
      <c r="KGJ1697" s="90"/>
      <c r="KGK1697" s="90"/>
      <c r="KGL1697" s="90"/>
      <c r="KGM1697" s="90"/>
      <c r="KGN1697" s="90"/>
      <c r="KGO1697" s="90"/>
      <c r="KGP1697" s="90"/>
      <c r="KGQ1697" s="90"/>
      <c r="KGR1697" s="90"/>
      <c r="KGS1697" s="90"/>
      <c r="KGT1697" s="90"/>
      <c r="KGU1697" s="90"/>
      <c r="KGV1697" s="90"/>
      <c r="KGW1697" s="90"/>
      <c r="KGX1697" s="90"/>
      <c r="KGY1697" s="90"/>
      <c r="KGZ1697" s="90"/>
      <c r="KHA1697" s="90"/>
      <c r="KHB1697" s="90"/>
      <c r="KHC1697" s="90"/>
      <c r="KHD1697" s="90"/>
      <c r="KHE1697" s="90"/>
      <c r="KHF1697" s="90"/>
      <c r="KHG1697" s="90"/>
      <c r="KHH1697" s="90"/>
      <c r="KHI1697" s="90"/>
      <c r="KHJ1697" s="90"/>
      <c r="KHK1697" s="90"/>
      <c r="KHL1697" s="90"/>
      <c r="KHM1697" s="90"/>
      <c r="KHN1697" s="90"/>
      <c r="KHO1697" s="90"/>
      <c r="KHP1697" s="90"/>
      <c r="KHQ1697" s="90"/>
      <c r="KHR1697" s="90"/>
      <c r="KHS1697" s="90"/>
      <c r="KHT1697" s="90"/>
      <c r="KHU1697" s="90"/>
      <c r="KHV1697" s="90"/>
      <c r="KHW1697" s="90"/>
      <c r="KHX1697" s="90"/>
      <c r="KHY1697" s="90"/>
      <c r="KHZ1697" s="90"/>
      <c r="KIA1697" s="90"/>
      <c r="KIB1697" s="90"/>
      <c r="KIC1697" s="90"/>
      <c r="KID1697" s="90"/>
      <c r="KIE1697" s="90"/>
      <c r="KIF1697" s="90"/>
      <c r="KIG1697" s="90"/>
      <c r="KIH1697" s="90"/>
      <c r="KII1697" s="90"/>
      <c r="KIJ1697" s="90"/>
      <c r="KIK1697" s="90"/>
      <c r="KIL1697" s="90"/>
      <c r="KIM1697" s="90"/>
      <c r="KIN1697" s="90"/>
      <c r="KIO1697" s="90"/>
      <c r="KIP1697" s="90"/>
      <c r="KIQ1697" s="90"/>
      <c r="KIR1697" s="90"/>
      <c r="KIS1697" s="90"/>
      <c r="KIT1697" s="90"/>
      <c r="KIU1697" s="90"/>
      <c r="KIV1697" s="90"/>
      <c r="KIW1697" s="90"/>
      <c r="KIX1697" s="90"/>
      <c r="KIY1697" s="90"/>
      <c r="KIZ1697" s="90"/>
      <c r="KJA1697" s="90"/>
      <c r="KJB1697" s="90"/>
      <c r="KJC1697" s="90"/>
      <c r="KJD1697" s="90"/>
      <c r="KJE1697" s="90"/>
      <c r="KJF1697" s="90"/>
      <c r="KJG1697" s="90"/>
      <c r="KJH1697" s="90"/>
      <c r="KJI1697" s="90"/>
      <c r="KJJ1697" s="90"/>
      <c r="KJK1697" s="90"/>
      <c r="KJL1697" s="90"/>
      <c r="KJM1697" s="90"/>
      <c r="KJN1697" s="90"/>
      <c r="KJO1697" s="90"/>
      <c r="KJP1697" s="90"/>
      <c r="KJQ1697" s="90"/>
      <c r="KJR1697" s="90"/>
      <c r="KJS1697" s="90"/>
      <c r="KJT1697" s="90"/>
      <c r="KJU1697" s="90"/>
      <c r="KJV1697" s="90"/>
      <c r="KJW1697" s="90"/>
      <c r="KJX1697" s="90"/>
      <c r="KJY1697" s="90"/>
      <c r="KJZ1697" s="90"/>
      <c r="KKA1697" s="90"/>
      <c r="KKB1697" s="90"/>
      <c r="KKC1697" s="90"/>
      <c r="KKD1697" s="90"/>
      <c r="KKE1697" s="90"/>
      <c r="KKF1697" s="90"/>
      <c r="KKG1697" s="90"/>
      <c r="KKH1697" s="90"/>
      <c r="KKI1697" s="90"/>
      <c r="KKJ1697" s="90"/>
      <c r="KKK1697" s="90"/>
      <c r="KKL1697" s="90"/>
      <c r="KKM1697" s="90"/>
      <c r="KKN1697" s="90"/>
      <c r="KKO1697" s="90"/>
      <c r="KKP1697" s="90"/>
      <c r="KKQ1697" s="90"/>
      <c r="KKR1697" s="90"/>
      <c r="KKS1697" s="90"/>
      <c r="KKT1697" s="90"/>
      <c r="KKU1697" s="90"/>
      <c r="KKV1697" s="90"/>
      <c r="KKW1697" s="90"/>
      <c r="KKX1697" s="90"/>
      <c r="KKY1697" s="90"/>
      <c r="KKZ1697" s="90"/>
      <c r="KLA1697" s="90"/>
      <c r="KLB1697" s="90"/>
      <c r="KLC1697" s="90"/>
      <c r="KLD1697" s="90"/>
      <c r="KLE1697" s="90"/>
      <c r="KLF1697" s="90"/>
      <c r="KLG1697" s="90"/>
      <c r="KLH1697" s="90"/>
      <c r="KLI1697" s="90"/>
      <c r="KLJ1697" s="90"/>
      <c r="KLK1697" s="90"/>
      <c r="KLL1697" s="90"/>
      <c r="KLM1697" s="90"/>
      <c r="KLN1697" s="90"/>
      <c r="KLO1697" s="90"/>
      <c r="KLP1697" s="90"/>
      <c r="KLQ1697" s="90"/>
      <c r="KLR1697" s="90"/>
      <c r="KLS1697" s="90"/>
      <c r="KLT1697" s="90"/>
      <c r="KLU1697" s="90"/>
      <c r="KLV1697" s="90"/>
      <c r="KLW1697" s="90"/>
      <c r="KLX1697" s="90"/>
      <c r="KLY1697" s="90"/>
      <c r="KLZ1697" s="90"/>
      <c r="KMA1697" s="90"/>
      <c r="KMB1697" s="90"/>
      <c r="KMC1697" s="90"/>
      <c r="KMD1697" s="90"/>
      <c r="KME1697" s="90"/>
      <c r="KMF1697" s="90"/>
      <c r="KMG1697" s="90"/>
      <c r="KMH1697" s="90"/>
      <c r="KMI1697" s="90"/>
      <c r="KMJ1697" s="90"/>
      <c r="KMK1697" s="90"/>
      <c r="KML1697" s="90"/>
      <c r="KMM1697" s="90"/>
      <c r="KMN1697" s="90"/>
      <c r="KMO1697" s="90"/>
      <c r="KMP1697" s="90"/>
      <c r="KMQ1697" s="90"/>
      <c r="KMR1697" s="90"/>
      <c r="KMS1697" s="90"/>
      <c r="KMT1697" s="90"/>
      <c r="KMU1697" s="90"/>
      <c r="KMV1697" s="90"/>
      <c r="KMW1697" s="90"/>
      <c r="KMX1697" s="90"/>
      <c r="KMY1697" s="90"/>
      <c r="KMZ1697" s="90"/>
      <c r="KNA1697" s="90"/>
      <c r="KNB1697" s="90"/>
      <c r="KNC1697" s="90"/>
      <c r="KND1697" s="90"/>
      <c r="KNE1697" s="90"/>
      <c r="KNF1697" s="90"/>
      <c r="KNG1697" s="90"/>
      <c r="KNH1697" s="90"/>
      <c r="KNI1697" s="90"/>
      <c r="KNJ1697" s="90"/>
      <c r="KNK1697" s="90"/>
      <c r="KNL1697" s="90"/>
      <c r="KNM1697" s="90"/>
      <c r="KNN1697" s="90"/>
      <c r="KNO1697" s="90"/>
      <c r="KNP1697" s="90"/>
      <c r="KNQ1697" s="90"/>
      <c r="KNR1697" s="90"/>
      <c r="KNS1697" s="90"/>
      <c r="KNT1697" s="90"/>
      <c r="KNU1697" s="90"/>
      <c r="KNV1697" s="90"/>
      <c r="KNW1697" s="90"/>
      <c r="KNX1697" s="90"/>
      <c r="KNY1697" s="90"/>
      <c r="KNZ1697" s="90"/>
      <c r="KOA1697" s="90"/>
      <c r="KOB1697" s="90"/>
      <c r="KOC1697" s="90"/>
      <c r="KOD1697" s="90"/>
      <c r="KOE1697" s="90"/>
      <c r="KOF1697" s="90"/>
      <c r="KOG1697" s="90"/>
      <c r="KOH1697" s="90"/>
      <c r="KOI1697" s="90"/>
      <c r="KOJ1697" s="90"/>
      <c r="KOK1697" s="90"/>
      <c r="KOL1697" s="90"/>
      <c r="KOM1697" s="90"/>
      <c r="KON1697" s="90"/>
      <c r="KOO1697" s="90"/>
      <c r="KOP1697" s="90"/>
      <c r="KOQ1697" s="90"/>
      <c r="KOR1697" s="90"/>
      <c r="KOS1697" s="90"/>
      <c r="KOT1697" s="90"/>
      <c r="KOU1697" s="90"/>
      <c r="KOV1697" s="90"/>
      <c r="KOW1697" s="90"/>
      <c r="KOX1697" s="90"/>
      <c r="KOY1697" s="90"/>
      <c r="KOZ1697" s="90"/>
      <c r="KPA1697" s="90"/>
      <c r="KPB1697" s="90"/>
      <c r="KPC1697" s="90"/>
      <c r="KPD1697" s="90"/>
      <c r="KPE1697" s="90"/>
      <c r="KPF1697" s="90"/>
      <c r="KPG1697" s="90"/>
      <c r="KPH1697" s="90"/>
      <c r="KPI1697" s="90"/>
      <c r="KPJ1697" s="90"/>
      <c r="KPK1697" s="90"/>
      <c r="KPL1697" s="90"/>
      <c r="KPM1697" s="90"/>
      <c r="KPN1697" s="90"/>
      <c r="KPO1697" s="90"/>
      <c r="KPP1697" s="90"/>
      <c r="KPQ1697" s="90"/>
      <c r="KPR1697" s="90"/>
      <c r="KPS1697" s="90"/>
      <c r="KPT1697" s="90"/>
      <c r="KPU1697" s="90"/>
      <c r="KPV1697" s="90"/>
      <c r="KPW1697" s="90"/>
      <c r="KPX1697" s="90"/>
      <c r="KPY1697" s="90"/>
      <c r="KPZ1697" s="90"/>
      <c r="KQA1697" s="90"/>
      <c r="KQB1697" s="90"/>
      <c r="KQC1697" s="90"/>
      <c r="KQD1697" s="90"/>
      <c r="KQE1697" s="90"/>
      <c r="KQF1697" s="90"/>
      <c r="KQG1697" s="90"/>
      <c r="KQH1697" s="90"/>
      <c r="KQI1697" s="90"/>
      <c r="KQJ1697" s="90"/>
      <c r="KQK1697" s="90"/>
      <c r="KQL1697" s="90"/>
      <c r="KQM1697" s="90"/>
      <c r="KQN1697" s="90"/>
      <c r="KQO1697" s="90"/>
      <c r="KQP1697" s="90"/>
      <c r="KQQ1697" s="90"/>
      <c r="KQR1697" s="90"/>
      <c r="KQS1697" s="90"/>
      <c r="KQT1697" s="90"/>
      <c r="KQU1697" s="90"/>
      <c r="KQV1697" s="90"/>
      <c r="KQW1697" s="90"/>
      <c r="KQX1697" s="90"/>
      <c r="KQY1697" s="90"/>
      <c r="KQZ1697" s="90"/>
      <c r="KRA1697" s="90"/>
      <c r="KRB1697" s="90"/>
      <c r="KRC1697" s="90"/>
      <c r="KRD1697" s="90"/>
      <c r="KRE1697" s="90"/>
      <c r="KRF1697" s="90"/>
      <c r="KRG1697" s="90"/>
      <c r="KRH1697" s="90"/>
      <c r="KRI1697" s="90"/>
      <c r="KRJ1697" s="90"/>
      <c r="KRK1697" s="90"/>
      <c r="KRL1697" s="90"/>
      <c r="KRM1697" s="90"/>
      <c r="KRN1697" s="90"/>
      <c r="KRO1697" s="90"/>
      <c r="KRP1697" s="90"/>
      <c r="KRQ1697" s="90"/>
      <c r="KRR1697" s="90"/>
      <c r="KRS1697" s="90"/>
      <c r="KRT1697" s="90"/>
      <c r="KRU1697" s="90"/>
      <c r="KRV1697" s="90"/>
      <c r="KRW1697" s="90"/>
      <c r="KRX1697" s="90"/>
      <c r="KRY1697" s="90"/>
      <c r="KRZ1697" s="90"/>
      <c r="KSA1697" s="90"/>
      <c r="KSB1697" s="90"/>
      <c r="KSC1697" s="90"/>
      <c r="KSD1697" s="90"/>
      <c r="KSE1697" s="90"/>
      <c r="KSF1697" s="90"/>
      <c r="KSG1697" s="90"/>
      <c r="KSH1697" s="90"/>
      <c r="KSI1697" s="90"/>
      <c r="KSJ1697" s="90"/>
      <c r="KSK1697" s="90"/>
      <c r="KSL1697" s="90"/>
      <c r="KSM1697" s="90"/>
      <c r="KSN1697" s="90"/>
      <c r="KSO1697" s="90"/>
      <c r="KSP1697" s="90"/>
      <c r="KSQ1697" s="90"/>
      <c r="KSR1697" s="90"/>
      <c r="KSS1697" s="90"/>
      <c r="KST1697" s="90"/>
      <c r="KSU1697" s="90"/>
      <c r="KSV1697" s="90"/>
      <c r="KSW1697" s="90"/>
      <c r="KSX1697" s="90"/>
      <c r="KSY1697" s="90"/>
      <c r="KSZ1697" s="90"/>
      <c r="KTA1697" s="90"/>
      <c r="KTB1697" s="90"/>
      <c r="KTC1697" s="90"/>
      <c r="KTD1697" s="90"/>
      <c r="KTE1697" s="90"/>
      <c r="KTF1697" s="90"/>
      <c r="KTG1697" s="90"/>
      <c r="KTH1697" s="90"/>
      <c r="KTI1697" s="90"/>
      <c r="KTJ1697" s="90"/>
      <c r="KTK1697" s="90"/>
      <c r="KTL1697" s="90"/>
      <c r="KTM1697" s="90"/>
      <c r="KTN1697" s="90"/>
      <c r="KTO1697" s="90"/>
      <c r="KTP1697" s="90"/>
      <c r="KTQ1697" s="90"/>
      <c r="KTR1697" s="90"/>
      <c r="KTS1697" s="90"/>
      <c r="KTT1697" s="90"/>
      <c r="KTU1697" s="90"/>
      <c r="KTV1697" s="90"/>
      <c r="KTW1697" s="90"/>
      <c r="KTX1697" s="90"/>
      <c r="KTY1697" s="90"/>
      <c r="KTZ1697" s="90"/>
      <c r="KUA1697" s="90"/>
      <c r="KUB1697" s="90"/>
      <c r="KUC1697" s="90"/>
      <c r="KUD1697" s="90"/>
      <c r="KUE1697" s="90"/>
      <c r="KUF1697" s="90"/>
      <c r="KUG1697" s="90"/>
      <c r="KUH1697" s="90"/>
      <c r="KUI1697" s="90"/>
      <c r="KUJ1697" s="90"/>
      <c r="KUK1697" s="90"/>
      <c r="KUL1697" s="90"/>
      <c r="KUM1697" s="90"/>
      <c r="KUN1697" s="90"/>
      <c r="KUO1697" s="90"/>
      <c r="KUP1697" s="90"/>
      <c r="KUQ1697" s="90"/>
      <c r="KUR1697" s="90"/>
      <c r="KUS1697" s="90"/>
      <c r="KUT1697" s="90"/>
      <c r="KUU1697" s="90"/>
      <c r="KUV1697" s="90"/>
      <c r="KUW1697" s="90"/>
      <c r="KUX1697" s="90"/>
      <c r="KUY1697" s="90"/>
      <c r="KUZ1697" s="90"/>
      <c r="KVA1697" s="90"/>
      <c r="KVB1697" s="90"/>
      <c r="KVC1697" s="90"/>
      <c r="KVD1697" s="90"/>
      <c r="KVE1697" s="90"/>
      <c r="KVF1697" s="90"/>
      <c r="KVG1697" s="90"/>
      <c r="KVH1697" s="90"/>
      <c r="KVI1697" s="90"/>
      <c r="KVJ1697" s="90"/>
      <c r="KVK1697" s="90"/>
      <c r="KVL1697" s="90"/>
      <c r="KVM1697" s="90"/>
      <c r="KVN1697" s="90"/>
      <c r="KVO1697" s="90"/>
      <c r="KVP1697" s="90"/>
      <c r="KVQ1697" s="90"/>
      <c r="KVR1697" s="90"/>
      <c r="KVS1697" s="90"/>
      <c r="KVT1697" s="90"/>
      <c r="KVU1697" s="90"/>
      <c r="KVV1697" s="90"/>
      <c r="KVW1697" s="90"/>
      <c r="KVX1697" s="90"/>
      <c r="KVY1697" s="90"/>
      <c r="KVZ1697" s="90"/>
      <c r="KWA1697" s="90"/>
      <c r="KWB1697" s="90"/>
      <c r="KWC1697" s="90"/>
      <c r="KWD1697" s="90"/>
      <c r="KWE1697" s="90"/>
      <c r="KWF1697" s="90"/>
      <c r="KWG1697" s="90"/>
      <c r="KWH1697" s="90"/>
      <c r="KWI1697" s="90"/>
      <c r="KWJ1697" s="90"/>
      <c r="KWK1697" s="90"/>
      <c r="KWL1697" s="90"/>
      <c r="KWM1697" s="90"/>
      <c r="KWN1697" s="90"/>
      <c r="KWO1697" s="90"/>
      <c r="KWP1697" s="90"/>
      <c r="KWQ1697" s="90"/>
      <c r="KWR1697" s="90"/>
      <c r="KWS1697" s="90"/>
      <c r="KWT1697" s="90"/>
      <c r="KWU1697" s="90"/>
      <c r="KWV1697" s="90"/>
      <c r="KWW1697" s="90"/>
      <c r="KWX1697" s="90"/>
      <c r="KWY1697" s="90"/>
      <c r="KWZ1697" s="90"/>
      <c r="KXA1697" s="90"/>
      <c r="KXB1697" s="90"/>
      <c r="KXC1697" s="90"/>
      <c r="KXD1697" s="90"/>
      <c r="KXE1697" s="90"/>
      <c r="KXF1697" s="90"/>
      <c r="KXG1697" s="90"/>
      <c r="KXH1697" s="90"/>
      <c r="KXI1697" s="90"/>
      <c r="KXJ1697" s="90"/>
      <c r="KXK1697" s="90"/>
      <c r="KXL1697" s="90"/>
      <c r="KXM1697" s="90"/>
      <c r="KXN1697" s="90"/>
      <c r="KXO1697" s="90"/>
      <c r="KXP1697" s="90"/>
      <c r="KXQ1697" s="90"/>
      <c r="KXR1697" s="90"/>
      <c r="KXS1697" s="90"/>
      <c r="KXT1697" s="90"/>
      <c r="KXU1697" s="90"/>
      <c r="KXV1697" s="90"/>
      <c r="KXW1697" s="90"/>
      <c r="KXX1697" s="90"/>
      <c r="KXY1697" s="90"/>
      <c r="KXZ1697" s="90"/>
      <c r="KYA1697" s="90"/>
      <c r="KYB1697" s="90"/>
      <c r="KYC1697" s="90"/>
      <c r="KYD1697" s="90"/>
      <c r="KYE1697" s="90"/>
      <c r="KYF1697" s="90"/>
      <c r="KYG1697" s="90"/>
      <c r="KYH1697" s="90"/>
      <c r="KYI1697" s="90"/>
      <c r="KYJ1697" s="90"/>
      <c r="KYK1697" s="90"/>
      <c r="KYL1697" s="90"/>
      <c r="KYM1697" s="90"/>
      <c r="KYN1697" s="90"/>
      <c r="KYO1697" s="90"/>
      <c r="KYP1697" s="90"/>
      <c r="KYQ1697" s="90"/>
      <c r="KYR1697" s="90"/>
      <c r="KYS1697" s="90"/>
      <c r="KYT1697" s="90"/>
      <c r="KYU1697" s="90"/>
      <c r="KYV1697" s="90"/>
      <c r="KYW1697" s="90"/>
      <c r="KYX1697" s="90"/>
      <c r="KYY1697" s="90"/>
      <c r="KYZ1697" s="90"/>
      <c r="KZA1697" s="90"/>
      <c r="KZB1697" s="90"/>
      <c r="KZC1697" s="90"/>
      <c r="KZD1697" s="90"/>
      <c r="KZE1697" s="90"/>
      <c r="KZF1697" s="90"/>
      <c r="KZG1697" s="90"/>
      <c r="KZH1697" s="90"/>
      <c r="KZI1697" s="90"/>
      <c r="KZJ1697" s="90"/>
      <c r="KZK1697" s="90"/>
      <c r="KZL1697" s="90"/>
      <c r="KZM1697" s="90"/>
      <c r="KZN1697" s="90"/>
      <c r="KZO1697" s="90"/>
      <c r="KZP1697" s="90"/>
      <c r="KZQ1697" s="90"/>
      <c r="KZR1697" s="90"/>
      <c r="KZS1697" s="90"/>
      <c r="KZT1697" s="90"/>
      <c r="KZU1697" s="90"/>
      <c r="KZV1697" s="90"/>
      <c r="KZW1697" s="90"/>
      <c r="KZX1697" s="90"/>
      <c r="KZY1697" s="90"/>
      <c r="KZZ1697" s="90"/>
      <c r="LAA1697" s="90"/>
      <c r="LAB1697" s="90"/>
      <c r="LAC1697" s="90"/>
      <c r="LAD1697" s="90"/>
      <c r="LAE1697" s="90"/>
      <c r="LAF1697" s="90"/>
      <c r="LAG1697" s="90"/>
      <c r="LAH1697" s="90"/>
      <c r="LAI1697" s="90"/>
      <c r="LAJ1697" s="90"/>
      <c r="LAK1697" s="90"/>
      <c r="LAL1697" s="90"/>
      <c r="LAM1697" s="90"/>
      <c r="LAN1697" s="90"/>
      <c r="LAO1697" s="90"/>
      <c r="LAP1697" s="90"/>
      <c r="LAQ1697" s="90"/>
      <c r="LAR1697" s="90"/>
      <c r="LAS1697" s="90"/>
      <c r="LAT1697" s="90"/>
      <c r="LAU1697" s="90"/>
      <c r="LAV1697" s="90"/>
      <c r="LAW1697" s="90"/>
      <c r="LAX1697" s="90"/>
      <c r="LAY1697" s="90"/>
      <c r="LAZ1697" s="90"/>
      <c r="LBA1697" s="90"/>
      <c r="LBB1697" s="90"/>
      <c r="LBC1697" s="90"/>
      <c r="LBD1697" s="90"/>
      <c r="LBE1697" s="90"/>
      <c r="LBF1697" s="90"/>
      <c r="LBG1697" s="90"/>
      <c r="LBH1697" s="90"/>
      <c r="LBI1697" s="90"/>
      <c r="LBJ1697" s="90"/>
      <c r="LBK1697" s="90"/>
      <c r="LBL1697" s="90"/>
      <c r="LBM1697" s="90"/>
      <c r="LBN1697" s="90"/>
      <c r="LBO1697" s="90"/>
      <c r="LBP1697" s="90"/>
      <c r="LBQ1697" s="90"/>
      <c r="LBR1697" s="90"/>
      <c r="LBS1697" s="90"/>
      <c r="LBT1697" s="90"/>
      <c r="LBU1697" s="90"/>
      <c r="LBV1697" s="90"/>
      <c r="LBW1697" s="90"/>
      <c r="LBX1697" s="90"/>
      <c r="LBY1697" s="90"/>
      <c r="LBZ1697" s="90"/>
      <c r="LCA1697" s="90"/>
      <c r="LCB1697" s="90"/>
      <c r="LCC1697" s="90"/>
      <c r="LCD1697" s="90"/>
      <c r="LCE1697" s="90"/>
      <c r="LCF1697" s="90"/>
      <c r="LCG1697" s="90"/>
      <c r="LCH1697" s="90"/>
      <c r="LCI1697" s="90"/>
      <c r="LCJ1697" s="90"/>
      <c r="LCK1697" s="90"/>
      <c r="LCL1697" s="90"/>
      <c r="LCM1697" s="90"/>
      <c r="LCN1697" s="90"/>
      <c r="LCO1697" s="90"/>
      <c r="LCP1697" s="90"/>
      <c r="LCQ1697" s="90"/>
      <c r="LCR1697" s="90"/>
      <c r="LCS1697" s="90"/>
      <c r="LCT1697" s="90"/>
      <c r="LCU1697" s="90"/>
      <c r="LCV1697" s="90"/>
      <c r="LCW1697" s="90"/>
      <c r="LCX1697" s="90"/>
      <c r="LCY1697" s="90"/>
      <c r="LCZ1697" s="90"/>
      <c r="LDA1697" s="90"/>
      <c r="LDB1697" s="90"/>
      <c r="LDC1697" s="90"/>
      <c r="LDD1697" s="90"/>
      <c r="LDE1697" s="90"/>
      <c r="LDF1697" s="90"/>
      <c r="LDG1697" s="90"/>
      <c r="LDH1697" s="90"/>
      <c r="LDI1697" s="90"/>
      <c r="LDJ1697" s="90"/>
      <c r="LDK1697" s="90"/>
      <c r="LDL1697" s="90"/>
      <c r="LDM1697" s="90"/>
      <c r="LDN1697" s="90"/>
      <c r="LDO1697" s="90"/>
      <c r="LDP1697" s="90"/>
      <c r="LDQ1697" s="90"/>
      <c r="LDR1697" s="90"/>
      <c r="LDS1697" s="90"/>
      <c r="LDT1697" s="90"/>
      <c r="LDU1697" s="90"/>
      <c r="LDV1697" s="90"/>
      <c r="LDW1697" s="90"/>
      <c r="LDX1697" s="90"/>
      <c r="LDY1697" s="90"/>
      <c r="LDZ1697" s="90"/>
      <c r="LEA1697" s="90"/>
      <c r="LEB1697" s="90"/>
      <c r="LEC1697" s="90"/>
      <c r="LED1697" s="90"/>
      <c r="LEE1697" s="90"/>
      <c r="LEF1697" s="90"/>
      <c r="LEG1697" s="90"/>
      <c r="LEH1697" s="90"/>
      <c r="LEI1697" s="90"/>
      <c r="LEJ1697" s="90"/>
      <c r="LEK1697" s="90"/>
      <c r="LEL1697" s="90"/>
      <c r="LEM1697" s="90"/>
      <c r="LEN1697" s="90"/>
      <c r="LEO1697" s="90"/>
      <c r="LEP1697" s="90"/>
      <c r="LEQ1697" s="90"/>
      <c r="LER1697" s="90"/>
      <c r="LES1697" s="90"/>
      <c r="LET1697" s="90"/>
      <c r="LEU1697" s="90"/>
      <c r="LEV1697" s="90"/>
      <c r="LEW1697" s="90"/>
      <c r="LEX1697" s="90"/>
      <c r="LEY1697" s="90"/>
      <c r="LEZ1697" s="90"/>
      <c r="LFA1697" s="90"/>
      <c r="LFB1697" s="90"/>
      <c r="LFC1697" s="90"/>
      <c r="LFD1697" s="90"/>
      <c r="LFE1697" s="90"/>
      <c r="LFF1697" s="90"/>
      <c r="LFG1697" s="90"/>
      <c r="LFH1697" s="90"/>
      <c r="LFI1697" s="90"/>
      <c r="LFJ1697" s="90"/>
      <c r="LFK1697" s="90"/>
      <c r="LFL1697" s="90"/>
      <c r="LFM1697" s="90"/>
      <c r="LFN1697" s="90"/>
      <c r="LFO1697" s="90"/>
      <c r="LFP1697" s="90"/>
      <c r="LFQ1697" s="90"/>
      <c r="LFR1697" s="90"/>
      <c r="LFS1697" s="90"/>
      <c r="LFT1697" s="90"/>
      <c r="LFU1697" s="90"/>
      <c r="LFV1697" s="90"/>
      <c r="LFW1697" s="90"/>
      <c r="LFX1697" s="90"/>
      <c r="LFY1697" s="90"/>
      <c r="LFZ1697" s="90"/>
      <c r="LGA1697" s="90"/>
      <c r="LGB1697" s="90"/>
      <c r="LGC1697" s="90"/>
      <c r="LGD1697" s="90"/>
      <c r="LGE1697" s="90"/>
      <c r="LGF1697" s="90"/>
      <c r="LGG1697" s="90"/>
      <c r="LGH1697" s="90"/>
      <c r="LGI1697" s="90"/>
      <c r="LGJ1697" s="90"/>
      <c r="LGK1697" s="90"/>
      <c r="LGL1697" s="90"/>
      <c r="LGM1697" s="90"/>
      <c r="LGN1697" s="90"/>
      <c r="LGO1697" s="90"/>
      <c r="LGP1697" s="90"/>
      <c r="LGQ1697" s="90"/>
      <c r="LGR1697" s="90"/>
      <c r="LGS1697" s="90"/>
      <c r="LGT1697" s="90"/>
      <c r="LGU1697" s="90"/>
      <c r="LGV1697" s="90"/>
      <c r="LGW1697" s="90"/>
      <c r="LGX1697" s="90"/>
      <c r="LGY1697" s="90"/>
      <c r="LGZ1697" s="90"/>
      <c r="LHA1697" s="90"/>
      <c r="LHB1697" s="90"/>
      <c r="LHC1697" s="90"/>
      <c r="LHD1697" s="90"/>
      <c r="LHE1697" s="90"/>
      <c r="LHF1697" s="90"/>
      <c r="LHG1697" s="90"/>
      <c r="LHH1697" s="90"/>
      <c r="LHI1697" s="90"/>
      <c r="LHJ1697" s="90"/>
      <c r="LHK1697" s="90"/>
      <c r="LHL1697" s="90"/>
      <c r="LHM1697" s="90"/>
      <c r="LHN1697" s="90"/>
      <c r="LHO1697" s="90"/>
      <c r="LHP1697" s="90"/>
      <c r="LHQ1697" s="90"/>
      <c r="LHR1697" s="90"/>
      <c r="LHS1697" s="90"/>
      <c r="LHT1697" s="90"/>
      <c r="LHU1697" s="90"/>
      <c r="LHV1697" s="90"/>
      <c r="LHW1697" s="90"/>
      <c r="LHX1697" s="90"/>
      <c r="LHY1697" s="90"/>
      <c r="LHZ1697" s="90"/>
      <c r="LIA1697" s="90"/>
      <c r="LIB1697" s="90"/>
      <c r="LIC1697" s="90"/>
      <c r="LID1697" s="90"/>
      <c r="LIE1697" s="90"/>
      <c r="LIF1697" s="90"/>
      <c r="LIG1697" s="90"/>
      <c r="LIH1697" s="90"/>
      <c r="LII1697" s="90"/>
      <c r="LIJ1697" s="90"/>
      <c r="LIK1697" s="90"/>
      <c r="LIL1697" s="90"/>
      <c r="LIM1697" s="90"/>
      <c r="LIN1697" s="90"/>
      <c r="LIO1697" s="90"/>
      <c r="LIP1697" s="90"/>
      <c r="LIQ1697" s="90"/>
      <c r="LIR1697" s="90"/>
      <c r="LIS1697" s="90"/>
      <c r="LIT1697" s="90"/>
      <c r="LIU1697" s="90"/>
      <c r="LIV1697" s="90"/>
      <c r="LIW1697" s="90"/>
      <c r="LIX1697" s="90"/>
      <c r="LIY1697" s="90"/>
      <c r="LIZ1697" s="90"/>
      <c r="LJA1697" s="90"/>
      <c r="LJB1697" s="90"/>
      <c r="LJC1697" s="90"/>
      <c r="LJD1697" s="90"/>
      <c r="LJE1697" s="90"/>
      <c r="LJF1697" s="90"/>
      <c r="LJG1697" s="90"/>
      <c r="LJH1697" s="90"/>
      <c r="LJI1697" s="90"/>
      <c r="LJJ1697" s="90"/>
      <c r="LJK1697" s="90"/>
      <c r="LJL1697" s="90"/>
      <c r="LJM1697" s="90"/>
      <c r="LJN1697" s="90"/>
      <c r="LJO1697" s="90"/>
      <c r="LJP1697" s="90"/>
      <c r="LJQ1697" s="90"/>
      <c r="LJR1697" s="90"/>
      <c r="LJS1697" s="90"/>
      <c r="LJT1697" s="90"/>
      <c r="LJU1697" s="90"/>
      <c r="LJV1697" s="90"/>
      <c r="LJW1697" s="90"/>
      <c r="LJX1697" s="90"/>
      <c r="LJY1697" s="90"/>
      <c r="LJZ1697" s="90"/>
      <c r="LKA1697" s="90"/>
      <c r="LKB1697" s="90"/>
      <c r="LKC1697" s="90"/>
      <c r="LKD1697" s="90"/>
      <c r="LKE1697" s="90"/>
      <c r="LKF1697" s="90"/>
      <c r="LKG1697" s="90"/>
      <c r="LKH1697" s="90"/>
      <c r="LKI1697" s="90"/>
      <c r="LKJ1697" s="90"/>
      <c r="LKK1697" s="90"/>
      <c r="LKL1697" s="90"/>
      <c r="LKM1697" s="90"/>
      <c r="LKN1697" s="90"/>
      <c r="LKO1697" s="90"/>
      <c r="LKP1697" s="90"/>
      <c r="LKQ1697" s="90"/>
      <c r="LKR1697" s="90"/>
      <c r="LKS1697" s="90"/>
      <c r="LKT1697" s="90"/>
      <c r="LKU1697" s="90"/>
      <c r="LKV1697" s="90"/>
      <c r="LKW1697" s="90"/>
      <c r="LKX1697" s="90"/>
      <c r="LKY1697" s="90"/>
      <c r="LKZ1697" s="90"/>
      <c r="LLA1697" s="90"/>
      <c r="LLB1697" s="90"/>
      <c r="LLC1697" s="90"/>
      <c r="LLD1697" s="90"/>
      <c r="LLE1697" s="90"/>
      <c r="LLF1697" s="90"/>
      <c r="LLG1697" s="90"/>
      <c r="LLH1697" s="90"/>
      <c r="LLI1697" s="90"/>
      <c r="LLJ1697" s="90"/>
      <c r="LLK1697" s="90"/>
      <c r="LLL1697" s="90"/>
      <c r="LLM1697" s="90"/>
      <c r="LLN1697" s="90"/>
      <c r="LLO1697" s="90"/>
      <c r="LLP1697" s="90"/>
      <c r="LLQ1697" s="90"/>
      <c r="LLR1697" s="90"/>
      <c r="LLS1697" s="90"/>
      <c r="LLT1697" s="90"/>
      <c r="LLU1697" s="90"/>
      <c r="LLV1697" s="90"/>
      <c r="LLW1697" s="90"/>
      <c r="LLX1697" s="90"/>
      <c r="LLY1697" s="90"/>
      <c r="LLZ1697" s="90"/>
      <c r="LMA1697" s="90"/>
      <c r="LMB1697" s="90"/>
      <c r="LMC1697" s="90"/>
      <c r="LMD1697" s="90"/>
      <c r="LME1697" s="90"/>
      <c r="LMF1697" s="90"/>
      <c r="LMG1697" s="90"/>
      <c r="LMH1697" s="90"/>
      <c r="LMI1697" s="90"/>
      <c r="LMJ1697" s="90"/>
      <c r="LMK1697" s="90"/>
      <c r="LML1697" s="90"/>
      <c r="LMM1697" s="90"/>
      <c r="LMN1697" s="90"/>
      <c r="LMO1697" s="90"/>
      <c r="LMP1697" s="90"/>
      <c r="LMQ1697" s="90"/>
      <c r="LMR1697" s="90"/>
      <c r="LMS1697" s="90"/>
      <c r="LMT1697" s="90"/>
      <c r="LMU1697" s="90"/>
      <c r="LMV1697" s="90"/>
      <c r="LMW1697" s="90"/>
      <c r="LMX1697" s="90"/>
      <c r="LMY1697" s="90"/>
      <c r="LMZ1697" s="90"/>
      <c r="LNA1697" s="90"/>
      <c r="LNB1697" s="90"/>
      <c r="LNC1697" s="90"/>
      <c r="LND1697" s="90"/>
      <c r="LNE1697" s="90"/>
      <c r="LNF1697" s="90"/>
      <c r="LNG1697" s="90"/>
      <c r="LNH1697" s="90"/>
      <c r="LNI1697" s="90"/>
      <c r="LNJ1697" s="90"/>
      <c r="LNK1697" s="90"/>
      <c r="LNL1697" s="90"/>
      <c r="LNM1697" s="90"/>
      <c r="LNN1697" s="90"/>
      <c r="LNO1697" s="90"/>
      <c r="LNP1697" s="90"/>
      <c r="LNQ1697" s="90"/>
      <c r="LNR1697" s="90"/>
      <c r="LNS1697" s="90"/>
      <c r="LNT1697" s="90"/>
      <c r="LNU1697" s="90"/>
      <c r="LNV1697" s="90"/>
      <c r="LNW1697" s="90"/>
      <c r="LNX1697" s="90"/>
      <c r="LNY1697" s="90"/>
      <c r="LNZ1697" s="90"/>
      <c r="LOA1697" s="90"/>
      <c r="LOB1697" s="90"/>
      <c r="LOC1697" s="90"/>
      <c r="LOD1697" s="90"/>
      <c r="LOE1697" s="90"/>
      <c r="LOF1697" s="90"/>
      <c r="LOG1697" s="90"/>
      <c r="LOH1697" s="90"/>
      <c r="LOI1697" s="90"/>
      <c r="LOJ1697" s="90"/>
      <c r="LOK1697" s="90"/>
      <c r="LOL1697" s="90"/>
      <c r="LOM1697" s="90"/>
      <c r="LON1697" s="90"/>
      <c r="LOO1697" s="90"/>
      <c r="LOP1697" s="90"/>
      <c r="LOQ1697" s="90"/>
      <c r="LOR1697" s="90"/>
      <c r="LOS1697" s="90"/>
      <c r="LOT1697" s="90"/>
      <c r="LOU1697" s="90"/>
      <c r="LOV1697" s="90"/>
      <c r="LOW1697" s="90"/>
      <c r="LOX1697" s="90"/>
      <c r="LOY1697" s="90"/>
      <c r="LOZ1697" s="90"/>
      <c r="LPA1697" s="90"/>
      <c r="LPB1697" s="90"/>
      <c r="LPC1697" s="90"/>
      <c r="LPD1697" s="90"/>
      <c r="LPE1697" s="90"/>
      <c r="LPF1697" s="90"/>
      <c r="LPG1697" s="90"/>
      <c r="LPH1697" s="90"/>
      <c r="LPI1697" s="90"/>
      <c r="LPJ1697" s="90"/>
      <c r="LPK1697" s="90"/>
      <c r="LPL1697" s="90"/>
      <c r="LPM1697" s="90"/>
      <c r="LPN1697" s="90"/>
      <c r="LPO1697" s="90"/>
      <c r="LPP1697" s="90"/>
      <c r="LPQ1697" s="90"/>
      <c r="LPR1697" s="90"/>
      <c r="LPS1697" s="90"/>
      <c r="LPT1697" s="90"/>
      <c r="LPU1697" s="90"/>
      <c r="LPV1697" s="90"/>
      <c r="LPW1697" s="90"/>
      <c r="LPX1697" s="90"/>
      <c r="LPY1697" s="90"/>
      <c r="LPZ1697" s="90"/>
      <c r="LQA1697" s="90"/>
      <c r="LQB1697" s="90"/>
      <c r="LQC1697" s="90"/>
      <c r="LQD1697" s="90"/>
      <c r="LQE1697" s="90"/>
      <c r="LQF1697" s="90"/>
      <c r="LQG1697" s="90"/>
      <c r="LQH1697" s="90"/>
      <c r="LQI1697" s="90"/>
      <c r="LQJ1697" s="90"/>
      <c r="LQK1697" s="90"/>
      <c r="LQL1697" s="90"/>
      <c r="LQM1697" s="90"/>
      <c r="LQN1697" s="90"/>
      <c r="LQO1697" s="90"/>
      <c r="LQP1697" s="90"/>
      <c r="LQQ1697" s="90"/>
      <c r="LQR1697" s="90"/>
      <c r="LQS1697" s="90"/>
      <c r="LQT1697" s="90"/>
      <c r="LQU1697" s="90"/>
      <c r="LQV1697" s="90"/>
      <c r="LQW1697" s="90"/>
      <c r="LQX1697" s="90"/>
      <c r="LQY1697" s="90"/>
      <c r="LQZ1697" s="90"/>
      <c r="LRA1697" s="90"/>
      <c r="LRB1697" s="90"/>
      <c r="LRC1697" s="90"/>
      <c r="LRD1697" s="90"/>
      <c r="LRE1697" s="90"/>
      <c r="LRF1697" s="90"/>
      <c r="LRG1697" s="90"/>
      <c r="LRH1697" s="90"/>
      <c r="LRI1697" s="90"/>
      <c r="LRJ1697" s="90"/>
      <c r="LRK1697" s="90"/>
      <c r="LRL1697" s="90"/>
      <c r="LRM1697" s="90"/>
      <c r="LRN1697" s="90"/>
      <c r="LRO1697" s="90"/>
      <c r="LRP1697" s="90"/>
      <c r="LRQ1697" s="90"/>
      <c r="LRR1697" s="90"/>
      <c r="LRS1697" s="90"/>
      <c r="LRT1697" s="90"/>
      <c r="LRU1697" s="90"/>
      <c r="LRV1697" s="90"/>
      <c r="LRW1697" s="90"/>
      <c r="LRX1697" s="90"/>
      <c r="LRY1697" s="90"/>
      <c r="LRZ1697" s="90"/>
      <c r="LSA1697" s="90"/>
      <c r="LSB1697" s="90"/>
      <c r="LSC1697" s="90"/>
      <c r="LSD1697" s="90"/>
      <c r="LSE1697" s="90"/>
      <c r="LSF1697" s="90"/>
      <c r="LSG1697" s="90"/>
      <c r="LSH1697" s="90"/>
      <c r="LSI1697" s="90"/>
      <c r="LSJ1697" s="90"/>
      <c r="LSK1697" s="90"/>
      <c r="LSL1697" s="90"/>
      <c r="LSM1697" s="90"/>
      <c r="LSN1697" s="90"/>
      <c r="LSO1697" s="90"/>
      <c r="LSP1697" s="90"/>
      <c r="LSQ1697" s="90"/>
      <c r="LSR1697" s="90"/>
      <c r="LSS1697" s="90"/>
      <c r="LST1697" s="90"/>
      <c r="LSU1697" s="90"/>
      <c r="LSV1697" s="90"/>
      <c r="LSW1697" s="90"/>
      <c r="LSX1697" s="90"/>
      <c r="LSY1697" s="90"/>
      <c r="LSZ1697" s="90"/>
      <c r="LTA1697" s="90"/>
      <c r="LTB1697" s="90"/>
      <c r="LTC1697" s="90"/>
      <c r="LTD1697" s="90"/>
      <c r="LTE1697" s="90"/>
      <c r="LTF1697" s="90"/>
      <c r="LTG1697" s="90"/>
      <c r="LTH1697" s="90"/>
      <c r="LTI1697" s="90"/>
      <c r="LTJ1697" s="90"/>
      <c r="LTK1697" s="90"/>
      <c r="LTL1697" s="90"/>
      <c r="LTM1697" s="90"/>
      <c r="LTN1697" s="90"/>
      <c r="LTO1697" s="90"/>
      <c r="LTP1697" s="90"/>
      <c r="LTQ1697" s="90"/>
      <c r="LTR1697" s="90"/>
      <c r="LTS1697" s="90"/>
      <c r="LTT1697" s="90"/>
      <c r="LTU1697" s="90"/>
      <c r="LTV1697" s="90"/>
      <c r="LTW1697" s="90"/>
      <c r="LTX1697" s="90"/>
      <c r="LTY1697" s="90"/>
      <c r="LTZ1697" s="90"/>
      <c r="LUA1697" s="90"/>
      <c r="LUB1697" s="90"/>
      <c r="LUC1697" s="90"/>
      <c r="LUD1697" s="90"/>
      <c r="LUE1697" s="90"/>
      <c r="LUF1697" s="90"/>
      <c r="LUG1697" s="90"/>
      <c r="LUH1697" s="90"/>
      <c r="LUI1697" s="90"/>
      <c r="LUJ1697" s="90"/>
      <c r="LUK1697" s="90"/>
      <c r="LUL1697" s="90"/>
      <c r="LUM1697" s="90"/>
      <c r="LUN1697" s="90"/>
      <c r="LUO1697" s="90"/>
      <c r="LUP1697" s="90"/>
      <c r="LUQ1697" s="90"/>
      <c r="LUR1697" s="90"/>
      <c r="LUS1697" s="90"/>
      <c r="LUT1697" s="90"/>
      <c r="LUU1697" s="90"/>
      <c r="LUV1697" s="90"/>
      <c r="LUW1697" s="90"/>
      <c r="LUX1697" s="90"/>
      <c r="LUY1697" s="90"/>
      <c r="LUZ1697" s="90"/>
      <c r="LVA1697" s="90"/>
      <c r="LVB1697" s="90"/>
      <c r="LVC1697" s="90"/>
      <c r="LVD1697" s="90"/>
      <c r="LVE1697" s="90"/>
      <c r="LVF1697" s="90"/>
      <c r="LVG1697" s="90"/>
      <c r="LVH1697" s="90"/>
      <c r="LVI1697" s="90"/>
      <c r="LVJ1697" s="90"/>
      <c r="LVK1697" s="90"/>
      <c r="LVL1697" s="90"/>
      <c r="LVM1697" s="90"/>
      <c r="LVN1697" s="90"/>
      <c r="LVO1697" s="90"/>
      <c r="LVP1697" s="90"/>
      <c r="LVQ1697" s="90"/>
      <c r="LVR1697" s="90"/>
      <c r="LVS1697" s="90"/>
      <c r="LVT1697" s="90"/>
      <c r="LVU1697" s="90"/>
      <c r="LVV1697" s="90"/>
      <c r="LVW1697" s="90"/>
      <c r="LVX1697" s="90"/>
      <c r="LVY1697" s="90"/>
      <c r="LVZ1697" s="90"/>
      <c r="LWA1697" s="90"/>
      <c r="LWB1697" s="90"/>
      <c r="LWC1697" s="90"/>
      <c r="LWD1697" s="90"/>
      <c r="LWE1697" s="90"/>
      <c r="LWF1697" s="90"/>
      <c r="LWG1697" s="90"/>
      <c r="LWH1697" s="90"/>
      <c r="LWI1697" s="90"/>
      <c r="LWJ1697" s="90"/>
      <c r="LWK1697" s="90"/>
      <c r="LWL1697" s="90"/>
      <c r="LWM1697" s="90"/>
      <c r="LWN1697" s="90"/>
      <c r="LWO1697" s="90"/>
      <c r="LWP1697" s="90"/>
      <c r="LWQ1697" s="90"/>
      <c r="LWR1697" s="90"/>
      <c r="LWS1697" s="90"/>
      <c r="LWT1697" s="90"/>
      <c r="LWU1697" s="90"/>
      <c r="LWV1697" s="90"/>
      <c r="LWW1697" s="90"/>
      <c r="LWX1697" s="90"/>
      <c r="LWY1697" s="90"/>
      <c r="LWZ1697" s="90"/>
      <c r="LXA1697" s="90"/>
      <c r="LXB1697" s="90"/>
      <c r="LXC1697" s="90"/>
      <c r="LXD1697" s="90"/>
      <c r="LXE1697" s="90"/>
      <c r="LXF1697" s="90"/>
      <c r="LXG1697" s="90"/>
      <c r="LXH1697" s="90"/>
      <c r="LXI1697" s="90"/>
      <c r="LXJ1697" s="90"/>
      <c r="LXK1697" s="90"/>
      <c r="LXL1697" s="90"/>
      <c r="LXM1697" s="90"/>
      <c r="LXN1697" s="90"/>
      <c r="LXO1697" s="90"/>
      <c r="LXP1697" s="90"/>
      <c r="LXQ1697" s="90"/>
      <c r="LXR1697" s="90"/>
      <c r="LXS1697" s="90"/>
      <c r="LXT1697" s="90"/>
      <c r="LXU1697" s="90"/>
      <c r="LXV1697" s="90"/>
      <c r="LXW1697" s="90"/>
      <c r="LXX1697" s="90"/>
      <c r="LXY1697" s="90"/>
      <c r="LXZ1697" s="90"/>
      <c r="LYA1697" s="90"/>
      <c r="LYB1697" s="90"/>
      <c r="LYC1697" s="90"/>
      <c r="LYD1697" s="90"/>
      <c r="LYE1697" s="90"/>
      <c r="LYF1697" s="90"/>
      <c r="LYG1697" s="90"/>
      <c r="LYH1697" s="90"/>
      <c r="LYI1697" s="90"/>
      <c r="LYJ1697" s="90"/>
      <c r="LYK1697" s="90"/>
      <c r="LYL1697" s="90"/>
      <c r="LYM1697" s="90"/>
      <c r="LYN1697" s="90"/>
      <c r="LYO1697" s="90"/>
      <c r="LYP1697" s="90"/>
      <c r="LYQ1697" s="90"/>
      <c r="LYR1697" s="90"/>
      <c r="LYS1697" s="90"/>
      <c r="LYT1697" s="90"/>
      <c r="LYU1697" s="90"/>
      <c r="LYV1697" s="90"/>
      <c r="LYW1697" s="90"/>
      <c r="LYX1697" s="90"/>
      <c r="LYY1697" s="90"/>
      <c r="LYZ1697" s="90"/>
      <c r="LZA1697" s="90"/>
      <c r="LZB1697" s="90"/>
      <c r="LZC1697" s="90"/>
      <c r="LZD1697" s="90"/>
      <c r="LZE1697" s="90"/>
      <c r="LZF1697" s="90"/>
      <c r="LZG1697" s="90"/>
      <c r="LZH1697" s="90"/>
      <c r="LZI1697" s="90"/>
      <c r="LZJ1697" s="90"/>
      <c r="LZK1697" s="90"/>
      <c r="LZL1697" s="90"/>
      <c r="LZM1697" s="90"/>
      <c r="LZN1697" s="90"/>
      <c r="LZO1697" s="90"/>
      <c r="LZP1697" s="90"/>
      <c r="LZQ1697" s="90"/>
      <c r="LZR1697" s="90"/>
      <c r="LZS1697" s="90"/>
      <c r="LZT1697" s="90"/>
      <c r="LZU1697" s="90"/>
      <c r="LZV1697" s="90"/>
      <c r="LZW1697" s="90"/>
      <c r="LZX1697" s="90"/>
      <c r="LZY1697" s="90"/>
      <c r="LZZ1697" s="90"/>
      <c r="MAA1697" s="90"/>
      <c r="MAB1697" s="90"/>
      <c r="MAC1697" s="90"/>
      <c r="MAD1697" s="90"/>
      <c r="MAE1697" s="90"/>
      <c r="MAF1697" s="90"/>
      <c r="MAG1697" s="90"/>
      <c r="MAH1697" s="90"/>
      <c r="MAI1697" s="90"/>
      <c r="MAJ1697" s="90"/>
      <c r="MAK1697" s="90"/>
      <c r="MAL1697" s="90"/>
      <c r="MAM1697" s="90"/>
      <c r="MAN1697" s="90"/>
      <c r="MAO1697" s="90"/>
      <c r="MAP1697" s="90"/>
      <c r="MAQ1697" s="90"/>
      <c r="MAR1697" s="90"/>
      <c r="MAS1697" s="90"/>
      <c r="MAT1697" s="90"/>
      <c r="MAU1697" s="90"/>
      <c r="MAV1697" s="90"/>
      <c r="MAW1697" s="90"/>
      <c r="MAX1697" s="90"/>
      <c r="MAY1697" s="90"/>
      <c r="MAZ1697" s="90"/>
      <c r="MBA1697" s="90"/>
      <c r="MBB1697" s="90"/>
      <c r="MBC1697" s="90"/>
      <c r="MBD1697" s="90"/>
      <c r="MBE1697" s="90"/>
      <c r="MBF1697" s="90"/>
      <c r="MBG1697" s="90"/>
      <c r="MBH1697" s="90"/>
      <c r="MBI1697" s="90"/>
      <c r="MBJ1697" s="90"/>
      <c r="MBK1697" s="90"/>
      <c r="MBL1697" s="90"/>
      <c r="MBM1697" s="90"/>
      <c r="MBN1697" s="90"/>
      <c r="MBO1697" s="90"/>
      <c r="MBP1697" s="90"/>
      <c r="MBQ1697" s="90"/>
      <c r="MBR1697" s="90"/>
      <c r="MBS1697" s="90"/>
      <c r="MBT1697" s="90"/>
      <c r="MBU1697" s="90"/>
      <c r="MBV1697" s="90"/>
      <c r="MBW1697" s="90"/>
      <c r="MBX1697" s="90"/>
      <c r="MBY1697" s="90"/>
      <c r="MBZ1697" s="90"/>
      <c r="MCA1697" s="90"/>
      <c r="MCB1697" s="90"/>
      <c r="MCC1697" s="90"/>
      <c r="MCD1697" s="90"/>
      <c r="MCE1697" s="90"/>
      <c r="MCF1697" s="90"/>
      <c r="MCG1697" s="90"/>
      <c r="MCH1697" s="90"/>
      <c r="MCI1697" s="90"/>
      <c r="MCJ1697" s="90"/>
      <c r="MCK1697" s="90"/>
      <c r="MCL1697" s="90"/>
      <c r="MCM1697" s="90"/>
      <c r="MCN1697" s="90"/>
      <c r="MCO1697" s="90"/>
      <c r="MCP1697" s="90"/>
      <c r="MCQ1697" s="90"/>
      <c r="MCR1697" s="90"/>
      <c r="MCS1697" s="90"/>
      <c r="MCT1697" s="90"/>
      <c r="MCU1697" s="90"/>
      <c r="MCV1697" s="90"/>
      <c r="MCW1697" s="90"/>
      <c r="MCX1697" s="90"/>
      <c r="MCY1697" s="90"/>
      <c r="MCZ1697" s="90"/>
      <c r="MDA1697" s="90"/>
      <c r="MDB1697" s="90"/>
      <c r="MDC1697" s="90"/>
      <c r="MDD1697" s="90"/>
      <c r="MDE1697" s="90"/>
      <c r="MDF1697" s="90"/>
      <c r="MDG1697" s="90"/>
      <c r="MDH1697" s="90"/>
      <c r="MDI1697" s="90"/>
      <c r="MDJ1697" s="90"/>
      <c r="MDK1697" s="90"/>
      <c r="MDL1697" s="90"/>
      <c r="MDM1697" s="90"/>
      <c r="MDN1697" s="90"/>
      <c r="MDO1697" s="90"/>
      <c r="MDP1697" s="90"/>
      <c r="MDQ1697" s="90"/>
      <c r="MDR1697" s="90"/>
      <c r="MDS1697" s="90"/>
      <c r="MDT1697" s="90"/>
      <c r="MDU1697" s="90"/>
      <c r="MDV1697" s="90"/>
      <c r="MDW1697" s="90"/>
      <c r="MDX1697" s="90"/>
      <c r="MDY1697" s="90"/>
      <c r="MDZ1697" s="90"/>
      <c r="MEA1697" s="90"/>
      <c r="MEB1697" s="90"/>
      <c r="MEC1697" s="90"/>
      <c r="MED1697" s="90"/>
      <c r="MEE1697" s="90"/>
      <c r="MEF1697" s="90"/>
      <c r="MEG1697" s="90"/>
      <c r="MEH1697" s="90"/>
      <c r="MEI1697" s="90"/>
      <c r="MEJ1697" s="90"/>
      <c r="MEK1697" s="90"/>
      <c r="MEL1697" s="90"/>
      <c r="MEM1697" s="90"/>
      <c r="MEN1697" s="90"/>
      <c r="MEO1697" s="90"/>
      <c r="MEP1697" s="90"/>
      <c r="MEQ1697" s="90"/>
      <c r="MER1697" s="90"/>
      <c r="MES1697" s="90"/>
      <c r="MET1697" s="90"/>
      <c r="MEU1697" s="90"/>
      <c r="MEV1697" s="90"/>
      <c r="MEW1697" s="90"/>
      <c r="MEX1697" s="90"/>
      <c r="MEY1697" s="90"/>
      <c r="MEZ1697" s="90"/>
      <c r="MFA1697" s="90"/>
      <c r="MFB1697" s="90"/>
      <c r="MFC1697" s="90"/>
      <c r="MFD1697" s="90"/>
      <c r="MFE1697" s="90"/>
      <c r="MFF1697" s="90"/>
      <c r="MFG1697" s="90"/>
      <c r="MFH1697" s="90"/>
      <c r="MFI1697" s="90"/>
      <c r="MFJ1697" s="90"/>
      <c r="MFK1697" s="90"/>
      <c r="MFL1697" s="90"/>
      <c r="MFM1697" s="90"/>
      <c r="MFN1697" s="90"/>
      <c r="MFO1697" s="90"/>
      <c r="MFP1697" s="90"/>
      <c r="MFQ1697" s="90"/>
      <c r="MFR1697" s="90"/>
      <c r="MFS1697" s="90"/>
      <c r="MFT1697" s="90"/>
      <c r="MFU1697" s="90"/>
      <c r="MFV1697" s="90"/>
      <c r="MFW1697" s="90"/>
      <c r="MFX1697" s="90"/>
      <c r="MFY1697" s="90"/>
      <c r="MFZ1697" s="90"/>
      <c r="MGA1697" s="90"/>
      <c r="MGB1697" s="90"/>
      <c r="MGC1697" s="90"/>
      <c r="MGD1697" s="90"/>
      <c r="MGE1697" s="90"/>
      <c r="MGF1697" s="90"/>
      <c r="MGG1697" s="90"/>
      <c r="MGH1697" s="90"/>
      <c r="MGI1697" s="90"/>
      <c r="MGJ1697" s="90"/>
      <c r="MGK1697" s="90"/>
      <c r="MGL1697" s="90"/>
      <c r="MGM1697" s="90"/>
      <c r="MGN1697" s="90"/>
      <c r="MGO1697" s="90"/>
      <c r="MGP1697" s="90"/>
      <c r="MGQ1697" s="90"/>
      <c r="MGR1697" s="90"/>
      <c r="MGS1697" s="90"/>
      <c r="MGT1697" s="90"/>
      <c r="MGU1697" s="90"/>
      <c r="MGV1697" s="90"/>
      <c r="MGW1697" s="90"/>
      <c r="MGX1697" s="90"/>
      <c r="MGY1697" s="90"/>
      <c r="MGZ1697" s="90"/>
      <c r="MHA1697" s="90"/>
      <c r="MHB1697" s="90"/>
      <c r="MHC1697" s="90"/>
      <c r="MHD1697" s="90"/>
      <c r="MHE1697" s="90"/>
      <c r="MHF1697" s="90"/>
      <c r="MHG1697" s="90"/>
      <c r="MHH1697" s="90"/>
      <c r="MHI1697" s="90"/>
      <c r="MHJ1697" s="90"/>
      <c r="MHK1697" s="90"/>
      <c r="MHL1697" s="90"/>
      <c r="MHM1697" s="90"/>
      <c r="MHN1697" s="90"/>
      <c r="MHO1697" s="90"/>
      <c r="MHP1697" s="90"/>
      <c r="MHQ1697" s="90"/>
      <c r="MHR1697" s="90"/>
      <c r="MHS1697" s="90"/>
      <c r="MHT1697" s="90"/>
      <c r="MHU1697" s="90"/>
      <c r="MHV1697" s="90"/>
      <c r="MHW1697" s="90"/>
      <c r="MHX1697" s="90"/>
      <c r="MHY1697" s="90"/>
      <c r="MHZ1697" s="90"/>
      <c r="MIA1697" s="90"/>
      <c r="MIB1697" s="90"/>
      <c r="MIC1697" s="90"/>
      <c r="MID1697" s="90"/>
      <c r="MIE1697" s="90"/>
      <c r="MIF1697" s="90"/>
      <c r="MIG1697" s="90"/>
      <c r="MIH1697" s="90"/>
      <c r="MII1697" s="90"/>
      <c r="MIJ1697" s="90"/>
      <c r="MIK1697" s="90"/>
      <c r="MIL1697" s="90"/>
      <c r="MIM1697" s="90"/>
      <c r="MIN1697" s="90"/>
      <c r="MIO1697" s="90"/>
      <c r="MIP1697" s="90"/>
      <c r="MIQ1697" s="90"/>
      <c r="MIR1697" s="90"/>
      <c r="MIS1697" s="90"/>
      <c r="MIT1697" s="90"/>
      <c r="MIU1697" s="90"/>
      <c r="MIV1697" s="90"/>
      <c r="MIW1697" s="90"/>
      <c r="MIX1697" s="90"/>
      <c r="MIY1697" s="90"/>
      <c r="MIZ1697" s="90"/>
      <c r="MJA1697" s="90"/>
      <c r="MJB1697" s="90"/>
      <c r="MJC1697" s="90"/>
      <c r="MJD1697" s="90"/>
      <c r="MJE1697" s="90"/>
      <c r="MJF1697" s="90"/>
      <c r="MJG1697" s="90"/>
      <c r="MJH1697" s="90"/>
      <c r="MJI1697" s="90"/>
      <c r="MJJ1697" s="90"/>
      <c r="MJK1697" s="90"/>
      <c r="MJL1697" s="90"/>
      <c r="MJM1697" s="90"/>
      <c r="MJN1697" s="90"/>
      <c r="MJO1697" s="90"/>
      <c r="MJP1697" s="90"/>
      <c r="MJQ1697" s="90"/>
      <c r="MJR1697" s="90"/>
      <c r="MJS1697" s="90"/>
      <c r="MJT1697" s="90"/>
      <c r="MJU1697" s="90"/>
      <c r="MJV1697" s="90"/>
      <c r="MJW1697" s="90"/>
      <c r="MJX1697" s="90"/>
      <c r="MJY1697" s="90"/>
      <c r="MJZ1697" s="90"/>
      <c r="MKA1697" s="90"/>
      <c r="MKB1697" s="90"/>
      <c r="MKC1697" s="90"/>
      <c r="MKD1697" s="90"/>
      <c r="MKE1697" s="90"/>
      <c r="MKF1697" s="90"/>
      <c r="MKG1697" s="90"/>
      <c r="MKH1697" s="90"/>
      <c r="MKI1697" s="90"/>
      <c r="MKJ1697" s="90"/>
      <c r="MKK1697" s="90"/>
      <c r="MKL1697" s="90"/>
      <c r="MKM1697" s="90"/>
      <c r="MKN1697" s="90"/>
      <c r="MKO1697" s="90"/>
      <c r="MKP1697" s="90"/>
      <c r="MKQ1697" s="90"/>
      <c r="MKR1697" s="90"/>
      <c r="MKS1697" s="90"/>
      <c r="MKT1697" s="90"/>
      <c r="MKU1697" s="90"/>
      <c r="MKV1697" s="90"/>
      <c r="MKW1697" s="90"/>
      <c r="MKX1697" s="90"/>
      <c r="MKY1697" s="90"/>
      <c r="MKZ1697" s="90"/>
      <c r="MLA1697" s="90"/>
      <c r="MLB1697" s="90"/>
      <c r="MLC1697" s="90"/>
      <c r="MLD1697" s="90"/>
      <c r="MLE1697" s="90"/>
      <c r="MLF1697" s="90"/>
      <c r="MLG1697" s="90"/>
      <c r="MLH1697" s="90"/>
      <c r="MLI1697" s="90"/>
      <c r="MLJ1697" s="90"/>
      <c r="MLK1697" s="90"/>
      <c r="MLL1697" s="90"/>
      <c r="MLM1697" s="90"/>
      <c r="MLN1697" s="90"/>
      <c r="MLO1697" s="90"/>
      <c r="MLP1697" s="90"/>
      <c r="MLQ1697" s="90"/>
      <c r="MLR1697" s="90"/>
      <c r="MLS1697" s="90"/>
      <c r="MLT1697" s="90"/>
      <c r="MLU1697" s="90"/>
      <c r="MLV1697" s="90"/>
      <c r="MLW1697" s="90"/>
      <c r="MLX1697" s="90"/>
      <c r="MLY1697" s="90"/>
      <c r="MLZ1697" s="90"/>
      <c r="MMA1697" s="90"/>
      <c r="MMB1697" s="90"/>
      <c r="MMC1697" s="90"/>
      <c r="MMD1697" s="90"/>
      <c r="MME1697" s="90"/>
      <c r="MMF1697" s="90"/>
      <c r="MMG1697" s="90"/>
      <c r="MMH1697" s="90"/>
      <c r="MMI1697" s="90"/>
      <c r="MMJ1697" s="90"/>
      <c r="MMK1697" s="90"/>
      <c r="MML1697" s="90"/>
      <c r="MMM1697" s="90"/>
      <c r="MMN1697" s="90"/>
      <c r="MMO1697" s="90"/>
      <c r="MMP1697" s="90"/>
      <c r="MMQ1697" s="90"/>
      <c r="MMR1697" s="90"/>
      <c r="MMS1697" s="90"/>
      <c r="MMT1697" s="90"/>
      <c r="MMU1697" s="90"/>
      <c r="MMV1697" s="90"/>
      <c r="MMW1697" s="90"/>
      <c r="MMX1697" s="90"/>
      <c r="MMY1697" s="90"/>
      <c r="MMZ1697" s="90"/>
      <c r="MNA1697" s="90"/>
      <c r="MNB1697" s="90"/>
      <c r="MNC1697" s="90"/>
      <c r="MND1697" s="90"/>
      <c r="MNE1697" s="90"/>
      <c r="MNF1697" s="90"/>
      <c r="MNG1697" s="90"/>
      <c r="MNH1697" s="90"/>
      <c r="MNI1697" s="90"/>
      <c r="MNJ1697" s="90"/>
      <c r="MNK1697" s="90"/>
      <c r="MNL1697" s="90"/>
      <c r="MNM1697" s="90"/>
      <c r="MNN1697" s="90"/>
      <c r="MNO1697" s="90"/>
      <c r="MNP1697" s="90"/>
      <c r="MNQ1697" s="90"/>
      <c r="MNR1697" s="90"/>
      <c r="MNS1697" s="90"/>
      <c r="MNT1697" s="90"/>
      <c r="MNU1697" s="90"/>
      <c r="MNV1697" s="90"/>
      <c r="MNW1697" s="90"/>
      <c r="MNX1697" s="90"/>
      <c r="MNY1697" s="90"/>
      <c r="MNZ1697" s="90"/>
      <c r="MOA1697" s="90"/>
      <c r="MOB1697" s="90"/>
      <c r="MOC1697" s="90"/>
      <c r="MOD1697" s="90"/>
      <c r="MOE1697" s="90"/>
      <c r="MOF1697" s="90"/>
      <c r="MOG1697" s="90"/>
      <c r="MOH1697" s="90"/>
      <c r="MOI1697" s="90"/>
      <c r="MOJ1697" s="90"/>
      <c r="MOK1697" s="90"/>
      <c r="MOL1697" s="90"/>
      <c r="MOM1697" s="90"/>
      <c r="MON1697" s="90"/>
      <c r="MOO1697" s="90"/>
      <c r="MOP1697" s="90"/>
      <c r="MOQ1697" s="90"/>
      <c r="MOR1697" s="90"/>
      <c r="MOS1697" s="90"/>
      <c r="MOT1697" s="90"/>
      <c r="MOU1697" s="90"/>
      <c r="MOV1697" s="90"/>
      <c r="MOW1697" s="90"/>
      <c r="MOX1697" s="90"/>
      <c r="MOY1697" s="90"/>
      <c r="MOZ1697" s="90"/>
      <c r="MPA1697" s="90"/>
      <c r="MPB1697" s="90"/>
      <c r="MPC1697" s="90"/>
      <c r="MPD1697" s="90"/>
      <c r="MPE1697" s="90"/>
      <c r="MPF1697" s="90"/>
      <c r="MPG1697" s="90"/>
      <c r="MPH1697" s="90"/>
      <c r="MPI1697" s="90"/>
      <c r="MPJ1697" s="90"/>
      <c r="MPK1697" s="90"/>
      <c r="MPL1697" s="90"/>
      <c r="MPM1697" s="90"/>
      <c r="MPN1697" s="90"/>
      <c r="MPO1697" s="90"/>
      <c r="MPP1697" s="90"/>
      <c r="MPQ1697" s="90"/>
      <c r="MPR1697" s="90"/>
      <c r="MPS1697" s="90"/>
      <c r="MPT1697" s="90"/>
      <c r="MPU1697" s="90"/>
      <c r="MPV1697" s="90"/>
      <c r="MPW1697" s="90"/>
      <c r="MPX1697" s="90"/>
      <c r="MPY1697" s="90"/>
      <c r="MPZ1697" s="90"/>
      <c r="MQA1697" s="90"/>
      <c r="MQB1697" s="90"/>
      <c r="MQC1697" s="90"/>
      <c r="MQD1697" s="90"/>
      <c r="MQE1697" s="90"/>
      <c r="MQF1697" s="90"/>
      <c r="MQG1697" s="90"/>
      <c r="MQH1697" s="90"/>
      <c r="MQI1697" s="90"/>
      <c r="MQJ1697" s="90"/>
      <c r="MQK1697" s="90"/>
      <c r="MQL1697" s="90"/>
      <c r="MQM1697" s="90"/>
      <c r="MQN1697" s="90"/>
      <c r="MQO1697" s="90"/>
      <c r="MQP1697" s="90"/>
      <c r="MQQ1697" s="90"/>
      <c r="MQR1697" s="90"/>
      <c r="MQS1697" s="90"/>
      <c r="MQT1697" s="90"/>
      <c r="MQU1697" s="90"/>
      <c r="MQV1697" s="90"/>
      <c r="MQW1697" s="90"/>
      <c r="MQX1697" s="90"/>
      <c r="MQY1697" s="90"/>
      <c r="MQZ1697" s="90"/>
      <c r="MRA1697" s="90"/>
      <c r="MRB1697" s="90"/>
      <c r="MRC1697" s="90"/>
      <c r="MRD1697" s="90"/>
      <c r="MRE1697" s="90"/>
      <c r="MRF1697" s="90"/>
      <c r="MRG1697" s="90"/>
      <c r="MRH1697" s="90"/>
      <c r="MRI1697" s="90"/>
      <c r="MRJ1697" s="90"/>
      <c r="MRK1697" s="90"/>
      <c r="MRL1697" s="90"/>
      <c r="MRM1697" s="90"/>
      <c r="MRN1697" s="90"/>
      <c r="MRO1697" s="90"/>
      <c r="MRP1697" s="90"/>
      <c r="MRQ1697" s="90"/>
      <c r="MRR1697" s="90"/>
      <c r="MRS1697" s="90"/>
      <c r="MRT1697" s="90"/>
      <c r="MRU1697" s="90"/>
      <c r="MRV1697" s="90"/>
      <c r="MRW1697" s="90"/>
      <c r="MRX1697" s="90"/>
      <c r="MRY1697" s="90"/>
      <c r="MRZ1697" s="90"/>
      <c r="MSA1697" s="90"/>
      <c r="MSB1697" s="90"/>
      <c r="MSC1697" s="90"/>
      <c r="MSD1697" s="90"/>
      <c r="MSE1697" s="90"/>
      <c r="MSF1697" s="90"/>
      <c r="MSG1697" s="90"/>
      <c r="MSH1697" s="90"/>
      <c r="MSI1697" s="90"/>
      <c r="MSJ1697" s="90"/>
      <c r="MSK1697" s="90"/>
      <c r="MSL1697" s="90"/>
      <c r="MSM1697" s="90"/>
      <c r="MSN1697" s="90"/>
      <c r="MSO1697" s="90"/>
      <c r="MSP1697" s="90"/>
      <c r="MSQ1697" s="90"/>
      <c r="MSR1697" s="90"/>
      <c r="MSS1697" s="90"/>
      <c r="MST1697" s="90"/>
      <c r="MSU1697" s="90"/>
      <c r="MSV1697" s="90"/>
      <c r="MSW1697" s="90"/>
      <c r="MSX1697" s="90"/>
      <c r="MSY1697" s="90"/>
      <c r="MSZ1697" s="90"/>
      <c r="MTA1697" s="90"/>
      <c r="MTB1697" s="90"/>
      <c r="MTC1697" s="90"/>
      <c r="MTD1697" s="90"/>
      <c r="MTE1697" s="90"/>
      <c r="MTF1697" s="90"/>
      <c r="MTG1697" s="90"/>
      <c r="MTH1697" s="90"/>
      <c r="MTI1697" s="90"/>
      <c r="MTJ1697" s="90"/>
      <c r="MTK1697" s="90"/>
      <c r="MTL1697" s="90"/>
      <c r="MTM1697" s="90"/>
      <c r="MTN1697" s="90"/>
      <c r="MTO1697" s="90"/>
      <c r="MTP1697" s="90"/>
      <c r="MTQ1697" s="90"/>
      <c r="MTR1697" s="90"/>
      <c r="MTS1697" s="90"/>
      <c r="MTT1697" s="90"/>
      <c r="MTU1697" s="90"/>
      <c r="MTV1697" s="90"/>
      <c r="MTW1697" s="90"/>
      <c r="MTX1697" s="90"/>
      <c r="MTY1697" s="90"/>
      <c r="MTZ1697" s="90"/>
      <c r="MUA1697" s="90"/>
      <c r="MUB1697" s="90"/>
      <c r="MUC1697" s="90"/>
      <c r="MUD1697" s="90"/>
      <c r="MUE1697" s="90"/>
      <c r="MUF1697" s="90"/>
      <c r="MUG1697" s="90"/>
      <c r="MUH1697" s="90"/>
      <c r="MUI1697" s="90"/>
      <c r="MUJ1697" s="90"/>
      <c r="MUK1697" s="90"/>
      <c r="MUL1697" s="90"/>
      <c r="MUM1697" s="90"/>
      <c r="MUN1697" s="90"/>
      <c r="MUO1697" s="90"/>
      <c r="MUP1697" s="90"/>
      <c r="MUQ1697" s="90"/>
      <c r="MUR1697" s="90"/>
      <c r="MUS1697" s="90"/>
      <c r="MUT1697" s="90"/>
      <c r="MUU1697" s="90"/>
      <c r="MUV1697" s="90"/>
      <c r="MUW1697" s="90"/>
      <c r="MUX1697" s="90"/>
      <c r="MUY1697" s="90"/>
      <c r="MUZ1697" s="90"/>
      <c r="MVA1697" s="90"/>
      <c r="MVB1697" s="90"/>
      <c r="MVC1697" s="90"/>
      <c r="MVD1697" s="90"/>
      <c r="MVE1697" s="90"/>
      <c r="MVF1697" s="90"/>
      <c r="MVG1697" s="90"/>
      <c r="MVH1697" s="90"/>
      <c r="MVI1697" s="90"/>
      <c r="MVJ1697" s="90"/>
      <c r="MVK1697" s="90"/>
      <c r="MVL1697" s="90"/>
      <c r="MVM1697" s="90"/>
      <c r="MVN1697" s="90"/>
      <c r="MVO1697" s="90"/>
      <c r="MVP1697" s="90"/>
      <c r="MVQ1697" s="90"/>
      <c r="MVR1697" s="90"/>
      <c r="MVS1697" s="90"/>
      <c r="MVT1697" s="90"/>
      <c r="MVU1697" s="90"/>
      <c r="MVV1697" s="90"/>
      <c r="MVW1697" s="90"/>
      <c r="MVX1697" s="90"/>
      <c r="MVY1697" s="90"/>
      <c r="MVZ1697" s="90"/>
      <c r="MWA1697" s="90"/>
      <c r="MWB1697" s="90"/>
      <c r="MWC1697" s="90"/>
      <c r="MWD1697" s="90"/>
      <c r="MWE1697" s="90"/>
      <c r="MWF1697" s="90"/>
      <c r="MWG1697" s="90"/>
      <c r="MWH1697" s="90"/>
      <c r="MWI1697" s="90"/>
      <c r="MWJ1697" s="90"/>
      <c r="MWK1697" s="90"/>
      <c r="MWL1697" s="90"/>
      <c r="MWM1697" s="90"/>
      <c r="MWN1697" s="90"/>
      <c r="MWO1697" s="90"/>
      <c r="MWP1697" s="90"/>
      <c r="MWQ1697" s="90"/>
      <c r="MWR1697" s="90"/>
      <c r="MWS1697" s="90"/>
      <c r="MWT1697" s="90"/>
      <c r="MWU1697" s="90"/>
      <c r="MWV1697" s="90"/>
      <c r="MWW1697" s="90"/>
      <c r="MWX1697" s="90"/>
      <c r="MWY1697" s="90"/>
      <c r="MWZ1697" s="90"/>
      <c r="MXA1697" s="90"/>
      <c r="MXB1697" s="90"/>
      <c r="MXC1697" s="90"/>
      <c r="MXD1697" s="90"/>
      <c r="MXE1697" s="90"/>
      <c r="MXF1697" s="90"/>
      <c r="MXG1697" s="90"/>
      <c r="MXH1697" s="90"/>
      <c r="MXI1697" s="90"/>
      <c r="MXJ1697" s="90"/>
      <c r="MXK1697" s="90"/>
      <c r="MXL1697" s="90"/>
      <c r="MXM1697" s="90"/>
      <c r="MXN1697" s="90"/>
      <c r="MXO1697" s="90"/>
      <c r="MXP1697" s="90"/>
      <c r="MXQ1697" s="90"/>
      <c r="MXR1697" s="90"/>
      <c r="MXS1697" s="90"/>
      <c r="MXT1697" s="90"/>
      <c r="MXU1697" s="90"/>
      <c r="MXV1697" s="90"/>
      <c r="MXW1697" s="90"/>
      <c r="MXX1697" s="90"/>
      <c r="MXY1697" s="90"/>
      <c r="MXZ1697" s="90"/>
      <c r="MYA1697" s="90"/>
      <c r="MYB1697" s="90"/>
      <c r="MYC1697" s="90"/>
      <c r="MYD1697" s="90"/>
      <c r="MYE1697" s="90"/>
      <c r="MYF1697" s="90"/>
      <c r="MYG1697" s="90"/>
      <c r="MYH1697" s="90"/>
      <c r="MYI1697" s="90"/>
      <c r="MYJ1697" s="90"/>
      <c r="MYK1697" s="90"/>
      <c r="MYL1697" s="90"/>
      <c r="MYM1697" s="90"/>
      <c r="MYN1697" s="90"/>
      <c r="MYO1697" s="90"/>
      <c r="MYP1697" s="90"/>
      <c r="MYQ1697" s="90"/>
      <c r="MYR1697" s="90"/>
      <c r="MYS1697" s="90"/>
      <c r="MYT1697" s="90"/>
      <c r="MYU1697" s="90"/>
      <c r="MYV1697" s="90"/>
      <c r="MYW1697" s="90"/>
      <c r="MYX1697" s="90"/>
      <c r="MYY1697" s="90"/>
      <c r="MYZ1697" s="90"/>
      <c r="MZA1697" s="90"/>
      <c r="MZB1697" s="90"/>
      <c r="MZC1697" s="90"/>
      <c r="MZD1697" s="90"/>
      <c r="MZE1697" s="90"/>
      <c r="MZF1697" s="90"/>
      <c r="MZG1697" s="90"/>
      <c r="MZH1697" s="90"/>
      <c r="MZI1697" s="90"/>
      <c r="MZJ1697" s="90"/>
      <c r="MZK1697" s="90"/>
      <c r="MZL1697" s="90"/>
      <c r="MZM1697" s="90"/>
      <c r="MZN1697" s="90"/>
      <c r="MZO1697" s="90"/>
      <c r="MZP1697" s="90"/>
      <c r="MZQ1697" s="90"/>
      <c r="MZR1697" s="90"/>
      <c r="MZS1697" s="90"/>
      <c r="MZT1697" s="90"/>
      <c r="MZU1697" s="90"/>
      <c r="MZV1697" s="90"/>
      <c r="MZW1697" s="90"/>
      <c r="MZX1697" s="90"/>
      <c r="MZY1697" s="90"/>
      <c r="MZZ1697" s="90"/>
      <c r="NAA1697" s="90"/>
      <c r="NAB1697" s="90"/>
      <c r="NAC1697" s="90"/>
      <c r="NAD1697" s="90"/>
      <c r="NAE1697" s="90"/>
      <c r="NAF1697" s="90"/>
      <c r="NAG1697" s="90"/>
      <c r="NAH1697" s="90"/>
      <c r="NAI1697" s="90"/>
      <c r="NAJ1697" s="90"/>
      <c r="NAK1697" s="90"/>
      <c r="NAL1697" s="90"/>
      <c r="NAM1697" s="90"/>
      <c r="NAN1697" s="90"/>
      <c r="NAO1697" s="90"/>
      <c r="NAP1697" s="90"/>
      <c r="NAQ1697" s="90"/>
      <c r="NAR1697" s="90"/>
      <c r="NAS1697" s="90"/>
      <c r="NAT1697" s="90"/>
      <c r="NAU1697" s="90"/>
      <c r="NAV1697" s="90"/>
      <c r="NAW1697" s="90"/>
      <c r="NAX1697" s="90"/>
      <c r="NAY1697" s="90"/>
      <c r="NAZ1697" s="90"/>
      <c r="NBA1697" s="90"/>
      <c r="NBB1697" s="90"/>
      <c r="NBC1697" s="90"/>
      <c r="NBD1697" s="90"/>
      <c r="NBE1697" s="90"/>
      <c r="NBF1697" s="90"/>
      <c r="NBG1697" s="90"/>
      <c r="NBH1697" s="90"/>
      <c r="NBI1697" s="90"/>
      <c r="NBJ1697" s="90"/>
      <c r="NBK1697" s="90"/>
      <c r="NBL1697" s="90"/>
      <c r="NBM1697" s="90"/>
      <c r="NBN1697" s="90"/>
      <c r="NBO1697" s="90"/>
      <c r="NBP1697" s="90"/>
      <c r="NBQ1697" s="90"/>
      <c r="NBR1697" s="90"/>
      <c r="NBS1697" s="90"/>
      <c r="NBT1697" s="90"/>
      <c r="NBU1697" s="90"/>
      <c r="NBV1697" s="90"/>
      <c r="NBW1697" s="90"/>
      <c r="NBX1697" s="90"/>
      <c r="NBY1697" s="90"/>
      <c r="NBZ1697" s="90"/>
      <c r="NCA1697" s="90"/>
      <c r="NCB1697" s="90"/>
      <c r="NCC1697" s="90"/>
      <c r="NCD1697" s="90"/>
      <c r="NCE1697" s="90"/>
      <c r="NCF1697" s="90"/>
      <c r="NCG1697" s="90"/>
      <c r="NCH1697" s="90"/>
      <c r="NCI1697" s="90"/>
      <c r="NCJ1697" s="90"/>
      <c r="NCK1697" s="90"/>
      <c r="NCL1697" s="90"/>
      <c r="NCM1697" s="90"/>
      <c r="NCN1697" s="90"/>
      <c r="NCO1697" s="90"/>
      <c r="NCP1697" s="90"/>
      <c r="NCQ1697" s="90"/>
      <c r="NCR1697" s="90"/>
      <c r="NCS1697" s="90"/>
      <c r="NCT1697" s="90"/>
      <c r="NCU1697" s="90"/>
      <c r="NCV1697" s="90"/>
      <c r="NCW1697" s="90"/>
      <c r="NCX1697" s="90"/>
      <c r="NCY1697" s="90"/>
      <c r="NCZ1697" s="90"/>
      <c r="NDA1697" s="90"/>
      <c r="NDB1697" s="90"/>
      <c r="NDC1697" s="90"/>
      <c r="NDD1697" s="90"/>
      <c r="NDE1697" s="90"/>
      <c r="NDF1697" s="90"/>
      <c r="NDG1697" s="90"/>
      <c r="NDH1697" s="90"/>
      <c r="NDI1697" s="90"/>
      <c r="NDJ1697" s="90"/>
      <c r="NDK1697" s="90"/>
      <c r="NDL1697" s="90"/>
      <c r="NDM1697" s="90"/>
      <c r="NDN1697" s="90"/>
      <c r="NDO1697" s="90"/>
      <c r="NDP1697" s="90"/>
      <c r="NDQ1697" s="90"/>
      <c r="NDR1697" s="90"/>
      <c r="NDS1697" s="90"/>
      <c r="NDT1697" s="90"/>
      <c r="NDU1697" s="90"/>
      <c r="NDV1697" s="90"/>
      <c r="NDW1697" s="90"/>
      <c r="NDX1697" s="90"/>
      <c r="NDY1697" s="90"/>
      <c r="NDZ1697" s="90"/>
      <c r="NEA1697" s="90"/>
      <c r="NEB1697" s="90"/>
      <c r="NEC1697" s="90"/>
      <c r="NED1697" s="90"/>
      <c r="NEE1697" s="90"/>
      <c r="NEF1697" s="90"/>
      <c r="NEG1697" s="90"/>
      <c r="NEH1697" s="90"/>
      <c r="NEI1697" s="90"/>
      <c r="NEJ1697" s="90"/>
      <c r="NEK1697" s="90"/>
      <c r="NEL1697" s="90"/>
      <c r="NEM1697" s="90"/>
      <c r="NEN1697" s="90"/>
      <c r="NEO1697" s="90"/>
      <c r="NEP1697" s="90"/>
      <c r="NEQ1697" s="90"/>
      <c r="NER1697" s="90"/>
      <c r="NES1697" s="90"/>
      <c r="NET1697" s="90"/>
      <c r="NEU1697" s="90"/>
      <c r="NEV1697" s="90"/>
      <c r="NEW1697" s="90"/>
      <c r="NEX1697" s="90"/>
      <c r="NEY1697" s="90"/>
      <c r="NEZ1697" s="90"/>
      <c r="NFA1697" s="90"/>
      <c r="NFB1697" s="90"/>
      <c r="NFC1697" s="90"/>
      <c r="NFD1697" s="90"/>
      <c r="NFE1697" s="90"/>
      <c r="NFF1697" s="90"/>
      <c r="NFG1697" s="90"/>
      <c r="NFH1697" s="90"/>
      <c r="NFI1697" s="90"/>
      <c r="NFJ1697" s="90"/>
      <c r="NFK1697" s="90"/>
      <c r="NFL1697" s="90"/>
      <c r="NFM1697" s="90"/>
      <c r="NFN1697" s="90"/>
      <c r="NFO1697" s="90"/>
      <c r="NFP1697" s="90"/>
      <c r="NFQ1697" s="90"/>
      <c r="NFR1697" s="90"/>
      <c r="NFS1697" s="90"/>
      <c r="NFT1697" s="90"/>
      <c r="NFU1697" s="90"/>
      <c r="NFV1697" s="90"/>
      <c r="NFW1697" s="90"/>
      <c r="NFX1697" s="90"/>
      <c r="NFY1697" s="90"/>
      <c r="NFZ1697" s="90"/>
      <c r="NGA1697" s="90"/>
      <c r="NGB1697" s="90"/>
      <c r="NGC1697" s="90"/>
      <c r="NGD1697" s="90"/>
      <c r="NGE1697" s="90"/>
      <c r="NGF1697" s="90"/>
      <c r="NGG1697" s="90"/>
      <c r="NGH1697" s="90"/>
      <c r="NGI1697" s="90"/>
      <c r="NGJ1697" s="90"/>
      <c r="NGK1697" s="90"/>
      <c r="NGL1697" s="90"/>
      <c r="NGM1697" s="90"/>
      <c r="NGN1697" s="90"/>
      <c r="NGO1697" s="90"/>
      <c r="NGP1697" s="90"/>
      <c r="NGQ1697" s="90"/>
      <c r="NGR1697" s="90"/>
      <c r="NGS1697" s="90"/>
      <c r="NGT1697" s="90"/>
      <c r="NGU1697" s="90"/>
      <c r="NGV1697" s="90"/>
      <c r="NGW1697" s="90"/>
      <c r="NGX1697" s="90"/>
      <c r="NGY1697" s="90"/>
      <c r="NGZ1697" s="90"/>
      <c r="NHA1697" s="90"/>
      <c r="NHB1697" s="90"/>
      <c r="NHC1697" s="90"/>
      <c r="NHD1697" s="90"/>
      <c r="NHE1697" s="90"/>
      <c r="NHF1697" s="90"/>
      <c r="NHG1697" s="90"/>
      <c r="NHH1697" s="90"/>
      <c r="NHI1697" s="90"/>
      <c r="NHJ1697" s="90"/>
      <c r="NHK1697" s="90"/>
      <c r="NHL1697" s="90"/>
      <c r="NHM1697" s="90"/>
      <c r="NHN1697" s="90"/>
      <c r="NHO1697" s="90"/>
      <c r="NHP1697" s="90"/>
      <c r="NHQ1697" s="90"/>
      <c r="NHR1697" s="90"/>
      <c r="NHS1697" s="90"/>
      <c r="NHT1697" s="90"/>
      <c r="NHU1697" s="90"/>
      <c r="NHV1697" s="90"/>
      <c r="NHW1697" s="90"/>
      <c r="NHX1697" s="90"/>
      <c r="NHY1697" s="90"/>
      <c r="NHZ1697" s="90"/>
      <c r="NIA1697" s="90"/>
      <c r="NIB1697" s="90"/>
      <c r="NIC1697" s="90"/>
      <c r="NID1697" s="90"/>
      <c r="NIE1697" s="90"/>
      <c r="NIF1697" s="90"/>
      <c r="NIG1697" s="90"/>
      <c r="NIH1697" s="90"/>
      <c r="NII1697" s="90"/>
      <c r="NIJ1697" s="90"/>
      <c r="NIK1697" s="90"/>
      <c r="NIL1697" s="90"/>
      <c r="NIM1697" s="90"/>
      <c r="NIN1697" s="90"/>
      <c r="NIO1697" s="90"/>
      <c r="NIP1697" s="90"/>
      <c r="NIQ1697" s="90"/>
      <c r="NIR1697" s="90"/>
      <c r="NIS1697" s="90"/>
      <c r="NIT1697" s="90"/>
      <c r="NIU1697" s="90"/>
      <c r="NIV1697" s="90"/>
      <c r="NIW1697" s="90"/>
      <c r="NIX1697" s="90"/>
      <c r="NIY1697" s="90"/>
      <c r="NIZ1697" s="90"/>
      <c r="NJA1697" s="90"/>
      <c r="NJB1697" s="90"/>
      <c r="NJC1697" s="90"/>
      <c r="NJD1697" s="90"/>
      <c r="NJE1697" s="90"/>
      <c r="NJF1697" s="90"/>
      <c r="NJG1697" s="90"/>
      <c r="NJH1697" s="90"/>
      <c r="NJI1697" s="90"/>
      <c r="NJJ1697" s="90"/>
      <c r="NJK1697" s="90"/>
      <c r="NJL1697" s="90"/>
      <c r="NJM1697" s="90"/>
      <c r="NJN1697" s="90"/>
      <c r="NJO1697" s="90"/>
      <c r="NJP1697" s="90"/>
      <c r="NJQ1697" s="90"/>
      <c r="NJR1697" s="90"/>
      <c r="NJS1697" s="90"/>
      <c r="NJT1697" s="90"/>
      <c r="NJU1697" s="90"/>
      <c r="NJV1697" s="90"/>
      <c r="NJW1697" s="90"/>
      <c r="NJX1697" s="90"/>
      <c r="NJY1697" s="90"/>
      <c r="NJZ1697" s="90"/>
      <c r="NKA1697" s="90"/>
      <c r="NKB1697" s="90"/>
      <c r="NKC1697" s="90"/>
      <c r="NKD1697" s="90"/>
      <c r="NKE1697" s="90"/>
      <c r="NKF1697" s="90"/>
      <c r="NKG1697" s="90"/>
      <c r="NKH1697" s="90"/>
      <c r="NKI1697" s="90"/>
      <c r="NKJ1697" s="90"/>
      <c r="NKK1697" s="90"/>
      <c r="NKL1697" s="90"/>
      <c r="NKM1697" s="90"/>
      <c r="NKN1697" s="90"/>
      <c r="NKO1697" s="90"/>
      <c r="NKP1697" s="90"/>
      <c r="NKQ1697" s="90"/>
      <c r="NKR1697" s="90"/>
      <c r="NKS1697" s="90"/>
      <c r="NKT1697" s="90"/>
      <c r="NKU1697" s="90"/>
      <c r="NKV1697" s="90"/>
      <c r="NKW1697" s="90"/>
      <c r="NKX1697" s="90"/>
      <c r="NKY1697" s="90"/>
      <c r="NKZ1697" s="90"/>
      <c r="NLA1697" s="90"/>
      <c r="NLB1697" s="90"/>
      <c r="NLC1697" s="90"/>
      <c r="NLD1697" s="90"/>
      <c r="NLE1697" s="90"/>
      <c r="NLF1697" s="90"/>
      <c r="NLG1697" s="90"/>
      <c r="NLH1697" s="90"/>
      <c r="NLI1697" s="90"/>
      <c r="NLJ1697" s="90"/>
      <c r="NLK1697" s="90"/>
      <c r="NLL1697" s="90"/>
      <c r="NLM1697" s="90"/>
      <c r="NLN1697" s="90"/>
      <c r="NLO1697" s="90"/>
      <c r="NLP1697" s="90"/>
      <c r="NLQ1697" s="90"/>
      <c r="NLR1697" s="90"/>
      <c r="NLS1697" s="90"/>
      <c r="NLT1697" s="90"/>
      <c r="NLU1697" s="90"/>
      <c r="NLV1697" s="90"/>
      <c r="NLW1697" s="90"/>
      <c r="NLX1697" s="90"/>
      <c r="NLY1697" s="90"/>
      <c r="NLZ1697" s="90"/>
      <c r="NMA1697" s="90"/>
      <c r="NMB1697" s="90"/>
      <c r="NMC1697" s="90"/>
      <c r="NMD1697" s="90"/>
      <c r="NME1697" s="90"/>
      <c r="NMF1697" s="90"/>
      <c r="NMG1697" s="90"/>
      <c r="NMH1697" s="90"/>
      <c r="NMI1697" s="90"/>
      <c r="NMJ1697" s="90"/>
      <c r="NMK1697" s="90"/>
      <c r="NML1697" s="90"/>
      <c r="NMM1697" s="90"/>
      <c r="NMN1697" s="90"/>
      <c r="NMO1697" s="90"/>
      <c r="NMP1697" s="90"/>
      <c r="NMQ1697" s="90"/>
      <c r="NMR1697" s="90"/>
      <c r="NMS1697" s="90"/>
      <c r="NMT1697" s="90"/>
      <c r="NMU1697" s="90"/>
      <c r="NMV1697" s="90"/>
      <c r="NMW1697" s="90"/>
      <c r="NMX1697" s="90"/>
      <c r="NMY1697" s="90"/>
      <c r="NMZ1697" s="90"/>
      <c r="NNA1697" s="90"/>
      <c r="NNB1697" s="90"/>
      <c r="NNC1697" s="90"/>
      <c r="NND1697" s="90"/>
      <c r="NNE1697" s="90"/>
      <c r="NNF1697" s="90"/>
      <c r="NNG1697" s="90"/>
      <c r="NNH1697" s="90"/>
      <c r="NNI1697" s="90"/>
      <c r="NNJ1697" s="90"/>
      <c r="NNK1697" s="90"/>
      <c r="NNL1697" s="90"/>
      <c r="NNM1697" s="90"/>
      <c r="NNN1697" s="90"/>
      <c r="NNO1697" s="90"/>
      <c r="NNP1697" s="90"/>
      <c r="NNQ1697" s="90"/>
      <c r="NNR1697" s="90"/>
      <c r="NNS1697" s="90"/>
      <c r="NNT1697" s="90"/>
      <c r="NNU1697" s="90"/>
      <c r="NNV1697" s="90"/>
      <c r="NNW1697" s="90"/>
      <c r="NNX1697" s="90"/>
      <c r="NNY1697" s="90"/>
      <c r="NNZ1697" s="90"/>
      <c r="NOA1697" s="90"/>
      <c r="NOB1697" s="90"/>
      <c r="NOC1697" s="90"/>
      <c r="NOD1697" s="90"/>
      <c r="NOE1697" s="90"/>
      <c r="NOF1697" s="90"/>
      <c r="NOG1697" s="90"/>
      <c r="NOH1697" s="90"/>
      <c r="NOI1697" s="90"/>
      <c r="NOJ1697" s="90"/>
      <c r="NOK1697" s="90"/>
      <c r="NOL1697" s="90"/>
      <c r="NOM1697" s="90"/>
      <c r="NON1697" s="90"/>
      <c r="NOO1697" s="90"/>
      <c r="NOP1697" s="90"/>
      <c r="NOQ1697" s="90"/>
      <c r="NOR1697" s="90"/>
      <c r="NOS1697" s="90"/>
      <c r="NOT1697" s="90"/>
      <c r="NOU1697" s="90"/>
      <c r="NOV1697" s="90"/>
      <c r="NOW1697" s="90"/>
      <c r="NOX1697" s="90"/>
      <c r="NOY1697" s="90"/>
      <c r="NOZ1697" s="90"/>
      <c r="NPA1697" s="90"/>
      <c r="NPB1697" s="90"/>
      <c r="NPC1697" s="90"/>
      <c r="NPD1697" s="90"/>
      <c r="NPE1697" s="90"/>
      <c r="NPF1697" s="90"/>
      <c r="NPG1697" s="90"/>
      <c r="NPH1697" s="90"/>
      <c r="NPI1697" s="90"/>
      <c r="NPJ1697" s="90"/>
      <c r="NPK1697" s="90"/>
      <c r="NPL1697" s="90"/>
      <c r="NPM1697" s="90"/>
      <c r="NPN1697" s="90"/>
      <c r="NPO1697" s="90"/>
      <c r="NPP1697" s="90"/>
      <c r="NPQ1697" s="90"/>
      <c r="NPR1697" s="90"/>
      <c r="NPS1697" s="90"/>
      <c r="NPT1697" s="90"/>
      <c r="NPU1697" s="90"/>
      <c r="NPV1697" s="90"/>
      <c r="NPW1697" s="90"/>
      <c r="NPX1697" s="90"/>
      <c r="NPY1697" s="90"/>
      <c r="NPZ1697" s="90"/>
      <c r="NQA1697" s="90"/>
      <c r="NQB1697" s="90"/>
      <c r="NQC1697" s="90"/>
      <c r="NQD1697" s="90"/>
      <c r="NQE1697" s="90"/>
      <c r="NQF1697" s="90"/>
      <c r="NQG1697" s="90"/>
      <c r="NQH1697" s="90"/>
      <c r="NQI1697" s="90"/>
      <c r="NQJ1697" s="90"/>
      <c r="NQK1697" s="90"/>
      <c r="NQL1697" s="90"/>
      <c r="NQM1697" s="90"/>
      <c r="NQN1697" s="90"/>
      <c r="NQO1697" s="90"/>
      <c r="NQP1697" s="90"/>
      <c r="NQQ1697" s="90"/>
      <c r="NQR1697" s="90"/>
      <c r="NQS1697" s="90"/>
      <c r="NQT1697" s="90"/>
      <c r="NQU1697" s="90"/>
      <c r="NQV1697" s="90"/>
      <c r="NQW1697" s="90"/>
      <c r="NQX1697" s="90"/>
      <c r="NQY1697" s="90"/>
      <c r="NQZ1697" s="90"/>
      <c r="NRA1697" s="90"/>
      <c r="NRB1697" s="90"/>
      <c r="NRC1697" s="90"/>
      <c r="NRD1697" s="90"/>
      <c r="NRE1697" s="90"/>
      <c r="NRF1697" s="90"/>
      <c r="NRG1697" s="90"/>
      <c r="NRH1697" s="90"/>
      <c r="NRI1697" s="90"/>
      <c r="NRJ1697" s="90"/>
      <c r="NRK1697" s="90"/>
      <c r="NRL1697" s="90"/>
      <c r="NRM1697" s="90"/>
      <c r="NRN1697" s="90"/>
      <c r="NRO1697" s="90"/>
      <c r="NRP1697" s="90"/>
      <c r="NRQ1697" s="90"/>
      <c r="NRR1697" s="90"/>
      <c r="NRS1697" s="90"/>
      <c r="NRT1697" s="90"/>
      <c r="NRU1697" s="90"/>
      <c r="NRV1697" s="90"/>
      <c r="NRW1697" s="90"/>
      <c r="NRX1697" s="90"/>
      <c r="NRY1697" s="90"/>
      <c r="NRZ1697" s="90"/>
      <c r="NSA1697" s="90"/>
      <c r="NSB1697" s="90"/>
      <c r="NSC1697" s="90"/>
      <c r="NSD1697" s="90"/>
      <c r="NSE1697" s="90"/>
      <c r="NSF1697" s="90"/>
      <c r="NSG1697" s="90"/>
      <c r="NSH1697" s="90"/>
      <c r="NSI1697" s="90"/>
      <c r="NSJ1697" s="90"/>
      <c r="NSK1697" s="90"/>
      <c r="NSL1697" s="90"/>
      <c r="NSM1697" s="90"/>
      <c r="NSN1697" s="90"/>
      <c r="NSO1697" s="90"/>
      <c r="NSP1697" s="90"/>
      <c r="NSQ1697" s="90"/>
      <c r="NSR1697" s="90"/>
      <c r="NSS1697" s="90"/>
      <c r="NST1697" s="90"/>
      <c r="NSU1697" s="90"/>
      <c r="NSV1697" s="90"/>
      <c r="NSW1697" s="90"/>
      <c r="NSX1697" s="90"/>
      <c r="NSY1697" s="90"/>
      <c r="NSZ1697" s="90"/>
      <c r="NTA1697" s="90"/>
      <c r="NTB1697" s="90"/>
      <c r="NTC1697" s="90"/>
      <c r="NTD1697" s="90"/>
      <c r="NTE1697" s="90"/>
      <c r="NTF1697" s="90"/>
      <c r="NTG1697" s="90"/>
      <c r="NTH1697" s="90"/>
      <c r="NTI1697" s="90"/>
      <c r="NTJ1697" s="90"/>
      <c r="NTK1697" s="90"/>
      <c r="NTL1697" s="90"/>
      <c r="NTM1697" s="90"/>
      <c r="NTN1697" s="90"/>
      <c r="NTO1697" s="90"/>
      <c r="NTP1697" s="90"/>
      <c r="NTQ1697" s="90"/>
      <c r="NTR1697" s="90"/>
      <c r="NTS1697" s="90"/>
      <c r="NTT1697" s="90"/>
      <c r="NTU1697" s="90"/>
      <c r="NTV1697" s="90"/>
      <c r="NTW1697" s="90"/>
      <c r="NTX1697" s="90"/>
      <c r="NTY1697" s="90"/>
      <c r="NTZ1697" s="90"/>
      <c r="NUA1697" s="90"/>
      <c r="NUB1697" s="90"/>
      <c r="NUC1697" s="90"/>
      <c r="NUD1697" s="90"/>
      <c r="NUE1697" s="90"/>
      <c r="NUF1697" s="90"/>
      <c r="NUG1697" s="90"/>
      <c r="NUH1697" s="90"/>
      <c r="NUI1697" s="90"/>
      <c r="NUJ1697" s="90"/>
      <c r="NUK1697" s="90"/>
      <c r="NUL1697" s="90"/>
      <c r="NUM1697" s="90"/>
      <c r="NUN1697" s="90"/>
      <c r="NUO1697" s="90"/>
      <c r="NUP1697" s="90"/>
      <c r="NUQ1697" s="90"/>
      <c r="NUR1697" s="90"/>
      <c r="NUS1697" s="90"/>
      <c r="NUT1697" s="90"/>
      <c r="NUU1697" s="90"/>
      <c r="NUV1697" s="90"/>
      <c r="NUW1697" s="90"/>
      <c r="NUX1697" s="90"/>
      <c r="NUY1697" s="90"/>
      <c r="NUZ1697" s="90"/>
      <c r="NVA1697" s="90"/>
      <c r="NVB1697" s="90"/>
      <c r="NVC1697" s="90"/>
      <c r="NVD1697" s="90"/>
      <c r="NVE1697" s="90"/>
      <c r="NVF1697" s="90"/>
      <c r="NVG1697" s="90"/>
      <c r="NVH1697" s="90"/>
      <c r="NVI1697" s="90"/>
      <c r="NVJ1697" s="90"/>
      <c r="NVK1697" s="90"/>
      <c r="NVL1697" s="90"/>
      <c r="NVM1697" s="90"/>
      <c r="NVN1697" s="90"/>
      <c r="NVO1697" s="90"/>
      <c r="NVP1697" s="90"/>
      <c r="NVQ1697" s="90"/>
      <c r="NVR1697" s="90"/>
      <c r="NVS1697" s="90"/>
      <c r="NVT1697" s="90"/>
      <c r="NVU1697" s="90"/>
      <c r="NVV1697" s="90"/>
      <c r="NVW1697" s="90"/>
      <c r="NVX1697" s="90"/>
      <c r="NVY1697" s="90"/>
      <c r="NVZ1697" s="90"/>
      <c r="NWA1697" s="90"/>
      <c r="NWB1697" s="90"/>
      <c r="NWC1697" s="90"/>
      <c r="NWD1697" s="90"/>
      <c r="NWE1697" s="90"/>
      <c r="NWF1697" s="90"/>
      <c r="NWG1697" s="90"/>
      <c r="NWH1697" s="90"/>
      <c r="NWI1697" s="90"/>
      <c r="NWJ1697" s="90"/>
      <c r="NWK1697" s="90"/>
      <c r="NWL1697" s="90"/>
      <c r="NWM1697" s="90"/>
      <c r="NWN1697" s="90"/>
      <c r="NWO1697" s="90"/>
      <c r="NWP1697" s="90"/>
      <c r="NWQ1697" s="90"/>
      <c r="NWR1697" s="90"/>
      <c r="NWS1697" s="90"/>
      <c r="NWT1697" s="90"/>
      <c r="NWU1697" s="90"/>
      <c r="NWV1697" s="90"/>
      <c r="NWW1697" s="90"/>
      <c r="NWX1697" s="90"/>
      <c r="NWY1697" s="90"/>
      <c r="NWZ1697" s="90"/>
      <c r="NXA1697" s="90"/>
      <c r="NXB1697" s="90"/>
      <c r="NXC1697" s="90"/>
      <c r="NXD1697" s="90"/>
      <c r="NXE1697" s="90"/>
      <c r="NXF1697" s="90"/>
      <c r="NXG1697" s="90"/>
      <c r="NXH1697" s="90"/>
      <c r="NXI1697" s="90"/>
      <c r="NXJ1697" s="90"/>
      <c r="NXK1697" s="90"/>
      <c r="NXL1697" s="90"/>
      <c r="NXM1697" s="90"/>
      <c r="NXN1697" s="90"/>
      <c r="NXO1697" s="90"/>
      <c r="NXP1697" s="90"/>
      <c r="NXQ1697" s="90"/>
      <c r="NXR1697" s="90"/>
      <c r="NXS1697" s="90"/>
      <c r="NXT1697" s="90"/>
      <c r="NXU1697" s="90"/>
      <c r="NXV1697" s="90"/>
      <c r="NXW1697" s="90"/>
      <c r="NXX1697" s="90"/>
      <c r="NXY1697" s="90"/>
      <c r="NXZ1697" s="90"/>
      <c r="NYA1697" s="90"/>
      <c r="NYB1697" s="90"/>
      <c r="NYC1697" s="90"/>
      <c r="NYD1697" s="90"/>
      <c r="NYE1697" s="90"/>
      <c r="NYF1697" s="90"/>
      <c r="NYG1697" s="90"/>
      <c r="NYH1697" s="90"/>
      <c r="NYI1697" s="90"/>
      <c r="NYJ1697" s="90"/>
      <c r="NYK1697" s="90"/>
      <c r="NYL1697" s="90"/>
      <c r="NYM1697" s="90"/>
      <c r="NYN1697" s="90"/>
      <c r="NYO1697" s="90"/>
      <c r="NYP1697" s="90"/>
      <c r="NYQ1697" s="90"/>
      <c r="NYR1697" s="90"/>
      <c r="NYS1697" s="90"/>
      <c r="NYT1697" s="90"/>
      <c r="NYU1697" s="90"/>
      <c r="NYV1697" s="90"/>
      <c r="NYW1697" s="90"/>
      <c r="NYX1697" s="90"/>
      <c r="NYY1697" s="90"/>
      <c r="NYZ1697" s="90"/>
      <c r="NZA1697" s="90"/>
      <c r="NZB1697" s="90"/>
      <c r="NZC1697" s="90"/>
      <c r="NZD1697" s="90"/>
      <c r="NZE1697" s="90"/>
      <c r="NZF1697" s="90"/>
      <c r="NZG1697" s="90"/>
      <c r="NZH1697" s="90"/>
      <c r="NZI1697" s="90"/>
      <c r="NZJ1697" s="90"/>
      <c r="NZK1697" s="90"/>
      <c r="NZL1697" s="90"/>
      <c r="NZM1697" s="90"/>
      <c r="NZN1697" s="90"/>
      <c r="NZO1697" s="90"/>
      <c r="NZP1697" s="90"/>
      <c r="NZQ1697" s="90"/>
      <c r="NZR1697" s="90"/>
      <c r="NZS1697" s="90"/>
      <c r="NZT1697" s="90"/>
      <c r="NZU1697" s="90"/>
      <c r="NZV1697" s="90"/>
      <c r="NZW1697" s="90"/>
      <c r="NZX1697" s="90"/>
      <c r="NZY1697" s="90"/>
      <c r="NZZ1697" s="90"/>
      <c r="OAA1697" s="90"/>
      <c r="OAB1697" s="90"/>
      <c r="OAC1697" s="90"/>
      <c r="OAD1697" s="90"/>
      <c r="OAE1697" s="90"/>
      <c r="OAF1697" s="90"/>
      <c r="OAG1697" s="90"/>
      <c r="OAH1697" s="90"/>
      <c r="OAI1697" s="90"/>
      <c r="OAJ1697" s="90"/>
      <c r="OAK1697" s="90"/>
      <c r="OAL1697" s="90"/>
      <c r="OAM1697" s="90"/>
      <c r="OAN1697" s="90"/>
      <c r="OAO1697" s="90"/>
      <c r="OAP1697" s="90"/>
      <c r="OAQ1697" s="90"/>
      <c r="OAR1697" s="90"/>
      <c r="OAS1697" s="90"/>
      <c r="OAT1697" s="90"/>
      <c r="OAU1697" s="90"/>
      <c r="OAV1697" s="90"/>
      <c r="OAW1697" s="90"/>
      <c r="OAX1697" s="90"/>
      <c r="OAY1697" s="90"/>
      <c r="OAZ1697" s="90"/>
      <c r="OBA1697" s="90"/>
      <c r="OBB1697" s="90"/>
      <c r="OBC1697" s="90"/>
      <c r="OBD1697" s="90"/>
      <c r="OBE1697" s="90"/>
      <c r="OBF1697" s="90"/>
      <c r="OBG1697" s="90"/>
      <c r="OBH1697" s="90"/>
      <c r="OBI1697" s="90"/>
      <c r="OBJ1697" s="90"/>
      <c r="OBK1697" s="90"/>
      <c r="OBL1697" s="90"/>
      <c r="OBM1697" s="90"/>
      <c r="OBN1697" s="90"/>
      <c r="OBO1697" s="90"/>
      <c r="OBP1697" s="90"/>
      <c r="OBQ1697" s="90"/>
      <c r="OBR1697" s="90"/>
      <c r="OBS1697" s="90"/>
      <c r="OBT1697" s="90"/>
      <c r="OBU1697" s="90"/>
      <c r="OBV1697" s="90"/>
      <c r="OBW1697" s="90"/>
      <c r="OBX1697" s="90"/>
      <c r="OBY1697" s="90"/>
      <c r="OBZ1697" s="90"/>
      <c r="OCA1697" s="90"/>
      <c r="OCB1697" s="90"/>
      <c r="OCC1697" s="90"/>
      <c r="OCD1697" s="90"/>
      <c r="OCE1697" s="90"/>
      <c r="OCF1697" s="90"/>
      <c r="OCG1697" s="90"/>
      <c r="OCH1697" s="90"/>
      <c r="OCI1697" s="90"/>
      <c r="OCJ1697" s="90"/>
      <c r="OCK1697" s="90"/>
      <c r="OCL1697" s="90"/>
      <c r="OCM1697" s="90"/>
      <c r="OCN1697" s="90"/>
      <c r="OCO1697" s="90"/>
      <c r="OCP1697" s="90"/>
      <c r="OCQ1697" s="90"/>
      <c r="OCR1697" s="90"/>
      <c r="OCS1697" s="90"/>
      <c r="OCT1697" s="90"/>
      <c r="OCU1697" s="90"/>
      <c r="OCV1697" s="90"/>
      <c r="OCW1697" s="90"/>
      <c r="OCX1697" s="90"/>
      <c r="OCY1697" s="90"/>
      <c r="OCZ1697" s="90"/>
      <c r="ODA1697" s="90"/>
      <c r="ODB1697" s="90"/>
      <c r="ODC1697" s="90"/>
      <c r="ODD1697" s="90"/>
      <c r="ODE1697" s="90"/>
      <c r="ODF1697" s="90"/>
      <c r="ODG1697" s="90"/>
      <c r="ODH1697" s="90"/>
      <c r="ODI1697" s="90"/>
      <c r="ODJ1697" s="90"/>
      <c r="ODK1697" s="90"/>
      <c r="ODL1697" s="90"/>
      <c r="ODM1697" s="90"/>
      <c r="ODN1697" s="90"/>
      <c r="ODO1697" s="90"/>
      <c r="ODP1697" s="90"/>
      <c r="ODQ1697" s="90"/>
      <c r="ODR1697" s="90"/>
      <c r="ODS1697" s="90"/>
      <c r="ODT1697" s="90"/>
      <c r="ODU1697" s="90"/>
      <c r="ODV1697" s="90"/>
      <c r="ODW1697" s="90"/>
      <c r="ODX1697" s="90"/>
      <c r="ODY1697" s="90"/>
      <c r="ODZ1697" s="90"/>
      <c r="OEA1697" s="90"/>
      <c r="OEB1697" s="90"/>
      <c r="OEC1697" s="90"/>
      <c r="OED1697" s="90"/>
      <c r="OEE1697" s="90"/>
      <c r="OEF1697" s="90"/>
      <c r="OEG1697" s="90"/>
      <c r="OEH1697" s="90"/>
      <c r="OEI1697" s="90"/>
      <c r="OEJ1697" s="90"/>
      <c r="OEK1697" s="90"/>
      <c r="OEL1697" s="90"/>
      <c r="OEM1697" s="90"/>
      <c r="OEN1697" s="90"/>
      <c r="OEO1697" s="90"/>
      <c r="OEP1697" s="90"/>
      <c r="OEQ1697" s="90"/>
      <c r="OER1697" s="90"/>
      <c r="OES1697" s="90"/>
      <c r="OET1697" s="90"/>
      <c r="OEU1697" s="90"/>
      <c r="OEV1697" s="90"/>
      <c r="OEW1697" s="90"/>
      <c r="OEX1697" s="90"/>
      <c r="OEY1697" s="90"/>
      <c r="OEZ1697" s="90"/>
      <c r="OFA1697" s="90"/>
      <c r="OFB1697" s="90"/>
      <c r="OFC1697" s="90"/>
      <c r="OFD1697" s="90"/>
      <c r="OFE1697" s="90"/>
      <c r="OFF1697" s="90"/>
      <c r="OFG1697" s="90"/>
      <c r="OFH1697" s="90"/>
      <c r="OFI1697" s="90"/>
      <c r="OFJ1697" s="90"/>
      <c r="OFK1697" s="90"/>
      <c r="OFL1697" s="90"/>
      <c r="OFM1697" s="90"/>
      <c r="OFN1697" s="90"/>
      <c r="OFO1697" s="90"/>
      <c r="OFP1697" s="90"/>
      <c r="OFQ1697" s="90"/>
      <c r="OFR1697" s="90"/>
      <c r="OFS1697" s="90"/>
      <c r="OFT1697" s="90"/>
      <c r="OFU1697" s="90"/>
      <c r="OFV1697" s="90"/>
      <c r="OFW1697" s="90"/>
      <c r="OFX1697" s="90"/>
      <c r="OFY1697" s="90"/>
      <c r="OFZ1697" s="90"/>
      <c r="OGA1697" s="90"/>
      <c r="OGB1697" s="90"/>
      <c r="OGC1697" s="90"/>
      <c r="OGD1697" s="90"/>
      <c r="OGE1697" s="90"/>
      <c r="OGF1697" s="90"/>
      <c r="OGG1697" s="90"/>
      <c r="OGH1697" s="90"/>
      <c r="OGI1697" s="90"/>
      <c r="OGJ1697" s="90"/>
      <c r="OGK1697" s="90"/>
      <c r="OGL1697" s="90"/>
      <c r="OGM1697" s="90"/>
      <c r="OGN1697" s="90"/>
      <c r="OGO1697" s="90"/>
      <c r="OGP1697" s="90"/>
      <c r="OGQ1697" s="90"/>
      <c r="OGR1697" s="90"/>
      <c r="OGS1697" s="90"/>
      <c r="OGT1697" s="90"/>
      <c r="OGU1697" s="90"/>
      <c r="OGV1697" s="90"/>
      <c r="OGW1697" s="90"/>
      <c r="OGX1697" s="90"/>
      <c r="OGY1697" s="90"/>
      <c r="OGZ1697" s="90"/>
      <c r="OHA1697" s="90"/>
      <c r="OHB1697" s="90"/>
      <c r="OHC1697" s="90"/>
      <c r="OHD1697" s="90"/>
      <c r="OHE1697" s="90"/>
      <c r="OHF1697" s="90"/>
      <c r="OHG1697" s="90"/>
      <c r="OHH1697" s="90"/>
      <c r="OHI1697" s="90"/>
      <c r="OHJ1697" s="90"/>
      <c r="OHK1697" s="90"/>
      <c r="OHL1697" s="90"/>
      <c r="OHM1697" s="90"/>
      <c r="OHN1697" s="90"/>
      <c r="OHO1697" s="90"/>
      <c r="OHP1697" s="90"/>
      <c r="OHQ1697" s="90"/>
      <c r="OHR1697" s="90"/>
      <c r="OHS1697" s="90"/>
      <c r="OHT1697" s="90"/>
      <c r="OHU1697" s="90"/>
      <c r="OHV1697" s="90"/>
      <c r="OHW1697" s="90"/>
      <c r="OHX1697" s="90"/>
      <c r="OHY1697" s="90"/>
      <c r="OHZ1697" s="90"/>
      <c r="OIA1697" s="90"/>
      <c r="OIB1697" s="90"/>
      <c r="OIC1697" s="90"/>
      <c r="OID1697" s="90"/>
      <c r="OIE1697" s="90"/>
      <c r="OIF1697" s="90"/>
      <c r="OIG1697" s="90"/>
      <c r="OIH1697" s="90"/>
      <c r="OII1697" s="90"/>
      <c r="OIJ1697" s="90"/>
      <c r="OIK1697" s="90"/>
      <c r="OIL1697" s="90"/>
      <c r="OIM1697" s="90"/>
      <c r="OIN1697" s="90"/>
      <c r="OIO1697" s="90"/>
      <c r="OIP1697" s="90"/>
      <c r="OIQ1697" s="90"/>
      <c r="OIR1697" s="90"/>
      <c r="OIS1697" s="90"/>
      <c r="OIT1697" s="90"/>
      <c r="OIU1697" s="90"/>
      <c r="OIV1697" s="90"/>
      <c r="OIW1697" s="90"/>
      <c r="OIX1697" s="90"/>
      <c r="OIY1697" s="90"/>
      <c r="OIZ1697" s="90"/>
      <c r="OJA1697" s="90"/>
      <c r="OJB1697" s="90"/>
      <c r="OJC1697" s="90"/>
      <c r="OJD1697" s="90"/>
      <c r="OJE1697" s="90"/>
      <c r="OJF1697" s="90"/>
      <c r="OJG1697" s="90"/>
      <c r="OJH1697" s="90"/>
      <c r="OJI1697" s="90"/>
      <c r="OJJ1697" s="90"/>
      <c r="OJK1697" s="90"/>
      <c r="OJL1697" s="90"/>
      <c r="OJM1697" s="90"/>
      <c r="OJN1697" s="90"/>
      <c r="OJO1697" s="90"/>
      <c r="OJP1697" s="90"/>
      <c r="OJQ1697" s="90"/>
      <c r="OJR1697" s="90"/>
      <c r="OJS1697" s="90"/>
      <c r="OJT1697" s="90"/>
      <c r="OJU1697" s="90"/>
      <c r="OJV1697" s="90"/>
      <c r="OJW1697" s="90"/>
      <c r="OJX1697" s="90"/>
      <c r="OJY1697" s="90"/>
      <c r="OJZ1697" s="90"/>
      <c r="OKA1697" s="90"/>
      <c r="OKB1697" s="90"/>
      <c r="OKC1697" s="90"/>
      <c r="OKD1697" s="90"/>
      <c r="OKE1697" s="90"/>
      <c r="OKF1697" s="90"/>
      <c r="OKG1697" s="90"/>
      <c r="OKH1697" s="90"/>
      <c r="OKI1697" s="90"/>
      <c r="OKJ1697" s="90"/>
      <c r="OKK1697" s="90"/>
      <c r="OKL1697" s="90"/>
      <c r="OKM1697" s="90"/>
      <c r="OKN1697" s="90"/>
      <c r="OKO1697" s="90"/>
      <c r="OKP1697" s="90"/>
      <c r="OKQ1697" s="90"/>
      <c r="OKR1697" s="90"/>
      <c r="OKS1697" s="90"/>
      <c r="OKT1697" s="90"/>
      <c r="OKU1697" s="90"/>
      <c r="OKV1697" s="90"/>
      <c r="OKW1697" s="90"/>
      <c r="OKX1697" s="90"/>
      <c r="OKY1697" s="90"/>
      <c r="OKZ1697" s="90"/>
      <c r="OLA1697" s="90"/>
      <c r="OLB1697" s="90"/>
      <c r="OLC1697" s="90"/>
      <c r="OLD1697" s="90"/>
      <c r="OLE1697" s="90"/>
      <c r="OLF1697" s="90"/>
      <c r="OLG1697" s="90"/>
      <c r="OLH1697" s="90"/>
      <c r="OLI1697" s="90"/>
      <c r="OLJ1697" s="90"/>
      <c r="OLK1697" s="90"/>
      <c r="OLL1697" s="90"/>
      <c r="OLM1697" s="90"/>
      <c r="OLN1697" s="90"/>
      <c r="OLO1697" s="90"/>
      <c r="OLP1697" s="90"/>
      <c r="OLQ1697" s="90"/>
      <c r="OLR1697" s="90"/>
      <c r="OLS1697" s="90"/>
      <c r="OLT1697" s="90"/>
      <c r="OLU1697" s="90"/>
      <c r="OLV1697" s="90"/>
      <c r="OLW1697" s="90"/>
      <c r="OLX1697" s="90"/>
      <c r="OLY1697" s="90"/>
      <c r="OLZ1697" s="90"/>
      <c r="OMA1697" s="90"/>
      <c r="OMB1697" s="90"/>
      <c r="OMC1697" s="90"/>
      <c r="OMD1697" s="90"/>
      <c r="OME1697" s="90"/>
      <c r="OMF1697" s="90"/>
      <c r="OMG1697" s="90"/>
      <c r="OMH1697" s="90"/>
      <c r="OMI1697" s="90"/>
      <c r="OMJ1697" s="90"/>
      <c r="OMK1697" s="90"/>
      <c r="OML1697" s="90"/>
      <c r="OMM1697" s="90"/>
      <c r="OMN1697" s="90"/>
      <c r="OMO1697" s="90"/>
      <c r="OMP1697" s="90"/>
      <c r="OMQ1697" s="90"/>
      <c r="OMR1697" s="90"/>
      <c r="OMS1697" s="90"/>
      <c r="OMT1697" s="90"/>
      <c r="OMU1697" s="90"/>
      <c r="OMV1697" s="90"/>
      <c r="OMW1697" s="90"/>
      <c r="OMX1697" s="90"/>
      <c r="OMY1697" s="90"/>
      <c r="OMZ1697" s="90"/>
      <c r="ONA1697" s="90"/>
      <c r="ONB1697" s="90"/>
      <c r="ONC1697" s="90"/>
      <c r="OND1697" s="90"/>
      <c r="ONE1697" s="90"/>
      <c r="ONF1697" s="90"/>
      <c r="ONG1697" s="90"/>
      <c r="ONH1697" s="90"/>
      <c r="ONI1697" s="90"/>
      <c r="ONJ1697" s="90"/>
      <c r="ONK1697" s="90"/>
      <c r="ONL1697" s="90"/>
      <c r="ONM1697" s="90"/>
      <c r="ONN1697" s="90"/>
      <c r="ONO1697" s="90"/>
      <c r="ONP1697" s="90"/>
      <c r="ONQ1697" s="90"/>
      <c r="ONR1697" s="90"/>
      <c r="ONS1697" s="90"/>
      <c r="ONT1697" s="90"/>
      <c r="ONU1697" s="90"/>
      <c r="ONV1697" s="90"/>
      <c r="ONW1697" s="90"/>
      <c r="ONX1697" s="90"/>
      <c r="ONY1697" s="90"/>
      <c r="ONZ1697" s="90"/>
      <c r="OOA1697" s="90"/>
      <c r="OOB1697" s="90"/>
      <c r="OOC1697" s="90"/>
      <c r="OOD1697" s="90"/>
      <c r="OOE1697" s="90"/>
      <c r="OOF1697" s="90"/>
      <c r="OOG1697" s="90"/>
      <c r="OOH1697" s="90"/>
      <c r="OOI1697" s="90"/>
      <c r="OOJ1697" s="90"/>
      <c r="OOK1697" s="90"/>
      <c r="OOL1697" s="90"/>
      <c r="OOM1697" s="90"/>
      <c r="OON1697" s="90"/>
      <c r="OOO1697" s="90"/>
      <c r="OOP1697" s="90"/>
      <c r="OOQ1697" s="90"/>
      <c r="OOR1697" s="90"/>
      <c r="OOS1697" s="90"/>
      <c r="OOT1697" s="90"/>
      <c r="OOU1697" s="90"/>
      <c r="OOV1697" s="90"/>
      <c r="OOW1697" s="90"/>
      <c r="OOX1697" s="90"/>
      <c r="OOY1697" s="90"/>
      <c r="OOZ1697" s="90"/>
      <c r="OPA1697" s="90"/>
      <c r="OPB1697" s="90"/>
      <c r="OPC1697" s="90"/>
      <c r="OPD1697" s="90"/>
      <c r="OPE1697" s="90"/>
      <c r="OPF1697" s="90"/>
      <c r="OPG1697" s="90"/>
      <c r="OPH1697" s="90"/>
      <c r="OPI1697" s="90"/>
      <c r="OPJ1697" s="90"/>
      <c r="OPK1697" s="90"/>
      <c r="OPL1697" s="90"/>
      <c r="OPM1697" s="90"/>
      <c r="OPN1697" s="90"/>
      <c r="OPO1697" s="90"/>
      <c r="OPP1697" s="90"/>
      <c r="OPQ1697" s="90"/>
      <c r="OPR1697" s="90"/>
      <c r="OPS1697" s="90"/>
      <c r="OPT1697" s="90"/>
      <c r="OPU1697" s="90"/>
      <c r="OPV1697" s="90"/>
      <c r="OPW1697" s="90"/>
      <c r="OPX1697" s="90"/>
      <c r="OPY1697" s="90"/>
      <c r="OPZ1697" s="90"/>
      <c r="OQA1697" s="90"/>
      <c r="OQB1697" s="90"/>
      <c r="OQC1697" s="90"/>
      <c r="OQD1697" s="90"/>
      <c r="OQE1697" s="90"/>
      <c r="OQF1697" s="90"/>
      <c r="OQG1697" s="90"/>
      <c r="OQH1697" s="90"/>
      <c r="OQI1697" s="90"/>
      <c r="OQJ1697" s="90"/>
      <c r="OQK1697" s="90"/>
      <c r="OQL1697" s="90"/>
      <c r="OQM1697" s="90"/>
      <c r="OQN1697" s="90"/>
      <c r="OQO1697" s="90"/>
      <c r="OQP1697" s="90"/>
      <c r="OQQ1697" s="90"/>
      <c r="OQR1697" s="90"/>
      <c r="OQS1697" s="90"/>
      <c r="OQT1697" s="90"/>
      <c r="OQU1697" s="90"/>
      <c r="OQV1697" s="90"/>
      <c r="OQW1697" s="90"/>
      <c r="OQX1697" s="90"/>
      <c r="OQY1697" s="90"/>
      <c r="OQZ1697" s="90"/>
      <c r="ORA1697" s="90"/>
      <c r="ORB1697" s="90"/>
      <c r="ORC1697" s="90"/>
      <c r="ORD1697" s="90"/>
      <c r="ORE1697" s="90"/>
      <c r="ORF1697" s="90"/>
      <c r="ORG1697" s="90"/>
      <c r="ORH1697" s="90"/>
      <c r="ORI1697" s="90"/>
      <c r="ORJ1697" s="90"/>
      <c r="ORK1697" s="90"/>
      <c r="ORL1697" s="90"/>
      <c r="ORM1697" s="90"/>
      <c r="ORN1697" s="90"/>
      <c r="ORO1697" s="90"/>
      <c r="ORP1697" s="90"/>
      <c r="ORQ1697" s="90"/>
      <c r="ORR1697" s="90"/>
      <c r="ORS1697" s="90"/>
      <c r="ORT1697" s="90"/>
      <c r="ORU1697" s="90"/>
      <c r="ORV1697" s="90"/>
      <c r="ORW1697" s="90"/>
      <c r="ORX1697" s="90"/>
      <c r="ORY1697" s="90"/>
      <c r="ORZ1697" s="90"/>
      <c r="OSA1697" s="90"/>
      <c r="OSB1697" s="90"/>
      <c r="OSC1697" s="90"/>
      <c r="OSD1697" s="90"/>
      <c r="OSE1697" s="90"/>
      <c r="OSF1697" s="90"/>
      <c r="OSG1697" s="90"/>
      <c r="OSH1697" s="90"/>
      <c r="OSI1697" s="90"/>
      <c r="OSJ1697" s="90"/>
      <c r="OSK1697" s="90"/>
      <c r="OSL1697" s="90"/>
      <c r="OSM1697" s="90"/>
      <c r="OSN1697" s="90"/>
      <c r="OSO1697" s="90"/>
      <c r="OSP1697" s="90"/>
      <c r="OSQ1697" s="90"/>
      <c r="OSR1697" s="90"/>
      <c r="OSS1697" s="90"/>
      <c r="OST1697" s="90"/>
      <c r="OSU1697" s="90"/>
      <c r="OSV1697" s="90"/>
      <c r="OSW1697" s="90"/>
      <c r="OSX1697" s="90"/>
      <c r="OSY1697" s="90"/>
      <c r="OSZ1697" s="90"/>
      <c r="OTA1697" s="90"/>
      <c r="OTB1697" s="90"/>
      <c r="OTC1697" s="90"/>
      <c r="OTD1697" s="90"/>
      <c r="OTE1697" s="90"/>
      <c r="OTF1697" s="90"/>
      <c r="OTG1697" s="90"/>
      <c r="OTH1697" s="90"/>
      <c r="OTI1697" s="90"/>
      <c r="OTJ1697" s="90"/>
      <c r="OTK1697" s="90"/>
      <c r="OTL1697" s="90"/>
      <c r="OTM1697" s="90"/>
      <c r="OTN1697" s="90"/>
      <c r="OTO1697" s="90"/>
      <c r="OTP1697" s="90"/>
      <c r="OTQ1697" s="90"/>
      <c r="OTR1697" s="90"/>
      <c r="OTS1697" s="90"/>
      <c r="OTT1697" s="90"/>
      <c r="OTU1697" s="90"/>
      <c r="OTV1697" s="90"/>
      <c r="OTW1697" s="90"/>
      <c r="OTX1697" s="90"/>
      <c r="OTY1697" s="90"/>
      <c r="OTZ1697" s="90"/>
      <c r="OUA1697" s="90"/>
      <c r="OUB1697" s="90"/>
      <c r="OUC1697" s="90"/>
      <c r="OUD1697" s="90"/>
      <c r="OUE1697" s="90"/>
      <c r="OUF1697" s="90"/>
      <c r="OUG1697" s="90"/>
      <c r="OUH1697" s="90"/>
      <c r="OUI1697" s="90"/>
      <c r="OUJ1697" s="90"/>
      <c r="OUK1697" s="90"/>
      <c r="OUL1697" s="90"/>
      <c r="OUM1697" s="90"/>
      <c r="OUN1697" s="90"/>
      <c r="OUO1697" s="90"/>
      <c r="OUP1697" s="90"/>
      <c r="OUQ1697" s="90"/>
      <c r="OUR1697" s="90"/>
      <c r="OUS1697" s="90"/>
      <c r="OUT1697" s="90"/>
      <c r="OUU1697" s="90"/>
      <c r="OUV1697" s="90"/>
      <c r="OUW1697" s="90"/>
      <c r="OUX1697" s="90"/>
      <c r="OUY1697" s="90"/>
      <c r="OUZ1697" s="90"/>
      <c r="OVA1697" s="90"/>
      <c r="OVB1697" s="90"/>
      <c r="OVC1697" s="90"/>
      <c r="OVD1697" s="90"/>
      <c r="OVE1697" s="90"/>
      <c r="OVF1697" s="90"/>
      <c r="OVG1697" s="90"/>
      <c r="OVH1697" s="90"/>
      <c r="OVI1697" s="90"/>
      <c r="OVJ1697" s="90"/>
      <c r="OVK1697" s="90"/>
      <c r="OVL1697" s="90"/>
      <c r="OVM1697" s="90"/>
      <c r="OVN1697" s="90"/>
      <c r="OVO1697" s="90"/>
      <c r="OVP1697" s="90"/>
      <c r="OVQ1697" s="90"/>
      <c r="OVR1697" s="90"/>
      <c r="OVS1697" s="90"/>
      <c r="OVT1697" s="90"/>
      <c r="OVU1697" s="90"/>
      <c r="OVV1697" s="90"/>
      <c r="OVW1697" s="90"/>
      <c r="OVX1697" s="90"/>
      <c r="OVY1697" s="90"/>
      <c r="OVZ1697" s="90"/>
      <c r="OWA1697" s="90"/>
      <c r="OWB1697" s="90"/>
      <c r="OWC1697" s="90"/>
      <c r="OWD1697" s="90"/>
      <c r="OWE1697" s="90"/>
      <c r="OWF1697" s="90"/>
      <c r="OWG1697" s="90"/>
      <c r="OWH1697" s="90"/>
      <c r="OWI1697" s="90"/>
      <c r="OWJ1697" s="90"/>
      <c r="OWK1697" s="90"/>
      <c r="OWL1697" s="90"/>
      <c r="OWM1697" s="90"/>
      <c r="OWN1697" s="90"/>
      <c r="OWO1697" s="90"/>
      <c r="OWP1697" s="90"/>
      <c r="OWQ1697" s="90"/>
      <c r="OWR1697" s="90"/>
      <c r="OWS1697" s="90"/>
      <c r="OWT1697" s="90"/>
      <c r="OWU1697" s="90"/>
      <c r="OWV1697" s="90"/>
      <c r="OWW1697" s="90"/>
      <c r="OWX1697" s="90"/>
      <c r="OWY1697" s="90"/>
      <c r="OWZ1697" s="90"/>
      <c r="OXA1697" s="90"/>
      <c r="OXB1697" s="90"/>
      <c r="OXC1697" s="90"/>
      <c r="OXD1697" s="90"/>
      <c r="OXE1697" s="90"/>
      <c r="OXF1697" s="90"/>
      <c r="OXG1697" s="90"/>
      <c r="OXH1697" s="90"/>
      <c r="OXI1697" s="90"/>
      <c r="OXJ1697" s="90"/>
      <c r="OXK1697" s="90"/>
      <c r="OXL1697" s="90"/>
      <c r="OXM1697" s="90"/>
      <c r="OXN1697" s="90"/>
      <c r="OXO1697" s="90"/>
      <c r="OXP1697" s="90"/>
      <c r="OXQ1697" s="90"/>
      <c r="OXR1697" s="90"/>
      <c r="OXS1697" s="90"/>
      <c r="OXT1697" s="90"/>
      <c r="OXU1697" s="90"/>
      <c r="OXV1697" s="90"/>
      <c r="OXW1697" s="90"/>
      <c r="OXX1697" s="90"/>
      <c r="OXY1697" s="90"/>
      <c r="OXZ1697" s="90"/>
      <c r="OYA1697" s="90"/>
      <c r="OYB1697" s="90"/>
      <c r="OYC1697" s="90"/>
      <c r="OYD1697" s="90"/>
      <c r="OYE1697" s="90"/>
      <c r="OYF1697" s="90"/>
      <c r="OYG1697" s="90"/>
      <c r="OYH1697" s="90"/>
      <c r="OYI1697" s="90"/>
      <c r="OYJ1697" s="90"/>
      <c r="OYK1697" s="90"/>
      <c r="OYL1697" s="90"/>
      <c r="OYM1697" s="90"/>
      <c r="OYN1697" s="90"/>
      <c r="OYO1697" s="90"/>
      <c r="OYP1697" s="90"/>
      <c r="OYQ1697" s="90"/>
      <c r="OYR1697" s="90"/>
      <c r="OYS1697" s="90"/>
      <c r="OYT1697" s="90"/>
      <c r="OYU1697" s="90"/>
      <c r="OYV1697" s="90"/>
      <c r="OYW1697" s="90"/>
      <c r="OYX1697" s="90"/>
      <c r="OYY1697" s="90"/>
      <c r="OYZ1697" s="90"/>
      <c r="OZA1697" s="90"/>
      <c r="OZB1697" s="90"/>
      <c r="OZC1697" s="90"/>
      <c r="OZD1697" s="90"/>
      <c r="OZE1697" s="90"/>
      <c r="OZF1697" s="90"/>
      <c r="OZG1697" s="90"/>
      <c r="OZH1697" s="90"/>
      <c r="OZI1697" s="90"/>
      <c r="OZJ1697" s="90"/>
      <c r="OZK1697" s="90"/>
      <c r="OZL1697" s="90"/>
      <c r="OZM1697" s="90"/>
      <c r="OZN1697" s="90"/>
      <c r="OZO1697" s="90"/>
      <c r="OZP1697" s="90"/>
      <c r="OZQ1697" s="90"/>
      <c r="OZR1697" s="90"/>
      <c r="OZS1697" s="90"/>
      <c r="OZT1697" s="90"/>
      <c r="OZU1697" s="90"/>
      <c r="OZV1697" s="90"/>
      <c r="OZW1697" s="90"/>
      <c r="OZX1697" s="90"/>
      <c r="OZY1697" s="90"/>
      <c r="OZZ1697" s="90"/>
      <c r="PAA1697" s="90"/>
      <c r="PAB1697" s="90"/>
      <c r="PAC1697" s="90"/>
      <c r="PAD1697" s="90"/>
      <c r="PAE1697" s="90"/>
      <c r="PAF1697" s="90"/>
      <c r="PAG1697" s="90"/>
      <c r="PAH1697" s="90"/>
      <c r="PAI1697" s="90"/>
      <c r="PAJ1697" s="90"/>
      <c r="PAK1697" s="90"/>
      <c r="PAL1697" s="90"/>
      <c r="PAM1697" s="90"/>
      <c r="PAN1697" s="90"/>
      <c r="PAO1697" s="90"/>
      <c r="PAP1697" s="90"/>
      <c r="PAQ1697" s="90"/>
      <c r="PAR1697" s="90"/>
      <c r="PAS1697" s="90"/>
      <c r="PAT1697" s="90"/>
      <c r="PAU1697" s="90"/>
      <c r="PAV1697" s="90"/>
      <c r="PAW1697" s="90"/>
      <c r="PAX1697" s="90"/>
      <c r="PAY1697" s="90"/>
      <c r="PAZ1697" s="90"/>
      <c r="PBA1697" s="90"/>
      <c r="PBB1697" s="90"/>
      <c r="PBC1697" s="90"/>
      <c r="PBD1697" s="90"/>
      <c r="PBE1697" s="90"/>
      <c r="PBF1697" s="90"/>
      <c r="PBG1697" s="90"/>
      <c r="PBH1697" s="90"/>
      <c r="PBI1697" s="90"/>
      <c r="PBJ1697" s="90"/>
      <c r="PBK1697" s="90"/>
      <c r="PBL1697" s="90"/>
      <c r="PBM1697" s="90"/>
      <c r="PBN1697" s="90"/>
      <c r="PBO1697" s="90"/>
      <c r="PBP1697" s="90"/>
      <c r="PBQ1697" s="90"/>
      <c r="PBR1697" s="90"/>
      <c r="PBS1697" s="90"/>
      <c r="PBT1697" s="90"/>
      <c r="PBU1697" s="90"/>
      <c r="PBV1697" s="90"/>
      <c r="PBW1697" s="90"/>
      <c r="PBX1697" s="90"/>
      <c r="PBY1697" s="90"/>
      <c r="PBZ1697" s="90"/>
      <c r="PCA1697" s="90"/>
      <c r="PCB1697" s="90"/>
      <c r="PCC1697" s="90"/>
      <c r="PCD1697" s="90"/>
      <c r="PCE1697" s="90"/>
      <c r="PCF1697" s="90"/>
      <c r="PCG1697" s="90"/>
      <c r="PCH1697" s="90"/>
      <c r="PCI1697" s="90"/>
      <c r="PCJ1697" s="90"/>
      <c r="PCK1697" s="90"/>
      <c r="PCL1697" s="90"/>
      <c r="PCM1697" s="90"/>
      <c r="PCN1697" s="90"/>
      <c r="PCO1697" s="90"/>
      <c r="PCP1697" s="90"/>
      <c r="PCQ1697" s="90"/>
      <c r="PCR1697" s="90"/>
      <c r="PCS1697" s="90"/>
      <c r="PCT1697" s="90"/>
      <c r="PCU1697" s="90"/>
      <c r="PCV1697" s="90"/>
      <c r="PCW1697" s="90"/>
      <c r="PCX1697" s="90"/>
      <c r="PCY1697" s="90"/>
      <c r="PCZ1697" s="90"/>
      <c r="PDA1697" s="90"/>
      <c r="PDB1697" s="90"/>
      <c r="PDC1697" s="90"/>
      <c r="PDD1697" s="90"/>
      <c r="PDE1697" s="90"/>
      <c r="PDF1697" s="90"/>
      <c r="PDG1697" s="90"/>
      <c r="PDH1697" s="90"/>
      <c r="PDI1697" s="90"/>
      <c r="PDJ1697" s="90"/>
      <c r="PDK1697" s="90"/>
      <c r="PDL1697" s="90"/>
      <c r="PDM1697" s="90"/>
      <c r="PDN1697" s="90"/>
      <c r="PDO1697" s="90"/>
      <c r="PDP1697" s="90"/>
      <c r="PDQ1697" s="90"/>
      <c r="PDR1697" s="90"/>
      <c r="PDS1697" s="90"/>
      <c r="PDT1697" s="90"/>
      <c r="PDU1697" s="90"/>
      <c r="PDV1697" s="90"/>
      <c r="PDW1697" s="90"/>
      <c r="PDX1697" s="90"/>
      <c r="PDY1697" s="90"/>
      <c r="PDZ1697" s="90"/>
      <c r="PEA1697" s="90"/>
      <c r="PEB1697" s="90"/>
      <c r="PEC1697" s="90"/>
      <c r="PED1697" s="90"/>
      <c r="PEE1697" s="90"/>
      <c r="PEF1697" s="90"/>
      <c r="PEG1697" s="90"/>
      <c r="PEH1697" s="90"/>
      <c r="PEI1697" s="90"/>
      <c r="PEJ1697" s="90"/>
      <c r="PEK1697" s="90"/>
      <c r="PEL1697" s="90"/>
      <c r="PEM1697" s="90"/>
      <c r="PEN1697" s="90"/>
      <c r="PEO1697" s="90"/>
      <c r="PEP1697" s="90"/>
      <c r="PEQ1697" s="90"/>
      <c r="PER1697" s="90"/>
      <c r="PES1697" s="90"/>
      <c r="PET1697" s="90"/>
      <c r="PEU1697" s="90"/>
      <c r="PEV1697" s="90"/>
      <c r="PEW1697" s="90"/>
      <c r="PEX1697" s="90"/>
      <c r="PEY1697" s="90"/>
      <c r="PEZ1697" s="90"/>
      <c r="PFA1697" s="90"/>
      <c r="PFB1697" s="90"/>
      <c r="PFC1697" s="90"/>
      <c r="PFD1697" s="90"/>
      <c r="PFE1697" s="90"/>
      <c r="PFF1697" s="90"/>
      <c r="PFG1697" s="90"/>
      <c r="PFH1697" s="90"/>
      <c r="PFI1697" s="90"/>
      <c r="PFJ1697" s="90"/>
      <c r="PFK1697" s="90"/>
      <c r="PFL1697" s="90"/>
      <c r="PFM1697" s="90"/>
      <c r="PFN1697" s="90"/>
      <c r="PFO1697" s="90"/>
      <c r="PFP1697" s="90"/>
      <c r="PFQ1697" s="90"/>
      <c r="PFR1697" s="90"/>
      <c r="PFS1697" s="90"/>
      <c r="PFT1697" s="90"/>
      <c r="PFU1697" s="90"/>
      <c r="PFV1697" s="90"/>
      <c r="PFW1697" s="90"/>
      <c r="PFX1697" s="90"/>
      <c r="PFY1697" s="90"/>
      <c r="PFZ1697" s="90"/>
      <c r="PGA1697" s="90"/>
      <c r="PGB1697" s="90"/>
      <c r="PGC1697" s="90"/>
      <c r="PGD1697" s="90"/>
      <c r="PGE1697" s="90"/>
      <c r="PGF1697" s="90"/>
      <c r="PGG1697" s="90"/>
      <c r="PGH1697" s="90"/>
      <c r="PGI1697" s="90"/>
      <c r="PGJ1697" s="90"/>
      <c r="PGK1697" s="90"/>
      <c r="PGL1697" s="90"/>
      <c r="PGM1697" s="90"/>
      <c r="PGN1697" s="90"/>
      <c r="PGO1697" s="90"/>
      <c r="PGP1697" s="90"/>
      <c r="PGQ1697" s="90"/>
      <c r="PGR1697" s="90"/>
      <c r="PGS1697" s="90"/>
      <c r="PGT1697" s="90"/>
      <c r="PGU1697" s="90"/>
      <c r="PGV1697" s="90"/>
      <c r="PGW1697" s="90"/>
      <c r="PGX1697" s="90"/>
      <c r="PGY1697" s="90"/>
      <c r="PGZ1697" s="90"/>
      <c r="PHA1697" s="90"/>
      <c r="PHB1697" s="90"/>
      <c r="PHC1697" s="90"/>
      <c r="PHD1697" s="90"/>
      <c r="PHE1697" s="90"/>
      <c r="PHF1697" s="90"/>
      <c r="PHG1697" s="90"/>
      <c r="PHH1697" s="90"/>
      <c r="PHI1697" s="90"/>
      <c r="PHJ1697" s="90"/>
      <c r="PHK1697" s="90"/>
      <c r="PHL1697" s="90"/>
      <c r="PHM1697" s="90"/>
      <c r="PHN1697" s="90"/>
      <c r="PHO1697" s="90"/>
      <c r="PHP1697" s="90"/>
      <c r="PHQ1697" s="90"/>
      <c r="PHR1697" s="90"/>
      <c r="PHS1697" s="90"/>
      <c r="PHT1697" s="90"/>
      <c r="PHU1697" s="90"/>
      <c r="PHV1697" s="90"/>
      <c r="PHW1697" s="90"/>
      <c r="PHX1697" s="90"/>
      <c r="PHY1697" s="90"/>
      <c r="PHZ1697" s="90"/>
      <c r="PIA1697" s="90"/>
      <c r="PIB1697" s="90"/>
      <c r="PIC1697" s="90"/>
      <c r="PID1697" s="90"/>
      <c r="PIE1697" s="90"/>
      <c r="PIF1697" s="90"/>
      <c r="PIG1697" s="90"/>
      <c r="PIH1697" s="90"/>
      <c r="PII1697" s="90"/>
      <c r="PIJ1697" s="90"/>
      <c r="PIK1697" s="90"/>
      <c r="PIL1697" s="90"/>
      <c r="PIM1697" s="90"/>
      <c r="PIN1697" s="90"/>
      <c r="PIO1697" s="90"/>
      <c r="PIP1697" s="90"/>
      <c r="PIQ1697" s="90"/>
      <c r="PIR1697" s="90"/>
      <c r="PIS1697" s="90"/>
      <c r="PIT1697" s="90"/>
      <c r="PIU1697" s="90"/>
      <c r="PIV1697" s="90"/>
      <c r="PIW1697" s="90"/>
      <c r="PIX1697" s="90"/>
      <c r="PIY1697" s="90"/>
      <c r="PIZ1697" s="90"/>
      <c r="PJA1697" s="90"/>
      <c r="PJB1697" s="90"/>
      <c r="PJC1697" s="90"/>
      <c r="PJD1697" s="90"/>
      <c r="PJE1697" s="90"/>
      <c r="PJF1697" s="90"/>
      <c r="PJG1697" s="90"/>
      <c r="PJH1697" s="90"/>
      <c r="PJI1697" s="90"/>
      <c r="PJJ1697" s="90"/>
      <c r="PJK1697" s="90"/>
      <c r="PJL1697" s="90"/>
      <c r="PJM1697" s="90"/>
      <c r="PJN1697" s="90"/>
      <c r="PJO1697" s="90"/>
      <c r="PJP1697" s="90"/>
      <c r="PJQ1697" s="90"/>
      <c r="PJR1697" s="90"/>
      <c r="PJS1697" s="90"/>
      <c r="PJT1697" s="90"/>
      <c r="PJU1697" s="90"/>
      <c r="PJV1697" s="90"/>
      <c r="PJW1697" s="90"/>
      <c r="PJX1697" s="90"/>
      <c r="PJY1697" s="90"/>
      <c r="PJZ1697" s="90"/>
      <c r="PKA1697" s="90"/>
      <c r="PKB1697" s="90"/>
      <c r="PKC1697" s="90"/>
      <c r="PKD1697" s="90"/>
      <c r="PKE1697" s="90"/>
      <c r="PKF1697" s="90"/>
      <c r="PKG1697" s="90"/>
      <c r="PKH1697" s="90"/>
      <c r="PKI1697" s="90"/>
      <c r="PKJ1697" s="90"/>
      <c r="PKK1697" s="90"/>
      <c r="PKL1697" s="90"/>
      <c r="PKM1697" s="90"/>
      <c r="PKN1697" s="90"/>
      <c r="PKO1697" s="90"/>
      <c r="PKP1697" s="90"/>
      <c r="PKQ1697" s="90"/>
      <c r="PKR1697" s="90"/>
      <c r="PKS1697" s="90"/>
      <c r="PKT1697" s="90"/>
      <c r="PKU1697" s="90"/>
      <c r="PKV1697" s="90"/>
      <c r="PKW1697" s="90"/>
      <c r="PKX1697" s="90"/>
      <c r="PKY1697" s="90"/>
      <c r="PKZ1697" s="90"/>
      <c r="PLA1697" s="90"/>
      <c r="PLB1697" s="90"/>
      <c r="PLC1697" s="90"/>
      <c r="PLD1697" s="90"/>
      <c r="PLE1697" s="90"/>
      <c r="PLF1697" s="90"/>
      <c r="PLG1697" s="90"/>
      <c r="PLH1697" s="90"/>
      <c r="PLI1697" s="90"/>
      <c r="PLJ1697" s="90"/>
      <c r="PLK1697" s="90"/>
      <c r="PLL1697" s="90"/>
      <c r="PLM1697" s="90"/>
      <c r="PLN1697" s="90"/>
      <c r="PLO1697" s="90"/>
      <c r="PLP1697" s="90"/>
      <c r="PLQ1697" s="90"/>
      <c r="PLR1697" s="90"/>
      <c r="PLS1697" s="90"/>
      <c r="PLT1697" s="90"/>
      <c r="PLU1697" s="90"/>
      <c r="PLV1697" s="90"/>
      <c r="PLW1697" s="90"/>
      <c r="PLX1697" s="90"/>
      <c r="PLY1697" s="90"/>
      <c r="PLZ1697" s="90"/>
      <c r="PMA1697" s="90"/>
      <c r="PMB1697" s="90"/>
      <c r="PMC1697" s="90"/>
      <c r="PMD1697" s="90"/>
      <c r="PME1697" s="90"/>
      <c r="PMF1697" s="90"/>
      <c r="PMG1697" s="90"/>
      <c r="PMH1697" s="90"/>
      <c r="PMI1697" s="90"/>
      <c r="PMJ1697" s="90"/>
      <c r="PMK1697" s="90"/>
      <c r="PML1697" s="90"/>
      <c r="PMM1697" s="90"/>
      <c r="PMN1697" s="90"/>
      <c r="PMO1697" s="90"/>
      <c r="PMP1697" s="90"/>
      <c r="PMQ1697" s="90"/>
      <c r="PMR1697" s="90"/>
      <c r="PMS1697" s="90"/>
      <c r="PMT1697" s="90"/>
      <c r="PMU1697" s="90"/>
      <c r="PMV1697" s="90"/>
      <c r="PMW1697" s="90"/>
      <c r="PMX1697" s="90"/>
      <c r="PMY1697" s="90"/>
      <c r="PMZ1697" s="90"/>
      <c r="PNA1697" s="90"/>
      <c r="PNB1697" s="90"/>
      <c r="PNC1697" s="90"/>
      <c r="PND1697" s="90"/>
      <c r="PNE1697" s="90"/>
      <c r="PNF1697" s="90"/>
      <c r="PNG1697" s="90"/>
      <c r="PNH1697" s="90"/>
      <c r="PNI1697" s="90"/>
      <c r="PNJ1697" s="90"/>
      <c r="PNK1697" s="90"/>
      <c r="PNL1697" s="90"/>
      <c r="PNM1697" s="90"/>
      <c r="PNN1697" s="90"/>
      <c r="PNO1697" s="90"/>
      <c r="PNP1697" s="90"/>
      <c r="PNQ1697" s="90"/>
      <c r="PNR1697" s="90"/>
      <c r="PNS1697" s="90"/>
      <c r="PNT1697" s="90"/>
      <c r="PNU1697" s="90"/>
      <c r="PNV1697" s="90"/>
      <c r="PNW1697" s="90"/>
      <c r="PNX1697" s="90"/>
      <c r="PNY1697" s="90"/>
      <c r="PNZ1697" s="90"/>
      <c r="POA1697" s="90"/>
      <c r="POB1697" s="90"/>
      <c r="POC1697" s="90"/>
      <c r="POD1697" s="90"/>
      <c r="POE1697" s="90"/>
      <c r="POF1697" s="90"/>
      <c r="POG1697" s="90"/>
      <c r="POH1697" s="90"/>
      <c r="POI1697" s="90"/>
      <c r="POJ1697" s="90"/>
      <c r="POK1697" s="90"/>
      <c r="POL1697" s="90"/>
      <c r="POM1697" s="90"/>
      <c r="PON1697" s="90"/>
      <c r="POO1697" s="90"/>
      <c r="POP1697" s="90"/>
      <c r="POQ1697" s="90"/>
      <c r="POR1697" s="90"/>
      <c r="POS1697" s="90"/>
      <c r="POT1697" s="90"/>
      <c r="POU1697" s="90"/>
      <c r="POV1697" s="90"/>
      <c r="POW1697" s="90"/>
      <c r="POX1697" s="90"/>
      <c r="POY1697" s="90"/>
      <c r="POZ1697" s="90"/>
      <c r="PPA1697" s="90"/>
      <c r="PPB1697" s="90"/>
      <c r="PPC1697" s="90"/>
      <c r="PPD1697" s="90"/>
      <c r="PPE1697" s="90"/>
      <c r="PPF1697" s="90"/>
      <c r="PPG1697" s="90"/>
      <c r="PPH1697" s="90"/>
      <c r="PPI1697" s="90"/>
      <c r="PPJ1697" s="90"/>
      <c r="PPK1697" s="90"/>
      <c r="PPL1697" s="90"/>
      <c r="PPM1697" s="90"/>
      <c r="PPN1697" s="90"/>
      <c r="PPO1697" s="90"/>
      <c r="PPP1697" s="90"/>
      <c r="PPQ1697" s="90"/>
      <c r="PPR1697" s="90"/>
      <c r="PPS1697" s="90"/>
      <c r="PPT1697" s="90"/>
      <c r="PPU1697" s="90"/>
      <c r="PPV1697" s="90"/>
      <c r="PPW1697" s="90"/>
      <c r="PPX1697" s="90"/>
      <c r="PPY1697" s="90"/>
      <c r="PPZ1697" s="90"/>
      <c r="PQA1697" s="90"/>
      <c r="PQB1697" s="90"/>
      <c r="PQC1697" s="90"/>
      <c r="PQD1697" s="90"/>
      <c r="PQE1697" s="90"/>
      <c r="PQF1697" s="90"/>
      <c r="PQG1697" s="90"/>
      <c r="PQH1697" s="90"/>
      <c r="PQI1697" s="90"/>
      <c r="PQJ1697" s="90"/>
      <c r="PQK1697" s="90"/>
      <c r="PQL1697" s="90"/>
      <c r="PQM1697" s="90"/>
      <c r="PQN1697" s="90"/>
      <c r="PQO1697" s="90"/>
      <c r="PQP1697" s="90"/>
      <c r="PQQ1697" s="90"/>
      <c r="PQR1697" s="90"/>
      <c r="PQS1697" s="90"/>
      <c r="PQT1697" s="90"/>
      <c r="PQU1697" s="90"/>
      <c r="PQV1697" s="90"/>
      <c r="PQW1697" s="90"/>
      <c r="PQX1697" s="90"/>
      <c r="PQY1697" s="90"/>
      <c r="PQZ1697" s="90"/>
      <c r="PRA1697" s="90"/>
      <c r="PRB1697" s="90"/>
      <c r="PRC1697" s="90"/>
      <c r="PRD1697" s="90"/>
      <c r="PRE1697" s="90"/>
      <c r="PRF1697" s="90"/>
      <c r="PRG1697" s="90"/>
      <c r="PRH1697" s="90"/>
      <c r="PRI1697" s="90"/>
      <c r="PRJ1697" s="90"/>
      <c r="PRK1697" s="90"/>
      <c r="PRL1697" s="90"/>
      <c r="PRM1697" s="90"/>
      <c r="PRN1697" s="90"/>
      <c r="PRO1697" s="90"/>
      <c r="PRP1697" s="90"/>
      <c r="PRQ1697" s="90"/>
      <c r="PRR1697" s="90"/>
      <c r="PRS1697" s="90"/>
      <c r="PRT1697" s="90"/>
      <c r="PRU1697" s="90"/>
      <c r="PRV1697" s="90"/>
      <c r="PRW1697" s="90"/>
      <c r="PRX1697" s="90"/>
      <c r="PRY1697" s="90"/>
      <c r="PRZ1697" s="90"/>
      <c r="PSA1697" s="90"/>
      <c r="PSB1697" s="90"/>
      <c r="PSC1697" s="90"/>
      <c r="PSD1697" s="90"/>
      <c r="PSE1697" s="90"/>
      <c r="PSF1697" s="90"/>
      <c r="PSG1697" s="90"/>
      <c r="PSH1697" s="90"/>
      <c r="PSI1697" s="90"/>
      <c r="PSJ1697" s="90"/>
      <c r="PSK1697" s="90"/>
      <c r="PSL1697" s="90"/>
      <c r="PSM1697" s="90"/>
      <c r="PSN1697" s="90"/>
      <c r="PSO1697" s="90"/>
      <c r="PSP1697" s="90"/>
      <c r="PSQ1697" s="90"/>
      <c r="PSR1697" s="90"/>
      <c r="PSS1697" s="90"/>
      <c r="PST1697" s="90"/>
      <c r="PSU1697" s="90"/>
      <c r="PSV1697" s="90"/>
      <c r="PSW1697" s="90"/>
      <c r="PSX1697" s="90"/>
      <c r="PSY1697" s="90"/>
      <c r="PSZ1697" s="90"/>
      <c r="PTA1697" s="90"/>
      <c r="PTB1697" s="90"/>
      <c r="PTC1697" s="90"/>
      <c r="PTD1697" s="90"/>
      <c r="PTE1697" s="90"/>
      <c r="PTF1697" s="90"/>
      <c r="PTG1697" s="90"/>
      <c r="PTH1697" s="90"/>
      <c r="PTI1697" s="90"/>
      <c r="PTJ1697" s="90"/>
      <c r="PTK1697" s="90"/>
      <c r="PTL1697" s="90"/>
      <c r="PTM1697" s="90"/>
      <c r="PTN1697" s="90"/>
      <c r="PTO1697" s="90"/>
      <c r="PTP1697" s="90"/>
      <c r="PTQ1697" s="90"/>
      <c r="PTR1697" s="90"/>
      <c r="PTS1697" s="90"/>
      <c r="PTT1697" s="90"/>
      <c r="PTU1697" s="90"/>
      <c r="PTV1697" s="90"/>
      <c r="PTW1697" s="90"/>
      <c r="PTX1697" s="90"/>
      <c r="PTY1697" s="90"/>
      <c r="PTZ1697" s="90"/>
      <c r="PUA1697" s="90"/>
      <c r="PUB1697" s="90"/>
      <c r="PUC1697" s="90"/>
      <c r="PUD1697" s="90"/>
      <c r="PUE1697" s="90"/>
      <c r="PUF1697" s="90"/>
      <c r="PUG1697" s="90"/>
      <c r="PUH1697" s="90"/>
      <c r="PUI1697" s="90"/>
      <c r="PUJ1697" s="90"/>
      <c r="PUK1697" s="90"/>
      <c r="PUL1697" s="90"/>
      <c r="PUM1697" s="90"/>
      <c r="PUN1697" s="90"/>
      <c r="PUO1697" s="90"/>
      <c r="PUP1697" s="90"/>
      <c r="PUQ1697" s="90"/>
      <c r="PUR1697" s="90"/>
      <c r="PUS1697" s="90"/>
      <c r="PUT1697" s="90"/>
      <c r="PUU1697" s="90"/>
      <c r="PUV1697" s="90"/>
      <c r="PUW1697" s="90"/>
      <c r="PUX1697" s="90"/>
      <c r="PUY1697" s="90"/>
      <c r="PUZ1697" s="90"/>
      <c r="PVA1697" s="90"/>
      <c r="PVB1697" s="90"/>
      <c r="PVC1697" s="90"/>
      <c r="PVD1697" s="90"/>
      <c r="PVE1697" s="90"/>
      <c r="PVF1697" s="90"/>
      <c r="PVG1697" s="90"/>
      <c r="PVH1697" s="90"/>
      <c r="PVI1697" s="90"/>
      <c r="PVJ1697" s="90"/>
      <c r="PVK1697" s="90"/>
      <c r="PVL1697" s="90"/>
      <c r="PVM1697" s="90"/>
      <c r="PVN1697" s="90"/>
      <c r="PVO1697" s="90"/>
      <c r="PVP1697" s="90"/>
      <c r="PVQ1697" s="90"/>
      <c r="PVR1697" s="90"/>
      <c r="PVS1697" s="90"/>
      <c r="PVT1697" s="90"/>
      <c r="PVU1697" s="90"/>
      <c r="PVV1697" s="90"/>
      <c r="PVW1697" s="90"/>
      <c r="PVX1697" s="90"/>
      <c r="PVY1697" s="90"/>
      <c r="PVZ1697" s="90"/>
      <c r="PWA1697" s="90"/>
      <c r="PWB1697" s="90"/>
      <c r="PWC1697" s="90"/>
      <c r="PWD1697" s="90"/>
      <c r="PWE1697" s="90"/>
      <c r="PWF1697" s="90"/>
      <c r="PWG1697" s="90"/>
      <c r="PWH1697" s="90"/>
      <c r="PWI1697" s="90"/>
      <c r="PWJ1697" s="90"/>
      <c r="PWK1697" s="90"/>
      <c r="PWL1697" s="90"/>
      <c r="PWM1697" s="90"/>
      <c r="PWN1697" s="90"/>
      <c r="PWO1697" s="90"/>
      <c r="PWP1697" s="90"/>
      <c r="PWQ1697" s="90"/>
      <c r="PWR1697" s="90"/>
      <c r="PWS1697" s="90"/>
      <c r="PWT1697" s="90"/>
      <c r="PWU1697" s="90"/>
      <c r="PWV1697" s="90"/>
      <c r="PWW1697" s="90"/>
      <c r="PWX1697" s="90"/>
      <c r="PWY1697" s="90"/>
      <c r="PWZ1697" s="90"/>
      <c r="PXA1697" s="90"/>
      <c r="PXB1697" s="90"/>
      <c r="PXC1697" s="90"/>
      <c r="PXD1697" s="90"/>
      <c r="PXE1697" s="90"/>
      <c r="PXF1697" s="90"/>
      <c r="PXG1697" s="90"/>
      <c r="PXH1697" s="90"/>
      <c r="PXI1697" s="90"/>
      <c r="PXJ1697" s="90"/>
      <c r="PXK1697" s="90"/>
      <c r="PXL1697" s="90"/>
      <c r="PXM1697" s="90"/>
      <c r="PXN1697" s="90"/>
      <c r="PXO1697" s="90"/>
      <c r="PXP1697" s="90"/>
      <c r="PXQ1697" s="90"/>
      <c r="PXR1697" s="90"/>
      <c r="PXS1697" s="90"/>
      <c r="PXT1697" s="90"/>
      <c r="PXU1697" s="90"/>
      <c r="PXV1697" s="90"/>
      <c r="PXW1697" s="90"/>
      <c r="PXX1697" s="90"/>
      <c r="PXY1697" s="90"/>
      <c r="PXZ1697" s="90"/>
      <c r="PYA1697" s="90"/>
      <c r="PYB1697" s="90"/>
      <c r="PYC1697" s="90"/>
      <c r="PYD1697" s="90"/>
      <c r="PYE1697" s="90"/>
      <c r="PYF1697" s="90"/>
      <c r="PYG1697" s="90"/>
      <c r="PYH1697" s="90"/>
      <c r="PYI1697" s="90"/>
      <c r="PYJ1697" s="90"/>
      <c r="PYK1697" s="90"/>
      <c r="PYL1697" s="90"/>
      <c r="PYM1697" s="90"/>
      <c r="PYN1697" s="90"/>
      <c r="PYO1697" s="90"/>
      <c r="PYP1697" s="90"/>
      <c r="PYQ1697" s="90"/>
      <c r="PYR1697" s="90"/>
      <c r="PYS1697" s="90"/>
      <c r="PYT1697" s="90"/>
      <c r="PYU1697" s="90"/>
      <c r="PYV1697" s="90"/>
      <c r="PYW1697" s="90"/>
      <c r="PYX1697" s="90"/>
      <c r="PYY1697" s="90"/>
      <c r="PYZ1697" s="90"/>
      <c r="PZA1697" s="90"/>
      <c r="PZB1697" s="90"/>
      <c r="PZC1697" s="90"/>
      <c r="PZD1697" s="90"/>
      <c r="PZE1697" s="90"/>
      <c r="PZF1697" s="90"/>
      <c r="PZG1697" s="90"/>
      <c r="PZH1697" s="90"/>
      <c r="PZI1697" s="90"/>
      <c r="PZJ1697" s="90"/>
      <c r="PZK1697" s="90"/>
      <c r="PZL1697" s="90"/>
      <c r="PZM1697" s="90"/>
      <c r="PZN1697" s="90"/>
      <c r="PZO1697" s="90"/>
      <c r="PZP1697" s="90"/>
      <c r="PZQ1697" s="90"/>
      <c r="PZR1697" s="90"/>
      <c r="PZS1697" s="90"/>
      <c r="PZT1697" s="90"/>
      <c r="PZU1697" s="90"/>
      <c r="PZV1697" s="90"/>
      <c r="PZW1697" s="90"/>
      <c r="PZX1697" s="90"/>
      <c r="PZY1697" s="90"/>
      <c r="PZZ1697" s="90"/>
      <c r="QAA1697" s="90"/>
      <c r="QAB1697" s="90"/>
      <c r="QAC1697" s="90"/>
      <c r="QAD1697" s="90"/>
      <c r="QAE1697" s="90"/>
      <c r="QAF1697" s="90"/>
      <c r="QAG1697" s="90"/>
      <c r="QAH1697" s="90"/>
      <c r="QAI1697" s="90"/>
      <c r="QAJ1697" s="90"/>
      <c r="QAK1697" s="90"/>
      <c r="QAL1697" s="90"/>
      <c r="QAM1697" s="90"/>
      <c r="QAN1697" s="90"/>
      <c r="QAO1697" s="90"/>
      <c r="QAP1697" s="90"/>
      <c r="QAQ1697" s="90"/>
      <c r="QAR1697" s="90"/>
      <c r="QAS1697" s="90"/>
      <c r="QAT1697" s="90"/>
      <c r="QAU1697" s="90"/>
      <c r="QAV1697" s="90"/>
      <c r="QAW1697" s="90"/>
      <c r="QAX1697" s="90"/>
      <c r="QAY1697" s="90"/>
      <c r="QAZ1697" s="90"/>
      <c r="QBA1697" s="90"/>
      <c r="QBB1697" s="90"/>
      <c r="QBC1697" s="90"/>
      <c r="QBD1697" s="90"/>
      <c r="QBE1697" s="90"/>
      <c r="QBF1697" s="90"/>
      <c r="QBG1697" s="90"/>
      <c r="QBH1697" s="90"/>
      <c r="QBI1697" s="90"/>
      <c r="QBJ1697" s="90"/>
      <c r="QBK1697" s="90"/>
      <c r="QBL1697" s="90"/>
      <c r="QBM1697" s="90"/>
      <c r="QBN1697" s="90"/>
      <c r="QBO1697" s="90"/>
      <c r="QBP1697" s="90"/>
      <c r="QBQ1697" s="90"/>
      <c r="QBR1697" s="90"/>
      <c r="QBS1697" s="90"/>
      <c r="QBT1697" s="90"/>
      <c r="QBU1697" s="90"/>
      <c r="QBV1697" s="90"/>
      <c r="QBW1697" s="90"/>
      <c r="QBX1697" s="90"/>
      <c r="QBY1697" s="90"/>
      <c r="QBZ1697" s="90"/>
      <c r="QCA1697" s="90"/>
      <c r="QCB1697" s="90"/>
      <c r="QCC1697" s="90"/>
      <c r="QCD1697" s="90"/>
      <c r="QCE1697" s="90"/>
      <c r="QCF1697" s="90"/>
      <c r="QCG1697" s="90"/>
      <c r="QCH1697" s="90"/>
      <c r="QCI1697" s="90"/>
      <c r="QCJ1697" s="90"/>
      <c r="QCK1697" s="90"/>
      <c r="QCL1697" s="90"/>
      <c r="QCM1697" s="90"/>
      <c r="QCN1697" s="90"/>
      <c r="QCO1697" s="90"/>
      <c r="QCP1697" s="90"/>
      <c r="QCQ1697" s="90"/>
      <c r="QCR1697" s="90"/>
      <c r="QCS1697" s="90"/>
      <c r="QCT1697" s="90"/>
      <c r="QCU1697" s="90"/>
      <c r="QCV1697" s="90"/>
      <c r="QCW1697" s="90"/>
      <c r="QCX1697" s="90"/>
      <c r="QCY1697" s="90"/>
      <c r="QCZ1697" s="90"/>
      <c r="QDA1697" s="90"/>
      <c r="QDB1697" s="90"/>
      <c r="QDC1697" s="90"/>
      <c r="QDD1697" s="90"/>
      <c r="QDE1697" s="90"/>
      <c r="QDF1697" s="90"/>
      <c r="QDG1697" s="90"/>
      <c r="QDH1697" s="90"/>
      <c r="QDI1697" s="90"/>
      <c r="QDJ1697" s="90"/>
      <c r="QDK1697" s="90"/>
      <c r="QDL1697" s="90"/>
      <c r="QDM1697" s="90"/>
      <c r="QDN1697" s="90"/>
      <c r="QDO1697" s="90"/>
      <c r="QDP1697" s="90"/>
      <c r="QDQ1697" s="90"/>
      <c r="QDR1697" s="90"/>
      <c r="QDS1697" s="90"/>
      <c r="QDT1697" s="90"/>
      <c r="QDU1697" s="90"/>
      <c r="QDV1697" s="90"/>
      <c r="QDW1697" s="90"/>
      <c r="QDX1697" s="90"/>
      <c r="QDY1697" s="90"/>
      <c r="QDZ1697" s="90"/>
      <c r="QEA1697" s="90"/>
      <c r="QEB1697" s="90"/>
      <c r="QEC1697" s="90"/>
      <c r="QED1697" s="90"/>
      <c r="QEE1697" s="90"/>
      <c r="QEF1697" s="90"/>
      <c r="QEG1697" s="90"/>
      <c r="QEH1697" s="90"/>
      <c r="QEI1697" s="90"/>
      <c r="QEJ1697" s="90"/>
      <c r="QEK1697" s="90"/>
      <c r="QEL1697" s="90"/>
      <c r="QEM1697" s="90"/>
      <c r="QEN1697" s="90"/>
      <c r="QEO1697" s="90"/>
      <c r="QEP1697" s="90"/>
      <c r="QEQ1697" s="90"/>
      <c r="QER1697" s="90"/>
      <c r="QES1697" s="90"/>
      <c r="QET1697" s="90"/>
      <c r="QEU1697" s="90"/>
      <c r="QEV1697" s="90"/>
      <c r="QEW1697" s="90"/>
      <c r="QEX1697" s="90"/>
      <c r="QEY1697" s="90"/>
      <c r="QEZ1697" s="90"/>
      <c r="QFA1697" s="90"/>
      <c r="QFB1697" s="90"/>
      <c r="QFC1697" s="90"/>
      <c r="QFD1697" s="90"/>
      <c r="QFE1697" s="90"/>
      <c r="QFF1697" s="90"/>
      <c r="QFG1697" s="90"/>
      <c r="QFH1697" s="90"/>
      <c r="QFI1697" s="90"/>
      <c r="QFJ1697" s="90"/>
      <c r="QFK1697" s="90"/>
      <c r="QFL1697" s="90"/>
      <c r="QFM1697" s="90"/>
      <c r="QFN1697" s="90"/>
      <c r="QFO1697" s="90"/>
      <c r="QFP1697" s="90"/>
      <c r="QFQ1697" s="90"/>
      <c r="QFR1697" s="90"/>
      <c r="QFS1697" s="90"/>
      <c r="QFT1697" s="90"/>
      <c r="QFU1697" s="90"/>
      <c r="QFV1697" s="90"/>
      <c r="QFW1697" s="90"/>
      <c r="QFX1697" s="90"/>
      <c r="QFY1697" s="90"/>
      <c r="QFZ1697" s="90"/>
      <c r="QGA1697" s="90"/>
      <c r="QGB1697" s="90"/>
      <c r="QGC1697" s="90"/>
      <c r="QGD1697" s="90"/>
      <c r="QGE1697" s="90"/>
      <c r="QGF1697" s="90"/>
      <c r="QGG1697" s="90"/>
      <c r="QGH1697" s="90"/>
      <c r="QGI1697" s="90"/>
      <c r="QGJ1697" s="90"/>
      <c r="QGK1697" s="90"/>
      <c r="QGL1697" s="90"/>
      <c r="QGM1697" s="90"/>
      <c r="QGN1697" s="90"/>
      <c r="QGO1697" s="90"/>
      <c r="QGP1697" s="90"/>
      <c r="QGQ1697" s="90"/>
      <c r="QGR1697" s="90"/>
      <c r="QGS1697" s="90"/>
      <c r="QGT1697" s="90"/>
      <c r="QGU1697" s="90"/>
      <c r="QGV1697" s="90"/>
      <c r="QGW1697" s="90"/>
      <c r="QGX1697" s="90"/>
      <c r="QGY1697" s="90"/>
      <c r="QGZ1697" s="90"/>
      <c r="QHA1697" s="90"/>
      <c r="QHB1697" s="90"/>
      <c r="QHC1697" s="90"/>
      <c r="QHD1697" s="90"/>
      <c r="QHE1697" s="90"/>
      <c r="QHF1697" s="90"/>
      <c r="QHG1697" s="90"/>
      <c r="QHH1697" s="90"/>
      <c r="QHI1697" s="90"/>
      <c r="QHJ1697" s="90"/>
      <c r="QHK1697" s="90"/>
      <c r="QHL1697" s="90"/>
      <c r="QHM1697" s="90"/>
      <c r="QHN1697" s="90"/>
      <c r="QHO1697" s="90"/>
      <c r="QHP1697" s="90"/>
      <c r="QHQ1697" s="90"/>
      <c r="QHR1697" s="90"/>
      <c r="QHS1697" s="90"/>
      <c r="QHT1697" s="90"/>
      <c r="QHU1697" s="90"/>
      <c r="QHV1697" s="90"/>
      <c r="QHW1697" s="90"/>
      <c r="QHX1697" s="90"/>
      <c r="QHY1697" s="90"/>
      <c r="QHZ1697" s="90"/>
      <c r="QIA1697" s="90"/>
      <c r="QIB1697" s="90"/>
      <c r="QIC1697" s="90"/>
      <c r="QID1697" s="90"/>
      <c r="QIE1697" s="90"/>
      <c r="QIF1697" s="90"/>
      <c r="QIG1697" s="90"/>
      <c r="QIH1697" s="90"/>
      <c r="QII1697" s="90"/>
      <c r="QIJ1697" s="90"/>
      <c r="QIK1697" s="90"/>
      <c r="QIL1697" s="90"/>
      <c r="QIM1697" s="90"/>
      <c r="QIN1697" s="90"/>
      <c r="QIO1697" s="90"/>
      <c r="QIP1697" s="90"/>
      <c r="QIQ1697" s="90"/>
      <c r="QIR1697" s="90"/>
      <c r="QIS1697" s="90"/>
      <c r="QIT1697" s="90"/>
      <c r="QIU1697" s="90"/>
      <c r="QIV1697" s="90"/>
      <c r="QIW1697" s="90"/>
      <c r="QIX1697" s="90"/>
      <c r="QIY1697" s="90"/>
      <c r="QIZ1697" s="90"/>
      <c r="QJA1697" s="90"/>
      <c r="QJB1697" s="90"/>
      <c r="QJC1697" s="90"/>
      <c r="QJD1697" s="90"/>
      <c r="QJE1697" s="90"/>
      <c r="QJF1697" s="90"/>
      <c r="QJG1697" s="90"/>
      <c r="QJH1697" s="90"/>
      <c r="QJI1697" s="90"/>
      <c r="QJJ1697" s="90"/>
      <c r="QJK1697" s="90"/>
      <c r="QJL1697" s="90"/>
      <c r="QJM1697" s="90"/>
      <c r="QJN1697" s="90"/>
      <c r="QJO1697" s="90"/>
      <c r="QJP1697" s="90"/>
      <c r="QJQ1697" s="90"/>
      <c r="QJR1697" s="90"/>
      <c r="QJS1697" s="90"/>
      <c r="QJT1697" s="90"/>
      <c r="QJU1697" s="90"/>
      <c r="QJV1697" s="90"/>
      <c r="QJW1697" s="90"/>
      <c r="QJX1697" s="90"/>
      <c r="QJY1697" s="90"/>
      <c r="QJZ1697" s="90"/>
      <c r="QKA1697" s="90"/>
      <c r="QKB1697" s="90"/>
      <c r="QKC1697" s="90"/>
      <c r="QKD1697" s="90"/>
      <c r="QKE1697" s="90"/>
      <c r="QKF1697" s="90"/>
      <c r="QKG1697" s="90"/>
      <c r="QKH1697" s="90"/>
      <c r="QKI1697" s="90"/>
      <c r="QKJ1697" s="90"/>
      <c r="QKK1697" s="90"/>
      <c r="QKL1697" s="90"/>
      <c r="QKM1697" s="90"/>
      <c r="QKN1697" s="90"/>
      <c r="QKO1697" s="90"/>
      <c r="QKP1697" s="90"/>
      <c r="QKQ1697" s="90"/>
      <c r="QKR1697" s="90"/>
      <c r="QKS1697" s="90"/>
      <c r="QKT1697" s="90"/>
      <c r="QKU1697" s="90"/>
      <c r="QKV1697" s="90"/>
      <c r="QKW1697" s="90"/>
      <c r="QKX1697" s="90"/>
      <c r="QKY1697" s="90"/>
      <c r="QKZ1697" s="90"/>
      <c r="QLA1697" s="90"/>
      <c r="QLB1697" s="90"/>
      <c r="QLC1697" s="90"/>
      <c r="QLD1697" s="90"/>
      <c r="QLE1697" s="90"/>
      <c r="QLF1697" s="90"/>
      <c r="QLG1697" s="90"/>
      <c r="QLH1697" s="90"/>
      <c r="QLI1697" s="90"/>
      <c r="QLJ1697" s="90"/>
      <c r="QLK1697" s="90"/>
      <c r="QLL1697" s="90"/>
      <c r="QLM1697" s="90"/>
      <c r="QLN1697" s="90"/>
      <c r="QLO1697" s="90"/>
      <c r="QLP1697" s="90"/>
      <c r="QLQ1697" s="90"/>
      <c r="QLR1697" s="90"/>
      <c r="QLS1697" s="90"/>
      <c r="QLT1697" s="90"/>
      <c r="QLU1697" s="90"/>
      <c r="QLV1697" s="90"/>
      <c r="QLW1697" s="90"/>
      <c r="QLX1697" s="90"/>
      <c r="QLY1697" s="90"/>
      <c r="QLZ1697" s="90"/>
      <c r="QMA1697" s="90"/>
      <c r="QMB1697" s="90"/>
      <c r="QMC1697" s="90"/>
      <c r="QMD1697" s="90"/>
      <c r="QME1697" s="90"/>
      <c r="QMF1697" s="90"/>
      <c r="QMG1697" s="90"/>
      <c r="QMH1697" s="90"/>
      <c r="QMI1697" s="90"/>
      <c r="QMJ1697" s="90"/>
      <c r="QMK1697" s="90"/>
      <c r="QML1697" s="90"/>
      <c r="QMM1697" s="90"/>
      <c r="QMN1697" s="90"/>
      <c r="QMO1697" s="90"/>
      <c r="QMP1697" s="90"/>
      <c r="QMQ1697" s="90"/>
      <c r="QMR1697" s="90"/>
      <c r="QMS1697" s="90"/>
      <c r="QMT1697" s="90"/>
      <c r="QMU1697" s="90"/>
      <c r="QMV1697" s="90"/>
      <c r="QMW1697" s="90"/>
      <c r="QMX1697" s="90"/>
      <c r="QMY1697" s="90"/>
      <c r="QMZ1697" s="90"/>
      <c r="QNA1697" s="90"/>
      <c r="QNB1697" s="90"/>
      <c r="QNC1697" s="90"/>
      <c r="QND1697" s="90"/>
      <c r="QNE1697" s="90"/>
      <c r="QNF1697" s="90"/>
      <c r="QNG1697" s="90"/>
      <c r="QNH1697" s="90"/>
      <c r="QNI1697" s="90"/>
      <c r="QNJ1697" s="90"/>
      <c r="QNK1697" s="90"/>
      <c r="QNL1697" s="90"/>
      <c r="QNM1697" s="90"/>
      <c r="QNN1697" s="90"/>
      <c r="QNO1697" s="90"/>
      <c r="QNP1697" s="90"/>
      <c r="QNQ1697" s="90"/>
      <c r="QNR1697" s="90"/>
      <c r="QNS1697" s="90"/>
      <c r="QNT1697" s="90"/>
      <c r="QNU1697" s="90"/>
      <c r="QNV1697" s="90"/>
      <c r="QNW1697" s="90"/>
      <c r="QNX1697" s="90"/>
      <c r="QNY1697" s="90"/>
      <c r="QNZ1697" s="90"/>
      <c r="QOA1697" s="90"/>
      <c r="QOB1697" s="90"/>
      <c r="QOC1697" s="90"/>
      <c r="QOD1697" s="90"/>
      <c r="QOE1697" s="90"/>
      <c r="QOF1697" s="90"/>
      <c r="QOG1697" s="90"/>
      <c r="QOH1697" s="90"/>
      <c r="QOI1697" s="90"/>
      <c r="QOJ1697" s="90"/>
      <c r="QOK1697" s="90"/>
      <c r="QOL1697" s="90"/>
      <c r="QOM1697" s="90"/>
      <c r="QON1697" s="90"/>
      <c r="QOO1697" s="90"/>
      <c r="QOP1697" s="90"/>
      <c r="QOQ1697" s="90"/>
      <c r="QOR1697" s="90"/>
      <c r="QOS1697" s="90"/>
      <c r="QOT1697" s="90"/>
      <c r="QOU1697" s="90"/>
      <c r="QOV1697" s="90"/>
      <c r="QOW1697" s="90"/>
      <c r="QOX1697" s="90"/>
      <c r="QOY1697" s="90"/>
      <c r="QOZ1697" s="90"/>
      <c r="QPA1697" s="90"/>
      <c r="QPB1697" s="90"/>
      <c r="QPC1697" s="90"/>
      <c r="QPD1697" s="90"/>
      <c r="QPE1697" s="90"/>
      <c r="QPF1697" s="90"/>
      <c r="QPG1697" s="90"/>
      <c r="QPH1697" s="90"/>
      <c r="QPI1697" s="90"/>
      <c r="QPJ1697" s="90"/>
      <c r="QPK1697" s="90"/>
      <c r="QPL1697" s="90"/>
      <c r="QPM1697" s="90"/>
      <c r="QPN1697" s="90"/>
      <c r="QPO1697" s="90"/>
      <c r="QPP1697" s="90"/>
      <c r="QPQ1697" s="90"/>
      <c r="QPR1697" s="90"/>
      <c r="QPS1697" s="90"/>
      <c r="QPT1697" s="90"/>
      <c r="QPU1697" s="90"/>
      <c r="QPV1697" s="90"/>
      <c r="QPW1697" s="90"/>
      <c r="QPX1697" s="90"/>
      <c r="QPY1697" s="90"/>
      <c r="QPZ1697" s="90"/>
      <c r="QQA1697" s="90"/>
      <c r="QQB1697" s="90"/>
      <c r="QQC1697" s="90"/>
      <c r="QQD1697" s="90"/>
      <c r="QQE1697" s="90"/>
      <c r="QQF1697" s="90"/>
      <c r="QQG1697" s="90"/>
      <c r="QQH1697" s="90"/>
      <c r="QQI1697" s="90"/>
      <c r="QQJ1697" s="90"/>
      <c r="QQK1697" s="90"/>
      <c r="QQL1697" s="90"/>
      <c r="QQM1697" s="90"/>
      <c r="QQN1697" s="90"/>
      <c r="QQO1697" s="90"/>
      <c r="QQP1697" s="90"/>
      <c r="QQQ1697" s="90"/>
      <c r="QQR1697" s="90"/>
      <c r="QQS1697" s="90"/>
      <c r="QQT1697" s="90"/>
      <c r="QQU1697" s="90"/>
      <c r="QQV1697" s="90"/>
      <c r="QQW1697" s="90"/>
      <c r="QQX1697" s="90"/>
      <c r="QQY1697" s="90"/>
      <c r="QQZ1697" s="90"/>
      <c r="QRA1697" s="90"/>
      <c r="QRB1697" s="90"/>
      <c r="QRC1697" s="90"/>
      <c r="QRD1697" s="90"/>
      <c r="QRE1697" s="90"/>
      <c r="QRF1697" s="90"/>
      <c r="QRG1697" s="90"/>
      <c r="QRH1697" s="90"/>
      <c r="QRI1697" s="90"/>
      <c r="QRJ1697" s="90"/>
      <c r="QRK1697" s="90"/>
      <c r="QRL1697" s="90"/>
      <c r="QRM1697" s="90"/>
      <c r="QRN1697" s="90"/>
      <c r="QRO1697" s="90"/>
      <c r="QRP1697" s="90"/>
      <c r="QRQ1697" s="90"/>
      <c r="QRR1697" s="90"/>
      <c r="QRS1697" s="90"/>
      <c r="QRT1697" s="90"/>
      <c r="QRU1697" s="90"/>
      <c r="QRV1697" s="90"/>
      <c r="QRW1697" s="90"/>
      <c r="QRX1697" s="90"/>
      <c r="QRY1697" s="90"/>
      <c r="QRZ1697" s="90"/>
      <c r="QSA1697" s="90"/>
      <c r="QSB1697" s="90"/>
      <c r="QSC1697" s="90"/>
      <c r="QSD1697" s="90"/>
      <c r="QSE1697" s="90"/>
      <c r="QSF1697" s="90"/>
      <c r="QSG1697" s="90"/>
      <c r="QSH1697" s="90"/>
      <c r="QSI1697" s="90"/>
      <c r="QSJ1697" s="90"/>
      <c r="QSK1697" s="90"/>
      <c r="QSL1697" s="90"/>
      <c r="QSM1697" s="90"/>
      <c r="QSN1697" s="90"/>
      <c r="QSO1697" s="90"/>
      <c r="QSP1697" s="90"/>
      <c r="QSQ1697" s="90"/>
      <c r="QSR1697" s="90"/>
      <c r="QSS1697" s="90"/>
      <c r="QST1697" s="90"/>
      <c r="QSU1697" s="90"/>
      <c r="QSV1697" s="90"/>
      <c r="QSW1697" s="90"/>
      <c r="QSX1697" s="90"/>
      <c r="QSY1697" s="90"/>
      <c r="QSZ1697" s="90"/>
      <c r="QTA1697" s="90"/>
      <c r="QTB1697" s="90"/>
      <c r="QTC1697" s="90"/>
      <c r="QTD1697" s="90"/>
      <c r="QTE1697" s="90"/>
      <c r="QTF1697" s="90"/>
      <c r="QTG1697" s="90"/>
      <c r="QTH1697" s="90"/>
      <c r="QTI1697" s="90"/>
      <c r="QTJ1697" s="90"/>
      <c r="QTK1697" s="90"/>
      <c r="QTL1697" s="90"/>
      <c r="QTM1697" s="90"/>
      <c r="QTN1697" s="90"/>
      <c r="QTO1697" s="90"/>
      <c r="QTP1697" s="90"/>
      <c r="QTQ1697" s="90"/>
      <c r="QTR1697" s="90"/>
      <c r="QTS1697" s="90"/>
      <c r="QTT1697" s="90"/>
      <c r="QTU1697" s="90"/>
      <c r="QTV1697" s="90"/>
      <c r="QTW1697" s="90"/>
      <c r="QTX1697" s="90"/>
      <c r="QTY1697" s="90"/>
      <c r="QTZ1697" s="90"/>
      <c r="QUA1697" s="90"/>
      <c r="QUB1697" s="90"/>
      <c r="QUC1697" s="90"/>
      <c r="QUD1697" s="90"/>
      <c r="QUE1697" s="90"/>
      <c r="QUF1697" s="90"/>
      <c r="QUG1697" s="90"/>
      <c r="QUH1697" s="90"/>
      <c r="QUI1697" s="90"/>
      <c r="QUJ1697" s="90"/>
      <c r="QUK1697" s="90"/>
      <c r="QUL1697" s="90"/>
      <c r="QUM1697" s="90"/>
      <c r="QUN1697" s="90"/>
      <c r="QUO1697" s="90"/>
      <c r="QUP1697" s="90"/>
      <c r="QUQ1697" s="90"/>
      <c r="QUR1697" s="90"/>
      <c r="QUS1697" s="90"/>
      <c r="QUT1697" s="90"/>
      <c r="QUU1697" s="90"/>
      <c r="QUV1697" s="90"/>
      <c r="QUW1697" s="90"/>
      <c r="QUX1697" s="90"/>
      <c r="QUY1697" s="90"/>
      <c r="QUZ1697" s="90"/>
      <c r="QVA1697" s="90"/>
      <c r="QVB1697" s="90"/>
      <c r="QVC1697" s="90"/>
      <c r="QVD1697" s="90"/>
      <c r="QVE1697" s="90"/>
      <c r="QVF1697" s="90"/>
      <c r="QVG1697" s="90"/>
      <c r="QVH1697" s="90"/>
      <c r="QVI1697" s="90"/>
      <c r="QVJ1697" s="90"/>
      <c r="QVK1697" s="90"/>
      <c r="QVL1697" s="90"/>
      <c r="QVM1697" s="90"/>
      <c r="QVN1697" s="90"/>
      <c r="QVO1697" s="90"/>
      <c r="QVP1697" s="90"/>
      <c r="QVQ1697" s="90"/>
      <c r="QVR1697" s="90"/>
      <c r="QVS1697" s="90"/>
      <c r="QVT1697" s="90"/>
      <c r="QVU1697" s="90"/>
      <c r="QVV1697" s="90"/>
      <c r="QVW1697" s="90"/>
      <c r="QVX1697" s="90"/>
      <c r="QVY1697" s="90"/>
      <c r="QVZ1697" s="90"/>
      <c r="QWA1697" s="90"/>
      <c r="QWB1697" s="90"/>
      <c r="QWC1697" s="90"/>
      <c r="QWD1697" s="90"/>
      <c r="QWE1697" s="90"/>
      <c r="QWF1697" s="90"/>
      <c r="QWG1697" s="90"/>
      <c r="QWH1697" s="90"/>
      <c r="QWI1697" s="90"/>
      <c r="QWJ1697" s="90"/>
      <c r="QWK1697" s="90"/>
      <c r="QWL1697" s="90"/>
      <c r="QWM1697" s="90"/>
      <c r="QWN1697" s="90"/>
      <c r="QWO1697" s="90"/>
      <c r="QWP1697" s="90"/>
      <c r="QWQ1697" s="90"/>
      <c r="QWR1697" s="90"/>
      <c r="QWS1697" s="90"/>
      <c r="QWT1697" s="90"/>
      <c r="QWU1697" s="90"/>
      <c r="QWV1697" s="90"/>
      <c r="QWW1697" s="90"/>
      <c r="QWX1697" s="90"/>
      <c r="QWY1697" s="90"/>
      <c r="QWZ1697" s="90"/>
      <c r="QXA1697" s="90"/>
      <c r="QXB1697" s="90"/>
      <c r="QXC1697" s="90"/>
      <c r="QXD1697" s="90"/>
      <c r="QXE1697" s="90"/>
      <c r="QXF1697" s="90"/>
      <c r="QXG1697" s="90"/>
      <c r="QXH1697" s="90"/>
      <c r="QXI1697" s="90"/>
      <c r="QXJ1697" s="90"/>
      <c r="QXK1697" s="90"/>
      <c r="QXL1697" s="90"/>
      <c r="QXM1697" s="90"/>
      <c r="QXN1697" s="90"/>
      <c r="QXO1697" s="90"/>
      <c r="QXP1697" s="90"/>
      <c r="QXQ1697" s="90"/>
      <c r="QXR1697" s="90"/>
      <c r="QXS1697" s="90"/>
      <c r="QXT1697" s="90"/>
      <c r="QXU1697" s="90"/>
      <c r="QXV1697" s="90"/>
      <c r="QXW1697" s="90"/>
      <c r="QXX1697" s="90"/>
      <c r="QXY1697" s="90"/>
      <c r="QXZ1697" s="90"/>
      <c r="QYA1697" s="90"/>
      <c r="QYB1697" s="90"/>
      <c r="QYC1697" s="90"/>
      <c r="QYD1697" s="90"/>
      <c r="QYE1697" s="90"/>
      <c r="QYF1697" s="90"/>
      <c r="QYG1697" s="90"/>
      <c r="QYH1697" s="90"/>
      <c r="QYI1697" s="90"/>
      <c r="QYJ1697" s="90"/>
      <c r="QYK1697" s="90"/>
      <c r="QYL1697" s="90"/>
      <c r="QYM1697" s="90"/>
      <c r="QYN1697" s="90"/>
      <c r="QYO1697" s="90"/>
      <c r="QYP1697" s="90"/>
      <c r="QYQ1697" s="90"/>
      <c r="QYR1697" s="90"/>
      <c r="QYS1697" s="90"/>
      <c r="QYT1697" s="90"/>
      <c r="QYU1697" s="90"/>
      <c r="QYV1697" s="90"/>
      <c r="QYW1697" s="90"/>
      <c r="QYX1697" s="90"/>
      <c r="QYY1697" s="90"/>
      <c r="QYZ1697" s="90"/>
      <c r="QZA1697" s="90"/>
      <c r="QZB1697" s="90"/>
      <c r="QZC1697" s="90"/>
      <c r="QZD1697" s="90"/>
      <c r="QZE1697" s="90"/>
      <c r="QZF1697" s="90"/>
      <c r="QZG1697" s="90"/>
      <c r="QZH1697" s="90"/>
      <c r="QZI1697" s="90"/>
      <c r="QZJ1697" s="90"/>
      <c r="QZK1697" s="90"/>
      <c r="QZL1697" s="90"/>
      <c r="QZM1697" s="90"/>
      <c r="QZN1697" s="90"/>
      <c r="QZO1697" s="90"/>
      <c r="QZP1697" s="90"/>
      <c r="QZQ1697" s="90"/>
      <c r="QZR1697" s="90"/>
      <c r="QZS1697" s="90"/>
      <c r="QZT1697" s="90"/>
      <c r="QZU1697" s="90"/>
      <c r="QZV1697" s="90"/>
      <c r="QZW1697" s="90"/>
      <c r="QZX1697" s="90"/>
      <c r="QZY1697" s="90"/>
      <c r="QZZ1697" s="90"/>
      <c r="RAA1697" s="90"/>
      <c r="RAB1697" s="90"/>
      <c r="RAC1697" s="90"/>
      <c r="RAD1697" s="90"/>
      <c r="RAE1697" s="90"/>
      <c r="RAF1697" s="90"/>
      <c r="RAG1697" s="90"/>
      <c r="RAH1697" s="90"/>
      <c r="RAI1697" s="90"/>
      <c r="RAJ1697" s="90"/>
      <c r="RAK1697" s="90"/>
      <c r="RAL1697" s="90"/>
      <c r="RAM1697" s="90"/>
      <c r="RAN1697" s="90"/>
      <c r="RAO1697" s="90"/>
      <c r="RAP1697" s="90"/>
      <c r="RAQ1697" s="90"/>
      <c r="RAR1697" s="90"/>
      <c r="RAS1697" s="90"/>
      <c r="RAT1697" s="90"/>
      <c r="RAU1697" s="90"/>
      <c r="RAV1697" s="90"/>
      <c r="RAW1697" s="90"/>
      <c r="RAX1697" s="90"/>
      <c r="RAY1697" s="90"/>
      <c r="RAZ1697" s="90"/>
      <c r="RBA1697" s="90"/>
      <c r="RBB1697" s="90"/>
      <c r="RBC1697" s="90"/>
      <c r="RBD1697" s="90"/>
      <c r="RBE1697" s="90"/>
      <c r="RBF1697" s="90"/>
      <c r="RBG1697" s="90"/>
      <c r="RBH1697" s="90"/>
      <c r="RBI1697" s="90"/>
      <c r="RBJ1697" s="90"/>
      <c r="RBK1697" s="90"/>
      <c r="RBL1697" s="90"/>
      <c r="RBM1697" s="90"/>
      <c r="RBN1697" s="90"/>
      <c r="RBO1697" s="90"/>
      <c r="RBP1697" s="90"/>
      <c r="RBQ1697" s="90"/>
      <c r="RBR1697" s="90"/>
      <c r="RBS1697" s="90"/>
      <c r="RBT1697" s="90"/>
      <c r="RBU1697" s="90"/>
      <c r="RBV1697" s="90"/>
      <c r="RBW1697" s="90"/>
      <c r="RBX1697" s="90"/>
      <c r="RBY1697" s="90"/>
      <c r="RBZ1697" s="90"/>
      <c r="RCA1697" s="90"/>
      <c r="RCB1697" s="90"/>
      <c r="RCC1697" s="90"/>
      <c r="RCD1697" s="90"/>
      <c r="RCE1697" s="90"/>
      <c r="RCF1697" s="90"/>
      <c r="RCG1697" s="90"/>
      <c r="RCH1697" s="90"/>
      <c r="RCI1697" s="90"/>
      <c r="RCJ1697" s="90"/>
      <c r="RCK1697" s="90"/>
      <c r="RCL1697" s="90"/>
      <c r="RCM1697" s="90"/>
      <c r="RCN1697" s="90"/>
      <c r="RCO1697" s="90"/>
      <c r="RCP1697" s="90"/>
      <c r="RCQ1697" s="90"/>
      <c r="RCR1697" s="90"/>
      <c r="RCS1697" s="90"/>
      <c r="RCT1697" s="90"/>
      <c r="RCU1697" s="90"/>
      <c r="RCV1697" s="90"/>
      <c r="RCW1697" s="90"/>
      <c r="RCX1697" s="90"/>
      <c r="RCY1697" s="90"/>
      <c r="RCZ1697" s="90"/>
      <c r="RDA1697" s="90"/>
      <c r="RDB1697" s="90"/>
      <c r="RDC1697" s="90"/>
      <c r="RDD1697" s="90"/>
      <c r="RDE1697" s="90"/>
      <c r="RDF1697" s="90"/>
      <c r="RDG1697" s="90"/>
      <c r="RDH1697" s="90"/>
      <c r="RDI1697" s="90"/>
      <c r="RDJ1697" s="90"/>
      <c r="RDK1697" s="90"/>
      <c r="RDL1697" s="90"/>
      <c r="RDM1697" s="90"/>
      <c r="RDN1697" s="90"/>
      <c r="RDO1697" s="90"/>
      <c r="RDP1697" s="90"/>
      <c r="RDQ1697" s="90"/>
      <c r="RDR1697" s="90"/>
      <c r="RDS1697" s="90"/>
      <c r="RDT1697" s="90"/>
      <c r="RDU1697" s="90"/>
      <c r="RDV1697" s="90"/>
      <c r="RDW1697" s="90"/>
      <c r="RDX1697" s="90"/>
      <c r="RDY1697" s="90"/>
      <c r="RDZ1697" s="90"/>
      <c r="REA1697" s="90"/>
      <c r="REB1697" s="90"/>
      <c r="REC1697" s="90"/>
      <c r="RED1697" s="90"/>
      <c r="REE1697" s="90"/>
      <c r="REF1697" s="90"/>
      <c r="REG1697" s="90"/>
      <c r="REH1697" s="90"/>
      <c r="REI1697" s="90"/>
      <c r="REJ1697" s="90"/>
      <c r="REK1697" s="90"/>
      <c r="REL1697" s="90"/>
      <c r="REM1697" s="90"/>
      <c r="REN1697" s="90"/>
      <c r="REO1697" s="90"/>
      <c r="REP1697" s="90"/>
      <c r="REQ1697" s="90"/>
      <c r="RER1697" s="90"/>
      <c r="RES1697" s="90"/>
      <c r="RET1697" s="90"/>
      <c r="REU1697" s="90"/>
      <c r="REV1697" s="90"/>
      <c r="REW1697" s="90"/>
      <c r="REX1697" s="90"/>
      <c r="REY1697" s="90"/>
      <c r="REZ1697" s="90"/>
      <c r="RFA1697" s="90"/>
      <c r="RFB1697" s="90"/>
      <c r="RFC1697" s="90"/>
      <c r="RFD1697" s="90"/>
      <c r="RFE1697" s="90"/>
      <c r="RFF1697" s="90"/>
      <c r="RFG1697" s="90"/>
      <c r="RFH1697" s="90"/>
      <c r="RFI1697" s="90"/>
      <c r="RFJ1697" s="90"/>
      <c r="RFK1697" s="90"/>
      <c r="RFL1697" s="90"/>
      <c r="RFM1697" s="90"/>
      <c r="RFN1697" s="90"/>
      <c r="RFO1697" s="90"/>
      <c r="RFP1697" s="90"/>
      <c r="RFQ1697" s="90"/>
      <c r="RFR1697" s="90"/>
      <c r="RFS1697" s="90"/>
      <c r="RFT1697" s="90"/>
      <c r="RFU1697" s="90"/>
      <c r="RFV1697" s="90"/>
      <c r="RFW1697" s="90"/>
      <c r="RFX1697" s="90"/>
      <c r="RFY1697" s="90"/>
      <c r="RFZ1697" s="90"/>
      <c r="RGA1697" s="90"/>
      <c r="RGB1697" s="90"/>
      <c r="RGC1697" s="90"/>
      <c r="RGD1697" s="90"/>
      <c r="RGE1697" s="90"/>
      <c r="RGF1697" s="90"/>
      <c r="RGG1697" s="90"/>
      <c r="RGH1697" s="90"/>
      <c r="RGI1697" s="90"/>
      <c r="RGJ1697" s="90"/>
      <c r="RGK1697" s="90"/>
      <c r="RGL1697" s="90"/>
      <c r="RGM1697" s="90"/>
      <c r="RGN1697" s="90"/>
      <c r="RGO1697" s="90"/>
      <c r="RGP1697" s="90"/>
      <c r="RGQ1697" s="90"/>
      <c r="RGR1697" s="90"/>
      <c r="RGS1697" s="90"/>
      <c r="RGT1697" s="90"/>
      <c r="RGU1697" s="90"/>
      <c r="RGV1697" s="90"/>
      <c r="RGW1697" s="90"/>
      <c r="RGX1697" s="90"/>
      <c r="RGY1697" s="90"/>
      <c r="RGZ1697" s="90"/>
      <c r="RHA1697" s="90"/>
      <c r="RHB1697" s="90"/>
      <c r="RHC1697" s="90"/>
      <c r="RHD1697" s="90"/>
      <c r="RHE1697" s="90"/>
      <c r="RHF1697" s="90"/>
      <c r="RHG1697" s="90"/>
      <c r="RHH1697" s="90"/>
      <c r="RHI1697" s="90"/>
      <c r="RHJ1697" s="90"/>
      <c r="RHK1697" s="90"/>
      <c r="RHL1697" s="90"/>
      <c r="RHM1697" s="90"/>
      <c r="RHN1697" s="90"/>
      <c r="RHO1697" s="90"/>
      <c r="RHP1697" s="90"/>
      <c r="RHQ1697" s="90"/>
      <c r="RHR1697" s="90"/>
      <c r="RHS1697" s="90"/>
      <c r="RHT1697" s="90"/>
      <c r="RHU1697" s="90"/>
      <c r="RHV1697" s="90"/>
      <c r="RHW1697" s="90"/>
      <c r="RHX1697" s="90"/>
      <c r="RHY1697" s="90"/>
      <c r="RHZ1697" s="90"/>
      <c r="RIA1697" s="90"/>
      <c r="RIB1697" s="90"/>
      <c r="RIC1697" s="90"/>
      <c r="RID1697" s="90"/>
      <c r="RIE1697" s="90"/>
      <c r="RIF1697" s="90"/>
      <c r="RIG1697" s="90"/>
      <c r="RIH1697" s="90"/>
      <c r="RII1697" s="90"/>
      <c r="RIJ1697" s="90"/>
      <c r="RIK1697" s="90"/>
      <c r="RIL1697" s="90"/>
      <c r="RIM1697" s="90"/>
      <c r="RIN1697" s="90"/>
      <c r="RIO1697" s="90"/>
      <c r="RIP1697" s="90"/>
      <c r="RIQ1697" s="90"/>
      <c r="RIR1697" s="90"/>
      <c r="RIS1697" s="90"/>
      <c r="RIT1697" s="90"/>
      <c r="RIU1697" s="90"/>
      <c r="RIV1697" s="90"/>
      <c r="RIW1697" s="90"/>
      <c r="RIX1697" s="90"/>
      <c r="RIY1697" s="90"/>
      <c r="RIZ1697" s="90"/>
      <c r="RJA1697" s="90"/>
      <c r="RJB1697" s="90"/>
      <c r="RJC1697" s="90"/>
      <c r="RJD1697" s="90"/>
      <c r="RJE1697" s="90"/>
      <c r="RJF1697" s="90"/>
      <c r="RJG1697" s="90"/>
      <c r="RJH1697" s="90"/>
      <c r="RJI1697" s="90"/>
      <c r="RJJ1697" s="90"/>
      <c r="RJK1697" s="90"/>
      <c r="RJL1697" s="90"/>
      <c r="RJM1697" s="90"/>
      <c r="RJN1697" s="90"/>
      <c r="RJO1697" s="90"/>
      <c r="RJP1697" s="90"/>
      <c r="RJQ1697" s="90"/>
      <c r="RJR1697" s="90"/>
      <c r="RJS1697" s="90"/>
      <c r="RJT1697" s="90"/>
      <c r="RJU1697" s="90"/>
      <c r="RJV1697" s="90"/>
      <c r="RJW1697" s="90"/>
      <c r="RJX1697" s="90"/>
      <c r="RJY1697" s="90"/>
      <c r="RJZ1697" s="90"/>
      <c r="RKA1697" s="90"/>
      <c r="RKB1697" s="90"/>
      <c r="RKC1697" s="90"/>
      <c r="RKD1697" s="90"/>
      <c r="RKE1697" s="90"/>
      <c r="RKF1697" s="90"/>
      <c r="RKG1697" s="90"/>
      <c r="RKH1697" s="90"/>
      <c r="RKI1697" s="90"/>
      <c r="RKJ1697" s="90"/>
      <c r="RKK1697" s="90"/>
      <c r="RKL1697" s="90"/>
      <c r="RKM1697" s="90"/>
      <c r="RKN1697" s="90"/>
      <c r="RKO1697" s="90"/>
      <c r="RKP1697" s="90"/>
      <c r="RKQ1697" s="90"/>
      <c r="RKR1697" s="90"/>
      <c r="RKS1697" s="90"/>
      <c r="RKT1697" s="90"/>
      <c r="RKU1697" s="90"/>
      <c r="RKV1697" s="90"/>
      <c r="RKW1697" s="90"/>
      <c r="RKX1697" s="90"/>
      <c r="RKY1697" s="90"/>
      <c r="RKZ1697" s="90"/>
      <c r="RLA1697" s="90"/>
      <c r="RLB1697" s="90"/>
      <c r="RLC1697" s="90"/>
      <c r="RLD1697" s="90"/>
      <c r="RLE1697" s="90"/>
      <c r="RLF1697" s="90"/>
      <c r="RLG1697" s="90"/>
      <c r="RLH1697" s="90"/>
      <c r="RLI1697" s="90"/>
      <c r="RLJ1697" s="90"/>
      <c r="RLK1697" s="90"/>
      <c r="RLL1697" s="90"/>
      <c r="RLM1697" s="90"/>
      <c r="RLN1697" s="90"/>
      <c r="RLO1697" s="90"/>
      <c r="RLP1697" s="90"/>
      <c r="RLQ1697" s="90"/>
      <c r="RLR1697" s="90"/>
      <c r="RLS1697" s="90"/>
      <c r="RLT1697" s="90"/>
      <c r="RLU1697" s="90"/>
      <c r="RLV1697" s="90"/>
      <c r="RLW1697" s="90"/>
      <c r="RLX1697" s="90"/>
      <c r="RLY1697" s="90"/>
      <c r="RLZ1697" s="90"/>
      <c r="RMA1697" s="90"/>
      <c r="RMB1697" s="90"/>
      <c r="RMC1697" s="90"/>
      <c r="RMD1697" s="90"/>
      <c r="RME1697" s="90"/>
      <c r="RMF1697" s="90"/>
      <c r="RMG1697" s="90"/>
      <c r="RMH1697" s="90"/>
      <c r="RMI1697" s="90"/>
      <c r="RMJ1697" s="90"/>
      <c r="RMK1697" s="90"/>
      <c r="RML1697" s="90"/>
      <c r="RMM1697" s="90"/>
      <c r="RMN1697" s="90"/>
      <c r="RMO1697" s="90"/>
      <c r="RMP1697" s="90"/>
      <c r="RMQ1697" s="90"/>
      <c r="RMR1697" s="90"/>
      <c r="RMS1697" s="90"/>
      <c r="RMT1697" s="90"/>
      <c r="RMU1697" s="90"/>
      <c r="RMV1697" s="90"/>
      <c r="RMW1697" s="90"/>
      <c r="RMX1697" s="90"/>
      <c r="RMY1697" s="90"/>
      <c r="RMZ1697" s="90"/>
      <c r="RNA1697" s="90"/>
      <c r="RNB1697" s="90"/>
      <c r="RNC1697" s="90"/>
      <c r="RND1697" s="90"/>
      <c r="RNE1697" s="90"/>
      <c r="RNF1697" s="90"/>
      <c r="RNG1697" s="90"/>
      <c r="RNH1697" s="90"/>
      <c r="RNI1697" s="90"/>
      <c r="RNJ1697" s="90"/>
      <c r="RNK1697" s="90"/>
      <c r="RNL1697" s="90"/>
      <c r="RNM1697" s="90"/>
      <c r="RNN1697" s="90"/>
      <c r="RNO1697" s="90"/>
      <c r="RNP1697" s="90"/>
      <c r="RNQ1697" s="90"/>
      <c r="RNR1697" s="90"/>
      <c r="RNS1697" s="90"/>
      <c r="RNT1697" s="90"/>
      <c r="RNU1697" s="90"/>
      <c r="RNV1697" s="90"/>
      <c r="RNW1697" s="90"/>
      <c r="RNX1697" s="90"/>
      <c r="RNY1697" s="90"/>
      <c r="RNZ1697" s="90"/>
      <c r="ROA1697" s="90"/>
      <c r="ROB1697" s="90"/>
      <c r="ROC1697" s="90"/>
      <c r="ROD1697" s="90"/>
      <c r="ROE1697" s="90"/>
      <c r="ROF1697" s="90"/>
      <c r="ROG1697" s="90"/>
      <c r="ROH1697" s="90"/>
      <c r="ROI1697" s="90"/>
      <c r="ROJ1697" s="90"/>
      <c r="ROK1697" s="90"/>
      <c r="ROL1697" s="90"/>
      <c r="ROM1697" s="90"/>
      <c r="RON1697" s="90"/>
      <c r="ROO1697" s="90"/>
      <c r="ROP1697" s="90"/>
      <c r="ROQ1697" s="90"/>
      <c r="ROR1697" s="90"/>
      <c r="ROS1697" s="90"/>
      <c r="ROT1697" s="90"/>
      <c r="ROU1697" s="90"/>
      <c r="ROV1697" s="90"/>
      <c r="ROW1697" s="90"/>
      <c r="ROX1697" s="90"/>
      <c r="ROY1697" s="90"/>
      <c r="ROZ1697" s="90"/>
      <c r="RPA1697" s="90"/>
      <c r="RPB1697" s="90"/>
      <c r="RPC1697" s="90"/>
      <c r="RPD1697" s="90"/>
      <c r="RPE1697" s="90"/>
      <c r="RPF1697" s="90"/>
      <c r="RPG1697" s="90"/>
      <c r="RPH1697" s="90"/>
      <c r="RPI1697" s="90"/>
      <c r="RPJ1697" s="90"/>
      <c r="RPK1697" s="90"/>
      <c r="RPL1697" s="90"/>
      <c r="RPM1697" s="90"/>
      <c r="RPN1697" s="90"/>
      <c r="RPO1697" s="90"/>
      <c r="RPP1697" s="90"/>
      <c r="RPQ1697" s="90"/>
      <c r="RPR1697" s="90"/>
      <c r="RPS1697" s="90"/>
      <c r="RPT1697" s="90"/>
      <c r="RPU1697" s="90"/>
      <c r="RPV1697" s="90"/>
      <c r="RPW1697" s="90"/>
      <c r="RPX1697" s="90"/>
      <c r="RPY1697" s="90"/>
      <c r="RPZ1697" s="90"/>
      <c r="RQA1697" s="90"/>
      <c r="RQB1697" s="90"/>
      <c r="RQC1697" s="90"/>
      <c r="RQD1697" s="90"/>
      <c r="RQE1697" s="90"/>
      <c r="RQF1697" s="90"/>
      <c r="RQG1697" s="90"/>
      <c r="RQH1697" s="90"/>
      <c r="RQI1697" s="90"/>
      <c r="RQJ1697" s="90"/>
      <c r="RQK1697" s="90"/>
      <c r="RQL1697" s="90"/>
      <c r="RQM1697" s="90"/>
      <c r="RQN1697" s="90"/>
      <c r="RQO1697" s="90"/>
      <c r="RQP1697" s="90"/>
      <c r="RQQ1697" s="90"/>
      <c r="RQR1697" s="90"/>
      <c r="RQS1697" s="90"/>
      <c r="RQT1697" s="90"/>
      <c r="RQU1697" s="90"/>
      <c r="RQV1697" s="90"/>
      <c r="RQW1697" s="90"/>
      <c r="RQX1697" s="90"/>
      <c r="RQY1697" s="90"/>
      <c r="RQZ1697" s="90"/>
      <c r="RRA1697" s="90"/>
      <c r="RRB1697" s="90"/>
      <c r="RRC1697" s="90"/>
      <c r="RRD1697" s="90"/>
      <c r="RRE1697" s="90"/>
      <c r="RRF1697" s="90"/>
      <c r="RRG1697" s="90"/>
      <c r="RRH1697" s="90"/>
      <c r="RRI1697" s="90"/>
      <c r="RRJ1697" s="90"/>
      <c r="RRK1697" s="90"/>
      <c r="RRL1697" s="90"/>
      <c r="RRM1697" s="90"/>
      <c r="RRN1697" s="90"/>
      <c r="RRO1697" s="90"/>
      <c r="RRP1697" s="90"/>
      <c r="RRQ1697" s="90"/>
      <c r="RRR1697" s="90"/>
      <c r="RRS1697" s="90"/>
      <c r="RRT1697" s="90"/>
      <c r="RRU1697" s="90"/>
      <c r="RRV1697" s="90"/>
      <c r="RRW1697" s="90"/>
      <c r="RRX1697" s="90"/>
      <c r="RRY1697" s="90"/>
      <c r="RRZ1697" s="90"/>
      <c r="RSA1697" s="90"/>
      <c r="RSB1697" s="90"/>
      <c r="RSC1697" s="90"/>
      <c r="RSD1697" s="90"/>
      <c r="RSE1697" s="90"/>
      <c r="RSF1697" s="90"/>
      <c r="RSG1697" s="90"/>
      <c r="RSH1697" s="90"/>
      <c r="RSI1697" s="90"/>
      <c r="RSJ1697" s="90"/>
      <c r="RSK1697" s="90"/>
      <c r="RSL1697" s="90"/>
      <c r="RSM1697" s="90"/>
      <c r="RSN1697" s="90"/>
      <c r="RSO1697" s="90"/>
      <c r="RSP1697" s="90"/>
      <c r="RSQ1697" s="90"/>
      <c r="RSR1697" s="90"/>
      <c r="RSS1697" s="90"/>
      <c r="RST1697" s="90"/>
      <c r="RSU1697" s="90"/>
      <c r="RSV1697" s="90"/>
      <c r="RSW1697" s="90"/>
      <c r="RSX1697" s="90"/>
      <c r="RSY1697" s="90"/>
      <c r="RSZ1697" s="90"/>
      <c r="RTA1697" s="90"/>
      <c r="RTB1697" s="90"/>
      <c r="RTC1697" s="90"/>
      <c r="RTD1697" s="90"/>
      <c r="RTE1697" s="90"/>
      <c r="RTF1697" s="90"/>
      <c r="RTG1697" s="90"/>
      <c r="RTH1697" s="90"/>
      <c r="RTI1697" s="90"/>
      <c r="RTJ1697" s="90"/>
      <c r="RTK1697" s="90"/>
      <c r="RTL1697" s="90"/>
      <c r="RTM1697" s="90"/>
      <c r="RTN1697" s="90"/>
      <c r="RTO1697" s="90"/>
      <c r="RTP1697" s="90"/>
      <c r="RTQ1697" s="90"/>
      <c r="RTR1697" s="90"/>
      <c r="RTS1697" s="90"/>
      <c r="RTT1697" s="90"/>
      <c r="RTU1697" s="90"/>
      <c r="RTV1697" s="90"/>
      <c r="RTW1697" s="90"/>
      <c r="RTX1697" s="90"/>
      <c r="RTY1697" s="90"/>
      <c r="RTZ1697" s="90"/>
      <c r="RUA1697" s="90"/>
      <c r="RUB1697" s="90"/>
      <c r="RUC1697" s="90"/>
      <c r="RUD1697" s="90"/>
      <c r="RUE1697" s="90"/>
      <c r="RUF1697" s="90"/>
      <c r="RUG1697" s="90"/>
      <c r="RUH1697" s="90"/>
      <c r="RUI1697" s="90"/>
      <c r="RUJ1697" s="90"/>
      <c r="RUK1697" s="90"/>
      <c r="RUL1697" s="90"/>
      <c r="RUM1697" s="90"/>
      <c r="RUN1697" s="90"/>
      <c r="RUO1697" s="90"/>
      <c r="RUP1697" s="90"/>
      <c r="RUQ1697" s="90"/>
      <c r="RUR1697" s="90"/>
      <c r="RUS1697" s="90"/>
      <c r="RUT1697" s="90"/>
      <c r="RUU1697" s="90"/>
      <c r="RUV1697" s="90"/>
      <c r="RUW1697" s="90"/>
      <c r="RUX1697" s="90"/>
      <c r="RUY1697" s="90"/>
      <c r="RUZ1697" s="90"/>
      <c r="RVA1697" s="90"/>
      <c r="RVB1697" s="90"/>
      <c r="RVC1697" s="90"/>
      <c r="RVD1697" s="90"/>
      <c r="RVE1697" s="90"/>
      <c r="RVF1697" s="90"/>
      <c r="RVG1697" s="90"/>
      <c r="RVH1697" s="90"/>
      <c r="RVI1697" s="90"/>
      <c r="RVJ1697" s="90"/>
      <c r="RVK1697" s="90"/>
      <c r="RVL1697" s="90"/>
      <c r="RVM1697" s="90"/>
      <c r="RVN1697" s="90"/>
      <c r="RVO1697" s="90"/>
      <c r="RVP1697" s="90"/>
      <c r="RVQ1697" s="90"/>
      <c r="RVR1697" s="90"/>
      <c r="RVS1697" s="90"/>
      <c r="RVT1697" s="90"/>
      <c r="RVU1697" s="90"/>
      <c r="RVV1697" s="90"/>
      <c r="RVW1697" s="90"/>
      <c r="RVX1697" s="90"/>
      <c r="RVY1697" s="90"/>
      <c r="RVZ1697" s="90"/>
      <c r="RWA1697" s="90"/>
      <c r="RWB1697" s="90"/>
      <c r="RWC1697" s="90"/>
      <c r="RWD1697" s="90"/>
      <c r="RWE1697" s="90"/>
      <c r="RWF1697" s="90"/>
      <c r="RWG1697" s="90"/>
      <c r="RWH1697" s="90"/>
      <c r="RWI1697" s="90"/>
      <c r="RWJ1697" s="90"/>
      <c r="RWK1697" s="90"/>
      <c r="RWL1697" s="90"/>
      <c r="RWM1697" s="90"/>
      <c r="RWN1697" s="90"/>
      <c r="RWO1697" s="90"/>
      <c r="RWP1697" s="90"/>
      <c r="RWQ1697" s="90"/>
      <c r="RWR1697" s="90"/>
      <c r="RWS1697" s="90"/>
      <c r="RWT1697" s="90"/>
      <c r="RWU1697" s="90"/>
      <c r="RWV1697" s="90"/>
      <c r="RWW1697" s="90"/>
      <c r="RWX1697" s="90"/>
      <c r="RWY1697" s="90"/>
      <c r="RWZ1697" s="90"/>
      <c r="RXA1697" s="90"/>
      <c r="RXB1697" s="90"/>
      <c r="RXC1697" s="90"/>
      <c r="RXD1697" s="90"/>
      <c r="RXE1697" s="90"/>
      <c r="RXF1697" s="90"/>
      <c r="RXG1697" s="90"/>
      <c r="RXH1697" s="90"/>
      <c r="RXI1697" s="90"/>
      <c r="RXJ1697" s="90"/>
      <c r="RXK1697" s="90"/>
      <c r="RXL1697" s="90"/>
      <c r="RXM1697" s="90"/>
      <c r="RXN1697" s="90"/>
      <c r="RXO1697" s="90"/>
      <c r="RXP1697" s="90"/>
      <c r="RXQ1697" s="90"/>
      <c r="RXR1697" s="90"/>
      <c r="RXS1697" s="90"/>
      <c r="RXT1697" s="90"/>
      <c r="RXU1697" s="90"/>
      <c r="RXV1697" s="90"/>
      <c r="RXW1697" s="90"/>
      <c r="RXX1697" s="90"/>
      <c r="RXY1697" s="90"/>
      <c r="RXZ1697" s="90"/>
      <c r="RYA1697" s="90"/>
      <c r="RYB1697" s="90"/>
      <c r="RYC1697" s="90"/>
      <c r="RYD1697" s="90"/>
      <c r="RYE1697" s="90"/>
      <c r="RYF1697" s="90"/>
      <c r="RYG1697" s="90"/>
      <c r="RYH1697" s="90"/>
      <c r="RYI1697" s="90"/>
      <c r="RYJ1697" s="90"/>
      <c r="RYK1697" s="90"/>
      <c r="RYL1697" s="90"/>
      <c r="RYM1697" s="90"/>
      <c r="RYN1697" s="90"/>
      <c r="RYO1697" s="90"/>
      <c r="RYP1697" s="90"/>
      <c r="RYQ1697" s="90"/>
      <c r="RYR1697" s="90"/>
      <c r="RYS1697" s="90"/>
      <c r="RYT1697" s="90"/>
      <c r="RYU1697" s="90"/>
      <c r="RYV1697" s="90"/>
      <c r="RYW1697" s="90"/>
      <c r="RYX1697" s="90"/>
      <c r="RYY1697" s="90"/>
      <c r="RYZ1697" s="90"/>
      <c r="RZA1697" s="90"/>
      <c r="RZB1697" s="90"/>
      <c r="RZC1697" s="90"/>
      <c r="RZD1697" s="90"/>
      <c r="RZE1697" s="90"/>
      <c r="RZF1697" s="90"/>
      <c r="RZG1697" s="90"/>
      <c r="RZH1697" s="90"/>
      <c r="RZI1697" s="90"/>
      <c r="RZJ1697" s="90"/>
      <c r="RZK1697" s="90"/>
      <c r="RZL1697" s="90"/>
      <c r="RZM1697" s="90"/>
      <c r="RZN1697" s="90"/>
      <c r="RZO1697" s="90"/>
      <c r="RZP1697" s="90"/>
      <c r="RZQ1697" s="90"/>
      <c r="RZR1697" s="90"/>
      <c r="RZS1697" s="90"/>
      <c r="RZT1697" s="90"/>
      <c r="RZU1697" s="90"/>
      <c r="RZV1697" s="90"/>
      <c r="RZW1697" s="90"/>
      <c r="RZX1697" s="90"/>
      <c r="RZY1697" s="90"/>
      <c r="RZZ1697" s="90"/>
      <c r="SAA1697" s="90"/>
      <c r="SAB1697" s="90"/>
      <c r="SAC1697" s="90"/>
      <c r="SAD1697" s="90"/>
      <c r="SAE1697" s="90"/>
      <c r="SAF1697" s="90"/>
      <c r="SAG1697" s="90"/>
      <c r="SAH1697" s="90"/>
      <c r="SAI1697" s="90"/>
      <c r="SAJ1697" s="90"/>
      <c r="SAK1697" s="90"/>
      <c r="SAL1697" s="90"/>
      <c r="SAM1697" s="90"/>
      <c r="SAN1697" s="90"/>
      <c r="SAO1697" s="90"/>
      <c r="SAP1697" s="90"/>
      <c r="SAQ1697" s="90"/>
      <c r="SAR1697" s="90"/>
      <c r="SAS1697" s="90"/>
      <c r="SAT1697" s="90"/>
      <c r="SAU1697" s="90"/>
      <c r="SAV1697" s="90"/>
      <c r="SAW1697" s="90"/>
      <c r="SAX1697" s="90"/>
      <c r="SAY1697" s="90"/>
      <c r="SAZ1697" s="90"/>
      <c r="SBA1697" s="90"/>
      <c r="SBB1697" s="90"/>
      <c r="SBC1697" s="90"/>
      <c r="SBD1697" s="90"/>
      <c r="SBE1697" s="90"/>
      <c r="SBF1697" s="90"/>
      <c r="SBG1697" s="90"/>
      <c r="SBH1697" s="90"/>
      <c r="SBI1697" s="90"/>
      <c r="SBJ1697" s="90"/>
      <c r="SBK1697" s="90"/>
      <c r="SBL1697" s="90"/>
      <c r="SBM1697" s="90"/>
      <c r="SBN1697" s="90"/>
      <c r="SBO1697" s="90"/>
      <c r="SBP1697" s="90"/>
      <c r="SBQ1697" s="90"/>
      <c r="SBR1697" s="90"/>
      <c r="SBS1697" s="90"/>
      <c r="SBT1697" s="90"/>
      <c r="SBU1697" s="90"/>
      <c r="SBV1697" s="90"/>
      <c r="SBW1697" s="90"/>
      <c r="SBX1697" s="90"/>
      <c r="SBY1697" s="90"/>
      <c r="SBZ1697" s="90"/>
      <c r="SCA1697" s="90"/>
      <c r="SCB1697" s="90"/>
      <c r="SCC1697" s="90"/>
      <c r="SCD1697" s="90"/>
      <c r="SCE1697" s="90"/>
      <c r="SCF1697" s="90"/>
      <c r="SCG1697" s="90"/>
      <c r="SCH1697" s="90"/>
      <c r="SCI1697" s="90"/>
      <c r="SCJ1697" s="90"/>
      <c r="SCK1697" s="90"/>
      <c r="SCL1697" s="90"/>
      <c r="SCM1697" s="90"/>
      <c r="SCN1697" s="90"/>
      <c r="SCO1697" s="90"/>
      <c r="SCP1697" s="90"/>
      <c r="SCQ1697" s="90"/>
      <c r="SCR1697" s="90"/>
      <c r="SCS1697" s="90"/>
      <c r="SCT1697" s="90"/>
      <c r="SCU1697" s="90"/>
      <c r="SCV1697" s="90"/>
      <c r="SCW1697" s="90"/>
      <c r="SCX1697" s="90"/>
      <c r="SCY1697" s="90"/>
      <c r="SCZ1697" s="90"/>
      <c r="SDA1697" s="90"/>
      <c r="SDB1697" s="90"/>
      <c r="SDC1697" s="90"/>
      <c r="SDD1697" s="90"/>
      <c r="SDE1697" s="90"/>
      <c r="SDF1697" s="90"/>
      <c r="SDG1697" s="90"/>
      <c r="SDH1697" s="90"/>
      <c r="SDI1697" s="90"/>
      <c r="SDJ1697" s="90"/>
      <c r="SDK1697" s="90"/>
      <c r="SDL1697" s="90"/>
      <c r="SDM1697" s="90"/>
      <c r="SDN1697" s="90"/>
      <c r="SDO1697" s="90"/>
      <c r="SDP1697" s="90"/>
      <c r="SDQ1697" s="90"/>
      <c r="SDR1697" s="90"/>
      <c r="SDS1697" s="90"/>
      <c r="SDT1697" s="90"/>
      <c r="SDU1697" s="90"/>
      <c r="SDV1697" s="90"/>
      <c r="SDW1697" s="90"/>
      <c r="SDX1697" s="90"/>
      <c r="SDY1697" s="90"/>
      <c r="SDZ1697" s="90"/>
      <c r="SEA1697" s="90"/>
      <c r="SEB1697" s="90"/>
      <c r="SEC1697" s="90"/>
      <c r="SED1697" s="90"/>
      <c r="SEE1697" s="90"/>
      <c r="SEF1697" s="90"/>
      <c r="SEG1697" s="90"/>
      <c r="SEH1697" s="90"/>
      <c r="SEI1697" s="90"/>
      <c r="SEJ1697" s="90"/>
      <c r="SEK1697" s="90"/>
      <c r="SEL1697" s="90"/>
      <c r="SEM1697" s="90"/>
      <c r="SEN1697" s="90"/>
      <c r="SEO1697" s="90"/>
      <c r="SEP1697" s="90"/>
      <c r="SEQ1697" s="90"/>
      <c r="SER1697" s="90"/>
      <c r="SES1697" s="90"/>
      <c r="SET1697" s="90"/>
      <c r="SEU1697" s="90"/>
      <c r="SEV1697" s="90"/>
      <c r="SEW1697" s="90"/>
      <c r="SEX1697" s="90"/>
      <c r="SEY1697" s="90"/>
      <c r="SEZ1697" s="90"/>
      <c r="SFA1697" s="90"/>
      <c r="SFB1697" s="90"/>
      <c r="SFC1697" s="90"/>
      <c r="SFD1697" s="90"/>
      <c r="SFE1697" s="90"/>
      <c r="SFF1697" s="90"/>
      <c r="SFG1697" s="90"/>
      <c r="SFH1697" s="90"/>
      <c r="SFI1697" s="90"/>
      <c r="SFJ1697" s="90"/>
      <c r="SFK1697" s="90"/>
      <c r="SFL1697" s="90"/>
      <c r="SFM1697" s="90"/>
      <c r="SFN1697" s="90"/>
      <c r="SFO1697" s="90"/>
      <c r="SFP1697" s="90"/>
      <c r="SFQ1697" s="90"/>
      <c r="SFR1697" s="90"/>
      <c r="SFS1697" s="90"/>
      <c r="SFT1697" s="90"/>
      <c r="SFU1697" s="90"/>
      <c r="SFV1697" s="90"/>
      <c r="SFW1697" s="90"/>
      <c r="SFX1697" s="90"/>
      <c r="SFY1697" s="90"/>
      <c r="SFZ1697" s="90"/>
      <c r="SGA1697" s="90"/>
      <c r="SGB1697" s="90"/>
      <c r="SGC1697" s="90"/>
      <c r="SGD1697" s="90"/>
      <c r="SGE1697" s="90"/>
      <c r="SGF1697" s="90"/>
      <c r="SGG1697" s="90"/>
      <c r="SGH1697" s="90"/>
      <c r="SGI1697" s="90"/>
      <c r="SGJ1697" s="90"/>
      <c r="SGK1697" s="90"/>
      <c r="SGL1697" s="90"/>
      <c r="SGM1697" s="90"/>
      <c r="SGN1697" s="90"/>
      <c r="SGO1697" s="90"/>
      <c r="SGP1697" s="90"/>
      <c r="SGQ1697" s="90"/>
      <c r="SGR1697" s="90"/>
      <c r="SGS1697" s="90"/>
      <c r="SGT1697" s="90"/>
      <c r="SGU1697" s="90"/>
      <c r="SGV1697" s="90"/>
      <c r="SGW1697" s="90"/>
      <c r="SGX1697" s="90"/>
      <c r="SGY1697" s="90"/>
      <c r="SGZ1697" s="90"/>
      <c r="SHA1697" s="90"/>
      <c r="SHB1697" s="90"/>
      <c r="SHC1697" s="90"/>
      <c r="SHD1697" s="90"/>
      <c r="SHE1697" s="90"/>
      <c r="SHF1697" s="90"/>
      <c r="SHG1697" s="90"/>
      <c r="SHH1697" s="90"/>
      <c r="SHI1697" s="90"/>
      <c r="SHJ1697" s="90"/>
      <c r="SHK1697" s="90"/>
      <c r="SHL1697" s="90"/>
      <c r="SHM1697" s="90"/>
      <c r="SHN1697" s="90"/>
      <c r="SHO1697" s="90"/>
      <c r="SHP1697" s="90"/>
      <c r="SHQ1697" s="90"/>
      <c r="SHR1697" s="90"/>
      <c r="SHS1697" s="90"/>
      <c r="SHT1697" s="90"/>
      <c r="SHU1697" s="90"/>
      <c r="SHV1697" s="90"/>
      <c r="SHW1697" s="90"/>
      <c r="SHX1697" s="90"/>
      <c r="SHY1697" s="90"/>
      <c r="SHZ1697" s="90"/>
      <c r="SIA1697" s="90"/>
      <c r="SIB1697" s="90"/>
      <c r="SIC1697" s="90"/>
      <c r="SID1697" s="90"/>
      <c r="SIE1697" s="90"/>
      <c r="SIF1697" s="90"/>
      <c r="SIG1697" s="90"/>
      <c r="SIH1697" s="90"/>
      <c r="SII1697" s="90"/>
      <c r="SIJ1697" s="90"/>
      <c r="SIK1697" s="90"/>
      <c r="SIL1697" s="90"/>
      <c r="SIM1697" s="90"/>
      <c r="SIN1697" s="90"/>
      <c r="SIO1697" s="90"/>
      <c r="SIP1697" s="90"/>
      <c r="SIQ1697" s="90"/>
      <c r="SIR1697" s="90"/>
      <c r="SIS1697" s="90"/>
      <c r="SIT1697" s="90"/>
      <c r="SIU1697" s="90"/>
      <c r="SIV1697" s="90"/>
      <c r="SIW1697" s="90"/>
      <c r="SIX1697" s="90"/>
      <c r="SIY1697" s="90"/>
      <c r="SIZ1697" s="90"/>
      <c r="SJA1697" s="90"/>
      <c r="SJB1697" s="90"/>
      <c r="SJC1697" s="90"/>
      <c r="SJD1697" s="90"/>
      <c r="SJE1697" s="90"/>
      <c r="SJF1697" s="90"/>
      <c r="SJG1697" s="90"/>
      <c r="SJH1697" s="90"/>
      <c r="SJI1697" s="90"/>
      <c r="SJJ1697" s="90"/>
      <c r="SJK1697" s="90"/>
      <c r="SJL1697" s="90"/>
      <c r="SJM1697" s="90"/>
      <c r="SJN1697" s="90"/>
      <c r="SJO1697" s="90"/>
      <c r="SJP1697" s="90"/>
      <c r="SJQ1697" s="90"/>
      <c r="SJR1697" s="90"/>
      <c r="SJS1697" s="90"/>
      <c r="SJT1697" s="90"/>
      <c r="SJU1697" s="90"/>
      <c r="SJV1697" s="90"/>
      <c r="SJW1697" s="90"/>
      <c r="SJX1697" s="90"/>
      <c r="SJY1697" s="90"/>
      <c r="SJZ1697" s="90"/>
      <c r="SKA1697" s="90"/>
      <c r="SKB1697" s="90"/>
      <c r="SKC1697" s="90"/>
      <c r="SKD1697" s="90"/>
      <c r="SKE1697" s="90"/>
      <c r="SKF1697" s="90"/>
      <c r="SKG1697" s="90"/>
      <c r="SKH1697" s="90"/>
      <c r="SKI1697" s="90"/>
      <c r="SKJ1697" s="90"/>
      <c r="SKK1697" s="90"/>
      <c r="SKL1697" s="90"/>
      <c r="SKM1697" s="90"/>
      <c r="SKN1697" s="90"/>
      <c r="SKO1697" s="90"/>
      <c r="SKP1697" s="90"/>
      <c r="SKQ1697" s="90"/>
      <c r="SKR1697" s="90"/>
      <c r="SKS1697" s="90"/>
      <c r="SKT1697" s="90"/>
      <c r="SKU1697" s="90"/>
      <c r="SKV1697" s="90"/>
      <c r="SKW1697" s="90"/>
      <c r="SKX1697" s="90"/>
      <c r="SKY1697" s="90"/>
      <c r="SKZ1697" s="90"/>
      <c r="SLA1697" s="90"/>
      <c r="SLB1697" s="90"/>
      <c r="SLC1697" s="90"/>
      <c r="SLD1697" s="90"/>
      <c r="SLE1697" s="90"/>
      <c r="SLF1697" s="90"/>
      <c r="SLG1697" s="90"/>
      <c r="SLH1697" s="90"/>
      <c r="SLI1697" s="90"/>
      <c r="SLJ1697" s="90"/>
      <c r="SLK1697" s="90"/>
      <c r="SLL1697" s="90"/>
      <c r="SLM1697" s="90"/>
      <c r="SLN1697" s="90"/>
      <c r="SLO1697" s="90"/>
      <c r="SLP1697" s="90"/>
      <c r="SLQ1697" s="90"/>
      <c r="SLR1697" s="90"/>
      <c r="SLS1697" s="90"/>
      <c r="SLT1697" s="90"/>
      <c r="SLU1697" s="90"/>
      <c r="SLV1697" s="90"/>
      <c r="SLW1697" s="90"/>
      <c r="SLX1697" s="90"/>
      <c r="SLY1697" s="90"/>
      <c r="SLZ1697" s="90"/>
      <c r="SMA1697" s="90"/>
      <c r="SMB1697" s="90"/>
      <c r="SMC1697" s="90"/>
      <c r="SMD1697" s="90"/>
      <c r="SME1697" s="90"/>
      <c r="SMF1697" s="90"/>
      <c r="SMG1697" s="90"/>
      <c r="SMH1697" s="90"/>
      <c r="SMI1697" s="90"/>
      <c r="SMJ1697" s="90"/>
      <c r="SMK1697" s="90"/>
      <c r="SML1697" s="90"/>
      <c r="SMM1697" s="90"/>
      <c r="SMN1697" s="90"/>
      <c r="SMO1697" s="90"/>
      <c r="SMP1697" s="90"/>
      <c r="SMQ1697" s="90"/>
      <c r="SMR1697" s="90"/>
      <c r="SMS1697" s="90"/>
      <c r="SMT1697" s="90"/>
      <c r="SMU1697" s="90"/>
      <c r="SMV1697" s="90"/>
      <c r="SMW1697" s="90"/>
      <c r="SMX1697" s="90"/>
      <c r="SMY1697" s="90"/>
      <c r="SMZ1697" s="90"/>
      <c r="SNA1697" s="90"/>
      <c r="SNB1697" s="90"/>
      <c r="SNC1697" s="90"/>
      <c r="SND1697" s="90"/>
      <c r="SNE1697" s="90"/>
      <c r="SNF1697" s="90"/>
      <c r="SNG1697" s="90"/>
      <c r="SNH1697" s="90"/>
      <c r="SNI1697" s="90"/>
      <c r="SNJ1697" s="90"/>
      <c r="SNK1697" s="90"/>
      <c r="SNL1697" s="90"/>
      <c r="SNM1697" s="90"/>
      <c r="SNN1697" s="90"/>
      <c r="SNO1697" s="90"/>
      <c r="SNP1697" s="90"/>
      <c r="SNQ1697" s="90"/>
      <c r="SNR1697" s="90"/>
      <c r="SNS1697" s="90"/>
      <c r="SNT1697" s="90"/>
      <c r="SNU1697" s="90"/>
      <c r="SNV1697" s="90"/>
      <c r="SNW1697" s="90"/>
      <c r="SNX1697" s="90"/>
      <c r="SNY1697" s="90"/>
      <c r="SNZ1697" s="90"/>
      <c r="SOA1697" s="90"/>
      <c r="SOB1697" s="90"/>
      <c r="SOC1697" s="90"/>
      <c r="SOD1697" s="90"/>
      <c r="SOE1697" s="90"/>
      <c r="SOF1697" s="90"/>
      <c r="SOG1697" s="90"/>
      <c r="SOH1697" s="90"/>
      <c r="SOI1697" s="90"/>
      <c r="SOJ1697" s="90"/>
      <c r="SOK1697" s="90"/>
      <c r="SOL1697" s="90"/>
      <c r="SOM1697" s="90"/>
      <c r="SON1697" s="90"/>
      <c r="SOO1697" s="90"/>
      <c r="SOP1697" s="90"/>
      <c r="SOQ1697" s="90"/>
      <c r="SOR1697" s="90"/>
      <c r="SOS1697" s="90"/>
      <c r="SOT1697" s="90"/>
      <c r="SOU1697" s="90"/>
      <c r="SOV1697" s="90"/>
      <c r="SOW1697" s="90"/>
      <c r="SOX1697" s="90"/>
      <c r="SOY1697" s="90"/>
      <c r="SOZ1697" s="90"/>
      <c r="SPA1697" s="90"/>
      <c r="SPB1697" s="90"/>
      <c r="SPC1697" s="90"/>
      <c r="SPD1697" s="90"/>
      <c r="SPE1697" s="90"/>
      <c r="SPF1697" s="90"/>
      <c r="SPG1697" s="90"/>
      <c r="SPH1697" s="90"/>
      <c r="SPI1697" s="90"/>
      <c r="SPJ1697" s="90"/>
      <c r="SPK1697" s="90"/>
      <c r="SPL1697" s="90"/>
      <c r="SPM1697" s="90"/>
      <c r="SPN1697" s="90"/>
      <c r="SPO1697" s="90"/>
      <c r="SPP1697" s="90"/>
      <c r="SPQ1697" s="90"/>
      <c r="SPR1697" s="90"/>
      <c r="SPS1697" s="90"/>
      <c r="SPT1697" s="90"/>
      <c r="SPU1697" s="90"/>
      <c r="SPV1697" s="90"/>
      <c r="SPW1697" s="90"/>
      <c r="SPX1697" s="90"/>
      <c r="SPY1697" s="90"/>
      <c r="SPZ1697" s="90"/>
      <c r="SQA1697" s="90"/>
      <c r="SQB1697" s="90"/>
      <c r="SQC1697" s="90"/>
      <c r="SQD1697" s="90"/>
      <c r="SQE1697" s="90"/>
      <c r="SQF1697" s="90"/>
      <c r="SQG1697" s="90"/>
      <c r="SQH1697" s="90"/>
      <c r="SQI1697" s="90"/>
      <c r="SQJ1697" s="90"/>
      <c r="SQK1697" s="90"/>
      <c r="SQL1697" s="90"/>
      <c r="SQM1697" s="90"/>
      <c r="SQN1697" s="90"/>
      <c r="SQO1697" s="90"/>
      <c r="SQP1697" s="90"/>
      <c r="SQQ1697" s="90"/>
      <c r="SQR1697" s="90"/>
      <c r="SQS1697" s="90"/>
      <c r="SQT1697" s="90"/>
      <c r="SQU1697" s="90"/>
      <c r="SQV1697" s="90"/>
      <c r="SQW1697" s="90"/>
      <c r="SQX1697" s="90"/>
      <c r="SQY1697" s="90"/>
      <c r="SQZ1697" s="90"/>
      <c r="SRA1697" s="90"/>
      <c r="SRB1697" s="90"/>
      <c r="SRC1697" s="90"/>
      <c r="SRD1697" s="90"/>
      <c r="SRE1697" s="90"/>
      <c r="SRF1697" s="90"/>
      <c r="SRG1697" s="90"/>
      <c r="SRH1697" s="90"/>
      <c r="SRI1697" s="90"/>
      <c r="SRJ1697" s="90"/>
      <c r="SRK1697" s="90"/>
      <c r="SRL1697" s="90"/>
      <c r="SRM1697" s="90"/>
      <c r="SRN1697" s="90"/>
      <c r="SRO1697" s="90"/>
      <c r="SRP1697" s="90"/>
      <c r="SRQ1697" s="90"/>
      <c r="SRR1697" s="90"/>
      <c r="SRS1697" s="90"/>
      <c r="SRT1697" s="90"/>
      <c r="SRU1697" s="90"/>
      <c r="SRV1697" s="90"/>
      <c r="SRW1697" s="90"/>
      <c r="SRX1697" s="90"/>
      <c r="SRY1697" s="90"/>
      <c r="SRZ1697" s="90"/>
      <c r="SSA1697" s="90"/>
      <c r="SSB1697" s="90"/>
      <c r="SSC1697" s="90"/>
      <c r="SSD1697" s="90"/>
      <c r="SSE1697" s="90"/>
      <c r="SSF1697" s="90"/>
      <c r="SSG1697" s="90"/>
      <c r="SSH1697" s="90"/>
      <c r="SSI1697" s="90"/>
      <c r="SSJ1697" s="90"/>
      <c r="SSK1697" s="90"/>
      <c r="SSL1697" s="90"/>
      <c r="SSM1697" s="90"/>
      <c r="SSN1697" s="90"/>
      <c r="SSO1697" s="90"/>
      <c r="SSP1697" s="90"/>
      <c r="SSQ1697" s="90"/>
      <c r="SSR1697" s="90"/>
      <c r="SSS1697" s="90"/>
      <c r="SST1697" s="90"/>
      <c r="SSU1697" s="90"/>
      <c r="SSV1697" s="90"/>
      <c r="SSW1697" s="90"/>
      <c r="SSX1697" s="90"/>
      <c r="SSY1697" s="90"/>
      <c r="SSZ1697" s="90"/>
      <c r="STA1697" s="90"/>
      <c r="STB1697" s="90"/>
      <c r="STC1697" s="90"/>
      <c r="STD1697" s="90"/>
      <c r="STE1697" s="90"/>
      <c r="STF1697" s="90"/>
      <c r="STG1697" s="90"/>
      <c r="STH1697" s="90"/>
      <c r="STI1697" s="90"/>
      <c r="STJ1697" s="90"/>
      <c r="STK1697" s="90"/>
      <c r="STL1697" s="90"/>
      <c r="STM1697" s="90"/>
      <c r="STN1697" s="90"/>
      <c r="STO1697" s="90"/>
      <c r="STP1697" s="90"/>
      <c r="STQ1697" s="90"/>
      <c r="STR1697" s="90"/>
      <c r="STS1697" s="90"/>
      <c r="STT1697" s="90"/>
      <c r="STU1697" s="90"/>
      <c r="STV1697" s="90"/>
      <c r="STW1697" s="90"/>
      <c r="STX1697" s="90"/>
      <c r="STY1697" s="90"/>
      <c r="STZ1697" s="90"/>
      <c r="SUA1697" s="90"/>
      <c r="SUB1697" s="90"/>
      <c r="SUC1697" s="90"/>
      <c r="SUD1697" s="90"/>
      <c r="SUE1697" s="90"/>
      <c r="SUF1697" s="90"/>
      <c r="SUG1697" s="90"/>
      <c r="SUH1697" s="90"/>
      <c r="SUI1697" s="90"/>
      <c r="SUJ1697" s="90"/>
      <c r="SUK1697" s="90"/>
      <c r="SUL1697" s="90"/>
      <c r="SUM1697" s="90"/>
      <c r="SUN1697" s="90"/>
      <c r="SUO1697" s="90"/>
      <c r="SUP1697" s="90"/>
      <c r="SUQ1697" s="90"/>
      <c r="SUR1697" s="90"/>
      <c r="SUS1697" s="90"/>
      <c r="SUT1697" s="90"/>
      <c r="SUU1697" s="90"/>
      <c r="SUV1697" s="90"/>
      <c r="SUW1697" s="90"/>
      <c r="SUX1697" s="90"/>
      <c r="SUY1697" s="90"/>
      <c r="SUZ1697" s="90"/>
      <c r="SVA1697" s="90"/>
      <c r="SVB1697" s="90"/>
      <c r="SVC1697" s="90"/>
      <c r="SVD1697" s="90"/>
      <c r="SVE1697" s="90"/>
      <c r="SVF1697" s="90"/>
      <c r="SVG1697" s="90"/>
      <c r="SVH1697" s="90"/>
      <c r="SVI1697" s="90"/>
      <c r="SVJ1697" s="90"/>
      <c r="SVK1697" s="90"/>
      <c r="SVL1697" s="90"/>
      <c r="SVM1697" s="90"/>
      <c r="SVN1697" s="90"/>
      <c r="SVO1697" s="90"/>
      <c r="SVP1697" s="90"/>
      <c r="SVQ1697" s="90"/>
      <c r="SVR1697" s="90"/>
      <c r="SVS1697" s="90"/>
      <c r="SVT1697" s="90"/>
      <c r="SVU1697" s="90"/>
      <c r="SVV1697" s="90"/>
      <c r="SVW1697" s="90"/>
      <c r="SVX1697" s="90"/>
      <c r="SVY1697" s="90"/>
      <c r="SVZ1697" s="90"/>
      <c r="SWA1697" s="90"/>
      <c r="SWB1697" s="90"/>
      <c r="SWC1697" s="90"/>
      <c r="SWD1697" s="90"/>
      <c r="SWE1697" s="90"/>
      <c r="SWF1697" s="90"/>
      <c r="SWG1697" s="90"/>
      <c r="SWH1697" s="90"/>
      <c r="SWI1697" s="90"/>
      <c r="SWJ1697" s="90"/>
      <c r="SWK1697" s="90"/>
      <c r="SWL1697" s="90"/>
      <c r="SWM1697" s="90"/>
      <c r="SWN1697" s="90"/>
      <c r="SWO1697" s="90"/>
      <c r="SWP1697" s="90"/>
      <c r="SWQ1697" s="90"/>
      <c r="SWR1697" s="90"/>
      <c r="SWS1697" s="90"/>
      <c r="SWT1697" s="90"/>
      <c r="SWU1697" s="90"/>
      <c r="SWV1697" s="90"/>
      <c r="SWW1697" s="90"/>
      <c r="SWX1697" s="90"/>
      <c r="SWY1697" s="90"/>
      <c r="SWZ1697" s="90"/>
      <c r="SXA1697" s="90"/>
      <c r="SXB1697" s="90"/>
      <c r="SXC1697" s="90"/>
      <c r="SXD1697" s="90"/>
      <c r="SXE1697" s="90"/>
      <c r="SXF1697" s="90"/>
      <c r="SXG1697" s="90"/>
      <c r="SXH1697" s="90"/>
      <c r="SXI1697" s="90"/>
      <c r="SXJ1697" s="90"/>
      <c r="SXK1697" s="90"/>
      <c r="SXL1697" s="90"/>
      <c r="SXM1697" s="90"/>
      <c r="SXN1697" s="90"/>
      <c r="SXO1697" s="90"/>
      <c r="SXP1697" s="90"/>
      <c r="SXQ1697" s="90"/>
      <c r="SXR1697" s="90"/>
      <c r="SXS1697" s="90"/>
      <c r="SXT1697" s="90"/>
      <c r="SXU1697" s="90"/>
      <c r="SXV1697" s="90"/>
      <c r="SXW1697" s="90"/>
      <c r="SXX1697" s="90"/>
      <c r="SXY1697" s="90"/>
      <c r="SXZ1697" s="90"/>
      <c r="SYA1697" s="90"/>
      <c r="SYB1697" s="90"/>
      <c r="SYC1697" s="90"/>
      <c r="SYD1697" s="90"/>
      <c r="SYE1697" s="90"/>
      <c r="SYF1697" s="90"/>
      <c r="SYG1697" s="90"/>
      <c r="SYH1697" s="90"/>
      <c r="SYI1697" s="90"/>
      <c r="SYJ1697" s="90"/>
      <c r="SYK1697" s="90"/>
      <c r="SYL1697" s="90"/>
      <c r="SYM1697" s="90"/>
      <c r="SYN1697" s="90"/>
      <c r="SYO1697" s="90"/>
      <c r="SYP1697" s="90"/>
      <c r="SYQ1697" s="90"/>
      <c r="SYR1697" s="90"/>
      <c r="SYS1697" s="90"/>
      <c r="SYT1697" s="90"/>
      <c r="SYU1697" s="90"/>
      <c r="SYV1697" s="90"/>
      <c r="SYW1697" s="90"/>
      <c r="SYX1697" s="90"/>
      <c r="SYY1697" s="90"/>
      <c r="SYZ1697" s="90"/>
      <c r="SZA1697" s="90"/>
      <c r="SZB1697" s="90"/>
      <c r="SZC1697" s="90"/>
      <c r="SZD1697" s="90"/>
      <c r="SZE1697" s="90"/>
      <c r="SZF1697" s="90"/>
      <c r="SZG1697" s="90"/>
      <c r="SZH1697" s="90"/>
      <c r="SZI1697" s="90"/>
      <c r="SZJ1697" s="90"/>
      <c r="SZK1697" s="90"/>
      <c r="SZL1697" s="90"/>
      <c r="SZM1697" s="90"/>
      <c r="SZN1697" s="90"/>
      <c r="SZO1697" s="90"/>
      <c r="SZP1697" s="90"/>
      <c r="SZQ1697" s="90"/>
      <c r="SZR1697" s="90"/>
      <c r="SZS1697" s="90"/>
      <c r="SZT1697" s="90"/>
      <c r="SZU1697" s="90"/>
      <c r="SZV1697" s="90"/>
      <c r="SZW1697" s="90"/>
      <c r="SZX1697" s="90"/>
      <c r="SZY1697" s="90"/>
      <c r="SZZ1697" s="90"/>
      <c r="TAA1697" s="90"/>
      <c r="TAB1697" s="90"/>
      <c r="TAC1697" s="90"/>
      <c r="TAD1697" s="90"/>
      <c r="TAE1697" s="90"/>
      <c r="TAF1697" s="90"/>
      <c r="TAG1697" s="90"/>
      <c r="TAH1697" s="90"/>
      <c r="TAI1697" s="90"/>
      <c r="TAJ1697" s="90"/>
      <c r="TAK1697" s="90"/>
      <c r="TAL1697" s="90"/>
      <c r="TAM1697" s="90"/>
      <c r="TAN1697" s="90"/>
      <c r="TAO1697" s="90"/>
      <c r="TAP1697" s="90"/>
      <c r="TAQ1697" s="90"/>
      <c r="TAR1697" s="90"/>
      <c r="TAS1697" s="90"/>
      <c r="TAT1697" s="90"/>
      <c r="TAU1697" s="90"/>
      <c r="TAV1697" s="90"/>
      <c r="TAW1697" s="90"/>
      <c r="TAX1697" s="90"/>
      <c r="TAY1697" s="90"/>
      <c r="TAZ1697" s="90"/>
      <c r="TBA1697" s="90"/>
      <c r="TBB1697" s="90"/>
      <c r="TBC1697" s="90"/>
      <c r="TBD1697" s="90"/>
      <c r="TBE1697" s="90"/>
      <c r="TBF1697" s="90"/>
      <c r="TBG1697" s="90"/>
      <c r="TBH1697" s="90"/>
      <c r="TBI1697" s="90"/>
      <c r="TBJ1697" s="90"/>
      <c r="TBK1697" s="90"/>
      <c r="TBL1697" s="90"/>
      <c r="TBM1697" s="90"/>
      <c r="TBN1697" s="90"/>
      <c r="TBO1697" s="90"/>
      <c r="TBP1697" s="90"/>
      <c r="TBQ1697" s="90"/>
      <c r="TBR1697" s="90"/>
      <c r="TBS1697" s="90"/>
      <c r="TBT1697" s="90"/>
      <c r="TBU1697" s="90"/>
      <c r="TBV1697" s="90"/>
      <c r="TBW1697" s="90"/>
      <c r="TBX1697" s="90"/>
      <c r="TBY1697" s="90"/>
      <c r="TBZ1697" s="90"/>
      <c r="TCA1697" s="90"/>
      <c r="TCB1697" s="90"/>
      <c r="TCC1697" s="90"/>
      <c r="TCD1697" s="90"/>
      <c r="TCE1697" s="90"/>
      <c r="TCF1697" s="90"/>
      <c r="TCG1697" s="90"/>
      <c r="TCH1697" s="90"/>
      <c r="TCI1697" s="90"/>
      <c r="TCJ1697" s="90"/>
      <c r="TCK1697" s="90"/>
      <c r="TCL1697" s="90"/>
      <c r="TCM1697" s="90"/>
      <c r="TCN1697" s="90"/>
      <c r="TCO1697" s="90"/>
      <c r="TCP1697" s="90"/>
      <c r="TCQ1697" s="90"/>
      <c r="TCR1697" s="90"/>
      <c r="TCS1697" s="90"/>
      <c r="TCT1697" s="90"/>
      <c r="TCU1697" s="90"/>
      <c r="TCV1697" s="90"/>
      <c r="TCW1697" s="90"/>
      <c r="TCX1697" s="90"/>
      <c r="TCY1697" s="90"/>
      <c r="TCZ1697" s="90"/>
      <c r="TDA1697" s="90"/>
      <c r="TDB1697" s="90"/>
      <c r="TDC1697" s="90"/>
      <c r="TDD1697" s="90"/>
      <c r="TDE1697" s="90"/>
      <c r="TDF1697" s="90"/>
      <c r="TDG1697" s="90"/>
      <c r="TDH1697" s="90"/>
      <c r="TDI1697" s="90"/>
      <c r="TDJ1697" s="90"/>
      <c r="TDK1697" s="90"/>
      <c r="TDL1697" s="90"/>
      <c r="TDM1697" s="90"/>
      <c r="TDN1697" s="90"/>
      <c r="TDO1697" s="90"/>
      <c r="TDP1697" s="90"/>
      <c r="TDQ1697" s="90"/>
      <c r="TDR1697" s="90"/>
      <c r="TDS1697" s="90"/>
      <c r="TDT1697" s="90"/>
      <c r="TDU1697" s="90"/>
      <c r="TDV1697" s="90"/>
      <c r="TDW1697" s="90"/>
      <c r="TDX1697" s="90"/>
      <c r="TDY1697" s="90"/>
      <c r="TDZ1697" s="90"/>
      <c r="TEA1697" s="90"/>
      <c r="TEB1697" s="90"/>
      <c r="TEC1697" s="90"/>
      <c r="TED1697" s="90"/>
      <c r="TEE1697" s="90"/>
      <c r="TEF1697" s="90"/>
      <c r="TEG1697" s="90"/>
      <c r="TEH1697" s="90"/>
      <c r="TEI1697" s="90"/>
      <c r="TEJ1697" s="90"/>
      <c r="TEK1697" s="90"/>
      <c r="TEL1697" s="90"/>
      <c r="TEM1697" s="90"/>
      <c r="TEN1697" s="90"/>
      <c r="TEO1697" s="90"/>
      <c r="TEP1697" s="90"/>
      <c r="TEQ1697" s="90"/>
      <c r="TER1697" s="90"/>
      <c r="TES1697" s="90"/>
      <c r="TET1697" s="90"/>
      <c r="TEU1697" s="90"/>
      <c r="TEV1697" s="90"/>
      <c r="TEW1697" s="90"/>
      <c r="TEX1697" s="90"/>
      <c r="TEY1697" s="90"/>
      <c r="TEZ1697" s="90"/>
      <c r="TFA1697" s="90"/>
      <c r="TFB1697" s="90"/>
      <c r="TFC1697" s="90"/>
      <c r="TFD1697" s="90"/>
      <c r="TFE1697" s="90"/>
      <c r="TFF1697" s="90"/>
      <c r="TFG1697" s="90"/>
      <c r="TFH1697" s="90"/>
      <c r="TFI1697" s="90"/>
      <c r="TFJ1697" s="90"/>
      <c r="TFK1697" s="90"/>
      <c r="TFL1697" s="90"/>
      <c r="TFM1697" s="90"/>
      <c r="TFN1697" s="90"/>
      <c r="TFO1697" s="90"/>
      <c r="TFP1697" s="90"/>
      <c r="TFQ1697" s="90"/>
      <c r="TFR1697" s="90"/>
      <c r="TFS1697" s="90"/>
      <c r="TFT1697" s="90"/>
      <c r="TFU1697" s="90"/>
      <c r="TFV1697" s="90"/>
      <c r="TFW1697" s="90"/>
      <c r="TFX1697" s="90"/>
      <c r="TFY1697" s="90"/>
      <c r="TFZ1697" s="90"/>
      <c r="TGA1697" s="90"/>
      <c r="TGB1697" s="90"/>
      <c r="TGC1697" s="90"/>
      <c r="TGD1697" s="90"/>
      <c r="TGE1697" s="90"/>
      <c r="TGF1697" s="90"/>
      <c r="TGG1697" s="90"/>
      <c r="TGH1697" s="90"/>
      <c r="TGI1697" s="90"/>
      <c r="TGJ1697" s="90"/>
      <c r="TGK1697" s="90"/>
      <c r="TGL1697" s="90"/>
      <c r="TGM1697" s="90"/>
      <c r="TGN1697" s="90"/>
      <c r="TGO1697" s="90"/>
      <c r="TGP1697" s="90"/>
      <c r="TGQ1697" s="90"/>
      <c r="TGR1697" s="90"/>
      <c r="TGS1697" s="90"/>
      <c r="TGT1697" s="90"/>
      <c r="TGU1697" s="90"/>
      <c r="TGV1697" s="90"/>
      <c r="TGW1697" s="90"/>
      <c r="TGX1697" s="90"/>
      <c r="TGY1697" s="90"/>
      <c r="TGZ1697" s="90"/>
      <c r="THA1697" s="90"/>
      <c r="THB1697" s="90"/>
      <c r="THC1697" s="90"/>
      <c r="THD1697" s="90"/>
      <c r="THE1697" s="90"/>
      <c r="THF1697" s="90"/>
      <c r="THG1697" s="90"/>
      <c r="THH1697" s="90"/>
      <c r="THI1697" s="90"/>
      <c r="THJ1697" s="90"/>
      <c r="THK1697" s="90"/>
      <c r="THL1697" s="90"/>
      <c r="THM1697" s="90"/>
      <c r="THN1697" s="90"/>
      <c r="THO1697" s="90"/>
      <c r="THP1697" s="90"/>
      <c r="THQ1697" s="90"/>
      <c r="THR1697" s="90"/>
      <c r="THS1697" s="90"/>
      <c r="THT1697" s="90"/>
      <c r="THU1697" s="90"/>
      <c r="THV1697" s="90"/>
      <c r="THW1697" s="90"/>
      <c r="THX1697" s="90"/>
      <c r="THY1697" s="90"/>
      <c r="THZ1697" s="90"/>
      <c r="TIA1697" s="90"/>
      <c r="TIB1697" s="90"/>
      <c r="TIC1697" s="90"/>
      <c r="TID1697" s="90"/>
      <c r="TIE1697" s="90"/>
      <c r="TIF1697" s="90"/>
      <c r="TIG1697" s="90"/>
      <c r="TIH1697" s="90"/>
      <c r="TII1697" s="90"/>
      <c r="TIJ1697" s="90"/>
      <c r="TIK1697" s="90"/>
      <c r="TIL1697" s="90"/>
      <c r="TIM1697" s="90"/>
      <c r="TIN1697" s="90"/>
      <c r="TIO1697" s="90"/>
      <c r="TIP1697" s="90"/>
      <c r="TIQ1697" s="90"/>
      <c r="TIR1697" s="90"/>
      <c r="TIS1697" s="90"/>
      <c r="TIT1697" s="90"/>
      <c r="TIU1697" s="90"/>
      <c r="TIV1697" s="90"/>
      <c r="TIW1697" s="90"/>
      <c r="TIX1697" s="90"/>
      <c r="TIY1697" s="90"/>
      <c r="TIZ1697" s="90"/>
      <c r="TJA1697" s="90"/>
      <c r="TJB1697" s="90"/>
      <c r="TJC1697" s="90"/>
      <c r="TJD1697" s="90"/>
      <c r="TJE1697" s="90"/>
      <c r="TJF1697" s="90"/>
      <c r="TJG1697" s="90"/>
      <c r="TJH1697" s="90"/>
      <c r="TJI1697" s="90"/>
      <c r="TJJ1697" s="90"/>
      <c r="TJK1697" s="90"/>
      <c r="TJL1697" s="90"/>
      <c r="TJM1697" s="90"/>
      <c r="TJN1697" s="90"/>
      <c r="TJO1697" s="90"/>
      <c r="TJP1697" s="90"/>
      <c r="TJQ1697" s="90"/>
      <c r="TJR1697" s="90"/>
      <c r="TJS1697" s="90"/>
      <c r="TJT1697" s="90"/>
      <c r="TJU1697" s="90"/>
      <c r="TJV1697" s="90"/>
      <c r="TJW1697" s="90"/>
      <c r="TJX1697" s="90"/>
      <c r="TJY1697" s="90"/>
      <c r="TJZ1697" s="90"/>
      <c r="TKA1697" s="90"/>
      <c r="TKB1697" s="90"/>
      <c r="TKC1697" s="90"/>
      <c r="TKD1697" s="90"/>
      <c r="TKE1697" s="90"/>
      <c r="TKF1697" s="90"/>
      <c r="TKG1697" s="90"/>
      <c r="TKH1697" s="90"/>
      <c r="TKI1697" s="90"/>
      <c r="TKJ1697" s="90"/>
      <c r="TKK1697" s="90"/>
      <c r="TKL1697" s="90"/>
      <c r="TKM1697" s="90"/>
      <c r="TKN1697" s="90"/>
      <c r="TKO1697" s="90"/>
      <c r="TKP1697" s="90"/>
      <c r="TKQ1697" s="90"/>
      <c r="TKR1697" s="90"/>
      <c r="TKS1697" s="90"/>
      <c r="TKT1697" s="90"/>
      <c r="TKU1697" s="90"/>
      <c r="TKV1697" s="90"/>
      <c r="TKW1697" s="90"/>
      <c r="TKX1697" s="90"/>
      <c r="TKY1697" s="90"/>
      <c r="TKZ1697" s="90"/>
      <c r="TLA1697" s="90"/>
      <c r="TLB1697" s="90"/>
      <c r="TLC1697" s="90"/>
      <c r="TLD1697" s="90"/>
      <c r="TLE1697" s="90"/>
      <c r="TLF1697" s="90"/>
      <c r="TLG1697" s="90"/>
      <c r="TLH1697" s="90"/>
      <c r="TLI1697" s="90"/>
      <c r="TLJ1697" s="90"/>
      <c r="TLK1697" s="90"/>
      <c r="TLL1697" s="90"/>
      <c r="TLM1697" s="90"/>
      <c r="TLN1697" s="90"/>
      <c r="TLO1697" s="90"/>
      <c r="TLP1697" s="90"/>
      <c r="TLQ1697" s="90"/>
      <c r="TLR1697" s="90"/>
      <c r="TLS1697" s="90"/>
      <c r="TLT1697" s="90"/>
      <c r="TLU1697" s="90"/>
      <c r="TLV1697" s="90"/>
      <c r="TLW1697" s="90"/>
      <c r="TLX1697" s="90"/>
      <c r="TLY1697" s="90"/>
      <c r="TLZ1697" s="90"/>
      <c r="TMA1697" s="90"/>
      <c r="TMB1697" s="90"/>
      <c r="TMC1697" s="90"/>
      <c r="TMD1697" s="90"/>
      <c r="TME1697" s="90"/>
      <c r="TMF1697" s="90"/>
      <c r="TMG1697" s="90"/>
      <c r="TMH1697" s="90"/>
      <c r="TMI1697" s="90"/>
      <c r="TMJ1697" s="90"/>
      <c r="TMK1697" s="90"/>
      <c r="TML1697" s="90"/>
      <c r="TMM1697" s="90"/>
      <c r="TMN1697" s="90"/>
      <c r="TMO1697" s="90"/>
      <c r="TMP1697" s="90"/>
      <c r="TMQ1697" s="90"/>
      <c r="TMR1697" s="90"/>
      <c r="TMS1697" s="90"/>
      <c r="TMT1697" s="90"/>
      <c r="TMU1697" s="90"/>
      <c r="TMV1697" s="90"/>
      <c r="TMW1697" s="90"/>
      <c r="TMX1697" s="90"/>
      <c r="TMY1697" s="90"/>
      <c r="TMZ1697" s="90"/>
      <c r="TNA1697" s="90"/>
      <c r="TNB1697" s="90"/>
      <c r="TNC1697" s="90"/>
      <c r="TND1697" s="90"/>
      <c r="TNE1697" s="90"/>
      <c r="TNF1697" s="90"/>
      <c r="TNG1697" s="90"/>
      <c r="TNH1697" s="90"/>
      <c r="TNI1697" s="90"/>
      <c r="TNJ1697" s="90"/>
      <c r="TNK1697" s="90"/>
      <c r="TNL1697" s="90"/>
      <c r="TNM1697" s="90"/>
      <c r="TNN1697" s="90"/>
      <c r="TNO1697" s="90"/>
      <c r="TNP1697" s="90"/>
      <c r="TNQ1697" s="90"/>
      <c r="TNR1697" s="90"/>
      <c r="TNS1697" s="90"/>
      <c r="TNT1697" s="90"/>
      <c r="TNU1697" s="90"/>
      <c r="TNV1697" s="90"/>
      <c r="TNW1697" s="90"/>
      <c r="TNX1697" s="90"/>
      <c r="TNY1697" s="90"/>
      <c r="TNZ1697" s="90"/>
      <c r="TOA1697" s="90"/>
      <c r="TOB1697" s="90"/>
      <c r="TOC1697" s="90"/>
      <c r="TOD1697" s="90"/>
      <c r="TOE1697" s="90"/>
      <c r="TOF1697" s="90"/>
      <c r="TOG1697" s="90"/>
      <c r="TOH1697" s="90"/>
      <c r="TOI1697" s="90"/>
      <c r="TOJ1697" s="90"/>
      <c r="TOK1697" s="90"/>
      <c r="TOL1697" s="90"/>
      <c r="TOM1697" s="90"/>
      <c r="TON1697" s="90"/>
      <c r="TOO1697" s="90"/>
      <c r="TOP1697" s="90"/>
      <c r="TOQ1697" s="90"/>
      <c r="TOR1697" s="90"/>
      <c r="TOS1697" s="90"/>
      <c r="TOT1697" s="90"/>
      <c r="TOU1697" s="90"/>
      <c r="TOV1697" s="90"/>
      <c r="TOW1697" s="90"/>
      <c r="TOX1697" s="90"/>
      <c r="TOY1697" s="90"/>
      <c r="TOZ1697" s="90"/>
      <c r="TPA1697" s="90"/>
      <c r="TPB1697" s="90"/>
      <c r="TPC1697" s="90"/>
      <c r="TPD1697" s="90"/>
      <c r="TPE1697" s="90"/>
      <c r="TPF1697" s="90"/>
      <c r="TPG1697" s="90"/>
      <c r="TPH1697" s="90"/>
      <c r="TPI1697" s="90"/>
      <c r="TPJ1697" s="90"/>
      <c r="TPK1697" s="90"/>
      <c r="TPL1697" s="90"/>
      <c r="TPM1697" s="90"/>
      <c r="TPN1697" s="90"/>
      <c r="TPO1697" s="90"/>
      <c r="TPP1697" s="90"/>
      <c r="TPQ1697" s="90"/>
      <c r="TPR1697" s="90"/>
      <c r="TPS1697" s="90"/>
      <c r="TPT1697" s="90"/>
      <c r="TPU1697" s="90"/>
      <c r="TPV1697" s="90"/>
      <c r="TPW1697" s="90"/>
      <c r="TPX1697" s="90"/>
      <c r="TPY1697" s="90"/>
      <c r="TPZ1697" s="90"/>
      <c r="TQA1697" s="90"/>
      <c r="TQB1697" s="90"/>
      <c r="TQC1697" s="90"/>
      <c r="TQD1697" s="90"/>
      <c r="TQE1697" s="90"/>
      <c r="TQF1697" s="90"/>
      <c r="TQG1697" s="90"/>
      <c r="TQH1697" s="90"/>
      <c r="TQI1697" s="90"/>
      <c r="TQJ1697" s="90"/>
      <c r="TQK1697" s="90"/>
      <c r="TQL1697" s="90"/>
      <c r="TQM1697" s="90"/>
      <c r="TQN1697" s="90"/>
      <c r="TQO1697" s="90"/>
      <c r="TQP1697" s="90"/>
      <c r="TQQ1697" s="90"/>
      <c r="TQR1697" s="90"/>
      <c r="TQS1697" s="90"/>
      <c r="TQT1697" s="90"/>
      <c r="TQU1697" s="90"/>
      <c r="TQV1697" s="90"/>
      <c r="TQW1697" s="90"/>
      <c r="TQX1697" s="90"/>
      <c r="TQY1697" s="90"/>
      <c r="TQZ1697" s="90"/>
      <c r="TRA1697" s="90"/>
      <c r="TRB1697" s="90"/>
      <c r="TRC1697" s="90"/>
      <c r="TRD1697" s="90"/>
      <c r="TRE1697" s="90"/>
      <c r="TRF1697" s="90"/>
      <c r="TRG1697" s="90"/>
      <c r="TRH1697" s="90"/>
      <c r="TRI1697" s="90"/>
      <c r="TRJ1697" s="90"/>
      <c r="TRK1697" s="90"/>
      <c r="TRL1697" s="90"/>
      <c r="TRM1697" s="90"/>
      <c r="TRN1697" s="90"/>
      <c r="TRO1697" s="90"/>
      <c r="TRP1697" s="90"/>
      <c r="TRQ1697" s="90"/>
      <c r="TRR1697" s="90"/>
      <c r="TRS1697" s="90"/>
      <c r="TRT1697" s="90"/>
      <c r="TRU1697" s="90"/>
      <c r="TRV1697" s="90"/>
      <c r="TRW1697" s="90"/>
      <c r="TRX1697" s="90"/>
      <c r="TRY1697" s="90"/>
      <c r="TRZ1697" s="90"/>
      <c r="TSA1697" s="90"/>
      <c r="TSB1697" s="90"/>
      <c r="TSC1697" s="90"/>
      <c r="TSD1697" s="90"/>
      <c r="TSE1697" s="90"/>
      <c r="TSF1697" s="90"/>
      <c r="TSG1697" s="90"/>
      <c r="TSH1697" s="90"/>
      <c r="TSI1697" s="90"/>
      <c r="TSJ1697" s="90"/>
      <c r="TSK1697" s="90"/>
      <c r="TSL1697" s="90"/>
      <c r="TSM1697" s="90"/>
      <c r="TSN1697" s="90"/>
      <c r="TSO1697" s="90"/>
      <c r="TSP1697" s="90"/>
      <c r="TSQ1697" s="90"/>
      <c r="TSR1697" s="90"/>
      <c r="TSS1697" s="90"/>
      <c r="TST1697" s="90"/>
      <c r="TSU1697" s="90"/>
      <c r="TSV1697" s="90"/>
      <c r="TSW1697" s="90"/>
      <c r="TSX1697" s="90"/>
      <c r="TSY1697" s="90"/>
      <c r="TSZ1697" s="90"/>
      <c r="TTA1697" s="90"/>
      <c r="TTB1697" s="90"/>
      <c r="TTC1697" s="90"/>
      <c r="TTD1697" s="90"/>
      <c r="TTE1697" s="90"/>
      <c r="TTF1697" s="90"/>
      <c r="TTG1697" s="90"/>
      <c r="TTH1697" s="90"/>
      <c r="TTI1697" s="90"/>
      <c r="TTJ1697" s="90"/>
      <c r="TTK1697" s="90"/>
      <c r="TTL1697" s="90"/>
      <c r="TTM1697" s="90"/>
      <c r="TTN1697" s="90"/>
      <c r="TTO1697" s="90"/>
      <c r="TTP1697" s="90"/>
      <c r="TTQ1697" s="90"/>
      <c r="TTR1697" s="90"/>
      <c r="TTS1697" s="90"/>
      <c r="TTT1697" s="90"/>
      <c r="TTU1697" s="90"/>
      <c r="TTV1697" s="90"/>
      <c r="TTW1697" s="90"/>
      <c r="TTX1697" s="90"/>
      <c r="TTY1697" s="90"/>
      <c r="TTZ1697" s="90"/>
      <c r="TUA1697" s="90"/>
      <c r="TUB1697" s="90"/>
      <c r="TUC1697" s="90"/>
      <c r="TUD1697" s="90"/>
      <c r="TUE1697" s="90"/>
      <c r="TUF1697" s="90"/>
      <c r="TUG1697" s="90"/>
      <c r="TUH1697" s="90"/>
      <c r="TUI1697" s="90"/>
      <c r="TUJ1697" s="90"/>
      <c r="TUK1697" s="90"/>
      <c r="TUL1697" s="90"/>
      <c r="TUM1697" s="90"/>
      <c r="TUN1697" s="90"/>
      <c r="TUO1697" s="90"/>
      <c r="TUP1697" s="90"/>
      <c r="TUQ1697" s="90"/>
      <c r="TUR1697" s="90"/>
      <c r="TUS1697" s="90"/>
      <c r="TUT1697" s="90"/>
      <c r="TUU1697" s="90"/>
      <c r="TUV1697" s="90"/>
      <c r="TUW1697" s="90"/>
      <c r="TUX1697" s="90"/>
      <c r="TUY1697" s="90"/>
      <c r="TUZ1697" s="90"/>
      <c r="TVA1697" s="90"/>
      <c r="TVB1697" s="90"/>
      <c r="TVC1697" s="90"/>
      <c r="TVD1697" s="90"/>
      <c r="TVE1697" s="90"/>
      <c r="TVF1697" s="90"/>
      <c r="TVG1697" s="90"/>
      <c r="TVH1697" s="90"/>
      <c r="TVI1697" s="90"/>
      <c r="TVJ1697" s="90"/>
      <c r="TVK1697" s="90"/>
      <c r="TVL1697" s="90"/>
      <c r="TVM1697" s="90"/>
      <c r="TVN1697" s="90"/>
      <c r="TVO1697" s="90"/>
      <c r="TVP1697" s="90"/>
      <c r="TVQ1697" s="90"/>
      <c r="TVR1697" s="90"/>
      <c r="TVS1697" s="90"/>
      <c r="TVT1697" s="90"/>
      <c r="TVU1697" s="90"/>
      <c r="TVV1697" s="90"/>
      <c r="TVW1697" s="90"/>
      <c r="TVX1697" s="90"/>
      <c r="TVY1697" s="90"/>
      <c r="TVZ1697" s="90"/>
      <c r="TWA1697" s="90"/>
      <c r="TWB1697" s="90"/>
      <c r="TWC1697" s="90"/>
      <c r="TWD1697" s="90"/>
      <c r="TWE1697" s="90"/>
      <c r="TWF1697" s="90"/>
      <c r="TWG1697" s="90"/>
      <c r="TWH1697" s="90"/>
      <c r="TWI1697" s="90"/>
      <c r="TWJ1697" s="90"/>
      <c r="TWK1697" s="90"/>
      <c r="TWL1697" s="90"/>
      <c r="TWM1697" s="90"/>
      <c r="TWN1697" s="90"/>
      <c r="TWO1697" s="90"/>
      <c r="TWP1697" s="90"/>
      <c r="TWQ1697" s="90"/>
      <c r="TWR1697" s="90"/>
      <c r="TWS1697" s="90"/>
      <c r="TWT1697" s="90"/>
      <c r="TWU1697" s="90"/>
      <c r="TWV1697" s="90"/>
      <c r="TWW1697" s="90"/>
      <c r="TWX1697" s="90"/>
      <c r="TWY1697" s="90"/>
      <c r="TWZ1697" s="90"/>
      <c r="TXA1697" s="90"/>
      <c r="TXB1697" s="90"/>
      <c r="TXC1697" s="90"/>
      <c r="TXD1697" s="90"/>
      <c r="TXE1697" s="90"/>
      <c r="TXF1697" s="90"/>
      <c r="TXG1697" s="90"/>
      <c r="TXH1697" s="90"/>
      <c r="TXI1697" s="90"/>
      <c r="TXJ1697" s="90"/>
      <c r="TXK1697" s="90"/>
      <c r="TXL1697" s="90"/>
      <c r="TXM1697" s="90"/>
      <c r="TXN1697" s="90"/>
      <c r="TXO1697" s="90"/>
      <c r="TXP1697" s="90"/>
      <c r="TXQ1697" s="90"/>
      <c r="TXR1697" s="90"/>
      <c r="TXS1697" s="90"/>
      <c r="TXT1697" s="90"/>
      <c r="TXU1697" s="90"/>
      <c r="TXV1697" s="90"/>
      <c r="TXW1697" s="90"/>
      <c r="TXX1697" s="90"/>
      <c r="TXY1697" s="90"/>
      <c r="TXZ1697" s="90"/>
      <c r="TYA1697" s="90"/>
      <c r="TYB1697" s="90"/>
      <c r="TYC1697" s="90"/>
      <c r="TYD1697" s="90"/>
      <c r="TYE1697" s="90"/>
      <c r="TYF1697" s="90"/>
      <c r="TYG1697" s="90"/>
      <c r="TYH1697" s="90"/>
      <c r="TYI1697" s="90"/>
      <c r="TYJ1697" s="90"/>
      <c r="TYK1697" s="90"/>
      <c r="TYL1697" s="90"/>
      <c r="TYM1697" s="90"/>
      <c r="TYN1697" s="90"/>
      <c r="TYO1697" s="90"/>
      <c r="TYP1697" s="90"/>
      <c r="TYQ1697" s="90"/>
      <c r="TYR1697" s="90"/>
      <c r="TYS1697" s="90"/>
      <c r="TYT1697" s="90"/>
      <c r="TYU1697" s="90"/>
      <c r="TYV1697" s="90"/>
      <c r="TYW1697" s="90"/>
      <c r="TYX1697" s="90"/>
      <c r="TYY1697" s="90"/>
      <c r="TYZ1697" s="90"/>
      <c r="TZA1697" s="90"/>
      <c r="TZB1697" s="90"/>
      <c r="TZC1697" s="90"/>
      <c r="TZD1697" s="90"/>
      <c r="TZE1697" s="90"/>
      <c r="TZF1697" s="90"/>
      <c r="TZG1697" s="90"/>
      <c r="TZH1697" s="90"/>
      <c r="TZI1697" s="90"/>
      <c r="TZJ1697" s="90"/>
      <c r="TZK1697" s="90"/>
      <c r="TZL1697" s="90"/>
      <c r="TZM1697" s="90"/>
      <c r="TZN1697" s="90"/>
      <c r="TZO1697" s="90"/>
      <c r="TZP1697" s="90"/>
      <c r="TZQ1697" s="90"/>
      <c r="TZR1697" s="90"/>
      <c r="TZS1697" s="90"/>
      <c r="TZT1697" s="90"/>
      <c r="TZU1697" s="90"/>
      <c r="TZV1697" s="90"/>
      <c r="TZW1697" s="90"/>
      <c r="TZX1697" s="90"/>
      <c r="TZY1697" s="90"/>
      <c r="TZZ1697" s="90"/>
      <c r="UAA1697" s="90"/>
      <c r="UAB1697" s="90"/>
      <c r="UAC1697" s="90"/>
      <c r="UAD1697" s="90"/>
      <c r="UAE1697" s="90"/>
      <c r="UAF1697" s="90"/>
      <c r="UAG1697" s="90"/>
      <c r="UAH1697" s="90"/>
      <c r="UAI1697" s="90"/>
      <c r="UAJ1697" s="90"/>
      <c r="UAK1697" s="90"/>
      <c r="UAL1697" s="90"/>
      <c r="UAM1697" s="90"/>
      <c r="UAN1697" s="90"/>
      <c r="UAO1697" s="90"/>
      <c r="UAP1697" s="90"/>
      <c r="UAQ1697" s="90"/>
      <c r="UAR1697" s="90"/>
      <c r="UAS1697" s="90"/>
      <c r="UAT1697" s="90"/>
      <c r="UAU1697" s="90"/>
      <c r="UAV1697" s="90"/>
      <c r="UAW1697" s="90"/>
      <c r="UAX1697" s="90"/>
      <c r="UAY1697" s="90"/>
      <c r="UAZ1697" s="90"/>
      <c r="UBA1697" s="90"/>
      <c r="UBB1697" s="90"/>
      <c r="UBC1697" s="90"/>
      <c r="UBD1697" s="90"/>
      <c r="UBE1697" s="90"/>
      <c r="UBF1697" s="90"/>
      <c r="UBG1697" s="90"/>
      <c r="UBH1697" s="90"/>
      <c r="UBI1697" s="90"/>
      <c r="UBJ1697" s="90"/>
      <c r="UBK1697" s="90"/>
      <c r="UBL1697" s="90"/>
      <c r="UBM1697" s="90"/>
      <c r="UBN1697" s="90"/>
      <c r="UBO1697" s="90"/>
      <c r="UBP1697" s="90"/>
      <c r="UBQ1697" s="90"/>
      <c r="UBR1697" s="90"/>
      <c r="UBS1697" s="90"/>
      <c r="UBT1697" s="90"/>
      <c r="UBU1697" s="90"/>
      <c r="UBV1697" s="90"/>
      <c r="UBW1697" s="90"/>
      <c r="UBX1697" s="90"/>
      <c r="UBY1697" s="90"/>
      <c r="UBZ1697" s="90"/>
      <c r="UCA1697" s="90"/>
      <c r="UCB1697" s="90"/>
      <c r="UCC1697" s="90"/>
      <c r="UCD1697" s="90"/>
      <c r="UCE1697" s="90"/>
      <c r="UCF1697" s="90"/>
      <c r="UCG1697" s="90"/>
      <c r="UCH1697" s="90"/>
      <c r="UCI1697" s="90"/>
      <c r="UCJ1697" s="90"/>
      <c r="UCK1697" s="90"/>
      <c r="UCL1697" s="90"/>
      <c r="UCM1697" s="90"/>
      <c r="UCN1697" s="90"/>
      <c r="UCO1697" s="90"/>
      <c r="UCP1697" s="90"/>
      <c r="UCQ1697" s="90"/>
      <c r="UCR1697" s="90"/>
      <c r="UCS1697" s="90"/>
      <c r="UCT1697" s="90"/>
      <c r="UCU1697" s="90"/>
      <c r="UCV1697" s="90"/>
      <c r="UCW1697" s="90"/>
      <c r="UCX1697" s="90"/>
      <c r="UCY1697" s="90"/>
      <c r="UCZ1697" s="90"/>
      <c r="UDA1697" s="90"/>
      <c r="UDB1697" s="90"/>
      <c r="UDC1697" s="90"/>
      <c r="UDD1697" s="90"/>
      <c r="UDE1697" s="90"/>
      <c r="UDF1697" s="90"/>
      <c r="UDG1697" s="90"/>
      <c r="UDH1697" s="90"/>
      <c r="UDI1697" s="90"/>
      <c r="UDJ1697" s="90"/>
      <c r="UDK1697" s="90"/>
      <c r="UDL1697" s="90"/>
      <c r="UDM1697" s="90"/>
      <c r="UDN1697" s="90"/>
      <c r="UDO1697" s="90"/>
      <c r="UDP1697" s="90"/>
      <c r="UDQ1697" s="90"/>
      <c r="UDR1697" s="90"/>
      <c r="UDS1697" s="90"/>
      <c r="UDT1697" s="90"/>
      <c r="UDU1697" s="90"/>
      <c r="UDV1697" s="90"/>
      <c r="UDW1697" s="90"/>
      <c r="UDX1697" s="90"/>
      <c r="UDY1697" s="90"/>
      <c r="UDZ1697" s="90"/>
      <c r="UEA1697" s="90"/>
      <c r="UEB1697" s="90"/>
      <c r="UEC1697" s="90"/>
      <c r="UED1697" s="90"/>
      <c r="UEE1697" s="90"/>
      <c r="UEF1697" s="90"/>
      <c r="UEG1697" s="90"/>
      <c r="UEH1697" s="90"/>
      <c r="UEI1697" s="90"/>
      <c r="UEJ1697" s="90"/>
      <c r="UEK1697" s="90"/>
      <c r="UEL1697" s="90"/>
      <c r="UEM1697" s="90"/>
      <c r="UEN1697" s="90"/>
      <c r="UEO1697" s="90"/>
      <c r="UEP1697" s="90"/>
      <c r="UEQ1697" s="90"/>
      <c r="UER1697" s="90"/>
      <c r="UES1697" s="90"/>
      <c r="UET1697" s="90"/>
      <c r="UEU1697" s="90"/>
      <c r="UEV1697" s="90"/>
      <c r="UEW1697" s="90"/>
      <c r="UEX1697" s="90"/>
      <c r="UEY1697" s="90"/>
      <c r="UEZ1697" s="90"/>
      <c r="UFA1697" s="90"/>
      <c r="UFB1697" s="90"/>
      <c r="UFC1697" s="90"/>
      <c r="UFD1697" s="90"/>
      <c r="UFE1697" s="90"/>
      <c r="UFF1697" s="90"/>
      <c r="UFG1697" s="90"/>
      <c r="UFH1697" s="90"/>
      <c r="UFI1697" s="90"/>
      <c r="UFJ1697" s="90"/>
      <c r="UFK1697" s="90"/>
      <c r="UFL1697" s="90"/>
      <c r="UFM1697" s="90"/>
      <c r="UFN1697" s="90"/>
      <c r="UFO1697" s="90"/>
      <c r="UFP1697" s="90"/>
      <c r="UFQ1697" s="90"/>
      <c r="UFR1697" s="90"/>
      <c r="UFS1697" s="90"/>
      <c r="UFT1697" s="90"/>
      <c r="UFU1697" s="90"/>
      <c r="UFV1697" s="90"/>
      <c r="UFW1697" s="90"/>
      <c r="UFX1697" s="90"/>
      <c r="UFY1697" s="90"/>
      <c r="UFZ1697" s="90"/>
      <c r="UGA1697" s="90"/>
      <c r="UGB1697" s="90"/>
      <c r="UGC1697" s="90"/>
      <c r="UGD1697" s="90"/>
      <c r="UGE1697" s="90"/>
      <c r="UGF1697" s="90"/>
      <c r="UGG1697" s="90"/>
      <c r="UGH1697" s="90"/>
      <c r="UGI1697" s="90"/>
      <c r="UGJ1697" s="90"/>
      <c r="UGK1697" s="90"/>
      <c r="UGL1697" s="90"/>
      <c r="UGM1697" s="90"/>
      <c r="UGN1697" s="90"/>
      <c r="UGO1697" s="90"/>
      <c r="UGP1697" s="90"/>
      <c r="UGQ1697" s="90"/>
      <c r="UGR1697" s="90"/>
      <c r="UGS1697" s="90"/>
      <c r="UGT1697" s="90"/>
      <c r="UGU1697" s="90"/>
      <c r="UGV1697" s="90"/>
      <c r="UGW1697" s="90"/>
      <c r="UGX1697" s="90"/>
      <c r="UGY1697" s="90"/>
      <c r="UGZ1697" s="90"/>
      <c r="UHA1697" s="90"/>
      <c r="UHB1697" s="90"/>
      <c r="UHC1697" s="90"/>
      <c r="UHD1697" s="90"/>
      <c r="UHE1697" s="90"/>
      <c r="UHF1697" s="90"/>
      <c r="UHG1697" s="90"/>
      <c r="UHH1697" s="90"/>
      <c r="UHI1697" s="90"/>
      <c r="UHJ1697" s="90"/>
      <c r="UHK1697" s="90"/>
      <c r="UHL1697" s="90"/>
      <c r="UHM1697" s="90"/>
      <c r="UHN1697" s="90"/>
      <c r="UHO1697" s="90"/>
      <c r="UHP1697" s="90"/>
      <c r="UHQ1697" s="90"/>
      <c r="UHR1697" s="90"/>
      <c r="UHS1697" s="90"/>
      <c r="UHT1697" s="90"/>
      <c r="UHU1697" s="90"/>
      <c r="UHV1697" s="90"/>
      <c r="UHW1697" s="90"/>
      <c r="UHX1697" s="90"/>
      <c r="UHY1697" s="90"/>
      <c r="UHZ1697" s="90"/>
      <c r="UIA1697" s="90"/>
      <c r="UIB1697" s="90"/>
      <c r="UIC1697" s="90"/>
      <c r="UID1697" s="90"/>
      <c r="UIE1697" s="90"/>
      <c r="UIF1697" s="90"/>
      <c r="UIG1697" s="90"/>
      <c r="UIH1697" s="90"/>
      <c r="UII1697" s="90"/>
      <c r="UIJ1697" s="90"/>
      <c r="UIK1697" s="90"/>
      <c r="UIL1697" s="90"/>
      <c r="UIM1697" s="90"/>
      <c r="UIN1697" s="90"/>
      <c r="UIO1697" s="90"/>
      <c r="UIP1697" s="90"/>
      <c r="UIQ1697" s="90"/>
      <c r="UIR1697" s="90"/>
      <c r="UIS1697" s="90"/>
      <c r="UIT1697" s="90"/>
      <c r="UIU1697" s="90"/>
      <c r="UIV1697" s="90"/>
      <c r="UIW1697" s="90"/>
      <c r="UIX1697" s="90"/>
      <c r="UIY1697" s="90"/>
      <c r="UIZ1697" s="90"/>
      <c r="UJA1697" s="90"/>
      <c r="UJB1697" s="90"/>
      <c r="UJC1697" s="90"/>
      <c r="UJD1697" s="90"/>
      <c r="UJE1697" s="90"/>
      <c r="UJF1697" s="90"/>
      <c r="UJG1697" s="90"/>
      <c r="UJH1697" s="90"/>
      <c r="UJI1697" s="90"/>
      <c r="UJJ1697" s="90"/>
      <c r="UJK1697" s="90"/>
      <c r="UJL1697" s="90"/>
      <c r="UJM1697" s="90"/>
      <c r="UJN1697" s="90"/>
      <c r="UJO1697" s="90"/>
      <c r="UJP1697" s="90"/>
      <c r="UJQ1697" s="90"/>
      <c r="UJR1697" s="90"/>
      <c r="UJS1697" s="90"/>
      <c r="UJT1697" s="90"/>
      <c r="UJU1697" s="90"/>
      <c r="UJV1697" s="90"/>
      <c r="UJW1697" s="90"/>
      <c r="UJX1697" s="90"/>
      <c r="UJY1697" s="90"/>
      <c r="UJZ1697" s="90"/>
      <c r="UKA1697" s="90"/>
      <c r="UKB1697" s="90"/>
      <c r="UKC1697" s="90"/>
      <c r="UKD1697" s="90"/>
      <c r="UKE1697" s="90"/>
      <c r="UKF1697" s="90"/>
      <c r="UKG1697" s="90"/>
      <c r="UKH1697" s="90"/>
      <c r="UKI1697" s="90"/>
      <c r="UKJ1697" s="90"/>
      <c r="UKK1697" s="90"/>
      <c r="UKL1697" s="90"/>
      <c r="UKM1697" s="90"/>
      <c r="UKN1697" s="90"/>
      <c r="UKO1697" s="90"/>
      <c r="UKP1697" s="90"/>
      <c r="UKQ1697" s="90"/>
      <c r="UKR1697" s="90"/>
      <c r="UKS1697" s="90"/>
      <c r="UKT1697" s="90"/>
      <c r="UKU1697" s="90"/>
      <c r="UKV1697" s="90"/>
      <c r="UKW1697" s="90"/>
      <c r="UKX1697" s="90"/>
      <c r="UKY1697" s="90"/>
      <c r="UKZ1697" s="90"/>
      <c r="ULA1697" s="90"/>
      <c r="ULB1697" s="90"/>
      <c r="ULC1697" s="90"/>
      <c r="ULD1697" s="90"/>
      <c r="ULE1697" s="90"/>
      <c r="ULF1697" s="90"/>
      <c r="ULG1697" s="90"/>
      <c r="ULH1697" s="90"/>
      <c r="ULI1697" s="90"/>
      <c r="ULJ1697" s="90"/>
      <c r="ULK1697" s="90"/>
      <c r="ULL1697" s="90"/>
      <c r="ULM1697" s="90"/>
      <c r="ULN1697" s="90"/>
      <c r="ULO1697" s="90"/>
      <c r="ULP1697" s="90"/>
      <c r="ULQ1697" s="90"/>
      <c r="ULR1697" s="90"/>
      <c r="ULS1697" s="90"/>
      <c r="ULT1697" s="90"/>
      <c r="ULU1697" s="90"/>
      <c r="ULV1697" s="90"/>
      <c r="ULW1697" s="90"/>
      <c r="ULX1697" s="90"/>
      <c r="ULY1697" s="90"/>
      <c r="ULZ1697" s="90"/>
      <c r="UMA1697" s="90"/>
      <c r="UMB1697" s="90"/>
      <c r="UMC1697" s="90"/>
      <c r="UMD1697" s="90"/>
      <c r="UME1697" s="90"/>
      <c r="UMF1697" s="90"/>
      <c r="UMG1697" s="90"/>
      <c r="UMH1697" s="90"/>
      <c r="UMI1697" s="90"/>
      <c r="UMJ1697" s="90"/>
      <c r="UMK1697" s="90"/>
      <c r="UML1697" s="90"/>
      <c r="UMM1697" s="90"/>
      <c r="UMN1697" s="90"/>
      <c r="UMO1697" s="90"/>
      <c r="UMP1697" s="90"/>
      <c r="UMQ1697" s="90"/>
      <c r="UMR1697" s="90"/>
      <c r="UMS1697" s="90"/>
      <c r="UMT1697" s="90"/>
      <c r="UMU1697" s="90"/>
      <c r="UMV1697" s="90"/>
      <c r="UMW1697" s="90"/>
      <c r="UMX1697" s="90"/>
      <c r="UMY1697" s="90"/>
      <c r="UMZ1697" s="90"/>
      <c r="UNA1697" s="90"/>
      <c r="UNB1697" s="90"/>
      <c r="UNC1697" s="90"/>
      <c r="UND1697" s="90"/>
      <c r="UNE1697" s="90"/>
      <c r="UNF1697" s="90"/>
      <c r="UNG1697" s="90"/>
      <c r="UNH1697" s="90"/>
      <c r="UNI1697" s="90"/>
      <c r="UNJ1697" s="90"/>
      <c r="UNK1697" s="90"/>
      <c r="UNL1697" s="90"/>
      <c r="UNM1697" s="90"/>
      <c r="UNN1697" s="90"/>
      <c r="UNO1697" s="90"/>
      <c r="UNP1697" s="90"/>
      <c r="UNQ1697" s="90"/>
      <c r="UNR1697" s="90"/>
      <c r="UNS1697" s="90"/>
      <c r="UNT1697" s="90"/>
      <c r="UNU1697" s="90"/>
      <c r="UNV1697" s="90"/>
      <c r="UNW1697" s="90"/>
      <c r="UNX1697" s="90"/>
      <c r="UNY1697" s="90"/>
      <c r="UNZ1697" s="90"/>
      <c r="UOA1697" s="90"/>
      <c r="UOB1697" s="90"/>
      <c r="UOC1697" s="90"/>
      <c r="UOD1697" s="90"/>
      <c r="UOE1697" s="90"/>
      <c r="UOF1697" s="90"/>
      <c r="UOG1697" s="90"/>
      <c r="UOH1697" s="90"/>
      <c r="UOI1697" s="90"/>
      <c r="UOJ1697" s="90"/>
      <c r="UOK1697" s="90"/>
      <c r="UOL1697" s="90"/>
      <c r="UOM1697" s="90"/>
      <c r="UON1697" s="90"/>
      <c r="UOO1697" s="90"/>
      <c r="UOP1697" s="90"/>
      <c r="UOQ1697" s="90"/>
      <c r="UOR1697" s="90"/>
      <c r="UOS1697" s="90"/>
      <c r="UOT1697" s="90"/>
      <c r="UOU1697" s="90"/>
      <c r="UOV1697" s="90"/>
      <c r="UOW1697" s="90"/>
      <c r="UOX1697" s="90"/>
      <c r="UOY1697" s="90"/>
      <c r="UOZ1697" s="90"/>
      <c r="UPA1697" s="90"/>
      <c r="UPB1697" s="90"/>
      <c r="UPC1697" s="90"/>
      <c r="UPD1697" s="90"/>
      <c r="UPE1697" s="90"/>
      <c r="UPF1697" s="90"/>
      <c r="UPG1697" s="90"/>
      <c r="UPH1697" s="90"/>
      <c r="UPI1697" s="90"/>
      <c r="UPJ1697" s="90"/>
      <c r="UPK1697" s="90"/>
      <c r="UPL1697" s="90"/>
      <c r="UPM1697" s="90"/>
      <c r="UPN1697" s="90"/>
      <c r="UPO1697" s="90"/>
      <c r="UPP1697" s="90"/>
      <c r="UPQ1697" s="90"/>
      <c r="UPR1697" s="90"/>
      <c r="UPS1697" s="90"/>
      <c r="UPT1697" s="90"/>
      <c r="UPU1697" s="90"/>
      <c r="UPV1697" s="90"/>
      <c r="UPW1697" s="90"/>
      <c r="UPX1697" s="90"/>
      <c r="UPY1697" s="90"/>
      <c r="UPZ1697" s="90"/>
      <c r="UQA1697" s="90"/>
      <c r="UQB1697" s="90"/>
      <c r="UQC1697" s="90"/>
      <c r="UQD1697" s="90"/>
      <c r="UQE1697" s="90"/>
      <c r="UQF1697" s="90"/>
      <c r="UQG1697" s="90"/>
      <c r="UQH1697" s="90"/>
      <c r="UQI1697" s="90"/>
      <c r="UQJ1697" s="90"/>
      <c r="UQK1697" s="90"/>
      <c r="UQL1697" s="90"/>
      <c r="UQM1697" s="90"/>
      <c r="UQN1697" s="90"/>
      <c r="UQO1697" s="90"/>
      <c r="UQP1697" s="90"/>
      <c r="UQQ1697" s="90"/>
      <c r="UQR1697" s="90"/>
      <c r="UQS1697" s="90"/>
      <c r="UQT1697" s="90"/>
      <c r="UQU1697" s="90"/>
      <c r="UQV1697" s="90"/>
      <c r="UQW1697" s="90"/>
      <c r="UQX1697" s="90"/>
      <c r="UQY1697" s="90"/>
      <c r="UQZ1697" s="90"/>
      <c r="URA1697" s="90"/>
      <c r="URB1697" s="90"/>
      <c r="URC1697" s="90"/>
      <c r="URD1697" s="90"/>
      <c r="URE1697" s="90"/>
      <c r="URF1697" s="90"/>
      <c r="URG1697" s="90"/>
      <c r="URH1697" s="90"/>
      <c r="URI1697" s="90"/>
      <c r="URJ1697" s="90"/>
      <c r="URK1697" s="90"/>
      <c r="URL1697" s="90"/>
      <c r="URM1697" s="90"/>
      <c r="URN1697" s="90"/>
      <c r="URO1697" s="90"/>
      <c r="URP1697" s="90"/>
      <c r="URQ1697" s="90"/>
      <c r="URR1697" s="90"/>
      <c r="URS1697" s="90"/>
      <c r="URT1697" s="90"/>
      <c r="URU1697" s="90"/>
      <c r="URV1697" s="90"/>
      <c r="URW1697" s="90"/>
      <c r="URX1697" s="90"/>
      <c r="URY1697" s="90"/>
      <c r="URZ1697" s="90"/>
      <c r="USA1697" s="90"/>
      <c r="USB1697" s="90"/>
      <c r="USC1697" s="90"/>
      <c r="USD1697" s="90"/>
      <c r="USE1697" s="90"/>
      <c r="USF1697" s="90"/>
      <c r="USG1697" s="90"/>
      <c r="USH1697" s="90"/>
      <c r="USI1697" s="90"/>
      <c r="USJ1697" s="90"/>
      <c r="USK1697" s="90"/>
      <c r="USL1697" s="90"/>
      <c r="USM1697" s="90"/>
      <c r="USN1697" s="90"/>
      <c r="USO1697" s="90"/>
      <c r="USP1697" s="90"/>
      <c r="USQ1697" s="90"/>
      <c r="USR1697" s="90"/>
      <c r="USS1697" s="90"/>
      <c r="UST1697" s="90"/>
      <c r="USU1697" s="90"/>
      <c r="USV1697" s="90"/>
      <c r="USW1697" s="90"/>
      <c r="USX1697" s="90"/>
      <c r="USY1697" s="90"/>
      <c r="USZ1697" s="90"/>
      <c r="UTA1697" s="90"/>
      <c r="UTB1697" s="90"/>
      <c r="UTC1697" s="90"/>
      <c r="UTD1697" s="90"/>
      <c r="UTE1697" s="90"/>
      <c r="UTF1697" s="90"/>
      <c r="UTG1697" s="90"/>
      <c r="UTH1697" s="90"/>
      <c r="UTI1697" s="90"/>
      <c r="UTJ1697" s="90"/>
      <c r="UTK1697" s="90"/>
      <c r="UTL1697" s="90"/>
      <c r="UTM1697" s="90"/>
      <c r="UTN1697" s="90"/>
      <c r="UTO1697" s="90"/>
      <c r="UTP1697" s="90"/>
      <c r="UTQ1697" s="90"/>
      <c r="UTR1697" s="90"/>
      <c r="UTS1697" s="90"/>
      <c r="UTT1697" s="90"/>
      <c r="UTU1697" s="90"/>
      <c r="UTV1697" s="90"/>
      <c r="UTW1697" s="90"/>
      <c r="UTX1697" s="90"/>
      <c r="UTY1697" s="90"/>
      <c r="UTZ1697" s="90"/>
      <c r="UUA1697" s="90"/>
      <c r="UUB1697" s="90"/>
      <c r="UUC1697" s="90"/>
      <c r="UUD1697" s="90"/>
      <c r="UUE1697" s="90"/>
      <c r="UUF1697" s="90"/>
      <c r="UUG1697" s="90"/>
      <c r="UUH1697" s="90"/>
      <c r="UUI1697" s="90"/>
      <c r="UUJ1697" s="90"/>
      <c r="UUK1697" s="90"/>
      <c r="UUL1697" s="90"/>
      <c r="UUM1697" s="90"/>
      <c r="UUN1697" s="90"/>
      <c r="UUO1697" s="90"/>
      <c r="UUP1697" s="90"/>
      <c r="UUQ1697" s="90"/>
      <c r="UUR1697" s="90"/>
      <c r="UUS1697" s="90"/>
      <c r="UUT1697" s="90"/>
      <c r="UUU1697" s="90"/>
      <c r="UUV1697" s="90"/>
      <c r="UUW1697" s="90"/>
      <c r="UUX1697" s="90"/>
      <c r="UUY1697" s="90"/>
      <c r="UUZ1697" s="90"/>
      <c r="UVA1697" s="90"/>
      <c r="UVB1697" s="90"/>
      <c r="UVC1697" s="90"/>
      <c r="UVD1697" s="90"/>
      <c r="UVE1697" s="90"/>
      <c r="UVF1697" s="90"/>
      <c r="UVG1697" s="90"/>
      <c r="UVH1697" s="90"/>
      <c r="UVI1697" s="90"/>
      <c r="UVJ1697" s="90"/>
      <c r="UVK1697" s="90"/>
      <c r="UVL1697" s="90"/>
      <c r="UVM1697" s="90"/>
      <c r="UVN1697" s="90"/>
      <c r="UVO1697" s="90"/>
      <c r="UVP1697" s="90"/>
      <c r="UVQ1697" s="90"/>
      <c r="UVR1697" s="90"/>
      <c r="UVS1697" s="90"/>
      <c r="UVT1697" s="90"/>
      <c r="UVU1697" s="90"/>
      <c r="UVV1697" s="90"/>
      <c r="UVW1697" s="90"/>
      <c r="UVX1697" s="90"/>
      <c r="UVY1697" s="90"/>
      <c r="UVZ1697" s="90"/>
      <c r="UWA1697" s="90"/>
      <c r="UWB1697" s="90"/>
      <c r="UWC1697" s="90"/>
      <c r="UWD1697" s="90"/>
      <c r="UWE1697" s="90"/>
      <c r="UWF1697" s="90"/>
      <c r="UWG1697" s="90"/>
      <c r="UWH1697" s="90"/>
      <c r="UWI1697" s="90"/>
      <c r="UWJ1697" s="90"/>
      <c r="UWK1697" s="90"/>
      <c r="UWL1697" s="90"/>
      <c r="UWM1697" s="90"/>
      <c r="UWN1697" s="90"/>
      <c r="UWO1697" s="90"/>
      <c r="UWP1697" s="90"/>
      <c r="UWQ1697" s="90"/>
      <c r="UWR1697" s="90"/>
      <c r="UWS1697" s="90"/>
      <c r="UWT1697" s="90"/>
      <c r="UWU1697" s="90"/>
      <c r="UWV1697" s="90"/>
      <c r="UWW1697" s="90"/>
      <c r="UWX1697" s="90"/>
      <c r="UWY1697" s="90"/>
      <c r="UWZ1697" s="90"/>
      <c r="UXA1697" s="90"/>
      <c r="UXB1697" s="90"/>
      <c r="UXC1697" s="90"/>
      <c r="UXD1697" s="90"/>
      <c r="UXE1697" s="90"/>
      <c r="UXF1697" s="90"/>
      <c r="UXG1697" s="90"/>
      <c r="UXH1697" s="90"/>
      <c r="UXI1697" s="90"/>
      <c r="UXJ1697" s="90"/>
      <c r="UXK1697" s="90"/>
      <c r="UXL1697" s="90"/>
      <c r="UXM1697" s="90"/>
      <c r="UXN1697" s="90"/>
      <c r="UXO1697" s="90"/>
      <c r="UXP1697" s="90"/>
      <c r="UXQ1697" s="90"/>
      <c r="UXR1697" s="90"/>
      <c r="UXS1697" s="90"/>
      <c r="UXT1697" s="90"/>
      <c r="UXU1697" s="90"/>
      <c r="UXV1697" s="90"/>
      <c r="UXW1697" s="90"/>
      <c r="UXX1697" s="90"/>
      <c r="UXY1697" s="90"/>
      <c r="UXZ1697" s="90"/>
      <c r="UYA1697" s="90"/>
      <c r="UYB1697" s="90"/>
      <c r="UYC1697" s="90"/>
      <c r="UYD1697" s="90"/>
      <c r="UYE1697" s="90"/>
      <c r="UYF1697" s="90"/>
      <c r="UYG1697" s="90"/>
      <c r="UYH1697" s="90"/>
      <c r="UYI1697" s="90"/>
      <c r="UYJ1697" s="90"/>
      <c r="UYK1697" s="90"/>
      <c r="UYL1697" s="90"/>
      <c r="UYM1697" s="90"/>
      <c r="UYN1697" s="90"/>
      <c r="UYO1697" s="90"/>
      <c r="UYP1697" s="90"/>
      <c r="UYQ1697" s="90"/>
      <c r="UYR1697" s="90"/>
      <c r="UYS1697" s="90"/>
      <c r="UYT1697" s="90"/>
      <c r="UYU1697" s="90"/>
      <c r="UYV1697" s="90"/>
      <c r="UYW1697" s="90"/>
      <c r="UYX1697" s="90"/>
      <c r="UYY1697" s="90"/>
      <c r="UYZ1697" s="90"/>
      <c r="UZA1697" s="90"/>
      <c r="UZB1697" s="90"/>
      <c r="UZC1697" s="90"/>
      <c r="UZD1697" s="90"/>
      <c r="UZE1697" s="90"/>
      <c r="UZF1697" s="90"/>
      <c r="UZG1697" s="90"/>
      <c r="UZH1697" s="90"/>
      <c r="UZI1697" s="90"/>
      <c r="UZJ1697" s="90"/>
      <c r="UZK1697" s="90"/>
      <c r="UZL1697" s="90"/>
      <c r="UZM1697" s="90"/>
      <c r="UZN1697" s="90"/>
      <c r="UZO1697" s="90"/>
      <c r="UZP1697" s="90"/>
      <c r="UZQ1697" s="90"/>
      <c r="UZR1697" s="90"/>
      <c r="UZS1697" s="90"/>
      <c r="UZT1697" s="90"/>
      <c r="UZU1697" s="90"/>
      <c r="UZV1697" s="90"/>
      <c r="UZW1697" s="90"/>
      <c r="UZX1697" s="90"/>
      <c r="UZY1697" s="90"/>
      <c r="UZZ1697" s="90"/>
      <c r="VAA1697" s="90"/>
      <c r="VAB1697" s="90"/>
      <c r="VAC1697" s="90"/>
      <c r="VAD1697" s="90"/>
      <c r="VAE1697" s="90"/>
      <c r="VAF1697" s="90"/>
      <c r="VAG1697" s="90"/>
      <c r="VAH1697" s="90"/>
      <c r="VAI1697" s="90"/>
      <c r="VAJ1697" s="90"/>
      <c r="VAK1697" s="90"/>
      <c r="VAL1697" s="90"/>
      <c r="VAM1697" s="90"/>
      <c r="VAN1697" s="90"/>
      <c r="VAO1697" s="90"/>
      <c r="VAP1697" s="90"/>
      <c r="VAQ1697" s="90"/>
      <c r="VAR1697" s="90"/>
      <c r="VAS1697" s="90"/>
      <c r="VAT1697" s="90"/>
      <c r="VAU1697" s="90"/>
      <c r="VAV1697" s="90"/>
      <c r="VAW1697" s="90"/>
      <c r="VAX1697" s="90"/>
      <c r="VAY1697" s="90"/>
      <c r="VAZ1697" s="90"/>
      <c r="VBA1697" s="90"/>
      <c r="VBB1697" s="90"/>
      <c r="VBC1697" s="90"/>
      <c r="VBD1697" s="90"/>
      <c r="VBE1697" s="90"/>
      <c r="VBF1697" s="90"/>
      <c r="VBG1697" s="90"/>
      <c r="VBH1697" s="90"/>
      <c r="VBI1697" s="90"/>
      <c r="VBJ1697" s="90"/>
      <c r="VBK1697" s="90"/>
      <c r="VBL1697" s="90"/>
      <c r="VBM1697" s="90"/>
      <c r="VBN1697" s="90"/>
      <c r="VBO1697" s="90"/>
      <c r="VBP1697" s="90"/>
      <c r="VBQ1697" s="90"/>
      <c r="VBR1697" s="90"/>
      <c r="VBS1697" s="90"/>
      <c r="VBT1697" s="90"/>
      <c r="VBU1697" s="90"/>
      <c r="VBV1697" s="90"/>
      <c r="VBW1697" s="90"/>
      <c r="VBX1697" s="90"/>
      <c r="VBY1697" s="90"/>
      <c r="VBZ1697" s="90"/>
      <c r="VCA1697" s="90"/>
      <c r="VCB1697" s="90"/>
      <c r="VCC1697" s="90"/>
      <c r="VCD1697" s="90"/>
      <c r="VCE1697" s="90"/>
      <c r="VCF1697" s="90"/>
      <c r="VCG1697" s="90"/>
      <c r="VCH1697" s="90"/>
      <c r="VCI1697" s="90"/>
      <c r="VCJ1697" s="90"/>
      <c r="VCK1697" s="90"/>
      <c r="VCL1697" s="90"/>
      <c r="VCM1697" s="90"/>
      <c r="VCN1697" s="90"/>
      <c r="VCO1697" s="90"/>
      <c r="VCP1697" s="90"/>
      <c r="VCQ1697" s="90"/>
      <c r="VCR1697" s="90"/>
      <c r="VCS1697" s="90"/>
      <c r="VCT1697" s="90"/>
      <c r="VCU1697" s="90"/>
      <c r="VCV1697" s="90"/>
      <c r="VCW1697" s="90"/>
      <c r="VCX1697" s="90"/>
      <c r="VCY1697" s="90"/>
      <c r="VCZ1697" s="90"/>
      <c r="VDA1697" s="90"/>
      <c r="VDB1697" s="90"/>
      <c r="VDC1697" s="90"/>
      <c r="VDD1697" s="90"/>
      <c r="VDE1697" s="90"/>
      <c r="VDF1697" s="90"/>
      <c r="VDG1697" s="90"/>
      <c r="VDH1697" s="90"/>
      <c r="VDI1697" s="90"/>
      <c r="VDJ1697" s="90"/>
      <c r="VDK1697" s="90"/>
      <c r="VDL1697" s="90"/>
      <c r="VDM1697" s="90"/>
      <c r="VDN1697" s="90"/>
      <c r="VDO1697" s="90"/>
      <c r="VDP1697" s="90"/>
      <c r="VDQ1697" s="90"/>
      <c r="VDR1697" s="90"/>
      <c r="VDS1697" s="90"/>
      <c r="VDT1697" s="90"/>
      <c r="VDU1697" s="90"/>
      <c r="VDV1697" s="90"/>
      <c r="VDW1697" s="90"/>
      <c r="VDX1697" s="90"/>
      <c r="VDY1697" s="90"/>
      <c r="VDZ1697" s="90"/>
      <c r="VEA1697" s="90"/>
      <c r="VEB1697" s="90"/>
      <c r="VEC1697" s="90"/>
      <c r="VED1697" s="90"/>
      <c r="VEE1697" s="90"/>
      <c r="VEF1697" s="90"/>
      <c r="VEG1697" s="90"/>
      <c r="VEH1697" s="90"/>
      <c r="VEI1697" s="90"/>
      <c r="VEJ1697" s="90"/>
      <c r="VEK1697" s="90"/>
      <c r="VEL1697" s="90"/>
      <c r="VEM1697" s="90"/>
      <c r="VEN1697" s="90"/>
      <c r="VEO1697" s="90"/>
      <c r="VEP1697" s="90"/>
      <c r="VEQ1697" s="90"/>
      <c r="VER1697" s="90"/>
      <c r="VES1697" s="90"/>
      <c r="VET1697" s="90"/>
      <c r="VEU1697" s="90"/>
      <c r="VEV1697" s="90"/>
      <c r="VEW1697" s="90"/>
      <c r="VEX1697" s="90"/>
      <c r="VEY1697" s="90"/>
      <c r="VEZ1697" s="90"/>
      <c r="VFA1697" s="90"/>
      <c r="VFB1697" s="90"/>
      <c r="VFC1697" s="90"/>
      <c r="VFD1697" s="90"/>
      <c r="VFE1697" s="90"/>
      <c r="VFF1697" s="90"/>
      <c r="VFG1697" s="90"/>
      <c r="VFH1697" s="90"/>
      <c r="VFI1697" s="90"/>
      <c r="VFJ1697" s="90"/>
      <c r="VFK1697" s="90"/>
      <c r="VFL1697" s="90"/>
      <c r="VFM1697" s="90"/>
      <c r="VFN1697" s="90"/>
      <c r="VFO1697" s="90"/>
      <c r="VFP1697" s="90"/>
      <c r="VFQ1697" s="90"/>
      <c r="VFR1697" s="90"/>
      <c r="VFS1697" s="90"/>
      <c r="VFT1697" s="90"/>
      <c r="VFU1697" s="90"/>
      <c r="VFV1697" s="90"/>
      <c r="VFW1697" s="90"/>
      <c r="VFX1697" s="90"/>
      <c r="VFY1697" s="90"/>
      <c r="VFZ1697" s="90"/>
      <c r="VGA1697" s="90"/>
      <c r="VGB1697" s="90"/>
      <c r="VGC1697" s="90"/>
      <c r="VGD1697" s="90"/>
      <c r="VGE1697" s="90"/>
      <c r="VGF1697" s="90"/>
      <c r="VGG1697" s="90"/>
      <c r="VGH1697" s="90"/>
      <c r="VGI1697" s="90"/>
      <c r="VGJ1697" s="90"/>
      <c r="VGK1697" s="90"/>
      <c r="VGL1697" s="90"/>
      <c r="VGM1697" s="90"/>
      <c r="VGN1697" s="90"/>
      <c r="VGO1697" s="90"/>
      <c r="VGP1697" s="90"/>
      <c r="VGQ1697" s="90"/>
      <c r="VGR1697" s="90"/>
      <c r="VGS1697" s="90"/>
      <c r="VGT1697" s="90"/>
      <c r="VGU1697" s="90"/>
      <c r="VGV1697" s="90"/>
      <c r="VGW1697" s="90"/>
      <c r="VGX1697" s="90"/>
      <c r="VGY1697" s="90"/>
      <c r="VGZ1697" s="90"/>
      <c r="VHA1697" s="90"/>
      <c r="VHB1697" s="90"/>
      <c r="VHC1697" s="90"/>
      <c r="VHD1697" s="90"/>
      <c r="VHE1697" s="90"/>
      <c r="VHF1697" s="90"/>
      <c r="VHG1697" s="90"/>
      <c r="VHH1697" s="90"/>
      <c r="VHI1697" s="90"/>
      <c r="VHJ1697" s="90"/>
      <c r="VHK1697" s="90"/>
      <c r="VHL1697" s="90"/>
      <c r="VHM1697" s="90"/>
      <c r="VHN1697" s="90"/>
      <c r="VHO1697" s="90"/>
      <c r="VHP1697" s="90"/>
      <c r="VHQ1697" s="90"/>
      <c r="VHR1697" s="90"/>
      <c r="VHS1697" s="90"/>
      <c r="VHT1697" s="90"/>
      <c r="VHU1697" s="90"/>
      <c r="VHV1697" s="90"/>
      <c r="VHW1697" s="90"/>
      <c r="VHX1697" s="90"/>
      <c r="VHY1697" s="90"/>
      <c r="VHZ1697" s="90"/>
      <c r="VIA1697" s="90"/>
      <c r="VIB1697" s="90"/>
      <c r="VIC1697" s="90"/>
      <c r="VID1697" s="90"/>
      <c r="VIE1697" s="90"/>
      <c r="VIF1697" s="90"/>
      <c r="VIG1697" s="90"/>
      <c r="VIH1697" s="90"/>
      <c r="VII1697" s="90"/>
      <c r="VIJ1697" s="90"/>
      <c r="VIK1697" s="90"/>
      <c r="VIL1697" s="90"/>
      <c r="VIM1697" s="90"/>
      <c r="VIN1697" s="90"/>
      <c r="VIO1697" s="90"/>
      <c r="VIP1697" s="90"/>
      <c r="VIQ1697" s="90"/>
      <c r="VIR1697" s="90"/>
      <c r="VIS1697" s="90"/>
      <c r="VIT1697" s="90"/>
      <c r="VIU1697" s="90"/>
      <c r="VIV1697" s="90"/>
      <c r="VIW1697" s="90"/>
      <c r="VIX1697" s="90"/>
      <c r="VIY1697" s="90"/>
      <c r="VIZ1697" s="90"/>
      <c r="VJA1697" s="90"/>
      <c r="VJB1697" s="90"/>
      <c r="VJC1697" s="90"/>
      <c r="VJD1697" s="90"/>
      <c r="VJE1697" s="90"/>
      <c r="VJF1697" s="90"/>
      <c r="VJG1697" s="90"/>
      <c r="VJH1697" s="90"/>
      <c r="VJI1697" s="90"/>
      <c r="VJJ1697" s="90"/>
      <c r="VJK1697" s="90"/>
      <c r="VJL1697" s="90"/>
      <c r="VJM1697" s="90"/>
      <c r="VJN1697" s="90"/>
      <c r="VJO1697" s="90"/>
      <c r="VJP1697" s="90"/>
      <c r="VJQ1697" s="90"/>
      <c r="VJR1697" s="90"/>
      <c r="VJS1697" s="90"/>
      <c r="VJT1697" s="90"/>
      <c r="VJU1697" s="90"/>
      <c r="VJV1697" s="90"/>
      <c r="VJW1697" s="90"/>
      <c r="VJX1697" s="90"/>
      <c r="VJY1697" s="90"/>
      <c r="VJZ1697" s="90"/>
      <c r="VKA1697" s="90"/>
      <c r="VKB1697" s="90"/>
      <c r="VKC1697" s="90"/>
      <c r="VKD1697" s="90"/>
      <c r="VKE1697" s="90"/>
      <c r="VKF1697" s="90"/>
      <c r="VKG1697" s="90"/>
      <c r="VKH1697" s="90"/>
      <c r="VKI1697" s="90"/>
      <c r="VKJ1697" s="90"/>
      <c r="VKK1697" s="90"/>
      <c r="VKL1697" s="90"/>
      <c r="VKM1697" s="90"/>
      <c r="VKN1697" s="90"/>
      <c r="VKO1697" s="90"/>
      <c r="VKP1697" s="90"/>
      <c r="VKQ1697" s="90"/>
      <c r="VKR1697" s="90"/>
      <c r="VKS1697" s="90"/>
      <c r="VKT1697" s="90"/>
      <c r="VKU1697" s="90"/>
      <c r="VKV1697" s="90"/>
      <c r="VKW1697" s="90"/>
      <c r="VKX1697" s="90"/>
      <c r="VKY1697" s="90"/>
      <c r="VKZ1697" s="90"/>
      <c r="VLA1697" s="90"/>
      <c r="VLB1697" s="90"/>
      <c r="VLC1697" s="90"/>
      <c r="VLD1697" s="90"/>
      <c r="VLE1697" s="90"/>
      <c r="VLF1697" s="90"/>
      <c r="VLG1697" s="90"/>
      <c r="VLH1697" s="90"/>
      <c r="VLI1697" s="90"/>
      <c r="VLJ1697" s="90"/>
      <c r="VLK1697" s="90"/>
      <c r="VLL1697" s="90"/>
      <c r="VLM1697" s="90"/>
      <c r="VLN1697" s="90"/>
      <c r="VLO1697" s="90"/>
      <c r="VLP1697" s="90"/>
      <c r="VLQ1697" s="90"/>
      <c r="VLR1697" s="90"/>
      <c r="VLS1697" s="90"/>
      <c r="VLT1697" s="90"/>
      <c r="VLU1697" s="90"/>
      <c r="VLV1697" s="90"/>
      <c r="VLW1697" s="90"/>
      <c r="VLX1697" s="90"/>
      <c r="VLY1697" s="90"/>
      <c r="VLZ1697" s="90"/>
      <c r="VMA1697" s="90"/>
      <c r="VMB1697" s="90"/>
      <c r="VMC1697" s="90"/>
      <c r="VMD1697" s="90"/>
      <c r="VME1697" s="90"/>
      <c r="VMF1697" s="90"/>
      <c r="VMG1697" s="90"/>
      <c r="VMH1697" s="90"/>
      <c r="VMI1697" s="90"/>
      <c r="VMJ1697" s="90"/>
      <c r="VMK1697" s="90"/>
      <c r="VML1697" s="90"/>
      <c r="VMM1697" s="90"/>
      <c r="VMN1697" s="90"/>
      <c r="VMO1697" s="90"/>
      <c r="VMP1697" s="90"/>
      <c r="VMQ1697" s="90"/>
      <c r="VMR1697" s="90"/>
      <c r="VMS1697" s="90"/>
      <c r="VMT1697" s="90"/>
      <c r="VMU1697" s="90"/>
      <c r="VMV1697" s="90"/>
      <c r="VMW1697" s="90"/>
      <c r="VMX1697" s="90"/>
      <c r="VMY1697" s="90"/>
      <c r="VMZ1697" s="90"/>
      <c r="VNA1697" s="90"/>
      <c r="VNB1697" s="90"/>
      <c r="VNC1697" s="90"/>
      <c r="VND1697" s="90"/>
      <c r="VNE1697" s="90"/>
      <c r="VNF1697" s="90"/>
      <c r="VNG1697" s="90"/>
      <c r="VNH1697" s="90"/>
      <c r="VNI1697" s="90"/>
      <c r="VNJ1697" s="90"/>
      <c r="VNK1697" s="90"/>
      <c r="VNL1697" s="90"/>
      <c r="VNM1697" s="90"/>
      <c r="VNN1697" s="90"/>
      <c r="VNO1697" s="90"/>
      <c r="VNP1697" s="90"/>
      <c r="VNQ1697" s="90"/>
      <c r="VNR1697" s="90"/>
      <c r="VNS1697" s="90"/>
      <c r="VNT1697" s="90"/>
      <c r="VNU1697" s="90"/>
      <c r="VNV1697" s="90"/>
      <c r="VNW1697" s="90"/>
      <c r="VNX1697" s="90"/>
      <c r="VNY1697" s="90"/>
      <c r="VNZ1697" s="90"/>
      <c r="VOA1697" s="90"/>
      <c r="VOB1697" s="90"/>
      <c r="VOC1697" s="90"/>
      <c r="VOD1697" s="90"/>
      <c r="VOE1697" s="90"/>
      <c r="VOF1697" s="90"/>
      <c r="VOG1697" s="90"/>
      <c r="VOH1697" s="90"/>
      <c r="VOI1697" s="90"/>
      <c r="VOJ1697" s="90"/>
      <c r="VOK1697" s="90"/>
      <c r="VOL1697" s="90"/>
      <c r="VOM1697" s="90"/>
      <c r="VON1697" s="90"/>
      <c r="VOO1697" s="90"/>
      <c r="VOP1697" s="90"/>
      <c r="VOQ1697" s="90"/>
      <c r="VOR1697" s="90"/>
      <c r="VOS1697" s="90"/>
      <c r="VOT1697" s="90"/>
      <c r="VOU1697" s="90"/>
      <c r="VOV1697" s="90"/>
      <c r="VOW1697" s="90"/>
      <c r="VOX1697" s="90"/>
      <c r="VOY1697" s="90"/>
      <c r="VOZ1697" s="90"/>
      <c r="VPA1697" s="90"/>
      <c r="VPB1697" s="90"/>
      <c r="VPC1697" s="90"/>
      <c r="VPD1697" s="90"/>
      <c r="VPE1697" s="90"/>
      <c r="VPF1697" s="90"/>
      <c r="VPG1697" s="90"/>
      <c r="VPH1697" s="90"/>
      <c r="VPI1697" s="90"/>
      <c r="VPJ1697" s="90"/>
      <c r="VPK1697" s="90"/>
      <c r="VPL1697" s="90"/>
      <c r="VPM1697" s="90"/>
      <c r="VPN1697" s="90"/>
      <c r="VPO1697" s="90"/>
      <c r="VPP1697" s="90"/>
      <c r="VPQ1697" s="90"/>
      <c r="VPR1697" s="90"/>
      <c r="VPS1697" s="90"/>
      <c r="VPT1697" s="90"/>
      <c r="VPU1697" s="90"/>
      <c r="VPV1697" s="90"/>
      <c r="VPW1697" s="90"/>
      <c r="VPX1697" s="90"/>
      <c r="VPY1697" s="90"/>
      <c r="VPZ1697" s="90"/>
      <c r="VQA1697" s="90"/>
      <c r="VQB1697" s="90"/>
      <c r="VQC1697" s="90"/>
      <c r="VQD1697" s="90"/>
      <c r="VQE1697" s="90"/>
      <c r="VQF1697" s="90"/>
      <c r="VQG1697" s="90"/>
      <c r="VQH1697" s="90"/>
      <c r="VQI1697" s="90"/>
      <c r="VQJ1697" s="90"/>
      <c r="VQK1697" s="90"/>
      <c r="VQL1697" s="90"/>
      <c r="VQM1697" s="90"/>
      <c r="VQN1697" s="90"/>
      <c r="VQO1697" s="90"/>
      <c r="VQP1697" s="90"/>
      <c r="VQQ1697" s="90"/>
      <c r="VQR1697" s="90"/>
      <c r="VQS1697" s="90"/>
      <c r="VQT1697" s="90"/>
      <c r="VQU1697" s="90"/>
      <c r="VQV1697" s="90"/>
      <c r="VQW1697" s="90"/>
      <c r="VQX1697" s="90"/>
      <c r="VQY1697" s="90"/>
      <c r="VQZ1697" s="90"/>
      <c r="VRA1697" s="90"/>
      <c r="VRB1697" s="90"/>
      <c r="VRC1697" s="90"/>
      <c r="VRD1697" s="90"/>
      <c r="VRE1697" s="90"/>
      <c r="VRF1697" s="90"/>
      <c r="VRG1697" s="90"/>
      <c r="VRH1697" s="90"/>
      <c r="VRI1697" s="90"/>
      <c r="VRJ1697" s="90"/>
      <c r="VRK1697" s="90"/>
      <c r="VRL1697" s="90"/>
      <c r="VRM1697" s="90"/>
      <c r="VRN1697" s="90"/>
      <c r="VRO1697" s="90"/>
      <c r="VRP1697" s="90"/>
      <c r="VRQ1697" s="90"/>
      <c r="VRR1697" s="90"/>
      <c r="VRS1697" s="90"/>
      <c r="VRT1697" s="90"/>
      <c r="VRU1697" s="90"/>
      <c r="VRV1697" s="90"/>
      <c r="VRW1697" s="90"/>
      <c r="VRX1697" s="90"/>
      <c r="VRY1697" s="90"/>
      <c r="VRZ1697" s="90"/>
      <c r="VSA1697" s="90"/>
      <c r="VSB1697" s="90"/>
      <c r="VSC1697" s="90"/>
      <c r="VSD1697" s="90"/>
      <c r="VSE1697" s="90"/>
      <c r="VSF1697" s="90"/>
      <c r="VSG1697" s="90"/>
      <c r="VSH1697" s="90"/>
      <c r="VSI1697" s="90"/>
      <c r="VSJ1697" s="90"/>
      <c r="VSK1697" s="90"/>
      <c r="VSL1697" s="90"/>
      <c r="VSM1697" s="90"/>
      <c r="VSN1697" s="90"/>
      <c r="VSO1697" s="90"/>
      <c r="VSP1697" s="90"/>
      <c r="VSQ1697" s="90"/>
      <c r="VSR1697" s="90"/>
      <c r="VSS1697" s="90"/>
      <c r="VST1697" s="90"/>
      <c r="VSU1697" s="90"/>
      <c r="VSV1697" s="90"/>
      <c r="VSW1697" s="90"/>
      <c r="VSX1697" s="90"/>
      <c r="VSY1697" s="90"/>
      <c r="VSZ1697" s="90"/>
      <c r="VTA1697" s="90"/>
      <c r="VTB1697" s="90"/>
      <c r="VTC1697" s="90"/>
      <c r="VTD1697" s="90"/>
      <c r="VTE1697" s="90"/>
      <c r="VTF1697" s="90"/>
      <c r="VTG1697" s="90"/>
      <c r="VTH1697" s="90"/>
      <c r="VTI1697" s="90"/>
      <c r="VTJ1697" s="90"/>
      <c r="VTK1697" s="90"/>
      <c r="VTL1697" s="90"/>
      <c r="VTM1697" s="90"/>
      <c r="VTN1697" s="90"/>
      <c r="VTO1697" s="90"/>
      <c r="VTP1697" s="90"/>
      <c r="VTQ1697" s="90"/>
      <c r="VTR1697" s="90"/>
      <c r="VTS1697" s="90"/>
      <c r="VTT1697" s="90"/>
      <c r="VTU1697" s="90"/>
      <c r="VTV1697" s="90"/>
      <c r="VTW1697" s="90"/>
      <c r="VTX1697" s="90"/>
      <c r="VTY1697" s="90"/>
      <c r="VTZ1697" s="90"/>
      <c r="VUA1697" s="90"/>
      <c r="VUB1697" s="90"/>
      <c r="VUC1697" s="90"/>
      <c r="VUD1697" s="90"/>
      <c r="VUE1697" s="90"/>
      <c r="VUF1697" s="90"/>
      <c r="VUG1697" s="90"/>
      <c r="VUH1697" s="90"/>
      <c r="VUI1697" s="90"/>
      <c r="VUJ1697" s="90"/>
      <c r="VUK1697" s="90"/>
      <c r="VUL1697" s="90"/>
      <c r="VUM1697" s="90"/>
      <c r="VUN1697" s="90"/>
      <c r="VUO1697" s="90"/>
      <c r="VUP1697" s="90"/>
      <c r="VUQ1697" s="90"/>
      <c r="VUR1697" s="90"/>
      <c r="VUS1697" s="90"/>
      <c r="VUT1697" s="90"/>
      <c r="VUU1697" s="90"/>
      <c r="VUV1697" s="90"/>
      <c r="VUW1697" s="90"/>
      <c r="VUX1697" s="90"/>
      <c r="VUY1697" s="90"/>
      <c r="VUZ1697" s="90"/>
      <c r="VVA1697" s="90"/>
      <c r="VVB1697" s="90"/>
      <c r="VVC1697" s="90"/>
      <c r="VVD1697" s="90"/>
      <c r="VVE1697" s="90"/>
      <c r="VVF1697" s="90"/>
      <c r="VVG1697" s="90"/>
      <c r="VVH1697" s="90"/>
      <c r="VVI1697" s="90"/>
      <c r="VVJ1697" s="90"/>
      <c r="VVK1697" s="90"/>
      <c r="VVL1697" s="90"/>
      <c r="VVM1697" s="90"/>
      <c r="VVN1697" s="90"/>
      <c r="VVO1697" s="90"/>
      <c r="VVP1697" s="90"/>
      <c r="VVQ1697" s="90"/>
      <c r="VVR1697" s="90"/>
      <c r="VVS1697" s="90"/>
      <c r="VVT1697" s="90"/>
      <c r="VVU1697" s="90"/>
      <c r="VVV1697" s="90"/>
      <c r="VVW1697" s="90"/>
      <c r="VVX1697" s="90"/>
      <c r="VVY1697" s="90"/>
      <c r="VVZ1697" s="90"/>
      <c r="VWA1697" s="90"/>
      <c r="VWB1697" s="90"/>
      <c r="VWC1697" s="90"/>
      <c r="VWD1697" s="90"/>
      <c r="VWE1697" s="90"/>
      <c r="VWF1697" s="90"/>
      <c r="VWG1697" s="90"/>
      <c r="VWH1697" s="90"/>
      <c r="VWI1697" s="90"/>
      <c r="VWJ1697" s="90"/>
      <c r="VWK1697" s="90"/>
      <c r="VWL1697" s="90"/>
      <c r="VWM1697" s="90"/>
      <c r="VWN1697" s="90"/>
      <c r="VWO1697" s="90"/>
      <c r="VWP1697" s="90"/>
      <c r="VWQ1697" s="90"/>
      <c r="VWR1697" s="90"/>
      <c r="VWS1697" s="90"/>
      <c r="VWT1697" s="90"/>
      <c r="VWU1697" s="90"/>
      <c r="VWV1697" s="90"/>
      <c r="VWW1697" s="90"/>
      <c r="VWX1697" s="90"/>
      <c r="VWY1697" s="90"/>
      <c r="VWZ1697" s="90"/>
      <c r="VXA1697" s="90"/>
      <c r="VXB1697" s="90"/>
      <c r="VXC1697" s="90"/>
      <c r="VXD1697" s="90"/>
      <c r="VXE1697" s="90"/>
      <c r="VXF1697" s="90"/>
      <c r="VXG1697" s="90"/>
      <c r="VXH1697" s="90"/>
      <c r="VXI1697" s="90"/>
      <c r="VXJ1697" s="90"/>
      <c r="VXK1697" s="90"/>
      <c r="VXL1697" s="90"/>
      <c r="VXM1697" s="90"/>
      <c r="VXN1697" s="90"/>
      <c r="VXO1697" s="90"/>
      <c r="VXP1697" s="90"/>
      <c r="VXQ1697" s="90"/>
      <c r="VXR1697" s="90"/>
      <c r="VXS1697" s="90"/>
      <c r="VXT1697" s="90"/>
      <c r="VXU1697" s="90"/>
      <c r="VXV1697" s="90"/>
      <c r="VXW1697" s="90"/>
      <c r="VXX1697" s="90"/>
      <c r="VXY1697" s="90"/>
      <c r="VXZ1697" s="90"/>
      <c r="VYA1697" s="90"/>
      <c r="VYB1697" s="90"/>
      <c r="VYC1697" s="90"/>
      <c r="VYD1697" s="90"/>
      <c r="VYE1697" s="90"/>
      <c r="VYF1697" s="90"/>
      <c r="VYG1697" s="90"/>
      <c r="VYH1697" s="90"/>
      <c r="VYI1697" s="90"/>
      <c r="VYJ1697" s="90"/>
      <c r="VYK1697" s="90"/>
      <c r="VYL1697" s="90"/>
      <c r="VYM1697" s="90"/>
      <c r="VYN1697" s="90"/>
      <c r="VYO1697" s="90"/>
      <c r="VYP1697" s="90"/>
      <c r="VYQ1697" s="90"/>
      <c r="VYR1697" s="90"/>
      <c r="VYS1697" s="90"/>
      <c r="VYT1697" s="90"/>
      <c r="VYU1697" s="90"/>
      <c r="VYV1697" s="90"/>
      <c r="VYW1697" s="90"/>
      <c r="VYX1697" s="90"/>
      <c r="VYY1697" s="90"/>
      <c r="VYZ1697" s="90"/>
      <c r="VZA1697" s="90"/>
      <c r="VZB1697" s="90"/>
      <c r="VZC1697" s="90"/>
      <c r="VZD1697" s="90"/>
      <c r="VZE1697" s="90"/>
      <c r="VZF1697" s="90"/>
      <c r="VZG1697" s="90"/>
      <c r="VZH1697" s="90"/>
      <c r="VZI1697" s="90"/>
      <c r="VZJ1697" s="90"/>
      <c r="VZK1697" s="90"/>
      <c r="VZL1697" s="90"/>
      <c r="VZM1697" s="90"/>
      <c r="VZN1697" s="90"/>
      <c r="VZO1697" s="90"/>
      <c r="VZP1697" s="90"/>
      <c r="VZQ1697" s="90"/>
      <c r="VZR1697" s="90"/>
      <c r="VZS1697" s="90"/>
      <c r="VZT1697" s="90"/>
      <c r="VZU1697" s="90"/>
      <c r="VZV1697" s="90"/>
      <c r="VZW1697" s="90"/>
      <c r="VZX1697" s="90"/>
      <c r="VZY1697" s="90"/>
      <c r="VZZ1697" s="90"/>
      <c r="WAA1697" s="90"/>
      <c r="WAB1697" s="90"/>
      <c r="WAC1697" s="90"/>
      <c r="WAD1697" s="90"/>
      <c r="WAE1697" s="90"/>
      <c r="WAF1697" s="90"/>
      <c r="WAG1697" s="90"/>
      <c r="WAH1697" s="90"/>
      <c r="WAI1697" s="90"/>
      <c r="WAJ1697" s="90"/>
      <c r="WAK1697" s="90"/>
      <c r="WAL1697" s="90"/>
      <c r="WAM1697" s="90"/>
      <c r="WAN1697" s="90"/>
      <c r="WAO1697" s="90"/>
      <c r="WAP1697" s="90"/>
      <c r="WAQ1697" s="90"/>
      <c r="WAR1697" s="90"/>
      <c r="WAS1697" s="90"/>
      <c r="WAT1697" s="90"/>
      <c r="WAU1697" s="90"/>
      <c r="WAV1697" s="90"/>
      <c r="WAW1697" s="90"/>
      <c r="WAX1697" s="90"/>
      <c r="WAY1697" s="90"/>
      <c r="WAZ1697" s="90"/>
      <c r="WBA1697" s="90"/>
      <c r="WBB1697" s="90"/>
      <c r="WBC1697" s="90"/>
      <c r="WBD1697" s="90"/>
      <c r="WBE1697" s="90"/>
      <c r="WBF1697" s="90"/>
      <c r="WBG1697" s="90"/>
      <c r="WBH1697" s="90"/>
      <c r="WBI1697" s="90"/>
      <c r="WBJ1697" s="90"/>
      <c r="WBK1697" s="90"/>
      <c r="WBL1697" s="90"/>
      <c r="WBM1697" s="90"/>
      <c r="WBN1697" s="90"/>
      <c r="WBO1697" s="90"/>
      <c r="WBP1697" s="90"/>
      <c r="WBQ1697" s="90"/>
      <c r="WBR1697" s="90"/>
      <c r="WBS1697" s="90"/>
      <c r="WBT1697" s="90"/>
      <c r="WBU1697" s="90"/>
      <c r="WBV1697" s="90"/>
      <c r="WBW1697" s="90"/>
      <c r="WBX1697" s="90"/>
      <c r="WBY1697" s="90"/>
      <c r="WBZ1697" s="90"/>
      <c r="WCA1697" s="90"/>
      <c r="WCB1697" s="90"/>
      <c r="WCC1697" s="90"/>
      <c r="WCD1697" s="90"/>
      <c r="WCE1697" s="90"/>
      <c r="WCF1697" s="90"/>
      <c r="WCG1697" s="90"/>
      <c r="WCH1697" s="90"/>
      <c r="WCI1697" s="90"/>
      <c r="WCJ1697" s="90"/>
      <c r="WCK1697" s="90"/>
      <c r="WCL1697" s="90"/>
      <c r="WCM1697" s="90"/>
      <c r="WCN1697" s="90"/>
      <c r="WCO1697" s="90"/>
      <c r="WCP1697" s="90"/>
      <c r="WCQ1697" s="90"/>
      <c r="WCR1697" s="90"/>
      <c r="WCS1697" s="90"/>
      <c r="WCT1697" s="90"/>
      <c r="WCU1697" s="90"/>
      <c r="WCV1697" s="90"/>
      <c r="WCW1697" s="90"/>
      <c r="WCX1697" s="90"/>
      <c r="WCY1697" s="90"/>
      <c r="WCZ1697" s="90"/>
      <c r="WDA1697" s="90"/>
      <c r="WDB1697" s="90"/>
      <c r="WDC1697" s="90"/>
      <c r="WDD1697" s="90"/>
      <c r="WDE1697" s="90"/>
      <c r="WDF1697" s="90"/>
      <c r="WDG1697" s="90"/>
      <c r="WDH1697" s="90"/>
      <c r="WDI1697" s="90"/>
      <c r="WDJ1697" s="90"/>
      <c r="WDK1697" s="90"/>
      <c r="WDL1697" s="90"/>
      <c r="WDM1697" s="90"/>
      <c r="WDN1697" s="90"/>
      <c r="WDO1697" s="90"/>
      <c r="WDP1697" s="90"/>
      <c r="WDQ1697" s="90"/>
      <c r="WDR1697" s="90"/>
      <c r="WDS1697" s="90"/>
      <c r="WDT1697" s="90"/>
      <c r="WDU1697" s="90"/>
      <c r="WDV1697" s="90"/>
      <c r="WDW1697" s="90"/>
      <c r="WDX1697" s="90"/>
      <c r="WDY1697" s="90"/>
      <c r="WDZ1697" s="90"/>
      <c r="WEA1697" s="90"/>
      <c r="WEB1697" s="90"/>
      <c r="WEC1697" s="90"/>
      <c r="WED1697" s="90"/>
      <c r="WEE1697" s="90"/>
      <c r="WEF1697" s="90"/>
      <c r="WEG1697" s="90"/>
      <c r="WEH1697" s="90"/>
      <c r="WEI1697" s="90"/>
      <c r="WEJ1697" s="90"/>
      <c r="WEK1697" s="90"/>
      <c r="WEL1697" s="90"/>
      <c r="WEM1697" s="90"/>
      <c r="WEN1697" s="90"/>
      <c r="WEO1697" s="90"/>
      <c r="WEP1697" s="90"/>
      <c r="WEQ1697" s="90"/>
      <c r="WER1697" s="90"/>
      <c r="WES1697" s="90"/>
      <c r="WET1697" s="90"/>
      <c r="WEU1697" s="90"/>
      <c r="WEV1697" s="90"/>
      <c r="WEW1697" s="90"/>
      <c r="WEX1697" s="90"/>
      <c r="WEY1697" s="90"/>
      <c r="WEZ1697" s="90"/>
      <c r="WFA1697" s="90"/>
      <c r="WFB1697" s="90"/>
      <c r="WFC1697" s="90"/>
      <c r="WFD1697" s="90"/>
      <c r="WFE1697" s="90"/>
      <c r="WFF1697" s="90"/>
      <c r="WFG1697" s="90"/>
      <c r="WFH1697" s="90"/>
      <c r="WFI1697" s="90"/>
      <c r="WFJ1697" s="90"/>
      <c r="WFK1697" s="90"/>
      <c r="WFL1697" s="90"/>
      <c r="WFM1697" s="90"/>
      <c r="WFN1697" s="90"/>
      <c r="WFO1697" s="90"/>
      <c r="WFP1697" s="90"/>
      <c r="WFQ1697" s="90"/>
      <c r="WFR1697" s="90"/>
      <c r="WFS1697" s="90"/>
      <c r="WFT1697" s="90"/>
      <c r="WFU1697" s="90"/>
      <c r="WFV1697" s="90"/>
      <c r="WFW1697" s="90"/>
      <c r="WFX1697" s="90"/>
      <c r="WFY1697" s="90"/>
      <c r="WFZ1697" s="90"/>
      <c r="WGA1697" s="90"/>
      <c r="WGB1697" s="90"/>
      <c r="WGC1697" s="90"/>
      <c r="WGD1697" s="90"/>
      <c r="WGE1697" s="90"/>
      <c r="WGF1697" s="90"/>
      <c r="WGG1697" s="90"/>
      <c r="WGH1697" s="90"/>
      <c r="WGI1697" s="90"/>
      <c r="WGJ1697" s="90"/>
      <c r="WGK1697" s="90"/>
      <c r="WGL1697" s="90"/>
      <c r="WGM1697" s="90"/>
      <c r="WGN1697" s="90"/>
      <c r="WGO1697" s="90"/>
      <c r="WGP1697" s="90"/>
      <c r="WGQ1697" s="90"/>
      <c r="WGR1697" s="90"/>
      <c r="WGS1697" s="90"/>
      <c r="WGT1697" s="90"/>
      <c r="WGU1697" s="90"/>
      <c r="WGV1697" s="90"/>
      <c r="WGW1697" s="90"/>
      <c r="WGX1697" s="90"/>
      <c r="WGY1697" s="90"/>
      <c r="WGZ1697" s="90"/>
      <c r="WHA1697" s="90"/>
      <c r="WHB1697" s="90"/>
      <c r="WHC1697" s="90"/>
      <c r="WHD1697" s="90"/>
      <c r="WHE1697" s="90"/>
      <c r="WHF1697" s="90"/>
      <c r="WHG1697" s="90"/>
      <c r="WHH1697" s="90"/>
      <c r="WHI1697" s="90"/>
      <c r="WHJ1697" s="90"/>
      <c r="WHK1697" s="90"/>
      <c r="WHL1697" s="90"/>
      <c r="WHM1697" s="90"/>
      <c r="WHN1697" s="90"/>
      <c r="WHO1697" s="90"/>
      <c r="WHP1697" s="90"/>
      <c r="WHQ1697" s="90"/>
      <c r="WHR1697" s="90"/>
      <c r="WHS1697" s="90"/>
      <c r="WHT1697" s="90"/>
      <c r="WHU1697" s="90"/>
      <c r="WHV1697" s="90"/>
      <c r="WHW1697" s="90"/>
      <c r="WHX1697" s="90"/>
      <c r="WHY1697" s="90"/>
      <c r="WHZ1697" s="90"/>
      <c r="WIA1697" s="90"/>
      <c r="WIB1697" s="90"/>
      <c r="WIC1697" s="90"/>
      <c r="WID1697" s="90"/>
      <c r="WIE1697" s="90"/>
      <c r="WIF1697" s="90"/>
      <c r="WIG1697" s="90"/>
      <c r="WIH1697" s="90"/>
      <c r="WII1697" s="90"/>
      <c r="WIJ1697" s="90"/>
      <c r="WIK1697" s="90"/>
      <c r="WIL1697" s="90"/>
      <c r="WIM1697" s="90"/>
      <c r="WIN1697" s="90"/>
      <c r="WIO1697" s="90"/>
      <c r="WIP1697" s="90"/>
      <c r="WIQ1697" s="90"/>
      <c r="WIR1697" s="90"/>
      <c r="WIS1697" s="90"/>
      <c r="WIT1697" s="90"/>
      <c r="WIU1697" s="90"/>
      <c r="WIV1697" s="90"/>
      <c r="WIW1697" s="90"/>
      <c r="WIX1697" s="90"/>
      <c r="WIY1697" s="90"/>
      <c r="WIZ1697" s="90"/>
      <c r="WJA1697" s="90"/>
      <c r="WJB1697" s="90"/>
      <c r="WJC1697" s="90"/>
      <c r="WJD1697" s="90"/>
      <c r="WJE1697" s="90"/>
      <c r="WJF1697" s="90"/>
      <c r="WJG1697" s="90"/>
      <c r="WJH1697" s="90"/>
      <c r="WJI1697" s="90"/>
      <c r="WJJ1697" s="90"/>
      <c r="WJK1697" s="90"/>
      <c r="WJL1697" s="90"/>
      <c r="WJM1697" s="90"/>
      <c r="WJN1697" s="90"/>
      <c r="WJO1697" s="90"/>
      <c r="WJP1697" s="90"/>
      <c r="WJQ1697" s="90"/>
      <c r="WJR1697" s="90"/>
      <c r="WJS1697" s="90"/>
      <c r="WJT1697" s="90"/>
      <c r="WJU1697" s="90"/>
      <c r="WJV1697" s="90"/>
      <c r="WJW1697" s="90"/>
      <c r="WJX1697" s="90"/>
      <c r="WJY1697" s="90"/>
      <c r="WJZ1697" s="90"/>
      <c r="WKA1697" s="90"/>
      <c r="WKB1697" s="90"/>
      <c r="WKC1697" s="90"/>
      <c r="WKD1697" s="90"/>
      <c r="WKE1697" s="90"/>
      <c r="WKF1697" s="90"/>
      <c r="WKG1697" s="90"/>
      <c r="WKH1697" s="90"/>
      <c r="WKI1697" s="90"/>
      <c r="WKJ1697" s="90"/>
      <c r="WKK1697" s="90"/>
      <c r="WKL1697" s="90"/>
      <c r="WKM1697" s="90"/>
      <c r="WKN1697" s="90"/>
      <c r="WKO1697" s="90"/>
      <c r="WKP1697" s="90"/>
      <c r="WKQ1697" s="90"/>
      <c r="WKR1697" s="90"/>
      <c r="WKS1697" s="90"/>
      <c r="WKT1697" s="90"/>
      <c r="WKU1697" s="90"/>
      <c r="WKV1697" s="90"/>
      <c r="WKW1697" s="90"/>
      <c r="WKX1697" s="90"/>
      <c r="WKY1697" s="90"/>
      <c r="WKZ1697" s="90"/>
      <c r="WLA1697" s="90"/>
      <c r="WLB1697" s="90"/>
      <c r="WLC1697" s="90"/>
      <c r="WLD1697" s="90"/>
      <c r="WLE1697" s="90"/>
      <c r="WLF1697" s="90"/>
      <c r="WLG1697" s="90"/>
      <c r="WLH1697" s="90"/>
      <c r="WLI1697" s="90"/>
      <c r="WLJ1697" s="90"/>
      <c r="WLK1697" s="90"/>
      <c r="WLL1697" s="90"/>
      <c r="WLM1697" s="90"/>
      <c r="WLN1697" s="90"/>
      <c r="WLO1697" s="90"/>
      <c r="WLP1697" s="90"/>
      <c r="WLQ1697" s="90"/>
      <c r="WLR1697" s="90"/>
      <c r="WLS1697" s="90"/>
      <c r="WLT1697" s="90"/>
      <c r="WLU1697" s="90"/>
      <c r="WLV1697" s="90"/>
      <c r="WLW1697" s="90"/>
      <c r="WLX1697" s="90"/>
      <c r="WLY1697" s="90"/>
      <c r="WLZ1697" s="90"/>
      <c r="WMA1697" s="90"/>
      <c r="WMB1697" s="90"/>
      <c r="WMC1697" s="90"/>
      <c r="WMD1697" s="90"/>
      <c r="WME1697" s="90"/>
      <c r="WMF1697" s="90"/>
      <c r="WMG1697" s="90"/>
      <c r="WMH1697" s="90"/>
      <c r="WMI1697" s="90"/>
      <c r="WMJ1697" s="90"/>
      <c r="WMK1697" s="90"/>
      <c r="WML1697" s="90"/>
      <c r="WMM1697" s="90"/>
      <c r="WMN1697" s="90"/>
      <c r="WMO1697" s="90"/>
      <c r="WMP1697" s="90"/>
      <c r="WMQ1697" s="90"/>
      <c r="WMR1697" s="90"/>
      <c r="WMS1697" s="90"/>
      <c r="WMT1697" s="90"/>
      <c r="WMU1697" s="90"/>
      <c r="WMV1697" s="90"/>
      <c r="WMW1697" s="90"/>
      <c r="WMX1697" s="90"/>
      <c r="WMY1697" s="90"/>
      <c r="WMZ1697" s="90"/>
      <c r="WNA1697" s="90"/>
      <c r="WNB1697" s="90"/>
      <c r="WNC1697" s="90"/>
      <c r="WND1697" s="90"/>
      <c r="WNE1697" s="90"/>
      <c r="WNF1697" s="90"/>
      <c r="WNG1697" s="90"/>
      <c r="WNH1697" s="90"/>
      <c r="WNI1697" s="90"/>
      <c r="WNJ1697" s="90"/>
      <c r="WNK1697" s="90"/>
      <c r="WNL1697" s="90"/>
      <c r="WNM1697" s="90"/>
      <c r="WNN1697" s="90"/>
      <c r="WNO1697" s="90"/>
      <c r="WNP1697" s="90"/>
      <c r="WNQ1697" s="90"/>
      <c r="WNR1697" s="90"/>
      <c r="WNS1697" s="90"/>
      <c r="WNT1697" s="90"/>
      <c r="WNU1697" s="90"/>
      <c r="WNV1697" s="90"/>
      <c r="WNW1697" s="90"/>
      <c r="WNX1697" s="90"/>
      <c r="WNY1697" s="90"/>
      <c r="WNZ1697" s="90"/>
      <c r="WOA1697" s="90"/>
      <c r="WOB1697" s="90"/>
      <c r="WOC1697" s="90"/>
      <c r="WOD1697" s="90"/>
      <c r="WOE1697" s="90"/>
      <c r="WOF1697" s="90"/>
      <c r="WOG1697" s="90"/>
      <c r="WOH1697" s="90"/>
      <c r="WOI1697" s="90"/>
      <c r="WOJ1697" s="90"/>
      <c r="WOK1697" s="90"/>
      <c r="WOL1697" s="90"/>
      <c r="WOM1697" s="90"/>
      <c r="WON1697" s="90"/>
      <c r="WOO1697" s="90"/>
      <c r="WOP1697" s="90"/>
      <c r="WOQ1697" s="90"/>
      <c r="WOR1697" s="90"/>
      <c r="WOS1697" s="90"/>
      <c r="WOT1697" s="90"/>
      <c r="WOU1697" s="90"/>
      <c r="WOV1697" s="90"/>
      <c r="WOW1697" s="90"/>
      <c r="WOX1697" s="90"/>
      <c r="WOY1697" s="90"/>
      <c r="WOZ1697" s="90"/>
      <c r="WPA1697" s="90"/>
      <c r="WPB1697" s="90"/>
      <c r="WPC1697" s="90"/>
      <c r="WPD1697" s="90"/>
      <c r="WPE1697" s="90"/>
      <c r="WPF1697" s="90"/>
      <c r="WPG1697" s="90"/>
      <c r="WPH1697" s="90"/>
      <c r="WPI1697" s="90"/>
      <c r="WPJ1697" s="90"/>
      <c r="WPK1697" s="90"/>
      <c r="WPL1697" s="90"/>
      <c r="WPM1697" s="90"/>
      <c r="WPN1697" s="90"/>
      <c r="WPO1697" s="90"/>
      <c r="WPP1697" s="90"/>
      <c r="WPQ1697" s="90"/>
      <c r="WPR1697" s="90"/>
      <c r="WPS1697" s="90"/>
      <c r="WPT1697" s="90"/>
      <c r="WPU1697" s="90"/>
      <c r="WPV1697" s="90"/>
      <c r="WPW1697" s="90"/>
      <c r="WPX1697" s="90"/>
      <c r="WPY1697" s="90"/>
      <c r="WPZ1697" s="90"/>
      <c r="WQA1697" s="90"/>
      <c r="WQB1697" s="90"/>
      <c r="WQC1697" s="90"/>
      <c r="WQD1697" s="90"/>
      <c r="WQE1697" s="90"/>
      <c r="WQF1697" s="90"/>
      <c r="WQG1697" s="90"/>
      <c r="WQH1697" s="90"/>
      <c r="WQI1697" s="90"/>
      <c r="WQJ1697" s="90"/>
      <c r="WQK1697" s="90"/>
      <c r="WQL1697" s="90"/>
      <c r="WQM1697" s="90"/>
      <c r="WQN1697" s="90"/>
      <c r="WQO1697" s="90"/>
      <c r="WQP1697" s="90"/>
      <c r="WQQ1697" s="90"/>
      <c r="WQR1697" s="90"/>
      <c r="WQS1697" s="90"/>
      <c r="WQT1697" s="90"/>
      <c r="WQU1697" s="90"/>
      <c r="WQV1697" s="90"/>
      <c r="WQW1697" s="90"/>
      <c r="WQX1697" s="90"/>
      <c r="WQY1697" s="90"/>
      <c r="WQZ1697" s="90"/>
      <c r="WRA1697" s="90"/>
      <c r="WRB1697" s="90"/>
      <c r="WRC1697" s="90"/>
      <c r="WRD1697" s="90"/>
      <c r="WRE1697" s="90"/>
      <c r="WRF1697" s="90"/>
      <c r="WRG1697" s="90"/>
      <c r="WRH1697" s="90"/>
      <c r="WRI1697" s="90"/>
      <c r="WRJ1697" s="90"/>
      <c r="WRK1697" s="90"/>
      <c r="WRL1697" s="90"/>
      <c r="WRM1697" s="90"/>
      <c r="WRN1697" s="90"/>
      <c r="WRO1697" s="90"/>
      <c r="WRP1697" s="90"/>
      <c r="WRQ1697" s="90"/>
      <c r="WRR1697" s="90"/>
      <c r="WRS1697" s="90"/>
      <c r="WRT1697" s="90"/>
      <c r="WRU1697" s="90"/>
      <c r="WRV1697" s="90"/>
      <c r="WRW1697" s="90"/>
      <c r="WRX1697" s="90"/>
      <c r="WRY1697" s="90"/>
      <c r="WRZ1697" s="90"/>
      <c r="WSA1697" s="90"/>
      <c r="WSB1697" s="90"/>
      <c r="WSC1697" s="90"/>
      <c r="WSD1697" s="90"/>
      <c r="WSE1697" s="90"/>
      <c r="WSF1697" s="90"/>
      <c r="WSG1697" s="90"/>
      <c r="WSH1697" s="90"/>
      <c r="WSI1697" s="90"/>
      <c r="WSJ1697" s="90"/>
      <c r="WSK1697" s="90"/>
      <c r="WSL1697" s="90"/>
      <c r="WSM1697" s="90"/>
      <c r="WSN1697" s="90"/>
      <c r="WSO1697" s="90"/>
      <c r="WSP1697" s="90"/>
      <c r="WSQ1697" s="90"/>
      <c r="WSR1697" s="90"/>
      <c r="WSS1697" s="90"/>
      <c r="WST1697" s="90"/>
      <c r="WSU1697" s="90"/>
      <c r="WSV1697" s="90"/>
      <c r="WSW1697" s="90"/>
      <c r="WSX1697" s="90"/>
      <c r="WSY1697" s="90"/>
      <c r="WSZ1697" s="90"/>
      <c r="WTA1697" s="90"/>
      <c r="WTB1697" s="90"/>
      <c r="WTC1697" s="90"/>
      <c r="WTD1697" s="90"/>
      <c r="WTE1697" s="90"/>
      <c r="WTF1697" s="90"/>
      <c r="WTG1697" s="90"/>
      <c r="WTH1697" s="90"/>
      <c r="WTI1697" s="90"/>
      <c r="WTJ1697" s="90"/>
      <c r="WTK1697" s="90"/>
      <c r="WTL1697" s="90"/>
      <c r="WTM1697" s="90"/>
      <c r="WTN1697" s="90"/>
      <c r="WTO1697" s="90"/>
      <c r="WTP1697" s="90"/>
      <c r="WTQ1697" s="90"/>
      <c r="WTR1697" s="90"/>
      <c r="WTS1697" s="90"/>
      <c r="WTT1697" s="90"/>
      <c r="WTU1697" s="90"/>
      <c r="WTV1697" s="90"/>
      <c r="WTW1697" s="90"/>
      <c r="WTX1697" s="90"/>
      <c r="WTY1697" s="90"/>
      <c r="WTZ1697" s="90"/>
      <c r="WUA1697" s="90"/>
      <c r="WUB1697" s="90"/>
      <c r="WUC1697" s="90"/>
      <c r="WUD1697" s="90"/>
      <c r="WUE1697" s="90"/>
      <c r="WUF1697" s="90"/>
      <c r="WUG1697" s="90"/>
      <c r="WUH1697" s="90"/>
      <c r="WUI1697" s="90"/>
      <c r="WUJ1697" s="90"/>
      <c r="WUK1697" s="90"/>
      <c r="WUL1697" s="90"/>
      <c r="WUM1697" s="90"/>
      <c r="WUN1697" s="90"/>
      <c r="WUO1697" s="90"/>
      <c r="WUP1697" s="90"/>
      <c r="WUQ1697" s="90"/>
      <c r="WUR1697" s="90"/>
      <c r="WUS1697" s="90"/>
      <c r="WUT1697" s="90"/>
      <c r="WUU1697" s="90"/>
      <c r="WUV1697" s="90"/>
      <c r="WUW1697" s="90"/>
      <c r="WUX1697" s="90"/>
      <c r="WUY1697" s="90"/>
      <c r="WUZ1697" s="90"/>
      <c r="WVA1697" s="90"/>
      <c r="WVB1697" s="90"/>
      <c r="WVC1697" s="90"/>
      <c r="WVD1697" s="90"/>
      <c r="WVE1697" s="90"/>
      <c r="WVF1697" s="90"/>
      <c r="WVG1697" s="90"/>
      <c r="WVH1697" s="90"/>
      <c r="WVI1697" s="90"/>
      <c r="WVJ1697" s="90"/>
      <c r="WVK1697" s="90"/>
      <c r="WVL1697" s="90"/>
      <c r="WVM1697" s="90"/>
      <c r="WVN1697" s="90"/>
      <c r="WVO1697" s="90"/>
      <c r="WVP1697" s="90"/>
      <c r="WVQ1697" s="90"/>
      <c r="WVR1697" s="90"/>
      <c r="WVS1697" s="90"/>
      <c r="WVT1697" s="90"/>
      <c r="WVU1697" s="90"/>
      <c r="WVV1697" s="90"/>
      <c r="WVW1697" s="90"/>
      <c r="WVX1697" s="90"/>
      <c r="WVY1697" s="90"/>
      <c r="WVZ1697" s="90"/>
      <c r="WWA1697" s="90"/>
      <c r="WWB1697" s="90"/>
      <c r="WWC1697" s="90"/>
      <c r="WWD1697" s="90"/>
      <c r="WWE1697" s="90"/>
      <c r="WWF1697" s="90"/>
      <c r="WWG1697" s="90"/>
      <c r="WWH1697" s="90"/>
      <c r="WWI1697" s="90"/>
      <c r="WWJ1697" s="90"/>
      <c r="WWK1697" s="90"/>
      <c r="WWL1697" s="90"/>
      <c r="WWM1697" s="90"/>
      <c r="WWN1697" s="90"/>
      <c r="WWO1697" s="90"/>
      <c r="WWP1697" s="90"/>
      <c r="WWQ1697" s="90"/>
      <c r="WWR1697" s="90"/>
      <c r="WWS1697" s="90"/>
      <c r="WWT1697" s="90"/>
      <c r="WWU1697" s="90"/>
      <c r="WWV1697" s="90"/>
      <c r="WWW1697" s="90"/>
      <c r="WWX1697" s="90"/>
      <c r="WWY1697" s="90"/>
      <c r="WWZ1697" s="90"/>
      <c r="WXA1697" s="90"/>
      <c r="WXB1697" s="90"/>
      <c r="WXC1697" s="90"/>
      <c r="WXD1697" s="90"/>
      <c r="WXE1697" s="90"/>
      <c r="WXF1697" s="90"/>
      <c r="WXG1697" s="90"/>
      <c r="WXH1697" s="90"/>
      <c r="WXI1697" s="90"/>
      <c r="WXJ1697" s="90"/>
      <c r="WXK1697" s="90"/>
      <c r="WXL1697" s="90"/>
      <c r="WXM1697" s="90"/>
      <c r="WXN1697" s="90"/>
      <c r="WXO1697" s="90"/>
      <c r="WXP1697" s="90"/>
      <c r="WXQ1697" s="90"/>
      <c r="WXR1697" s="90"/>
      <c r="WXS1697" s="90"/>
      <c r="WXT1697" s="90"/>
      <c r="WXU1697" s="90"/>
      <c r="WXV1697" s="90"/>
      <c r="WXW1697" s="90"/>
      <c r="WXX1697" s="90"/>
      <c r="WXY1697" s="90"/>
      <c r="WXZ1697" s="90"/>
      <c r="WYA1697" s="90"/>
      <c r="WYB1697" s="90"/>
      <c r="WYC1697" s="90"/>
      <c r="WYD1697" s="90"/>
      <c r="WYE1697" s="90"/>
      <c r="WYF1697" s="90"/>
      <c r="WYG1697" s="90"/>
      <c r="WYH1697" s="90"/>
      <c r="WYI1697" s="90"/>
      <c r="WYJ1697" s="90"/>
      <c r="WYK1697" s="90"/>
      <c r="WYL1697" s="90"/>
      <c r="WYM1697" s="90"/>
      <c r="WYN1697" s="90"/>
      <c r="WYO1697" s="90"/>
      <c r="WYP1697" s="90"/>
      <c r="WYQ1697" s="90"/>
      <c r="WYR1697" s="90"/>
      <c r="WYS1697" s="90"/>
      <c r="WYT1697" s="90"/>
      <c r="WYU1697" s="90"/>
      <c r="WYV1697" s="90"/>
      <c r="WYW1697" s="90"/>
      <c r="WYX1697" s="90"/>
      <c r="WYY1697" s="90"/>
      <c r="WYZ1697" s="90"/>
      <c r="WZA1697" s="90"/>
      <c r="WZB1697" s="90"/>
      <c r="WZC1697" s="90"/>
      <c r="WZD1697" s="90"/>
      <c r="WZE1697" s="90"/>
      <c r="WZF1697" s="90"/>
      <c r="WZG1697" s="90"/>
      <c r="WZH1697" s="90"/>
      <c r="WZI1697" s="90"/>
      <c r="WZJ1697" s="90"/>
      <c r="WZK1697" s="90"/>
      <c r="WZL1697" s="90"/>
      <c r="WZM1697" s="90"/>
      <c r="WZN1697" s="90"/>
      <c r="WZO1697" s="90"/>
      <c r="WZP1697" s="90"/>
      <c r="WZQ1697" s="90"/>
      <c r="WZR1697" s="90"/>
      <c r="WZS1697" s="90"/>
      <c r="WZT1697" s="90"/>
      <c r="WZU1697" s="90"/>
      <c r="WZV1697" s="90"/>
      <c r="WZW1697" s="90"/>
      <c r="WZX1697" s="90"/>
      <c r="WZY1697" s="90"/>
      <c r="WZZ1697" s="90"/>
      <c r="XAA1697" s="90"/>
      <c r="XAB1697" s="90"/>
      <c r="XAC1697" s="90"/>
      <c r="XAD1697" s="90"/>
      <c r="XAE1697" s="90"/>
      <c r="XAF1697" s="90"/>
      <c r="XAG1697" s="90"/>
      <c r="XAH1697" s="90"/>
      <c r="XAI1697" s="90"/>
      <c r="XAJ1697" s="90"/>
      <c r="XAK1697" s="90"/>
      <c r="XAL1697" s="90"/>
      <c r="XAM1697" s="90"/>
      <c r="XAN1697" s="90"/>
      <c r="XAO1697" s="90"/>
      <c r="XAP1697" s="90"/>
      <c r="XAQ1697" s="90"/>
      <c r="XAR1697" s="90"/>
      <c r="XAS1697" s="90"/>
      <c r="XAT1697" s="90"/>
      <c r="XAU1697" s="90"/>
      <c r="XAV1697" s="90"/>
      <c r="XAW1697" s="90"/>
      <c r="XAX1697" s="90"/>
      <c r="XAY1697" s="90"/>
      <c r="XAZ1697" s="90"/>
      <c r="XBA1697" s="90"/>
      <c r="XBB1697" s="90"/>
      <c r="XBC1697" s="90"/>
      <c r="XBD1697" s="90"/>
      <c r="XBE1697" s="90"/>
      <c r="XBF1697" s="90"/>
      <c r="XBG1697" s="90"/>
      <c r="XBH1697" s="90"/>
      <c r="XBI1697" s="90"/>
      <c r="XBJ1697" s="90"/>
      <c r="XBK1697" s="90"/>
      <c r="XBL1697" s="90"/>
      <c r="XBM1697" s="90"/>
      <c r="XBN1697" s="90"/>
      <c r="XBO1697" s="90"/>
      <c r="XBP1697" s="90"/>
      <c r="XBQ1697" s="90"/>
      <c r="XBR1697" s="90"/>
      <c r="XBS1697" s="90"/>
      <c r="XBT1697" s="90"/>
      <c r="XBU1697" s="90"/>
      <c r="XBV1697" s="90"/>
      <c r="XBW1697" s="90"/>
      <c r="XBX1697" s="90"/>
      <c r="XBY1697" s="90"/>
      <c r="XBZ1697" s="90"/>
      <c r="XCA1697" s="90"/>
      <c r="XCB1697" s="90"/>
      <c r="XCC1697" s="90"/>
      <c r="XCD1697" s="90"/>
      <c r="XCE1697" s="90"/>
      <c r="XCF1697" s="90"/>
      <c r="XCG1697" s="90"/>
      <c r="XCH1697" s="90"/>
      <c r="XCI1697" s="90"/>
      <c r="XCJ1697" s="90"/>
      <c r="XCK1697" s="90"/>
      <c r="XCL1697" s="90"/>
      <c r="XCM1697" s="90"/>
      <c r="XCN1697" s="90"/>
      <c r="XCO1697" s="90"/>
      <c r="XCP1697" s="90"/>
      <c r="XCQ1697" s="90"/>
      <c r="XCR1697" s="90"/>
      <c r="XCS1697" s="90"/>
      <c r="XCT1697" s="90"/>
      <c r="XCU1697" s="90"/>
      <c r="XCV1697" s="90"/>
      <c r="XCW1697" s="90"/>
      <c r="XCX1697" s="90"/>
      <c r="XCY1697" s="90"/>
      <c r="XCZ1697" s="90"/>
      <c r="XDA1697" s="90"/>
      <c r="XDB1697" s="90"/>
      <c r="XDC1697" s="90"/>
      <c r="XDD1697" s="90"/>
      <c r="XDE1697" s="90"/>
      <c r="XDF1697" s="90"/>
      <c r="XDG1697" s="90"/>
      <c r="XDH1697" s="90"/>
      <c r="XDI1697" s="90"/>
      <c r="XDJ1697" s="90"/>
      <c r="XDK1697" s="90"/>
      <c r="XDL1697" s="90"/>
      <c r="XDM1697" s="90"/>
      <c r="XDN1697" s="90"/>
      <c r="XDO1697" s="90"/>
      <c r="XDP1697" s="90"/>
      <c r="XDQ1697" s="90"/>
      <c r="XDR1697" s="90"/>
      <c r="XDS1697" s="90"/>
      <c r="XDT1697" s="90"/>
      <c r="XDU1697" s="90"/>
      <c r="XDV1697" s="90"/>
      <c r="XDW1697" s="90"/>
      <c r="XDX1697" s="90"/>
      <c r="XDY1697" s="90"/>
      <c r="XDZ1697" s="90"/>
      <c r="XEA1697" s="90"/>
      <c r="XEB1697" s="90"/>
      <c r="XEC1697" s="90"/>
      <c r="XED1697" s="90"/>
      <c r="XEE1697" s="90"/>
      <c r="XEF1697" s="90"/>
      <c r="XEG1697" s="90"/>
      <c r="XEH1697" s="90"/>
      <c r="XEI1697" s="90"/>
      <c r="XEJ1697" s="90"/>
      <c r="XEK1697" s="90"/>
      <c r="XEL1697" s="90"/>
      <c r="XEM1697" s="90"/>
      <c r="XEN1697" s="90"/>
      <c r="XEO1697" s="90"/>
      <c r="XEP1697" s="90"/>
      <c r="XEQ1697" s="90"/>
      <c r="XER1697" s="90"/>
      <c r="XES1697" s="90"/>
      <c r="XET1697" s="90"/>
      <c r="XEU1697" s="90"/>
      <c r="XEV1697" s="90"/>
      <c r="XEW1697" s="90"/>
      <c r="XEX1697" s="90"/>
      <c r="XEY1697" s="90"/>
      <c r="XEZ1697" s="90"/>
      <c r="XFA1697" s="90"/>
    </row>
    <row r="1698" spans="1:16381" ht="15" customHeight="1">
      <c r="A1698" s="231">
        <v>1697</v>
      </c>
      <c r="B1698" s="231" t="s">
        <v>52</v>
      </c>
      <c r="C1698" s="231" t="s">
        <v>10</v>
      </c>
      <c r="D1698" s="237" t="s">
        <v>3472</v>
      </c>
      <c r="E1698" s="268"/>
      <c r="F1698" s="231"/>
      <c r="G1698" s="231"/>
      <c r="H1698" s="237" t="s">
        <v>3330</v>
      </c>
      <c r="I1698" s="249">
        <v>0</v>
      </c>
      <c r="J1698" s="249">
        <v>652</v>
      </c>
      <c r="K1698" s="231" t="b">
        <f t="shared" si="37"/>
        <v>0</v>
      </c>
      <c r="L1698" s="231"/>
      <c r="M1698" s="237" t="s">
        <v>3276</v>
      </c>
      <c r="N1698" s="231"/>
      <c r="O1698" s="231">
        <v>2025</v>
      </c>
      <c r="P1698" s="286">
        <v>45680</v>
      </c>
      <c r="Q1698" s="231" t="s">
        <v>2771</v>
      </c>
      <c r="R1698" s="231"/>
      <c r="S1698" s="241" t="s">
        <v>453</v>
      </c>
      <c r="T1698" s="231"/>
    </row>
    <row r="1699" spans="1:16381" ht="15" customHeight="1">
      <c r="A1699" s="231">
        <v>1698</v>
      </c>
      <c r="B1699" s="231" t="s">
        <v>53</v>
      </c>
      <c r="C1699" s="231" t="s">
        <v>10</v>
      </c>
      <c r="D1699" s="237" t="s">
        <v>3473</v>
      </c>
      <c r="E1699" s="268"/>
      <c r="F1699" s="231"/>
      <c r="G1699" s="231"/>
      <c r="H1699" s="237" t="s">
        <v>427</v>
      </c>
      <c r="I1699" s="249">
        <v>0</v>
      </c>
      <c r="J1699" s="249">
        <v>697</v>
      </c>
      <c r="K1699" s="231" t="b">
        <f t="shared" si="37"/>
        <v>0</v>
      </c>
      <c r="L1699" s="231"/>
      <c r="M1699" s="237" t="s">
        <v>3276</v>
      </c>
      <c r="N1699" s="231"/>
      <c r="O1699" s="231">
        <v>2025</v>
      </c>
      <c r="P1699" s="286">
        <v>45680</v>
      </c>
      <c r="Q1699" s="231" t="s">
        <v>2771</v>
      </c>
      <c r="R1699" s="231"/>
      <c r="S1699" s="241" t="s">
        <v>453</v>
      </c>
      <c r="T1699" s="231"/>
    </row>
    <row r="1700" spans="1:16381" ht="15" customHeight="1">
      <c r="A1700" s="231">
        <v>1699</v>
      </c>
      <c r="B1700" s="231" t="s">
        <v>53</v>
      </c>
      <c r="C1700" s="231" t="s">
        <v>10</v>
      </c>
      <c r="D1700" s="237" t="s">
        <v>3474</v>
      </c>
      <c r="E1700" s="268"/>
      <c r="F1700" s="231"/>
      <c r="G1700" s="231"/>
      <c r="H1700" s="237" t="s">
        <v>427</v>
      </c>
      <c r="I1700" s="249">
        <v>0</v>
      </c>
      <c r="J1700" s="249">
        <v>0</v>
      </c>
      <c r="K1700" s="231" t="b">
        <f t="shared" si="37"/>
        <v>0</v>
      </c>
      <c r="L1700" s="231"/>
      <c r="M1700" s="237" t="s">
        <v>3276</v>
      </c>
      <c r="N1700" s="231"/>
      <c r="O1700" s="231">
        <v>2025</v>
      </c>
      <c r="P1700" s="286">
        <v>45680</v>
      </c>
      <c r="Q1700" s="231" t="s">
        <v>2771</v>
      </c>
      <c r="R1700" s="231"/>
      <c r="S1700" s="241" t="s">
        <v>453</v>
      </c>
      <c r="T1700" s="231"/>
    </row>
    <row r="1701" spans="1:16381" ht="15" customHeight="1">
      <c r="A1701" s="231">
        <v>1700</v>
      </c>
      <c r="B1701" s="231" t="s">
        <v>52</v>
      </c>
      <c r="C1701" s="231" t="s">
        <v>10</v>
      </c>
      <c r="D1701" s="237" t="s">
        <v>3475</v>
      </c>
      <c r="E1701" s="268"/>
      <c r="F1701" s="231"/>
      <c r="G1701" s="231"/>
      <c r="H1701" s="237" t="s">
        <v>3330</v>
      </c>
      <c r="I1701" s="249">
        <v>0</v>
      </c>
      <c r="J1701" s="249">
        <v>0</v>
      </c>
      <c r="K1701" s="231" t="b">
        <f t="shared" si="37"/>
        <v>0</v>
      </c>
      <c r="L1701" s="231"/>
      <c r="M1701" s="237" t="s">
        <v>3276</v>
      </c>
      <c r="N1701" s="231"/>
      <c r="O1701" s="231">
        <v>2025</v>
      </c>
      <c r="P1701" s="286">
        <v>45680</v>
      </c>
      <c r="Q1701" s="231" t="s">
        <v>2771</v>
      </c>
      <c r="R1701" s="231"/>
      <c r="S1701" s="241" t="s">
        <v>453</v>
      </c>
      <c r="T1701" s="231"/>
    </row>
    <row r="1702" spans="1:16381" ht="15" customHeight="1">
      <c r="A1702" s="231">
        <v>1701</v>
      </c>
      <c r="B1702" s="231" t="s">
        <v>52</v>
      </c>
      <c r="C1702" s="231" t="s">
        <v>10</v>
      </c>
      <c r="D1702" s="237" t="s">
        <v>3476</v>
      </c>
      <c r="E1702" s="268"/>
      <c r="F1702" s="231"/>
      <c r="G1702" s="231"/>
      <c r="H1702" s="237" t="s">
        <v>3477</v>
      </c>
      <c r="I1702" s="249">
        <v>0</v>
      </c>
      <c r="J1702" s="249">
        <v>0</v>
      </c>
      <c r="K1702" s="231" t="b">
        <f t="shared" si="37"/>
        <v>0</v>
      </c>
      <c r="L1702" s="231"/>
      <c r="M1702" s="237" t="s">
        <v>3276</v>
      </c>
      <c r="N1702" s="231"/>
      <c r="O1702" s="231">
        <v>2025</v>
      </c>
      <c r="P1702" s="286">
        <v>45680</v>
      </c>
      <c r="Q1702" s="231" t="s">
        <v>2771</v>
      </c>
      <c r="R1702" s="231"/>
      <c r="S1702" s="241" t="s">
        <v>453</v>
      </c>
      <c r="T1702" s="231"/>
    </row>
    <row r="1703" spans="1:16381" ht="15" customHeight="1">
      <c r="A1703" s="231">
        <v>1702</v>
      </c>
      <c r="B1703" s="231" t="s">
        <v>52</v>
      </c>
      <c r="C1703" s="231" t="s">
        <v>10</v>
      </c>
      <c r="D1703" s="237" t="s">
        <v>4354</v>
      </c>
      <c r="E1703" s="268"/>
      <c r="F1703" s="231"/>
      <c r="G1703" s="231"/>
      <c r="H1703" s="304" t="s">
        <v>4353</v>
      </c>
      <c r="I1703" s="249">
        <v>0</v>
      </c>
      <c r="J1703" s="249">
        <v>3000</v>
      </c>
      <c r="K1703" s="231">
        <v>20</v>
      </c>
      <c r="L1703" s="231"/>
      <c r="M1703" s="237" t="s">
        <v>15</v>
      </c>
      <c r="N1703" s="231"/>
      <c r="O1703" s="231">
        <v>2025</v>
      </c>
      <c r="P1703" s="286">
        <v>45681</v>
      </c>
      <c r="Q1703" s="231" t="s">
        <v>2771</v>
      </c>
      <c r="R1703" s="231"/>
      <c r="S1703" s="241" t="s">
        <v>453</v>
      </c>
      <c r="T1703" s="231"/>
    </row>
    <row r="1704" spans="1:16381" ht="15" customHeight="1">
      <c r="A1704" s="231">
        <v>1703</v>
      </c>
      <c r="B1704" s="231" t="s">
        <v>52</v>
      </c>
      <c r="C1704" s="231" t="s">
        <v>10</v>
      </c>
      <c r="D1704" s="237" t="s">
        <v>3478</v>
      </c>
      <c r="E1704" s="268"/>
      <c r="F1704" s="231"/>
      <c r="G1704" s="231"/>
      <c r="H1704" s="237" t="s">
        <v>3446</v>
      </c>
      <c r="I1704" s="249">
        <v>76</v>
      </c>
      <c r="J1704" s="249">
        <v>0</v>
      </c>
      <c r="K1704" s="231" t="b">
        <f t="shared" si="37"/>
        <v>0</v>
      </c>
      <c r="L1704" s="231"/>
      <c r="M1704" s="237" t="s">
        <v>3437</v>
      </c>
      <c r="N1704" s="231"/>
      <c r="O1704" s="231">
        <v>2025</v>
      </c>
      <c r="P1704" s="286">
        <v>45679</v>
      </c>
      <c r="Q1704" s="231" t="s">
        <v>2771</v>
      </c>
      <c r="R1704" s="231"/>
      <c r="S1704" s="241" t="s">
        <v>453</v>
      </c>
      <c r="T1704" s="231"/>
    </row>
    <row r="1705" spans="1:16381" ht="15" customHeight="1">
      <c r="A1705" s="231">
        <v>1704</v>
      </c>
      <c r="B1705" s="231" t="s">
        <v>52</v>
      </c>
      <c r="C1705" s="231" t="s">
        <v>10</v>
      </c>
      <c r="D1705" s="237" t="s">
        <v>3479</v>
      </c>
      <c r="E1705" s="268"/>
      <c r="F1705" s="231"/>
      <c r="G1705" s="231"/>
      <c r="H1705" s="237" t="s">
        <v>3301</v>
      </c>
      <c r="I1705" s="249">
        <v>300</v>
      </c>
      <c r="J1705" s="249">
        <v>0</v>
      </c>
      <c r="K1705" s="231" t="b">
        <f t="shared" si="37"/>
        <v>0</v>
      </c>
      <c r="L1705" s="231"/>
      <c r="M1705" s="237" t="s">
        <v>3437</v>
      </c>
      <c r="N1705" s="231"/>
      <c r="O1705" s="231">
        <v>2025</v>
      </c>
      <c r="P1705" s="286">
        <v>45679</v>
      </c>
      <c r="Q1705" s="231" t="s">
        <v>2771</v>
      </c>
      <c r="R1705" s="231"/>
      <c r="S1705" s="241" t="s">
        <v>453</v>
      </c>
      <c r="T1705" s="231"/>
    </row>
    <row r="1706" spans="1:16381" ht="15" customHeight="1">
      <c r="A1706" s="231">
        <v>1705</v>
      </c>
      <c r="B1706" s="231" t="s">
        <v>52</v>
      </c>
      <c r="C1706" s="231" t="s">
        <v>10</v>
      </c>
      <c r="D1706" s="237" t="s">
        <v>3480</v>
      </c>
      <c r="E1706" s="268"/>
      <c r="F1706" s="231"/>
      <c r="G1706" s="231"/>
      <c r="H1706" s="237" t="s">
        <v>3301</v>
      </c>
      <c r="I1706" s="249">
        <v>300</v>
      </c>
      <c r="J1706" s="249">
        <v>0</v>
      </c>
      <c r="K1706" s="231" t="b">
        <f t="shared" si="37"/>
        <v>0</v>
      </c>
      <c r="L1706" s="231"/>
      <c r="M1706" s="237" t="s">
        <v>3437</v>
      </c>
      <c r="N1706" s="231"/>
      <c r="O1706" s="231">
        <v>2025</v>
      </c>
      <c r="P1706" s="286">
        <v>45679</v>
      </c>
      <c r="Q1706" s="231" t="s">
        <v>2771</v>
      </c>
      <c r="R1706" s="231"/>
      <c r="S1706" s="241" t="s">
        <v>453</v>
      </c>
      <c r="T1706" s="231"/>
    </row>
    <row r="1707" spans="1:16381" ht="15" customHeight="1">
      <c r="A1707" s="231">
        <v>1706</v>
      </c>
      <c r="B1707" s="231" t="s">
        <v>52</v>
      </c>
      <c r="C1707" s="231" t="s">
        <v>10</v>
      </c>
      <c r="D1707" s="237" t="s">
        <v>3481</v>
      </c>
      <c r="E1707" s="268"/>
      <c r="F1707" s="231"/>
      <c r="G1707" s="231"/>
      <c r="H1707" s="237" t="s">
        <v>3301</v>
      </c>
      <c r="I1707" s="249">
        <v>300</v>
      </c>
      <c r="J1707" s="249">
        <v>0</v>
      </c>
      <c r="K1707" s="231" t="b">
        <f t="shared" si="37"/>
        <v>0</v>
      </c>
      <c r="L1707" s="231"/>
      <c r="M1707" s="237" t="s">
        <v>3437</v>
      </c>
      <c r="N1707" s="231"/>
      <c r="O1707" s="231">
        <v>2025</v>
      </c>
      <c r="P1707" s="286">
        <v>45679</v>
      </c>
      <c r="Q1707" s="231" t="s">
        <v>2771</v>
      </c>
      <c r="R1707" s="231"/>
      <c r="S1707" s="241" t="s">
        <v>453</v>
      </c>
      <c r="T1707" s="231"/>
    </row>
    <row r="1708" spans="1:16381" ht="15" customHeight="1">
      <c r="A1708" s="231">
        <v>1707</v>
      </c>
      <c r="B1708" s="231" t="s">
        <v>52</v>
      </c>
      <c r="C1708" s="231" t="s">
        <v>10</v>
      </c>
      <c r="D1708" s="237" t="s">
        <v>3482</v>
      </c>
      <c r="E1708" s="268"/>
      <c r="F1708" s="231"/>
      <c r="G1708" s="231"/>
      <c r="H1708" s="237" t="s">
        <v>3483</v>
      </c>
      <c r="I1708" s="249">
        <v>350</v>
      </c>
      <c r="J1708" s="249">
        <v>0</v>
      </c>
      <c r="K1708" s="231" t="b">
        <f t="shared" si="37"/>
        <v>0</v>
      </c>
      <c r="L1708" s="231"/>
      <c r="M1708" s="237" t="s">
        <v>3437</v>
      </c>
      <c r="N1708" s="231"/>
      <c r="O1708" s="231">
        <v>2025</v>
      </c>
      <c r="P1708" s="286">
        <v>45684</v>
      </c>
      <c r="Q1708" s="231" t="s">
        <v>2771</v>
      </c>
      <c r="R1708" s="231"/>
      <c r="S1708" s="241" t="s">
        <v>453</v>
      </c>
      <c r="T1708" s="231"/>
    </row>
    <row r="1709" spans="1:16381" ht="15" customHeight="1">
      <c r="A1709" s="231">
        <v>1708</v>
      </c>
      <c r="B1709" s="231" t="s">
        <v>52</v>
      </c>
      <c r="C1709" s="231" t="s">
        <v>10</v>
      </c>
      <c r="D1709" s="237" t="s">
        <v>3484</v>
      </c>
      <c r="E1709" s="268"/>
      <c r="F1709" s="231"/>
      <c r="G1709" s="231"/>
      <c r="H1709" s="237" t="s">
        <v>3485</v>
      </c>
      <c r="I1709" s="249">
        <v>100</v>
      </c>
      <c r="J1709" s="249">
        <v>800</v>
      </c>
      <c r="K1709" s="231" t="b">
        <f t="shared" si="37"/>
        <v>0</v>
      </c>
      <c r="L1709" s="231"/>
      <c r="M1709" s="237" t="s">
        <v>3437</v>
      </c>
      <c r="N1709" s="231"/>
      <c r="O1709" s="231">
        <v>2025</v>
      </c>
      <c r="P1709" s="286">
        <v>45685</v>
      </c>
      <c r="Q1709" s="231" t="s">
        <v>2771</v>
      </c>
      <c r="R1709" s="231"/>
      <c r="S1709" s="241" t="s">
        <v>453</v>
      </c>
      <c r="T1709" s="231"/>
    </row>
    <row r="1710" spans="1:16381" ht="15" customHeight="1">
      <c r="A1710" s="231">
        <v>1709</v>
      </c>
      <c r="B1710" s="231" t="s">
        <v>52</v>
      </c>
      <c r="C1710" s="231" t="s">
        <v>10</v>
      </c>
      <c r="D1710" s="237" t="s">
        <v>3486</v>
      </c>
      <c r="E1710" s="268"/>
      <c r="F1710" s="231"/>
      <c r="G1710" s="231"/>
      <c r="H1710" s="237" t="s">
        <v>3487</v>
      </c>
      <c r="I1710" s="249">
        <v>300</v>
      </c>
      <c r="J1710" s="249">
        <v>0</v>
      </c>
      <c r="K1710" s="231" t="b">
        <f t="shared" si="37"/>
        <v>0</v>
      </c>
      <c r="L1710" s="231"/>
      <c r="M1710" s="237" t="s">
        <v>3437</v>
      </c>
      <c r="N1710" s="231"/>
      <c r="O1710" s="231">
        <v>2025</v>
      </c>
      <c r="P1710" s="286">
        <v>45685</v>
      </c>
      <c r="Q1710" s="231" t="s">
        <v>2771</v>
      </c>
      <c r="R1710" s="231"/>
      <c r="S1710" s="241" t="s">
        <v>453</v>
      </c>
      <c r="T1710" s="231"/>
    </row>
    <row r="1711" spans="1:16381" ht="15" customHeight="1">
      <c r="A1711" s="231">
        <v>1710</v>
      </c>
      <c r="B1711" s="231" t="s">
        <v>52</v>
      </c>
      <c r="C1711" s="231" t="s">
        <v>10</v>
      </c>
      <c r="D1711" s="237" t="s">
        <v>4352</v>
      </c>
      <c r="E1711" s="268"/>
      <c r="F1711" s="231"/>
      <c r="G1711" s="231"/>
      <c r="H1711" s="237" t="s">
        <v>3488</v>
      </c>
      <c r="I1711" s="249">
        <v>200</v>
      </c>
      <c r="J1711" s="249">
        <v>550</v>
      </c>
      <c r="K1711" s="231" t="b">
        <f t="shared" si="37"/>
        <v>0</v>
      </c>
      <c r="L1711" s="231"/>
      <c r="M1711" s="237" t="s">
        <v>3437</v>
      </c>
      <c r="N1711" s="231"/>
      <c r="O1711" s="231">
        <v>2025</v>
      </c>
      <c r="P1711" s="286">
        <v>45687</v>
      </c>
      <c r="Q1711" s="231" t="s">
        <v>2771</v>
      </c>
      <c r="R1711" s="231"/>
      <c r="S1711" s="241" t="s">
        <v>453</v>
      </c>
      <c r="T1711" s="231"/>
    </row>
    <row r="1712" spans="1:16381" ht="15" customHeight="1">
      <c r="A1712" s="231">
        <v>1711</v>
      </c>
      <c r="B1712" s="231" t="s">
        <v>52</v>
      </c>
      <c r="C1712" s="231" t="s">
        <v>10</v>
      </c>
      <c r="D1712" s="237" t="s">
        <v>3489</v>
      </c>
      <c r="E1712" s="268"/>
      <c r="F1712" s="231"/>
      <c r="G1712" s="231"/>
      <c r="H1712" s="237" t="s">
        <v>3301</v>
      </c>
      <c r="I1712" s="249">
        <v>300</v>
      </c>
      <c r="J1712" s="249">
        <v>0</v>
      </c>
      <c r="K1712" s="231" t="b">
        <f t="shared" si="37"/>
        <v>0</v>
      </c>
      <c r="L1712" s="231"/>
      <c r="M1712" s="237" t="s">
        <v>3437</v>
      </c>
      <c r="N1712" s="231"/>
      <c r="O1712" s="231">
        <v>2025</v>
      </c>
      <c r="P1712" s="286">
        <v>45688</v>
      </c>
      <c r="Q1712" s="231" t="s">
        <v>2771</v>
      </c>
      <c r="R1712" s="231"/>
      <c r="S1712" s="241" t="s">
        <v>453</v>
      </c>
      <c r="T1712" s="231"/>
    </row>
    <row r="1713" spans="1:20" ht="15" customHeight="1">
      <c r="A1713" s="231">
        <v>1712</v>
      </c>
      <c r="B1713" s="231" t="s">
        <v>52</v>
      </c>
      <c r="C1713" s="231" t="s">
        <v>10</v>
      </c>
      <c r="D1713" s="237" t="s">
        <v>3490</v>
      </c>
      <c r="E1713" s="268"/>
      <c r="F1713" s="231"/>
      <c r="G1713" s="231"/>
      <c r="H1713" s="237" t="s">
        <v>3301</v>
      </c>
      <c r="I1713" s="249">
        <v>300</v>
      </c>
      <c r="J1713" s="249">
        <v>0</v>
      </c>
      <c r="K1713" s="231" t="b">
        <f t="shared" si="37"/>
        <v>0</v>
      </c>
      <c r="L1713" s="231"/>
      <c r="M1713" s="237" t="s">
        <v>3437</v>
      </c>
      <c r="N1713" s="231"/>
      <c r="O1713" s="231">
        <v>2025</v>
      </c>
      <c r="P1713" s="286">
        <v>45688</v>
      </c>
      <c r="Q1713" s="231" t="s">
        <v>2771</v>
      </c>
      <c r="R1713" s="231"/>
      <c r="S1713" s="241" t="s">
        <v>453</v>
      </c>
      <c r="T1713" s="231"/>
    </row>
    <row r="1714" spans="1:20" ht="15" customHeight="1">
      <c r="A1714" s="231">
        <v>1713</v>
      </c>
      <c r="B1714" s="231" t="s">
        <v>52</v>
      </c>
      <c r="C1714" s="231" t="s">
        <v>10</v>
      </c>
      <c r="D1714" s="237" t="s">
        <v>3491</v>
      </c>
      <c r="E1714" s="268"/>
      <c r="F1714" s="231"/>
      <c r="G1714" s="231"/>
      <c r="H1714" s="237" t="s">
        <v>3301</v>
      </c>
      <c r="I1714" s="249">
        <v>300</v>
      </c>
      <c r="J1714" s="249">
        <v>0</v>
      </c>
      <c r="K1714" s="231" t="b">
        <f t="shared" si="37"/>
        <v>0</v>
      </c>
      <c r="L1714" s="231"/>
      <c r="M1714" s="237" t="s">
        <v>3437</v>
      </c>
      <c r="N1714" s="231"/>
      <c r="O1714" s="231">
        <v>2025</v>
      </c>
      <c r="P1714" s="286">
        <v>45688</v>
      </c>
      <c r="Q1714" s="231" t="s">
        <v>2771</v>
      </c>
      <c r="R1714" s="231"/>
      <c r="S1714" s="241" t="s">
        <v>453</v>
      </c>
      <c r="T1714" s="231"/>
    </row>
    <row r="1715" spans="1:20" ht="15" customHeight="1">
      <c r="A1715" s="231">
        <v>1714</v>
      </c>
      <c r="B1715" s="231" t="s">
        <v>53</v>
      </c>
      <c r="C1715" s="231" t="s">
        <v>10</v>
      </c>
      <c r="D1715" s="237" t="s">
        <v>3492</v>
      </c>
      <c r="E1715" s="268"/>
      <c r="F1715" s="231"/>
      <c r="G1715" s="231"/>
      <c r="H1715" s="237" t="s">
        <v>3493</v>
      </c>
      <c r="I1715" s="249">
        <v>250</v>
      </c>
      <c r="J1715" s="249">
        <v>0</v>
      </c>
      <c r="K1715" s="231" t="b">
        <f t="shared" si="37"/>
        <v>0</v>
      </c>
      <c r="L1715" s="231"/>
      <c r="M1715" s="237" t="s">
        <v>3276</v>
      </c>
      <c r="N1715" s="231"/>
      <c r="O1715" s="231">
        <v>2025</v>
      </c>
      <c r="P1715" s="286">
        <v>45684</v>
      </c>
      <c r="Q1715" s="231" t="s">
        <v>2771</v>
      </c>
      <c r="R1715" s="231"/>
      <c r="S1715" s="241" t="s">
        <v>453</v>
      </c>
      <c r="T1715" s="231"/>
    </row>
    <row r="1716" spans="1:20" ht="15" customHeight="1">
      <c r="A1716" s="231">
        <v>1715</v>
      </c>
      <c r="B1716" s="231" t="s">
        <v>53</v>
      </c>
      <c r="C1716" s="231" t="s">
        <v>10</v>
      </c>
      <c r="D1716" s="237" t="s">
        <v>3494</v>
      </c>
      <c r="E1716" s="268"/>
      <c r="F1716" s="231"/>
      <c r="G1716" s="231"/>
      <c r="H1716" s="237" t="s">
        <v>3493</v>
      </c>
      <c r="I1716" s="249">
        <v>0</v>
      </c>
      <c r="J1716" s="249">
        <v>0</v>
      </c>
      <c r="K1716" s="231" t="b">
        <f t="shared" si="37"/>
        <v>0</v>
      </c>
      <c r="L1716" s="231"/>
      <c r="M1716" s="237" t="s">
        <v>3276</v>
      </c>
      <c r="N1716" s="231"/>
      <c r="O1716" s="231">
        <v>2025</v>
      </c>
      <c r="P1716" s="286">
        <v>45684</v>
      </c>
      <c r="Q1716" s="231" t="s">
        <v>2771</v>
      </c>
      <c r="R1716" s="231"/>
      <c r="S1716" s="241" t="s">
        <v>453</v>
      </c>
      <c r="T1716" s="231"/>
    </row>
    <row r="1717" spans="1:20" ht="15" customHeight="1">
      <c r="A1717" s="231">
        <v>1716</v>
      </c>
      <c r="B1717" s="231" t="s">
        <v>49</v>
      </c>
      <c r="C1717" s="231" t="s">
        <v>10</v>
      </c>
      <c r="D1717" s="237" t="s">
        <v>3495</v>
      </c>
      <c r="E1717" s="268"/>
      <c r="F1717" s="231"/>
      <c r="G1717" s="231"/>
      <c r="H1717" s="237" t="s">
        <v>3496</v>
      </c>
      <c r="I1717" s="249">
        <v>300</v>
      </c>
      <c r="J1717" s="249">
        <v>0</v>
      </c>
      <c r="K1717" s="231" t="b">
        <f t="shared" si="37"/>
        <v>0</v>
      </c>
      <c r="L1717" s="231"/>
      <c r="M1717" s="237" t="s">
        <v>3276</v>
      </c>
      <c r="N1717" s="231"/>
      <c r="O1717" s="231">
        <v>2025</v>
      </c>
      <c r="P1717" s="286">
        <v>45686</v>
      </c>
      <c r="Q1717" s="231" t="s">
        <v>2771</v>
      </c>
      <c r="R1717" s="231"/>
      <c r="S1717" s="241" t="s">
        <v>453</v>
      </c>
      <c r="T1717" s="231"/>
    </row>
    <row r="1718" spans="1:20" ht="15" customHeight="1">
      <c r="A1718" s="231">
        <v>1717</v>
      </c>
      <c r="B1718" s="231" t="s">
        <v>49</v>
      </c>
      <c r="C1718" s="231" t="s">
        <v>10</v>
      </c>
      <c r="D1718" s="237" t="s">
        <v>3497</v>
      </c>
      <c r="E1718" s="268"/>
      <c r="F1718" s="231"/>
      <c r="G1718" s="231"/>
      <c r="H1718" s="237" t="s">
        <v>3496</v>
      </c>
      <c r="I1718" s="249">
        <v>308</v>
      </c>
      <c r="J1718" s="249">
        <v>0</v>
      </c>
      <c r="K1718" s="231" t="b">
        <f t="shared" si="37"/>
        <v>0</v>
      </c>
      <c r="L1718" s="231"/>
      <c r="M1718" s="237" t="s">
        <v>3276</v>
      </c>
      <c r="N1718" s="231"/>
      <c r="O1718" s="231">
        <v>2025</v>
      </c>
      <c r="P1718" s="286">
        <v>45686</v>
      </c>
      <c r="Q1718" s="231" t="s">
        <v>2771</v>
      </c>
      <c r="R1718" s="231"/>
      <c r="S1718" s="241" t="s">
        <v>453</v>
      </c>
      <c r="T1718" s="231"/>
    </row>
    <row r="1719" spans="1:20" ht="15" customHeight="1">
      <c r="A1719" s="231">
        <v>1718</v>
      </c>
      <c r="B1719" s="231" t="s">
        <v>52</v>
      </c>
      <c r="C1719" s="231" t="s">
        <v>10</v>
      </c>
      <c r="D1719" s="237" t="s">
        <v>3498</v>
      </c>
      <c r="E1719" s="268"/>
      <c r="F1719" s="231"/>
      <c r="G1719" s="231"/>
      <c r="H1719" s="237" t="s">
        <v>3330</v>
      </c>
      <c r="I1719" s="249">
        <v>0</v>
      </c>
      <c r="J1719" s="249">
        <v>428</v>
      </c>
      <c r="K1719" s="231" t="b">
        <f t="shared" si="37"/>
        <v>0</v>
      </c>
      <c r="L1719" s="231"/>
      <c r="M1719" s="237" t="s">
        <v>3276</v>
      </c>
      <c r="N1719" s="231"/>
      <c r="O1719" s="231">
        <v>2025</v>
      </c>
      <c r="P1719" s="286">
        <v>45686</v>
      </c>
      <c r="Q1719" s="231" t="s">
        <v>2771</v>
      </c>
      <c r="R1719" s="231"/>
      <c r="S1719" s="241" t="s">
        <v>453</v>
      </c>
      <c r="T1719" s="231"/>
    </row>
    <row r="1720" spans="1:20" ht="15" customHeight="1">
      <c r="A1720" s="231">
        <v>1719</v>
      </c>
      <c r="B1720" s="231" t="s">
        <v>52</v>
      </c>
      <c r="C1720" s="231" t="s">
        <v>10</v>
      </c>
      <c r="D1720" s="237" t="s">
        <v>3499</v>
      </c>
      <c r="E1720" s="268"/>
      <c r="F1720" s="231"/>
      <c r="G1720" s="231"/>
      <c r="H1720" s="237" t="s">
        <v>3500</v>
      </c>
      <c r="I1720" s="249">
        <v>250</v>
      </c>
      <c r="J1720" s="249">
        <v>0</v>
      </c>
      <c r="K1720" s="231" t="b">
        <f t="shared" si="37"/>
        <v>0</v>
      </c>
      <c r="L1720" s="231"/>
      <c r="M1720" s="237" t="s">
        <v>3276</v>
      </c>
      <c r="N1720" s="231"/>
      <c r="O1720" s="231">
        <v>2025</v>
      </c>
      <c r="P1720" s="286">
        <v>45686</v>
      </c>
      <c r="Q1720" s="231" t="s">
        <v>2771</v>
      </c>
      <c r="R1720" s="231"/>
      <c r="S1720" s="241" t="s">
        <v>453</v>
      </c>
      <c r="T1720" s="231"/>
    </row>
    <row r="1721" spans="1:20" ht="15" customHeight="1">
      <c r="A1721" s="231">
        <v>1720</v>
      </c>
      <c r="B1721" s="231" t="s">
        <v>52</v>
      </c>
      <c r="C1721" s="231" t="s">
        <v>10</v>
      </c>
      <c r="D1721" s="237" t="s">
        <v>4718</v>
      </c>
      <c r="E1721" s="268"/>
      <c r="F1721" s="231"/>
      <c r="G1721" s="231"/>
      <c r="H1721" s="237" t="s">
        <v>3501</v>
      </c>
      <c r="I1721" s="249">
        <v>0</v>
      </c>
      <c r="J1721" s="249">
        <v>2500</v>
      </c>
      <c r="K1721" s="231" t="b">
        <f t="shared" si="37"/>
        <v>0</v>
      </c>
      <c r="L1721" s="231"/>
      <c r="M1721" s="237" t="s">
        <v>3276</v>
      </c>
      <c r="N1721" s="231"/>
      <c r="O1721" s="231">
        <v>2025</v>
      </c>
      <c r="P1721" s="286">
        <v>45686</v>
      </c>
      <c r="Q1721" s="231" t="s">
        <v>2771</v>
      </c>
      <c r="R1721" s="231"/>
      <c r="S1721" s="241" t="s">
        <v>453</v>
      </c>
      <c r="T1721" s="231"/>
    </row>
    <row r="1722" spans="1:20" ht="15" customHeight="1">
      <c r="A1722" s="231">
        <v>1721</v>
      </c>
      <c r="B1722" s="231" t="s">
        <v>49</v>
      </c>
      <c r="C1722" s="231" t="s">
        <v>10</v>
      </c>
      <c r="D1722" s="237" t="s">
        <v>3502</v>
      </c>
      <c r="E1722" s="268"/>
      <c r="F1722" s="231"/>
      <c r="G1722" s="231"/>
      <c r="H1722" s="237" t="s">
        <v>3496</v>
      </c>
      <c r="I1722" s="249">
        <v>0</v>
      </c>
      <c r="J1722" s="249">
        <v>456</v>
      </c>
      <c r="K1722" s="231" t="b">
        <f t="shared" si="37"/>
        <v>0</v>
      </c>
      <c r="L1722" s="231"/>
      <c r="M1722" s="237" t="s">
        <v>3276</v>
      </c>
      <c r="N1722" s="231"/>
      <c r="O1722" s="231">
        <v>2025</v>
      </c>
      <c r="P1722" s="286">
        <v>45687</v>
      </c>
      <c r="Q1722" s="231" t="s">
        <v>2771</v>
      </c>
      <c r="R1722" s="231"/>
      <c r="S1722" s="241" t="s">
        <v>453</v>
      </c>
      <c r="T1722" s="231"/>
    </row>
    <row r="1723" spans="1:20" ht="15" customHeight="1">
      <c r="A1723" s="231">
        <v>1722</v>
      </c>
      <c r="B1723" s="231" t="s">
        <v>52</v>
      </c>
      <c r="C1723" s="231" t="s">
        <v>10</v>
      </c>
      <c r="D1723" s="237" t="s">
        <v>3503</v>
      </c>
      <c r="E1723" s="268"/>
      <c r="F1723" s="231"/>
      <c r="G1723" s="231"/>
      <c r="H1723" s="237" t="s">
        <v>3330</v>
      </c>
      <c r="I1723" s="249">
        <v>0</v>
      </c>
      <c r="J1723" s="249">
        <v>850</v>
      </c>
      <c r="K1723" s="231" t="b">
        <f t="shared" si="37"/>
        <v>0</v>
      </c>
      <c r="L1723" s="231"/>
      <c r="M1723" s="237" t="s">
        <v>3276</v>
      </c>
      <c r="N1723" s="231"/>
      <c r="O1723" s="231">
        <v>2025</v>
      </c>
      <c r="P1723" s="286">
        <v>45688</v>
      </c>
      <c r="Q1723" s="231" t="s">
        <v>2771</v>
      </c>
      <c r="R1723" s="231"/>
      <c r="S1723" s="241" t="s">
        <v>453</v>
      </c>
      <c r="T1723" s="231"/>
    </row>
    <row r="1724" spans="1:20" ht="15" customHeight="1">
      <c r="A1724" s="231">
        <v>1723</v>
      </c>
      <c r="B1724" s="231" t="s">
        <v>52</v>
      </c>
      <c r="C1724" s="231" t="s">
        <v>10</v>
      </c>
      <c r="D1724" s="237" t="s">
        <v>3504</v>
      </c>
      <c r="E1724" s="268"/>
      <c r="F1724" s="231"/>
      <c r="G1724" s="231"/>
      <c r="H1724" s="237" t="s">
        <v>2877</v>
      </c>
      <c r="I1724" s="249">
        <v>101</v>
      </c>
      <c r="J1724" s="249">
        <v>0</v>
      </c>
      <c r="K1724" s="231" t="b">
        <f t="shared" si="37"/>
        <v>0</v>
      </c>
      <c r="L1724" s="231"/>
      <c r="M1724" s="237" t="s">
        <v>3437</v>
      </c>
      <c r="N1724" s="231"/>
      <c r="O1724" s="231">
        <v>2025</v>
      </c>
      <c r="P1724" s="286">
        <v>45693</v>
      </c>
      <c r="Q1724" s="231" t="s">
        <v>2771</v>
      </c>
      <c r="R1724" s="231"/>
      <c r="S1724" s="241" t="s">
        <v>453</v>
      </c>
      <c r="T1724" s="231"/>
    </row>
    <row r="1725" spans="1:20" ht="15" customHeight="1">
      <c r="A1725" s="231">
        <v>1724</v>
      </c>
      <c r="B1725" s="231" t="s">
        <v>52</v>
      </c>
      <c r="C1725" s="231" t="s">
        <v>10</v>
      </c>
      <c r="D1725" s="237" t="s">
        <v>3506</v>
      </c>
      <c r="E1725" s="268"/>
      <c r="F1725" s="231"/>
      <c r="G1725" s="231"/>
      <c r="H1725" s="237" t="s">
        <v>3507</v>
      </c>
      <c r="I1725" s="249">
        <v>130</v>
      </c>
      <c r="J1725" s="249">
        <v>0</v>
      </c>
      <c r="K1725" s="231" t="b">
        <f t="shared" si="37"/>
        <v>0</v>
      </c>
      <c r="L1725" s="231"/>
      <c r="M1725" s="237" t="s">
        <v>3437</v>
      </c>
      <c r="N1725" s="231"/>
      <c r="O1725" s="231">
        <v>2025</v>
      </c>
      <c r="P1725" s="286">
        <v>45695</v>
      </c>
      <c r="Q1725" s="231" t="s">
        <v>2771</v>
      </c>
      <c r="R1725" s="231"/>
      <c r="S1725" s="241" t="s">
        <v>453</v>
      </c>
      <c r="T1725" s="231"/>
    </row>
    <row r="1726" spans="1:20" ht="15" customHeight="1">
      <c r="A1726" s="231">
        <v>1725</v>
      </c>
      <c r="B1726" s="231" t="s">
        <v>52</v>
      </c>
      <c r="C1726" s="231" t="s">
        <v>10</v>
      </c>
      <c r="D1726" s="237" t="s">
        <v>3508</v>
      </c>
      <c r="E1726" s="268"/>
      <c r="F1726" s="231"/>
      <c r="G1726" s="231"/>
      <c r="H1726" s="237" t="s">
        <v>3483</v>
      </c>
      <c r="I1726" s="249">
        <v>400</v>
      </c>
      <c r="J1726" s="249">
        <v>0</v>
      </c>
      <c r="K1726" s="231" t="b">
        <f t="shared" si="37"/>
        <v>0</v>
      </c>
      <c r="L1726" s="231"/>
      <c r="M1726" s="237" t="s">
        <v>3437</v>
      </c>
      <c r="N1726" s="231"/>
      <c r="O1726" s="231">
        <v>2025</v>
      </c>
      <c r="P1726" s="286">
        <v>45697</v>
      </c>
      <c r="Q1726" s="231" t="s">
        <v>2771</v>
      </c>
      <c r="R1726" s="231"/>
      <c r="S1726" s="241" t="s">
        <v>453</v>
      </c>
      <c r="T1726" s="231"/>
    </row>
    <row r="1727" spans="1:20" ht="15" customHeight="1">
      <c r="A1727" s="231">
        <v>1726</v>
      </c>
      <c r="B1727" s="231" t="s">
        <v>52</v>
      </c>
      <c r="C1727" s="231" t="s">
        <v>10</v>
      </c>
      <c r="D1727" s="237" t="s">
        <v>189</v>
      </c>
      <c r="E1727" s="268"/>
      <c r="F1727" s="231"/>
      <c r="G1727" s="231"/>
      <c r="H1727" s="237" t="s">
        <v>189</v>
      </c>
      <c r="I1727" s="249">
        <v>0</v>
      </c>
      <c r="J1727" s="249">
        <v>1000</v>
      </c>
      <c r="K1727" s="231" t="b">
        <f t="shared" si="37"/>
        <v>0</v>
      </c>
      <c r="L1727" s="231"/>
      <c r="M1727" s="237" t="s">
        <v>3276</v>
      </c>
      <c r="N1727" s="231"/>
      <c r="O1727" s="231">
        <v>2025</v>
      </c>
      <c r="P1727" s="286">
        <v>45691</v>
      </c>
      <c r="Q1727" s="231" t="s">
        <v>2771</v>
      </c>
      <c r="R1727" s="231"/>
      <c r="S1727" s="241" t="s">
        <v>453</v>
      </c>
      <c r="T1727" s="231"/>
    </row>
    <row r="1728" spans="1:20" ht="15" customHeight="1">
      <c r="A1728" s="231">
        <v>1727</v>
      </c>
      <c r="B1728" s="231" t="s">
        <v>52</v>
      </c>
      <c r="C1728" s="231" t="s">
        <v>10</v>
      </c>
      <c r="D1728" s="237" t="s">
        <v>3509</v>
      </c>
      <c r="E1728" s="268"/>
      <c r="F1728" s="231"/>
      <c r="G1728" s="231"/>
      <c r="H1728" s="237" t="s">
        <v>189</v>
      </c>
      <c r="I1728" s="249">
        <v>0</v>
      </c>
      <c r="J1728" s="249">
        <v>160</v>
      </c>
      <c r="K1728" s="231" t="b">
        <f t="shared" si="37"/>
        <v>0</v>
      </c>
      <c r="L1728" s="231"/>
      <c r="M1728" s="237" t="s">
        <v>3276</v>
      </c>
      <c r="N1728" s="231"/>
      <c r="O1728" s="231">
        <v>2025</v>
      </c>
      <c r="P1728" s="286">
        <v>45692</v>
      </c>
      <c r="Q1728" s="231" t="s">
        <v>2771</v>
      </c>
      <c r="R1728" s="231"/>
      <c r="S1728" s="241" t="s">
        <v>453</v>
      </c>
      <c r="T1728" s="231"/>
    </row>
    <row r="1729" spans="1:29" ht="15" customHeight="1">
      <c r="A1729" s="231">
        <v>1728</v>
      </c>
      <c r="B1729" s="231" t="s">
        <v>53</v>
      </c>
      <c r="C1729" s="231" t="s">
        <v>10</v>
      </c>
      <c r="D1729" s="237" t="s">
        <v>3510</v>
      </c>
      <c r="E1729" s="268"/>
      <c r="F1729" s="231"/>
      <c r="G1729" s="231"/>
      <c r="H1729" s="237" t="s">
        <v>213</v>
      </c>
      <c r="I1729" s="249">
        <v>198</v>
      </c>
      <c r="J1729" s="249">
        <v>0</v>
      </c>
      <c r="K1729" s="231" t="b">
        <f t="shared" si="37"/>
        <v>0</v>
      </c>
      <c r="L1729" s="231"/>
      <c r="M1729" s="237" t="s">
        <v>3276</v>
      </c>
      <c r="N1729" s="231"/>
      <c r="O1729" s="231">
        <v>2025</v>
      </c>
      <c r="P1729" s="286">
        <v>45693</v>
      </c>
      <c r="Q1729" s="231" t="s">
        <v>2771</v>
      </c>
      <c r="R1729" s="231"/>
      <c r="S1729" s="241" t="s">
        <v>453</v>
      </c>
      <c r="T1729" s="231"/>
    </row>
    <row r="1730" spans="1:29" ht="15" customHeight="1">
      <c r="A1730" s="231">
        <v>1729</v>
      </c>
      <c r="B1730" s="231" t="s">
        <v>52</v>
      </c>
      <c r="C1730" s="231" t="s">
        <v>10</v>
      </c>
      <c r="D1730" s="237" t="s">
        <v>3511</v>
      </c>
      <c r="E1730" s="268"/>
      <c r="F1730" s="231"/>
      <c r="G1730" s="231"/>
      <c r="H1730" s="237" t="s">
        <v>3512</v>
      </c>
      <c r="I1730" s="249">
        <v>0</v>
      </c>
      <c r="J1730" s="249">
        <v>109</v>
      </c>
      <c r="K1730" s="231" t="b">
        <f t="shared" si="37"/>
        <v>0</v>
      </c>
      <c r="L1730" s="231"/>
      <c r="M1730" s="237" t="s">
        <v>3276</v>
      </c>
      <c r="N1730" s="231"/>
      <c r="O1730" s="231">
        <v>2025</v>
      </c>
      <c r="P1730" s="286">
        <v>45693</v>
      </c>
      <c r="Q1730" s="231" t="s">
        <v>2771</v>
      </c>
      <c r="R1730" s="231"/>
      <c r="S1730" s="241" t="s">
        <v>453</v>
      </c>
      <c r="T1730" s="231"/>
    </row>
    <row r="1731" spans="1:29" ht="15" customHeight="1">
      <c r="A1731" s="231">
        <v>1730</v>
      </c>
      <c r="B1731" s="231" t="s">
        <v>52</v>
      </c>
      <c r="C1731" s="231" t="s">
        <v>10</v>
      </c>
      <c r="D1731" s="237" t="s">
        <v>3513</v>
      </c>
      <c r="E1731" s="268"/>
      <c r="F1731" s="231"/>
      <c r="G1731" s="231"/>
      <c r="H1731" s="237" t="s">
        <v>3512</v>
      </c>
      <c r="I1731" s="249">
        <v>0</v>
      </c>
      <c r="J1731" s="249">
        <v>390</v>
      </c>
      <c r="K1731" s="231" t="b">
        <f t="shared" si="37"/>
        <v>0</v>
      </c>
      <c r="L1731" s="231"/>
      <c r="M1731" s="237" t="s">
        <v>3276</v>
      </c>
      <c r="N1731" s="231"/>
      <c r="O1731" s="231">
        <v>2025</v>
      </c>
      <c r="P1731" s="286">
        <v>45693</v>
      </c>
      <c r="Q1731" s="231" t="s">
        <v>2771</v>
      </c>
      <c r="R1731" s="231"/>
      <c r="S1731" s="241" t="s">
        <v>453</v>
      </c>
      <c r="T1731" s="231"/>
    </row>
    <row r="1732" spans="1:29" ht="15" customHeight="1">
      <c r="A1732" s="231">
        <v>1731</v>
      </c>
      <c r="B1732" s="231" t="s">
        <v>50</v>
      </c>
      <c r="C1732" s="231" t="s">
        <v>10</v>
      </c>
      <c r="D1732" s="237" t="s">
        <v>3514</v>
      </c>
      <c r="E1732" s="268"/>
      <c r="F1732" s="231"/>
      <c r="G1732" s="231"/>
      <c r="H1732" s="237" t="s">
        <v>3515</v>
      </c>
      <c r="I1732" s="249">
        <v>0</v>
      </c>
      <c r="J1732" s="249">
        <v>1800</v>
      </c>
      <c r="K1732" s="231" t="b">
        <f t="shared" si="37"/>
        <v>0</v>
      </c>
      <c r="L1732" s="231"/>
      <c r="M1732" s="237" t="s">
        <v>3276</v>
      </c>
      <c r="N1732" s="231"/>
      <c r="O1732" s="231">
        <v>2025</v>
      </c>
      <c r="P1732" s="286">
        <v>45694</v>
      </c>
      <c r="Q1732" s="231" t="s">
        <v>2771</v>
      </c>
      <c r="R1732" s="231"/>
      <c r="S1732" s="241" t="s">
        <v>453</v>
      </c>
      <c r="T1732" s="231"/>
      <c r="U1732" s="90">
        <v>6</v>
      </c>
      <c r="V1732" s="90">
        <v>6</v>
      </c>
      <c r="W1732" s="90">
        <v>0</v>
      </c>
    </row>
    <row r="1733" spans="1:29" ht="15" customHeight="1">
      <c r="A1733" s="231">
        <v>1732</v>
      </c>
      <c r="B1733" s="231" t="s">
        <v>50</v>
      </c>
      <c r="C1733" s="231" t="s">
        <v>10</v>
      </c>
      <c r="D1733" s="237" t="s">
        <v>3516</v>
      </c>
      <c r="E1733" s="268"/>
      <c r="F1733" s="231"/>
      <c r="G1733" s="231"/>
      <c r="H1733" s="237" t="s">
        <v>3515</v>
      </c>
      <c r="I1733" s="249">
        <v>0</v>
      </c>
      <c r="J1733" s="249">
        <v>3400</v>
      </c>
      <c r="K1733" s="231" t="b">
        <f t="shared" si="37"/>
        <v>0</v>
      </c>
      <c r="L1733" s="231"/>
      <c r="M1733" s="237" t="s">
        <v>3276</v>
      </c>
      <c r="N1733" s="231"/>
      <c r="O1733" s="231">
        <v>2025</v>
      </c>
      <c r="P1733" s="286">
        <v>45694</v>
      </c>
      <c r="Q1733" s="231" t="s">
        <v>2771</v>
      </c>
      <c r="R1733" s="231"/>
      <c r="S1733" s="241" t="s">
        <v>453</v>
      </c>
      <c r="T1733" s="231"/>
      <c r="X1733" s="90" t="s">
        <v>4355</v>
      </c>
      <c r="Y1733" s="90" t="s">
        <v>4356</v>
      </c>
      <c r="Z1733" s="90" t="s">
        <v>4357</v>
      </c>
      <c r="AA1733" s="90" t="s">
        <v>4358</v>
      </c>
      <c r="AB1733" s="90" t="s">
        <v>4359</v>
      </c>
      <c r="AC1733" s="90" t="s">
        <v>4360</v>
      </c>
    </row>
    <row r="1734" spans="1:29" ht="15" customHeight="1">
      <c r="A1734" s="231">
        <v>1733</v>
      </c>
      <c r="B1734" s="231" t="s">
        <v>53</v>
      </c>
      <c r="C1734" s="231" t="s">
        <v>10</v>
      </c>
      <c r="D1734" s="237" t="s">
        <v>3517</v>
      </c>
      <c r="E1734" s="268"/>
      <c r="F1734" s="231"/>
      <c r="G1734" s="231"/>
      <c r="H1734" s="237" t="s">
        <v>213</v>
      </c>
      <c r="I1734" s="249">
        <v>196</v>
      </c>
      <c r="J1734" s="249">
        <v>0</v>
      </c>
      <c r="K1734" s="231" t="b">
        <f t="shared" si="37"/>
        <v>0</v>
      </c>
      <c r="L1734" s="231"/>
      <c r="M1734" s="237" t="s">
        <v>3276</v>
      </c>
      <c r="N1734" s="231"/>
      <c r="O1734" s="231">
        <v>2025</v>
      </c>
      <c r="P1734" s="286">
        <v>45694</v>
      </c>
      <c r="Q1734" s="231" t="s">
        <v>2771</v>
      </c>
      <c r="R1734" s="231"/>
      <c r="S1734" s="241" t="s">
        <v>453</v>
      </c>
      <c r="T1734" s="231"/>
    </row>
    <row r="1735" spans="1:29" ht="15" customHeight="1">
      <c r="A1735" s="231">
        <v>1734</v>
      </c>
      <c r="B1735" s="231" t="s">
        <v>52</v>
      </c>
      <c r="C1735" s="231" t="s">
        <v>10</v>
      </c>
      <c r="D1735" s="237" t="s">
        <v>3518</v>
      </c>
      <c r="E1735" s="268"/>
      <c r="F1735" s="231"/>
      <c r="G1735" s="231"/>
      <c r="H1735" s="237" t="s">
        <v>3512</v>
      </c>
      <c r="I1735" s="249">
        <v>78</v>
      </c>
      <c r="J1735" s="249">
        <v>0</v>
      </c>
      <c r="K1735" s="231" t="b">
        <f t="shared" si="37"/>
        <v>0</v>
      </c>
      <c r="L1735" s="231"/>
      <c r="M1735" s="237" t="s">
        <v>3276</v>
      </c>
      <c r="N1735" s="231"/>
      <c r="O1735" s="231">
        <v>2025</v>
      </c>
      <c r="P1735" s="286">
        <v>45694</v>
      </c>
      <c r="Q1735" s="231" t="s">
        <v>2771</v>
      </c>
      <c r="R1735" s="231"/>
      <c r="S1735" s="241" t="s">
        <v>453</v>
      </c>
      <c r="T1735" s="231"/>
    </row>
    <row r="1736" spans="1:29" ht="15" customHeight="1">
      <c r="A1736" s="231">
        <v>1735</v>
      </c>
      <c r="B1736" s="231" t="s">
        <v>52</v>
      </c>
      <c r="C1736" s="231" t="s">
        <v>10</v>
      </c>
      <c r="D1736" s="237" t="s">
        <v>3519</v>
      </c>
      <c r="E1736" s="268"/>
      <c r="F1736" s="231"/>
      <c r="G1736" s="231"/>
      <c r="H1736" s="237" t="s">
        <v>3512</v>
      </c>
      <c r="I1736" s="249">
        <v>79</v>
      </c>
      <c r="J1736" s="249">
        <v>160</v>
      </c>
      <c r="K1736" s="231" t="b">
        <f t="shared" si="37"/>
        <v>0</v>
      </c>
      <c r="L1736" s="231"/>
      <c r="M1736" s="237" t="s">
        <v>3276</v>
      </c>
      <c r="N1736" s="231"/>
      <c r="O1736" s="231">
        <v>2025</v>
      </c>
      <c r="P1736" s="286">
        <v>45695</v>
      </c>
      <c r="Q1736" s="231" t="s">
        <v>2771</v>
      </c>
      <c r="R1736" s="231"/>
      <c r="S1736" s="241" t="s">
        <v>453</v>
      </c>
      <c r="T1736" s="231"/>
    </row>
    <row r="1737" spans="1:29" ht="15" customHeight="1">
      <c r="A1737" s="231">
        <v>1736</v>
      </c>
      <c r="B1737" s="231" t="s">
        <v>52</v>
      </c>
      <c r="C1737" s="231" t="s">
        <v>10</v>
      </c>
      <c r="D1737" s="237" t="s">
        <v>3520</v>
      </c>
      <c r="E1737" s="268"/>
      <c r="F1737" s="231"/>
      <c r="G1737" s="231"/>
      <c r="H1737" s="237" t="s">
        <v>3060</v>
      </c>
      <c r="I1737" s="249">
        <v>65</v>
      </c>
      <c r="J1737" s="249">
        <v>700</v>
      </c>
      <c r="K1737" s="231" t="b">
        <f t="shared" si="37"/>
        <v>0</v>
      </c>
      <c r="L1737" s="231"/>
      <c r="M1737" s="237" t="s">
        <v>3276</v>
      </c>
      <c r="N1737" s="231"/>
      <c r="O1737" s="231">
        <v>2025</v>
      </c>
      <c r="P1737" s="286">
        <v>45695</v>
      </c>
      <c r="Q1737" s="231" t="s">
        <v>2771</v>
      </c>
      <c r="R1737" s="231"/>
      <c r="S1737" s="241" t="s">
        <v>453</v>
      </c>
      <c r="T1737" s="231"/>
    </row>
    <row r="1738" spans="1:29" ht="15" customHeight="1">
      <c r="A1738" s="231">
        <v>1737</v>
      </c>
      <c r="B1738" s="231" t="s">
        <v>55</v>
      </c>
      <c r="C1738" s="231" t="s">
        <v>10</v>
      </c>
      <c r="D1738" s="237" t="s">
        <v>3521</v>
      </c>
      <c r="E1738" s="268"/>
      <c r="F1738" s="231"/>
      <c r="G1738" s="231"/>
      <c r="H1738" s="237" t="s">
        <v>2894</v>
      </c>
      <c r="I1738" s="249">
        <v>0</v>
      </c>
      <c r="J1738" s="249">
        <v>0</v>
      </c>
      <c r="K1738" s="231" t="b">
        <f t="shared" si="37"/>
        <v>0</v>
      </c>
      <c r="L1738" s="231"/>
      <c r="M1738" s="237" t="s">
        <v>3276</v>
      </c>
      <c r="N1738" s="231"/>
      <c r="O1738" s="231">
        <v>2025</v>
      </c>
      <c r="P1738" s="286">
        <v>45695</v>
      </c>
      <c r="Q1738" s="231" t="s">
        <v>2771</v>
      </c>
      <c r="R1738" s="231"/>
      <c r="S1738" s="241" t="s">
        <v>453</v>
      </c>
      <c r="T1738" s="231"/>
    </row>
    <row r="1739" spans="1:29" ht="15" customHeight="1">
      <c r="A1739" s="231">
        <v>1738</v>
      </c>
      <c r="B1739" s="231" t="s">
        <v>55</v>
      </c>
      <c r="C1739" s="231" t="s">
        <v>10</v>
      </c>
      <c r="D1739" s="237" t="s">
        <v>3522</v>
      </c>
      <c r="E1739" s="268"/>
      <c r="F1739" s="231"/>
      <c r="G1739" s="231"/>
      <c r="H1739" s="237" t="s">
        <v>2894</v>
      </c>
      <c r="I1739" s="249">
        <v>300</v>
      </c>
      <c r="J1739" s="249">
        <v>0</v>
      </c>
      <c r="K1739" s="231" t="b">
        <f t="shared" si="37"/>
        <v>0</v>
      </c>
      <c r="L1739" s="231"/>
      <c r="M1739" s="237" t="s">
        <v>3276</v>
      </c>
      <c r="N1739" s="231"/>
      <c r="O1739" s="231">
        <v>2025</v>
      </c>
      <c r="P1739" s="286">
        <v>45695</v>
      </c>
      <c r="Q1739" s="231" t="s">
        <v>2771</v>
      </c>
      <c r="R1739" s="231"/>
      <c r="S1739" s="241" t="s">
        <v>453</v>
      </c>
      <c r="T1739" s="231"/>
    </row>
    <row r="1740" spans="1:29" ht="15" customHeight="1">
      <c r="A1740" s="231">
        <v>1739</v>
      </c>
      <c r="B1740" s="231" t="s">
        <v>52</v>
      </c>
      <c r="C1740" s="231" t="s">
        <v>10</v>
      </c>
      <c r="D1740" s="237" t="s">
        <v>3523</v>
      </c>
      <c r="E1740" s="268"/>
      <c r="F1740" s="231"/>
      <c r="G1740" s="231"/>
      <c r="H1740" s="237" t="s">
        <v>3524</v>
      </c>
      <c r="I1740" s="249">
        <v>0</v>
      </c>
      <c r="J1740" s="249">
        <v>1593</v>
      </c>
      <c r="K1740" s="231" t="b">
        <f t="shared" si="37"/>
        <v>0</v>
      </c>
      <c r="L1740" s="231"/>
      <c r="M1740" s="237" t="s">
        <v>3276</v>
      </c>
      <c r="N1740" s="231"/>
      <c r="O1740" s="231">
        <v>2025</v>
      </c>
      <c r="P1740" s="286">
        <v>45695</v>
      </c>
      <c r="Q1740" s="231" t="s">
        <v>2771</v>
      </c>
      <c r="R1740" s="231"/>
      <c r="S1740" s="241" t="s">
        <v>453</v>
      </c>
      <c r="T1740" s="231"/>
    </row>
    <row r="1741" spans="1:29" ht="15" customHeight="1">
      <c r="A1741" s="231">
        <v>1740</v>
      </c>
      <c r="B1741" s="231" t="s">
        <v>52</v>
      </c>
      <c r="C1741" s="231" t="s">
        <v>10</v>
      </c>
      <c r="D1741" s="237" t="s">
        <v>3525</v>
      </c>
      <c r="E1741" s="268"/>
      <c r="F1741" s="231"/>
      <c r="G1741" s="231"/>
      <c r="H1741" s="237" t="s">
        <v>166</v>
      </c>
      <c r="I1741" s="249">
        <v>300</v>
      </c>
      <c r="J1741" s="249">
        <v>0</v>
      </c>
      <c r="K1741" s="231" t="b">
        <f t="shared" si="37"/>
        <v>0</v>
      </c>
      <c r="L1741" s="231"/>
      <c r="M1741" s="237" t="s">
        <v>3276</v>
      </c>
      <c r="N1741" s="231"/>
      <c r="O1741" s="231">
        <v>2025</v>
      </c>
      <c r="P1741" s="286">
        <v>45696</v>
      </c>
      <c r="Q1741" s="231" t="s">
        <v>2771</v>
      </c>
      <c r="R1741" s="231"/>
      <c r="S1741" s="241" t="s">
        <v>453</v>
      </c>
      <c r="T1741" s="231"/>
    </row>
    <row r="1742" spans="1:29" ht="15" customHeight="1">
      <c r="A1742" s="231">
        <v>1741</v>
      </c>
      <c r="B1742" s="231" t="s">
        <v>52</v>
      </c>
      <c r="C1742" s="231" t="s">
        <v>10</v>
      </c>
      <c r="D1742" s="237" t="s">
        <v>3526</v>
      </c>
      <c r="E1742" s="268"/>
      <c r="F1742" s="231"/>
      <c r="G1742" s="231"/>
      <c r="H1742" s="231" t="s">
        <v>3527</v>
      </c>
      <c r="I1742" s="281">
        <v>300</v>
      </c>
      <c r="J1742" s="249">
        <v>0</v>
      </c>
      <c r="K1742" s="231" t="b">
        <f t="shared" si="37"/>
        <v>0</v>
      </c>
      <c r="L1742" s="231"/>
      <c r="M1742" s="237" t="s">
        <v>3437</v>
      </c>
      <c r="N1742" s="231"/>
      <c r="O1742" s="231">
        <v>2025</v>
      </c>
      <c r="P1742" s="286">
        <v>45705</v>
      </c>
      <c r="Q1742" s="231" t="s">
        <v>2771</v>
      </c>
      <c r="R1742" s="231"/>
      <c r="S1742" s="241" t="s">
        <v>453</v>
      </c>
      <c r="T1742" s="231"/>
    </row>
    <row r="1743" spans="1:29" ht="15" customHeight="1">
      <c r="A1743" s="231">
        <v>1742</v>
      </c>
      <c r="B1743" s="231" t="s">
        <v>52</v>
      </c>
      <c r="C1743" s="231" t="s">
        <v>10</v>
      </c>
      <c r="D1743" s="237" t="s">
        <v>3528</v>
      </c>
      <c r="E1743" s="268"/>
      <c r="F1743" s="231"/>
      <c r="G1743" s="231"/>
      <c r="H1743" s="231" t="s">
        <v>3527</v>
      </c>
      <c r="I1743" s="281">
        <v>350</v>
      </c>
      <c r="J1743" s="249">
        <v>0</v>
      </c>
      <c r="K1743" s="231" t="b">
        <f t="shared" si="37"/>
        <v>0</v>
      </c>
      <c r="L1743" s="231"/>
      <c r="M1743" s="237" t="s">
        <v>3437</v>
      </c>
      <c r="N1743" s="231"/>
      <c r="O1743" s="231">
        <v>2025</v>
      </c>
      <c r="P1743" s="286">
        <v>45704</v>
      </c>
      <c r="Q1743" s="231" t="s">
        <v>2771</v>
      </c>
      <c r="R1743" s="231"/>
      <c r="S1743" s="241" t="s">
        <v>453</v>
      </c>
      <c r="T1743" s="231"/>
    </row>
    <row r="1744" spans="1:29" ht="15" customHeight="1">
      <c r="A1744" s="231">
        <v>1743</v>
      </c>
      <c r="B1744" s="231" t="s">
        <v>53</v>
      </c>
      <c r="C1744" s="231" t="s">
        <v>10</v>
      </c>
      <c r="D1744" s="237" t="s">
        <v>3529</v>
      </c>
      <c r="E1744" s="268"/>
      <c r="F1744" s="231"/>
      <c r="G1744" s="231"/>
      <c r="H1744" s="231" t="s">
        <v>3417</v>
      </c>
      <c r="I1744" s="281">
        <v>20</v>
      </c>
      <c r="J1744" s="249">
        <v>513</v>
      </c>
      <c r="K1744" s="231" t="b">
        <f t="shared" si="37"/>
        <v>0</v>
      </c>
      <c r="L1744" s="231"/>
      <c r="M1744" s="237" t="s">
        <v>3437</v>
      </c>
      <c r="N1744" s="231"/>
      <c r="O1744" s="231">
        <v>2025</v>
      </c>
      <c r="P1744" s="286">
        <v>45706</v>
      </c>
      <c r="Q1744" s="231" t="s">
        <v>2771</v>
      </c>
      <c r="R1744" s="231"/>
      <c r="S1744" s="241" t="s">
        <v>453</v>
      </c>
      <c r="T1744" s="231"/>
    </row>
    <row r="1745" spans="1:31" ht="15" customHeight="1">
      <c r="A1745" s="231">
        <v>1744</v>
      </c>
      <c r="B1745" s="231" t="s">
        <v>52</v>
      </c>
      <c r="C1745" s="231" t="s">
        <v>10</v>
      </c>
      <c r="D1745" s="237" t="s">
        <v>3530</v>
      </c>
      <c r="E1745" s="268"/>
      <c r="F1745" s="231"/>
      <c r="G1745" s="231"/>
      <c r="H1745" s="231" t="s">
        <v>3483</v>
      </c>
      <c r="I1745" s="281">
        <v>300</v>
      </c>
      <c r="J1745" s="249">
        <v>0</v>
      </c>
      <c r="K1745" s="231" t="b">
        <f t="shared" si="37"/>
        <v>0</v>
      </c>
      <c r="L1745" s="231"/>
      <c r="M1745" s="237" t="s">
        <v>3437</v>
      </c>
      <c r="N1745" s="231"/>
      <c r="O1745" s="231">
        <v>2025</v>
      </c>
      <c r="P1745" s="286">
        <v>45708</v>
      </c>
      <c r="Q1745" s="231" t="s">
        <v>2771</v>
      </c>
      <c r="R1745" s="231"/>
      <c r="S1745" s="241" t="s">
        <v>453</v>
      </c>
      <c r="T1745" s="231"/>
    </row>
    <row r="1746" spans="1:31" ht="15" customHeight="1">
      <c r="A1746" s="231">
        <v>1745</v>
      </c>
      <c r="B1746" s="231" t="s">
        <v>52</v>
      </c>
      <c r="C1746" s="231" t="s">
        <v>10</v>
      </c>
      <c r="D1746" s="237" t="s">
        <v>3531</v>
      </c>
      <c r="E1746" s="268"/>
      <c r="F1746" s="231"/>
      <c r="G1746" s="231"/>
      <c r="H1746" s="231" t="s">
        <v>3301</v>
      </c>
      <c r="I1746" s="281">
        <v>300</v>
      </c>
      <c r="J1746" s="249">
        <v>0</v>
      </c>
      <c r="K1746" s="231" t="b">
        <f t="shared" si="37"/>
        <v>0</v>
      </c>
      <c r="L1746" s="231"/>
      <c r="M1746" s="237" t="s">
        <v>3437</v>
      </c>
      <c r="N1746" s="231"/>
      <c r="O1746" s="231">
        <v>2025</v>
      </c>
      <c r="P1746" s="286">
        <v>45707</v>
      </c>
      <c r="Q1746" s="231" t="s">
        <v>2771</v>
      </c>
      <c r="R1746" s="231"/>
      <c r="S1746" s="241" t="s">
        <v>453</v>
      </c>
      <c r="T1746" s="231"/>
    </row>
    <row r="1747" spans="1:31" ht="15" customHeight="1">
      <c r="A1747" s="231">
        <v>1746</v>
      </c>
      <c r="B1747" s="231" t="s">
        <v>52</v>
      </c>
      <c r="C1747" s="231" t="s">
        <v>10</v>
      </c>
      <c r="D1747" s="237" t="s">
        <v>3532</v>
      </c>
      <c r="E1747" s="268"/>
      <c r="F1747" s="231"/>
      <c r="G1747" s="231"/>
      <c r="H1747" s="231" t="s">
        <v>187</v>
      </c>
      <c r="I1747" s="281">
        <v>250</v>
      </c>
      <c r="J1747" s="249">
        <v>0</v>
      </c>
      <c r="K1747" s="231" t="b">
        <f t="shared" si="37"/>
        <v>0</v>
      </c>
      <c r="L1747" s="231"/>
      <c r="M1747" s="237" t="s">
        <v>3276</v>
      </c>
      <c r="N1747" s="231"/>
      <c r="O1747" s="231">
        <v>2025</v>
      </c>
      <c r="P1747" s="286">
        <v>45705</v>
      </c>
      <c r="Q1747" s="231" t="s">
        <v>2771</v>
      </c>
      <c r="R1747" s="231"/>
      <c r="S1747" s="241" t="s">
        <v>453</v>
      </c>
      <c r="T1747" s="231"/>
    </row>
    <row r="1748" spans="1:31" ht="15" customHeight="1">
      <c r="A1748" s="231">
        <v>1747</v>
      </c>
      <c r="B1748" s="231" t="s">
        <v>53</v>
      </c>
      <c r="C1748" s="231" t="s">
        <v>10</v>
      </c>
      <c r="D1748" s="237" t="s">
        <v>3533</v>
      </c>
      <c r="E1748" s="268"/>
      <c r="F1748" s="231"/>
      <c r="G1748" s="231"/>
      <c r="H1748" s="231" t="s">
        <v>427</v>
      </c>
      <c r="I1748" s="281">
        <v>212</v>
      </c>
      <c r="J1748" s="249">
        <v>0</v>
      </c>
      <c r="K1748" s="231">
        <v>20</v>
      </c>
      <c r="L1748" s="231"/>
      <c r="M1748" s="299" t="s">
        <v>15</v>
      </c>
      <c r="N1748" s="231"/>
      <c r="O1748" s="231">
        <v>2025</v>
      </c>
      <c r="P1748" s="286">
        <v>45706</v>
      </c>
      <c r="Q1748" s="231" t="s">
        <v>2771</v>
      </c>
      <c r="R1748" s="231"/>
      <c r="S1748" s="241" t="s">
        <v>453</v>
      </c>
      <c r="T1748" s="231"/>
    </row>
    <row r="1749" spans="1:31" ht="15" customHeight="1">
      <c r="A1749" s="231">
        <v>1748</v>
      </c>
      <c r="B1749" s="231" t="s">
        <v>53</v>
      </c>
      <c r="C1749" s="231" t="s">
        <v>10</v>
      </c>
      <c r="D1749" s="237" t="s">
        <v>3534</v>
      </c>
      <c r="E1749" s="268"/>
      <c r="F1749" s="231"/>
      <c r="G1749" s="231"/>
      <c r="H1749" s="231" t="s">
        <v>427</v>
      </c>
      <c r="I1749" s="281">
        <v>0</v>
      </c>
      <c r="J1749" s="249">
        <v>0</v>
      </c>
      <c r="K1749" s="231" t="str">
        <f t="shared" ref="K1749:K1812" si="38">IF(M1749="ONT",20,IF(M1749="N/A","N/A",IF(M1749="MIKROTIK",IF(J1749&lt;3000,10,IF(3000&lt;J1749&gt;10000,20,IF(10000&lt;J1749&gt;20000,40,IF(20000&lt;J1749&gt;40000,60,IF(J1749&gt;40000,80,IF(J1749&lt;300,3,)))))))))</f>
        <v>N/A</v>
      </c>
      <c r="L1749" s="231"/>
      <c r="M1749" s="237" t="s">
        <v>456</v>
      </c>
      <c r="N1749" s="231"/>
      <c r="O1749" s="231">
        <v>2025</v>
      </c>
      <c r="P1749" s="286">
        <v>45706</v>
      </c>
      <c r="Q1749" s="231" t="s">
        <v>2771</v>
      </c>
      <c r="R1749" s="231"/>
      <c r="S1749" s="241" t="s">
        <v>453</v>
      </c>
      <c r="T1749" s="231"/>
    </row>
    <row r="1750" spans="1:31" ht="15" customHeight="1">
      <c r="A1750" s="231">
        <v>1749</v>
      </c>
      <c r="B1750" s="231" t="s">
        <v>52</v>
      </c>
      <c r="C1750" s="231" t="s">
        <v>10</v>
      </c>
      <c r="D1750" s="237" t="s">
        <v>3536</v>
      </c>
      <c r="E1750" s="268"/>
      <c r="F1750" s="231"/>
      <c r="G1750" s="231"/>
      <c r="H1750" s="231" t="s">
        <v>3537</v>
      </c>
      <c r="I1750" s="281">
        <v>250</v>
      </c>
      <c r="J1750" s="249">
        <v>0</v>
      </c>
      <c r="K1750" s="231" t="b">
        <f t="shared" si="38"/>
        <v>0</v>
      </c>
      <c r="L1750" s="231"/>
      <c r="M1750" s="237" t="s">
        <v>3276</v>
      </c>
      <c r="N1750" s="231"/>
      <c r="O1750" s="231">
        <v>2025</v>
      </c>
      <c r="P1750" s="286">
        <v>45706</v>
      </c>
      <c r="Q1750" s="231" t="s">
        <v>2771</v>
      </c>
      <c r="R1750" s="231"/>
      <c r="S1750" s="241" t="s">
        <v>453</v>
      </c>
      <c r="T1750" s="231"/>
    </row>
    <row r="1751" spans="1:31" ht="15" customHeight="1">
      <c r="A1751" s="231">
        <v>1750</v>
      </c>
      <c r="B1751" s="231" t="s">
        <v>52</v>
      </c>
      <c r="C1751" s="231" t="s">
        <v>10</v>
      </c>
      <c r="D1751" s="237" t="s">
        <v>3538</v>
      </c>
      <c r="E1751" s="268"/>
      <c r="F1751" s="231"/>
      <c r="G1751" s="231"/>
      <c r="H1751" s="231" t="s">
        <v>3446</v>
      </c>
      <c r="I1751" s="281">
        <v>200</v>
      </c>
      <c r="J1751" s="249">
        <v>0</v>
      </c>
      <c r="K1751" s="231" t="b">
        <f t="shared" si="38"/>
        <v>0</v>
      </c>
      <c r="L1751" s="231"/>
      <c r="M1751" s="237" t="s">
        <v>3276</v>
      </c>
      <c r="N1751" s="231"/>
      <c r="O1751" s="231">
        <v>2025</v>
      </c>
      <c r="P1751" s="286">
        <v>45707</v>
      </c>
      <c r="Q1751" s="231" t="s">
        <v>2771</v>
      </c>
      <c r="R1751" s="231"/>
      <c r="S1751" s="241" t="s">
        <v>453</v>
      </c>
      <c r="T1751" s="231"/>
    </row>
    <row r="1752" spans="1:31" ht="15" customHeight="1">
      <c r="A1752" s="231">
        <v>1751</v>
      </c>
      <c r="B1752" s="231" t="s">
        <v>52</v>
      </c>
      <c r="C1752" s="231" t="s">
        <v>10</v>
      </c>
      <c r="D1752" s="237" t="s">
        <v>3539</v>
      </c>
      <c r="E1752" s="268"/>
      <c r="F1752" s="231"/>
      <c r="G1752" s="231"/>
      <c r="H1752" s="231" t="s">
        <v>3446</v>
      </c>
      <c r="I1752" s="281">
        <v>200</v>
      </c>
      <c r="J1752" s="249">
        <v>0</v>
      </c>
      <c r="K1752" s="231" t="b">
        <f t="shared" si="38"/>
        <v>0</v>
      </c>
      <c r="L1752" s="231"/>
      <c r="M1752" s="237" t="s">
        <v>3276</v>
      </c>
      <c r="N1752" s="231"/>
      <c r="O1752" s="231">
        <v>2025</v>
      </c>
      <c r="P1752" s="286">
        <v>45707</v>
      </c>
      <c r="Q1752" s="231" t="s">
        <v>2771</v>
      </c>
      <c r="R1752" s="231"/>
      <c r="S1752" s="241" t="s">
        <v>453</v>
      </c>
      <c r="T1752" s="231"/>
    </row>
    <row r="1753" spans="1:31" ht="15" customHeight="1">
      <c r="A1753" s="231">
        <v>1752</v>
      </c>
      <c r="B1753" s="231" t="s">
        <v>52</v>
      </c>
      <c r="C1753" s="231" t="s">
        <v>10</v>
      </c>
      <c r="D1753" s="237" t="s">
        <v>3540</v>
      </c>
      <c r="E1753" s="268"/>
      <c r="F1753" s="231"/>
      <c r="G1753" s="231"/>
      <c r="H1753" s="231" t="s">
        <v>3330</v>
      </c>
      <c r="I1753" s="281">
        <v>0</v>
      </c>
      <c r="J1753" s="249">
        <v>430</v>
      </c>
      <c r="K1753" s="231" t="b">
        <f t="shared" si="38"/>
        <v>0</v>
      </c>
      <c r="L1753" s="231"/>
      <c r="M1753" s="237" t="s">
        <v>3276</v>
      </c>
      <c r="N1753" s="231"/>
      <c r="O1753" s="231">
        <v>2025</v>
      </c>
      <c r="P1753" s="286">
        <v>45708</v>
      </c>
      <c r="Q1753" s="231" t="s">
        <v>2771</v>
      </c>
      <c r="R1753" s="231"/>
      <c r="S1753" s="241" t="s">
        <v>453</v>
      </c>
      <c r="T1753" s="231"/>
      <c r="U1753" s="90">
        <v>8</v>
      </c>
      <c r="V1753" s="90">
        <v>0</v>
      </c>
      <c r="W1753" s="90">
        <v>8</v>
      </c>
      <c r="X1753" s="90" t="s">
        <v>4344</v>
      </c>
      <c r="Y1753" s="90" t="s">
        <v>4345</v>
      </c>
      <c r="Z1753" s="90" t="s">
        <v>4346</v>
      </c>
      <c r="AA1753" s="90" t="s">
        <v>4347</v>
      </c>
      <c r="AB1753" s="90" t="s">
        <v>4348</v>
      </c>
      <c r="AC1753" s="90" t="s">
        <v>4349</v>
      </c>
      <c r="AD1753" s="90" t="s">
        <v>4350</v>
      </c>
      <c r="AE1753" s="90" t="s">
        <v>4351</v>
      </c>
    </row>
    <row r="1754" spans="1:31" ht="15" customHeight="1">
      <c r="A1754" s="231">
        <v>1753</v>
      </c>
      <c r="B1754" s="231" t="s">
        <v>52</v>
      </c>
      <c r="C1754" s="231" t="s">
        <v>10</v>
      </c>
      <c r="D1754" s="237" t="s">
        <v>3541</v>
      </c>
      <c r="E1754" s="268"/>
      <c r="F1754" s="231"/>
      <c r="G1754" s="231"/>
      <c r="H1754" s="231" t="s">
        <v>3542</v>
      </c>
      <c r="I1754" s="281">
        <v>0</v>
      </c>
      <c r="J1754" s="249">
        <v>350</v>
      </c>
      <c r="K1754" s="231" t="b">
        <f t="shared" si="38"/>
        <v>0</v>
      </c>
      <c r="L1754" s="231"/>
      <c r="M1754" s="237" t="s">
        <v>3276</v>
      </c>
      <c r="N1754" s="231"/>
      <c r="O1754" s="231">
        <v>2025</v>
      </c>
      <c r="P1754" s="286">
        <v>45708</v>
      </c>
      <c r="Q1754" s="231" t="s">
        <v>3505</v>
      </c>
      <c r="R1754" s="231"/>
      <c r="S1754" s="241" t="s">
        <v>453</v>
      </c>
      <c r="T1754" s="231"/>
    </row>
    <row r="1755" spans="1:31" ht="15" customHeight="1">
      <c r="A1755" s="231">
        <v>1754</v>
      </c>
      <c r="B1755" s="231" t="s">
        <v>52</v>
      </c>
      <c r="C1755" s="231" t="s">
        <v>10</v>
      </c>
      <c r="D1755" s="237" t="s">
        <v>3543</v>
      </c>
      <c r="E1755" s="268"/>
      <c r="F1755" s="231"/>
      <c r="G1755" s="231"/>
      <c r="H1755" s="231" t="s">
        <v>185</v>
      </c>
      <c r="I1755" s="281">
        <v>300</v>
      </c>
      <c r="J1755" s="249">
        <v>0</v>
      </c>
      <c r="K1755" s="231" t="b">
        <f t="shared" si="38"/>
        <v>0</v>
      </c>
      <c r="L1755" s="231"/>
      <c r="M1755" s="237" t="s">
        <v>3276</v>
      </c>
      <c r="N1755" s="231"/>
      <c r="O1755" s="231">
        <v>2025</v>
      </c>
      <c r="P1755" s="286">
        <v>45708</v>
      </c>
      <c r="Q1755" s="231" t="s">
        <v>3505</v>
      </c>
      <c r="R1755" s="231"/>
      <c r="S1755" s="241" t="s">
        <v>453</v>
      </c>
      <c r="T1755" s="231"/>
    </row>
    <row r="1756" spans="1:31" ht="15" customHeight="1">
      <c r="A1756" s="231">
        <v>1755</v>
      </c>
      <c r="B1756" s="231" t="s">
        <v>52</v>
      </c>
      <c r="C1756" s="231" t="s">
        <v>10</v>
      </c>
      <c r="D1756" s="237" t="s">
        <v>3544</v>
      </c>
      <c r="E1756" s="268"/>
      <c r="F1756" s="231"/>
      <c r="G1756" s="231"/>
      <c r="H1756" s="231" t="s">
        <v>3501</v>
      </c>
      <c r="I1756" s="281">
        <v>350</v>
      </c>
      <c r="J1756" s="249">
        <v>0</v>
      </c>
      <c r="K1756" s="231" t="b">
        <f t="shared" si="38"/>
        <v>0</v>
      </c>
      <c r="L1756" s="231"/>
      <c r="M1756" s="237" t="s">
        <v>3276</v>
      </c>
      <c r="N1756" s="231"/>
      <c r="O1756" s="231">
        <v>2025</v>
      </c>
      <c r="P1756" s="286">
        <v>45708</v>
      </c>
      <c r="Q1756" s="231" t="s">
        <v>3505</v>
      </c>
      <c r="R1756" s="231"/>
      <c r="S1756" s="241" t="s">
        <v>453</v>
      </c>
      <c r="T1756" s="231"/>
    </row>
    <row r="1757" spans="1:31" ht="15" customHeight="1">
      <c r="A1757" s="231">
        <v>1756</v>
      </c>
      <c r="B1757" s="231" t="s">
        <v>52</v>
      </c>
      <c r="C1757" s="231" t="s">
        <v>10</v>
      </c>
      <c r="D1757" s="237" t="s">
        <v>3545</v>
      </c>
      <c r="E1757" s="268"/>
      <c r="F1757" s="231"/>
      <c r="G1757" s="231"/>
      <c r="H1757" s="231" t="s">
        <v>3542</v>
      </c>
      <c r="I1757" s="281">
        <v>0</v>
      </c>
      <c r="J1757" s="249">
        <v>600</v>
      </c>
      <c r="K1757" s="231" t="b">
        <f t="shared" si="38"/>
        <v>0</v>
      </c>
      <c r="L1757" s="231"/>
      <c r="M1757" s="237" t="s">
        <v>3276</v>
      </c>
      <c r="N1757" s="231"/>
      <c r="O1757" s="231">
        <v>2025</v>
      </c>
      <c r="P1757" s="286">
        <v>45708</v>
      </c>
      <c r="Q1757" s="231" t="s">
        <v>3505</v>
      </c>
      <c r="R1757" s="231"/>
      <c r="S1757" s="241" t="s">
        <v>453</v>
      </c>
      <c r="T1757" s="231"/>
    </row>
    <row r="1758" spans="1:31" ht="15" customHeight="1">
      <c r="A1758" s="231">
        <v>1757</v>
      </c>
      <c r="B1758" s="231" t="s">
        <v>55</v>
      </c>
      <c r="C1758" s="231" t="s">
        <v>10</v>
      </c>
      <c r="D1758" s="237" t="s">
        <v>3546</v>
      </c>
      <c r="E1758" s="268"/>
      <c r="F1758" s="231"/>
      <c r="G1758" s="231"/>
      <c r="H1758" s="231" t="s">
        <v>2894</v>
      </c>
      <c r="I1758" s="281">
        <v>0</v>
      </c>
      <c r="J1758" s="249">
        <v>500</v>
      </c>
      <c r="K1758" s="231" t="b">
        <f t="shared" si="38"/>
        <v>0</v>
      </c>
      <c r="L1758" s="231"/>
      <c r="M1758" s="237" t="s">
        <v>3276</v>
      </c>
      <c r="N1758" s="231"/>
      <c r="O1758" s="231">
        <v>2025</v>
      </c>
      <c r="P1758" s="286">
        <v>45709</v>
      </c>
      <c r="Q1758" s="231" t="s">
        <v>3505</v>
      </c>
      <c r="R1758" s="231"/>
      <c r="S1758" s="241" t="s">
        <v>453</v>
      </c>
      <c r="T1758" s="231"/>
    </row>
    <row r="1759" spans="1:31" ht="15" customHeight="1">
      <c r="A1759" s="231">
        <v>1758</v>
      </c>
      <c r="B1759" s="231" t="s">
        <v>52</v>
      </c>
      <c r="C1759" s="231" t="s">
        <v>10</v>
      </c>
      <c r="D1759" s="237" t="s">
        <v>3547</v>
      </c>
      <c r="E1759" s="268"/>
      <c r="F1759" s="231"/>
      <c r="G1759" s="231"/>
      <c r="H1759" s="231" t="s">
        <v>3063</v>
      </c>
      <c r="I1759" s="281">
        <v>400</v>
      </c>
      <c r="J1759" s="249">
        <v>0</v>
      </c>
      <c r="K1759" s="231" t="b">
        <f t="shared" si="38"/>
        <v>0</v>
      </c>
      <c r="L1759" s="231"/>
      <c r="M1759" s="237" t="s">
        <v>3437</v>
      </c>
      <c r="N1759" s="231"/>
      <c r="O1759" s="231">
        <v>2025</v>
      </c>
      <c r="P1759" s="286">
        <v>45706</v>
      </c>
      <c r="Q1759" s="231" t="s">
        <v>3505</v>
      </c>
      <c r="R1759" s="231"/>
      <c r="S1759" s="241" t="s">
        <v>453</v>
      </c>
      <c r="T1759" s="231"/>
    </row>
    <row r="1760" spans="1:31" ht="15" customHeight="1">
      <c r="A1760" s="231">
        <v>1759</v>
      </c>
      <c r="B1760" s="231" t="s">
        <v>52</v>
      </c>
      <c r="C1760" s="231" t="s">
        <v>10</v>
      </c>
      <c r="D1760" s="237" t="s">
        <v>3548</v>
      </c>
      <c r="E1760" s="268"/>
      <c r="F1760" s="231"/>
      <c r="G1760" s="231"/>
      <c r="H1760" s="237" t="s">
        <v>3392</v>
      </c>
      <c r="I1760" s="249">
        <v>0</v>
      </c>
      <c r="J1760" s="249">
        <v>660</v>
      </c>
      <c r="K1760" s="231" t="b">
        <f t="shared" si="38"/>
        <v>0</v>
      </c>
      <c r="L1760" s="231"/>
      <c r="M1760" s="237" t="s">
        <v>3276</v>
      </c>
      <c r="N1760" s="231"/>
      <c r="O1760" s="231">
        <v>2025</v>
      </c>
      <c r="P1760" s="286">
        <v>45690</v>
      </c>
      <c r="Q1760" s="231" t="s">
        <v>3505</v>
      </c>
      <c r="R1760" s="231"/>
      <c r="S1760" s="241" t="s">
        <v>453</v>
      </c>
      <c r="T1760" s="231"/>
    </row>
    <row r="1761" spans="1:20" ht="15" customHeight="1">
      <c r="A1761" s="231">
        <v>1760</v>
      </c>
      <c r="B1761" s="231" t="s">
        <v>49</v>
      </c>
      <c r="C1761" s="231" t="s">
        <v>10</v>
      </c>
      <c r="D1761" s="237" t="s">
        <v>3549</v>
      </c>
      <c r="E1761" s="268"/>
      <c r="F1761" s="231"/>
      <c r="G1761" s="231"/>
      <c r="H1761" s="237" t="s">
        <v>3496</v>
      </c>
      <c r="I1761" s="249">
        <v>0</v>
      </c>
      <c r="J1761" s="249">
        <v>0</v>
      </c>
      <c r="K1761" s="231" t="b">
        <f t="shared" si="38"/>
        <v>0</v>
      </c>
      <c r="L1761" s="231"/>
      <c r="M1761" s="237" t="s">
        <v>3276</v>
      </c>
      <c r="N1761" s="231"/>
      <c r="O1761" s="231">
        <v>2025</v>
      </c>
      <c r="P1761" s="286">
        <v>45690</v>
      </c>
      <c r="Q1761" s="231" t="s">
        <v>3505</v>
      </c>
      <c r="R1761" s="231"/>
      <c r="S1761" s="241" t="s">
        <v>453</v>
      </c>
      <c r="T1761" s="231"/>
    </row>
    <row r="1762" spans="1:20" ht="15" customHeight="1">
      <c r="A1762" s="231">
        <v>1761</v>
      </c>
      <c r="B1762" s="231" t="s">
        <v>50</v>
      </c>
      <c r="C1762" s="231" t="s">
        <v>10</v>
      </c>
      <c r="D1762" s="237" t="s">
        <v>3550</v>
      </c>
      <c r="E1762" s="268"/>
      <c r="F1762" s="231"/>
      <c r="G1762" s="231"/>
      <c r="H1762" s="237" t="s">
        <v>3551</v>
      </c>
      <c r="I1762" s="249">
        <v>0</v>
      </c>
      <c r="J1762" s="249">
        <v>350</v>
      </c>
      <c r="K1762" s="231" t="b">
        <f t="shared" si="38"/>
        <v>0</v>
      </c>
      <c r="L1762" s="231"/>
      <c r="M1762" s="237" t="s">
        <v>3276</v>
      </c>
      <c r="N1762" s="231"/>
      <c r="O1762" s="231">
        <v>2025</v>
      </c>
      <c r="P1762" s="286">
        <v>45690</v>
      </c>
      <c r="Q1762" s="231" t="s">
        <v>3505</v>
      </c>
      <c r="R1762" s="231"/>
      <c r="S1762" s="241" t="s">
        <v>453</v>
      </c>
      <c r="T1762" s="231"/>
    </row>
    <row r="1763" spans="1:20" ht="15" customHeight="1">
      <c r="A1763" s="231">
        <v>1762</v>
      </c>
      <c r="B1763" s="231" t="s">
        <v>50</v>
      </c>
      <c r="C1763" s="231" t="s">
        <v>10</v>
      </c>
      <c r="D1763" s="237" t="s">
        <v>3552</v>
      </c>
      <c r="E1763" s="268"/>
      <c r="F1763" s="231"/>
      <c r="G1763" s="231"/>
      <c r="H1763" s="237" t="s">
        <v>2797</v>
      </c>
      <c r="I1763" s="249">
        <v>0</v>
      </c>
      <c r="J1763" s="249">
        <v>500</v>
      </c>
      <c r="K1763" s="231">
        <f t="shared" si="38"/>
        <v>10</v>
      </c>
      <c r="L1763" s="231"/>
      <c r="M1763" s="299" t="s">
        <v>15</v>
      </c>
      <c r="N1763" s="231"/>
      <c r="O1763" s="231">
        <v>2025</v>
      </c>
      <c r="P1763" s="286">
        <v>45698</v>
      </c>
      <c r="Q1763" s="231" t="s">
        <v>3505</v>
      </c>
      <c r="R1763" s="231"/>
      <c r="S1763" s="241" t="s">
        <v>453</v>
      </c>
      <c r="T1763" s="231"/>
    </row>
    <row r="1764" spans="1:20" ht="15" customHeight="1">
      <c r="A1764" s="231">
        <v>1763</v>
      </c>
      <c r="B1764" s="231" t="s">
        <v>55</v>
      </c>
      <c r="C1764" s="231" t="s">
        <v>10</v>
      </c>
      <c r="D1764" s="237" t="s">
        <v>3553</v>
      </c>
      <c r="E1764" s="268"/>
      <c r="F1764" s="231"/>
      <c r="G1764" s="231"/>
      <c r="H1764" s="237" t="s">
        <v>2797</v>
      </c>
      <c r="I1764" s="249">
        <v>0</v>
      </c>
      <c r="J1764" s="249">
        <v>500</v>
      </c>
      <c r="K1764" s="231" t="b">
        <f t="shared" si="38"/>
        <v>0</v>
      </c>
      <c r="L1764" s="231"/>
      <c r="M1764" s="237" t="s">
        <v>3276</v>
      </c>
      <c r="N1764" s="231"/>
      <c r="O1764" s="231">
        <v>2025</v>
      </c>
      <c r="P1764" s="286">
        <v>45698</v>
      </c>
      <c r="Q1764" s="231" t="s">
        <v>3505</v>
      </c>
      <c r="R1764" s="231"/>
      <c r="S1764" s="241" t="s">
        <v>453</v>
      </c>
      <c r="T1764" s="231"/>
    </row>
    <row r="1765" spans="1:20" ht="15" customHeight="1">
      <c r="A1765" s="231">
        <v>1764</v>
      </c>
      <c r="B1765" s="231" t="s">
        <v>55</v>
      </c>
      <c r="C1765" s="231" t="s">
        <v>10</v>
      </c>
      <c r="D1765" s="237" t="s">
        <v>3554</v>
      </c>
      <c r="E1765" s="268"/>
      <c r="F1765" s="231"/>
      <c r="G1765" s="231"/>
      <c r="H1765" s="237" t="s">
        <v>2894</v>
      </c>
      <c r="I1765" s="249">
        <v>0</v>
      </c>
      <c r="J1765" s="249">
        <v>500</v>
      </c>
      <c r="K1765" s="231" t="b">
        <f t="shared" si="38"/>
        <v>0</v>
      </c>
      <c r="L1765" s="231"/>
      <c r="M1765" s="237" t="s">
        <v>3276</v>
      </c>
      <c r="N1765" s="231"/>
      <c r="O1765" s="231">
        <v>2025</v>
      </c>
      <c r="P1765" s="286">
        <v>45698</v>
      </c>
      <c r="Q1765" s="231" t="s">
        <v>3505</v>
      </c>
      <c r="R1765" s="231"/>
      <c r="S1765" s="241" t="s">
        <v>453</v>
      </c>
      <c r="T1765" s="231"/>
    </row>
    <row r="1766" spans="1:20" ht="15" customHeight="1">
      <c r="A1766" s="231">
        <v>1765</v>
      </c>
      <c r="B1766" s="231" t="s">
        <v>52</v>
      </c>
      <c r="C1766" s="231" t="s">
        <v>10</v>
      </c>
      <c r="D1766" s="237" t="s">
        <v>3555</v>
      </c>
      <c r="E1766" s="268"/>
      <c r="F1766" s="231"/>
      <c r="G1766" s="231"/>
      <c r="H1766" s="237" t="s">
        <v>3111</v>
      </c>
      <c r="I1766" s="249">
        <v>200</v>
      </c>
      <c r="J1766" s="249">
        <v>0</v>
      </c>
      <c r="K1766" s="231" t="b">
        <f t="shared" si="38"/>
        <v>0</v>
      </c>
      <c r="L1766" s="231"/>
      <c r="M1766" s="237" t="s">
        <v>3276</v>
      </c>
      <c r="N1766" s="231"/>
      <c r="O1766" s="231">
        <v>2025</v>
      </c>
      <c r="P1766" s="286">
        <v>45699</v>
      </c>
      <c r="Q1766" s="231" t="s">
        <v>3505</v>
      </c>
      <c r="R1766" s="231"/>
      <c r="S1766" s="241" t="s">
        <v>453</v>
      </c>
      <c r="T1766" s="231"/>
    </row>
    <row r="1767" spans="1:20" ht="15" customHeight="1">
      <c r="A1767" s="231">
        <v>1766</v>
      </c>
      <c r="B1767" s="231" t="s">
        <v>52</v>
      </c>
      <c r="C1767" s="231" t="s">
        <v>10</v>
      </c>
      <c r="D1767" s="237" t="s">
        <v>3556</v>
      </c>
      <c r="E1767" s="268"/>
      <c r="F1767" s="231"/>
      <c r="G1767" s="231"/>
      <c r="H1767" s="237" t="s">
        <v>3063</v>
      </c>
      <c r="I1767" s="249">
        <v>100</v>
      </c>
      <c r="J1767" s="249">
        <v>0</v>
      </c>
      <c r="K1767" s="231" t="b">
        <f t="shared" si="38"/>
        <v>0</v>
      </c>
      <c r="L1767" s="231"/>
      <c r="M1767" s="237" t="s">
        <v>3276</v>
      </c>
      <c r="N1767" s="231"/>
      <c r="O1767" s="231">
        <v>2025</v>
      </c>
      <c r="P1767" s="286">
        <v>45700</v>
      </c>
      <c r="Q1767" s="231" t="s">
        <v>3505</v>
      </c>
      <c r="R1767" s="231"/>
      <c r="S1767" s="241" t="s">
        <v>453</v>
      </c>
      <c r="T1767" s="231"/>
    </row>
    <row r="1768" spans="1:20" ht="15" customHeight="1">
      <c r="A1768" s="231">
        <v>1767</v>
      </c>
      <c r="B1768" s="231" t="s">
        <v>52</v>
      </c>
      <c r="C1768" s="231" t="s">
        <v>10</v>
      </c>
      <c r="D1768" s="237" t="s">
        <v>3557</v>
      </c>
      <c r="E1768" s="268"/>
      <c r="F1768" s="231"/>
      <c r="G1768" s="231"/>
      <c r="H1768" s="237" t="s">
        <v>3111</v>
      </c>
      <c r="I1768" s="249">
        <v>28</v>
      </c>
      <c r="J1768" s="249">
        <v>0</v>
      </c>
      <c r="K1768" s="231" t="b">
        <f t="shared" si="38"/>
        <v>0</v>
      </c>
      <c r="L1768" s="231"/>
      <c r="M1768" s="237" t="s">
        <v>3276</v>
      </c>
      <c r="N1768" s="231"/>
      <c r="O1768" s="231">
        <v>2025</v>
      </c>
      <c r="P1768" s="286">
        <v>45700</v>
      </c>
      <c r="Q1768" s="231" t="s">
        <v>3505</v>
      </c>
      <c r="R1768" s="231"/>
      <c r="S1768" s="241" t="s">
        <v>453</v>
      </c>
      <c r="T1768" s="231"/>
    </row>
    <row r="1769" spans="1:20" ht="15" customHeight="1">
      <c r="A1769" s="231">
        <v>1768</v>
      </c>
      <c r="B1769" s="231" t="s">
        <v>59</v>
      </c>
      <c r="C1769" s="231" t="s">
        <v>10</v>
      </c>
      <c r="D1769" s="237" t="s">
        <v>3558</v>
      </c>
      <c r="E1769" s="268"/>
      <c r="F1769" s="231"/>
      <c r="G1769" s="231"/>
      <c r="H1769" s="237" t="s">
        <v>136</v>
      </c>
      <c r="I1769" s="249">
        <v>0</v>
      </c>
      <c r="J1769" s="249">
        <v>66</v>
      </c>
      <c r="K1769" s="231">
        <f t="shared" si="38"/>
        <v>10</v>
      </c>
      <c r="L1769" s="231"/>
      <c r="M1769" s="299" t="s">
        <v>15</v>
      </c>
      <c r="N1769" s="231"/>
      <c r="O1769" s="231">
        <v>2025</v>
      </c>
      <c r="P1769" s="286">
        <v>45700</v>
      </c>
      <c r="Q1769" s="231" t="s">
        <v>3505</v>
      </c>
      <c r="R1769" s="231"/>
      <c r="S1769" s="241" t="s">
        <v>453</v>
      </c>
      <c r="T1769" s="231"/>
    </row>
    <row r="1770" spans="1:20" ht="15" customHeight="1">
      <c r="A1770" s="231">
        <v>1769</v>
      </c>
      <c r="B1770" s="231" t="s">
        <v>52</v>
      </c>
      <c r="C1770" s="231" t="s">
        <v>10</v>
      </c>
      <c r="D1770" s="237" t="s">
        <v>3559</v>
      </c>
      <c r="E1770" s="268"/>
      <c r="F1770" s="231"/>
      <c r="G1770" s="231"/>
      <c r="H1770" s="237" t="s">
        <v>187</v>
      </c>
      <c r="I1770" s="249">
        <v>0</v>
      </c>
      <c r="J1770" s="249">
        <v>497</v>
      </c>
      <c r="K1770" s="231" t="b">
        <f t="shared" si="38"/>
        <v>0</v>
      </c>
      <c r="L1770" s="231"/>
      <c r="M1770" s="237" t="s">
        <v>3276</v>
      </c>
      <c r="N1770" s="231"/>
      <c r="O1770" s="231">
        <v>2025</v>
      </c>
      <c r="P1770" s="286">
        <v>45700</v>
      </c>
      <c r="Q1770" s="231" t="s">
        <v>3505</v>
      </c>
      <c r="R1770" s="231"/>
      <c r="S1770" s="241" t="s">
        <v>453</v>
      </c>
      <c r="T1770" s="231"/>
    </row>
    <row r="1771" spans="1:20" ht="15" customHeight="1">
      <c r="A1771" s="231">
        <v>1770</v>
      </c>
      <c r="B1771" s="231" t="s">
        <v>59</v>
      </c>
      <c r="C1771" s="231" t="s">
        <v>10</v>
      </c>
      <c r="D1771" s="237" t="s">
        <v>3560</v>
      </c>
      <c r="E1771" s="268"/>
      <c r="F1771" s="231"/>
      <c r="G1771" s="231"/>
      <c r="H1771" s="237" t="s">
        <v>136</v>
      </c>
      <c r="I1771" s="249">
        <v>0</v>
      </c>
      <c r="J1771" s="249">
        <v>639</v>
      </c>
      <c r="K1771" s="231">
        <f t="shared" si="38"/>
        <v>10</v>
      </c>
      <c r="L1771" s="231"/>
      <c r="M1771" s="299" t="s">
        <v>15</v>
      </c>
      <c r="N1771" s="231"/>
      <c r="O1771" s="231">
        <v>2025</v>
      </c>
      <c r="P1771" s="286">
        <v>45700</v>
      </c>
      <c r="Q1771" s="231" t="s">
        <v>3505</v>
      </c>
      <c r="R1771" s="231"/>
      <c r="S1771" s="241" t="s">
        <v>453</v>
      </c>
      <c r="T1771" s="231"/>
    </row>
    <row r="1772" spans="1:20" ht="15" customHeight="1">
      <c r="A1772" s="231">
        <v>1771</v>
      </c>
      <c r="B1772" s="231" t="s">
        <v>52</v>
      </c>
      <c r="C1772" s="231" t="s">
        <v>10</v>
      </c>
      <c r="D1772" s="237" t="s">
        <v>3561</v>
      </c>
      <c r="E1772" s="268"/>
      <c r="F1772" s="231"/>
      <c r="G1772" s="231"/>
      <c r="H1772" s="237" t="s">
        <v>2763</v>
      </c>
      <c r="I1772" s="249">
        <v>0</v>
      </c>
      <c r="J1772" s="249">
        <v>109</v>
      </c>
      <c r="K1772" s="231" t="b">
        <f t="shared" si="38"/>
        <v>0</v>
      </c>
      <c r="L1772" s="231"/>
      <c r="M1772" s="237" t="s">
        <v>3276</v>
      </c>
      <c r="N1772" s="231"/>
      <c r="O1772" s="231">
        <v>2025</v>
      </c>
      <c r="P1772" s="286">
        <v>45700</v>
      </c>
      <c r="Q1772" s="231" t="s">
        <v>3505</v>
      </c>
      <c r="R1772" s="231"/>
      <c r="S1772" s="241" t="s">
        <v>453</v>
      </c>
      <c r="T1772" s="231"/>
    </row>
    <row r="1773" spans="1:20" ht="15" customHeight="1">
      <c r="A1773" s="231">
        <v>1772</v>
      </c>
      <c r="B1773" s="231" t="s">
        <v>52</v>
      </c>
      <c r="C1773" s="231" t="s">
        <v>10</v>
      </c>
      <c r="D1773" s="237" t="s">
        <v>3562</v>
      </c>
      <c r="E1773" s="268"/>
      <c r="F1773" s="231"/>
      <c r="G1773" s="231"/>
      <c r="H1773" s="237" t="s">
        <v>2773</v>
      </c>
      <c r="I1773" s="249">
        <v>0</v>
      </c>
      <c r="J1773" s="249">
        <v>1400</v>
      </c>
      <c r="K1773" s="231" t="b">
        <f t="shared" si="38"/>
        <v>0</v>
      </c>
      <c r="L1773" s="231"/>
      <c r="M1773" s="237" t="s">
        <v>3276</v>
      </c>
      <c r="N1773" s="231"/>
      <c r="O1773" s="231">
        <v>2025</v>
      </c>
      <c r="P1773" s="286">
        <v>45702</v>
      </c>
      <c r="Q1773" s="231" t="s">
        <v>3505</v>
      </c>
      <c r="R1773" s="231"/>
      <c r="S1773" s="241" t="s">
        <v>453</v>
      </c>
      <c r="T1773" s="231"/>
    </row>
    <row r="1774" spans="1:20" ht="15" customHeight="1">
      <c r="A1774" s="231">
        <v>1773</v>
      </c>
      <c r="B1774" s="231" t="s">
        <v>52</v>
      </c>
      <c r="C1774" s="231" t="s">
        <v>10</v>
      </c>
      <c r="D1774" s="237" t="s">
        <v>3564</v>
      </c>
      <c r="E1774" s="268"/>
      <c r="F1774" s="231"/>
      <c r="G1774" s="231"/>
      <c r="H1774" s="237" t="s">
        <v>3565</v>
      </c>
      <c r="I1774" s="249">
        <v>0</v>
      </c>
      <c r="J1774" s="249">
        <v>3414</v>
      </c>
      <c r="K1774" s="231" t="b">
        <f t="shared" si="38"/>
        <v>0</v>
      </c>
      <c r="L1774" s="231"/>
      <c r="M1774" s="237" t="s">
        <v>3276</v>
      </c>
      <c r="N1774" s="231"/>
      <c r="O1774" s="231">
        <v>2025</v>
      </c>
      <c r="P1774" s="286">
        <v>45702</v>
      </c>
      <c r="Q1774" s="231" t="s">
        <v>3505</v>
      </c>
      <c r="R1774" s="231"/>
      <c r="S1774" s="241" t="s">
        <v>453</v>
      </c>
      <c r="T1774" s="231"/>
    </row>
    <row r="1775" spans="1:20" ht="15" customHeight="1">
      <c r="A1775" s="231">
        <v>1774</v>
      </c>
      <c r="B1775" s="231" t="s">
        <v>52</v>
      </c>
      <c r="C1775" s="231" t="s">
        <v>10</v>
      </c>
      <c r="D1775" s="237" t="s">
        <v>3566</v>
      </c>
      <c r="E1775" s="268"/>
      <c r="F1775" s="231"/>
      <c r="G1775" s="231"/>
      <c r="H1775" s="237" t="s">
        <v>2763</v>
      </c>
      <c r="I1775" s="249">
        <v>0</v>
      </c>
      <c r="J1775" s="249">
        <v>90</v>
      </c>
      <c r="K1775" s="231" t="b">
        <f t="shared" si="38"/>
        <v>0</v>
      </c>
      <c r="L1775" s="231"/>
      <c r="M1775" s="237" t="s">
        <v>3276</v>
      </c>
      <c r="N1775" s="231"/>
      <c r="O1775" s="231">
        <v>2025</v>
      </c>
      <c r="P1775" s="286">
        <v>45702</v>
      </c>
      <c r="Q1775" s="231" t="s">
        <v>3505</v>
      </c>
      <c r="R1775" s="231"/>
      <c r="S1775" s="241" t="s">
        <v>453</v>
      </c>
      <c r="T1775" s="231"/>
    </row>
    <row r="1776" spans="1:20" ht="15" customHeight="1">
      <c r="A1776" s="231">
        <v>1775</v>
      </c>
      <c r="B1776" s="231" t="s">
        <v>52</v>
      </c>
      <c r="C1776" s="231" t="s">
        <v>10</v>
      </c>
      <c r="D1776" s="237" t="s">
        <v>3567</v>
      </c>
      <c r="E1776" s="268"/>
      <c r="F1776" s="231"/>
      <c r="G1776" s="231"/>
      <c r="H1776" s="237" t="s">
        <v>1440</v>
      </c>
      <c r="I1776" s="249">
        <v>180</v>
      </c>
      <c r="J1776" s="249">
        <v>0</v>
      </c>
      <c r="K1776" s="231" t="b">
        <f t="shared" si="38"/>
        <v>0</v>
      </c>
      <c r="L1776" s="231"/>
      <c r="M1776" s="237" t="s">
        <v>3276</v>
      </c>
      <c r="N1776" s="231"/>
      <c r="O1776" s="231">
        <v>2025</v>
      </c>
      <c r="P1776" s="286">
        <v>45702</v>
      </c>
      <c r="Q1776" s="231" t="s">
        <v>3505</v>
      </c>
      <c r="R1776" s="231"/>
      <c r="S1776" s="241" t="s">
        <v>453</v>
      </c>
      <c r="T1776" s="231"/>
    </row>
    <row r="1777" spans="1:20" ht="15" customHeight="1">
      <c r="A1777" s="231">
        <v>1776</v>
      </c>
      <c r="B1777" s="231" t="s">
        <v>53</v>
      </c>
      <c r="C1777" s="231" t="s">
        <v>10</v>
      </c>
      <c r="D1777" s="237" t="s">
        <v>3568</v>
      </c>
      <c r="E1777" s="268"/>
      <c r="F1777" s="231"/>
      <c r="G1777" s="231"/>
      <c r="H1777" s="237" t="s">
        <v>209</v>
      </c>
      <c r="I1777" s="249">
        <v>0</v>
      </c>
      <c r="J1777" s="249">
        <v>1400</v>
      </c>
      <c r="K1777" s="231">
        <f t="shared" si="38"/>
        <v>10</v>
      </c>
      <c r="L1777" s="231"/>
      <c r="M1777" s="299" t="s">
        <v>15</v>
      </c>
      <c r="N1777" s="231"/>
      <c r="O1777" s="231">
        <v>2025</v>
      </c>
      <c r="P1777" s="286">
        <v>45702</v>
      </c>
      <c r="Q1777" s="231" t="s">
        <v>3505</v>
      </c>
      <c r="R1777" s="231"/>
      <c r="S1777" s="241" t="s">
        <v>453</v>
      </c>
      <c r="T1777" s="231"/>
    </row>
    <row r="1778" spans="1:20" ht="15" customHeight="1">
      <c r="A1778" s="231">
        <v>1777</v>
      </c>
      <c r="B1778" s="231" t="s">
        <v>52</v>
      </c>
      <c r="C1778" s="231" t="s">
        <v>10</v>
      </c>
      <c r="D1778" s="237" t="s">
        <v>3569</v>
      </c>
      <c r="E1778" s="268"/>
      <c r="F1778" s="231"/>
      <c r="G1778" s="231"/>
      <c r="H1778" s="237" t="s">
        <v>2853</v>
      </c>
      <c r="I1778" s="249">
        <v>330</v>
      </c>
      <c r="J1778" s="249">
        <v>0</v>
      </c>
      <c r="K1778" s="231" t="b">
        <f t="shared" si="38"/>
        <v>0</v>
      </c>
      <c r="L1778" s="231"/>
      <c r="M1778" s="237" t="s">
        <v>3437</v>
      </c>
      <c r="N1778" s="231"/>
      <c r="O1778" s="231">
        <v>2025</v>
      </c>
      <c r="P1778" s="286">
        <v>45700</v>
      </c>
      <c r="Q1778" s="231" t="s">
        <v>3505</v>
      </c>
      <c r="R1778" s="231"/>
      <c r="S1778" s="241" t="s">
        <v>453</v>
      </c>
      <c r="T1778" s="231"/>
    </row>
    <row r="1779" spans="1:20" ht="15" customHeight="1">
      <c r="A1779" s="231">
        <v>1778</v>
      </c>
      <c r="B1779" s="231" t="s">
        <v>52</v>
      </c>
      <c r="C1779" s="231" t="s">
        <v>10</v>
      </c>
      <c r="D1779" s="237" t="s">
        <v>3570</v>
      </c>
      <c r="E1779" s="268"/>
      <c r="F1779" s="231"/>
      <c r="G1779" s="231"/>
      <c r="H1779" s="237" t="s">
        <v>2776</v>
      </c>
      <c r="I1779" s="249">
        <v>0</v>
      </c>
      <c r="J1779" s="249">
        <v>1000</v>
      </c>
      <c r="K1779" s="231" t="b">
        <f t="shared" si="38"/>
        <v>0</v>
      </c>
      <c r="L1779" s="231"/>
      <c r="M1779" s="237" t="s">
        <v>3437</v>
      </c>
      <c r="N1779" s="231"/>
      <c r="O1779" s="231">
        <v>2025</v>
      </c>
      <c r="P1779" s="286">
        <v>45700</v>
      </c>
      <c r="Q1779" s="231" t="s">
        <v>3505</v>
      </c>
      <c r="R1779" s="231"/>
      <c r="S1779" s="241" t="s">
        <v>453</v>
      </c>
      <c r="T1779" s="231"/>
    </row>
    <row r="1780" spans="1:20" ht="15" customHeight="1">
      <c r="A1780" s="231">
        <v>1779</v>
      </c>
      <c r="B1780" s="231" t="s">
        <v>52</v>
      </c>
      <c r="C1780" s="231" t="s">
        <v>10</v>
      </c>
      <c r="D1780" s="237" t="s">
        <v>3571</v>
      </c>
      <c r="E1780" s="268"/>
      <c r="F1780" s="231"/>
      <c r="G1780" s="231"/>
      <c r="H1780" s="237" t="s">
        <v>2789</v>
      </c>
      <c r="I1780" s="249">
        <v>224</v>
      </c>
      <c r="J1780" s="249">
        <v>0</v>
      </c>
      <c r="K1780" s="231" t="b">
        <f t="shared" si="38"/>
        <v>0</v>
      </c>
      <c r="L1780" s="231"/>
      <c r="M1780" s="237" t="s">
        <v>3437</v>
      </c>
      <c r="N1780" s="231"/>
      <c r="O1780" s="231">
        <v>2025</v>
      </c>
      <c r="P1780" s="286">
        <v>45701</v>
      </c>
      <c r="Q1780" s="231" t="s">
        <v>3505</v>
      </c>
      <c r="R1780" s="231"/>
      <c r="S1780" s="241" t="s">
        <v>453</v>
      </c>
      <c r="T1780" s="231"/>
    </row>
    <row r="1781" spans="1:20" ht="15" customHeight="1">
      <c r="A1781" s="231">
        <v>1780</v>
      </c>
      <c r="B1781" s="231" t="s">
        <v>52</v>
      </c>
      <c r="C1781" s="231" t="s">
        <v>10</v>
      </c>
      <c r="D1781" s="237" t="s">
        <v>3572</v>
      </c>
      <c r="E1781" s="268"/>
      <c r="F1781" s="231"/>
      <c r="G1781" s="231"/>
      <c r="H1781" s="237" t="s">
        <v>3063</v>
      </c>
      <c r="I1781" s="249">
        <v>300</v>
      </c>
      <c r="J1781" s="249">
        <v>0</v>
      </c>
      <c r="K1781" s="231" t="b">
        <f t="shared" si="38"/>
        <v>0</v>
      </c>
      <c r="L1781" s="231"/>
      <c r="M1781" s="237" t="s">
        <v>3276</v>
      </c>
      <c r="N1781" s="231"/>
      <c r="O1781" s="231">
        <v>2025</v>
      </c>
      <c r="P1781" s="286">
        <v>45712</v>
      </c>
      <c r="Q1781" s="231" t="s">
        <v>3505</v>
      </c>
      <c r="R1781" s="231"/>
      <c r="S1781" s="241" t="s">
        <v>453</v>
      </c>
      <c r="T1781" s="231"/>
    </row>
    <row r="1782" spans="1:20" ht="15" customHeight="1">
      <c r="A1782" s="231">
        <v>1781</v>
      </c>
      <c r="B1782" s="231" t="s">
        <v>52</v>
      </c>
      <c r="C1782" s="231" t="s">
        <v>10</v>
      </c>
      <c r="D1782" s="237" t="s">
        <v>3573</v>
      </c>
      <c r="E1782" s="268"/>
      <c r="F1782" s="231"/>
      <c r="G1782" s="231"/>
      <c r="H1782" s="237" t="s">
        <v>2773</v>
      </c>
      <c r="I1782" s="249">
        <v>0</v>
      </c>
      <c r="J1782" s="249">
        <v>286</v>
      </c>
      <c r="K1782" s="231" t="b">
        <f t="shared" si="38"/>
        <v>0</v>
      </c>
      <c r="L1782" s="231"/>
      <c r="M1782" s="237" t="s">
        <v>3276</v>
      </c>
      <c r="N1782" s="231"/>
      <c r="O1782" s="231">
        <v>2025</v>
      </c>
      <c r="P1782" s="286">
        <v>45712</v>
      </c>
      <c r="Q1782" s="231" t="s">
        <v>3505</v>
      </c>
      <c r="R1782" s="231"/>
      <c r="S1782" s="241" t="s">
        <v>453</v>
      </c>
      <c r="T1782" s="231"/>
    </row>
    <row r="1783" spans="1:20" ht="15" customHeight="1">
      <c r="A1783" s="231">
        <v>1782</v>
      </c>
      <c r="B1783" s="231" t="s">
        <v>52</v>
      </c>
      <c r="C1783" s="231" t="s">
        <v>10</v>
      </c>
      <c r="D1783" s="237" t="s">
        <v>3574</v>
      </c>
      <c r="E1783" s="268"/>
      <c r="F1783" s="231"/>
      <c r="G1783" s="231"/>
      <c r="H1783" s="237" t="s">
        <v>3575</v>
      </c>
      <c r="I1783" s="249">
        <v>0</v>
      </c>
      <c r="J1783" s="249">
        <v>201</v>
      </c>
      <c r="K1783" s="231" t="b">
        <f t="shared" si="38"/>
        <v>0</v>
      </c>
      <c r="L1783" s="231"/>
      <c r="M1783" s="237" t="s">
        <v>3276</v>
      </c>
      <c r="N1783" s="231"/>
      <c r="O1783" s="231">
        <v>2025</v>
      </c>
      <c r="P1783" s="286">
        <v>45712</v>
      </c>
      <c r="Q1783" s="231" t="s">
        <v>3505</v>
      </c>
      <c r="R1783" s="231"/>
      <c r="S1783" s="241" t="s">
        <v>453</v>
      </c>
      <c r="T1783" s="231"/>
    </row>
    <row r="1784" spans="1:20" ht="15" customHeight="1">
      <c r="A1784" s="231">
        <v>1783</v>
      </c>
      <c r="B1784" s="231" t="s">
        <v>52</v>
      </c>
      <c r="C1784" s="231" t="s">
        <v>10</v>
      </c>
      <c r="D1784" s="237" t="s">
        <v>3576</v>
      </c>
      <c r="E1784" s="268"/>
      <c r="F1784" s="231"/>
      <c r="G1784" s="231"/>
      <c r="H1784" s="237" t="s">
        <v>3111</v>
      </c>
      <c r="I1784" s="249">
        <v>101</v>
      </c>
      <c r="J1784" s="249">
        <v>265</v>
      </c>
      <c r="K1784" s="231" t="b">
        <f t="shared" si="38"/>
        <v>0</v>
      </c>
      <c r="L1784" s="231"/>
      <c r="M1784" s="237" t="s">
        <v>3276</v>
      </c>
      <c r="N1784" s="231"/>
      <c r="O1784" s="231">
        <v>2025</v>
      </c>
      <c r="P1784" s="286">
        <v>45712</v>
      </c>
      <c r="Q1784" s="231" t="s">
        <v>3505</v>
      </c>
      <c r="R1784" s="231"/>
      <c r="S1784" s="241" t="s">
        <v>453</v>
      </c>
      <c r="T1784" s="231"/>
    </row>
    <row r="1785" spans="1:20" ht="15" customHeight="1">
      <c r="A1785" s="231">
        <v>1784</v>
      </c>
      <c r="B1785" s="231" t="s">
        <v>52</v>
      </c>
      <c r="C1785" s="231" t="s">
        <v>10</v>
      </c>
      <c r="D1785" s="237" t="s">
        <v>3577</v>
      </c>
      <c r="E1785" s="268"/>
      <c r="F1785" s="231"/>
      <c r="G1785" s="231"/>
      <c r="H1785" s="237" t="s">
        <v>2773</v>
      </c>
      <c r="I1785" s="249">
        <v>0</v>
      </c>
      <c r="J1785" s="249">
        <v>886</v>
      </c>
      <c r="K1785" s="231" t="b">
        <f t="shared" si="38"/>
        <v>0</v>
      </c>
      <c r="L1785" s="231"/>
      <c r="M1785" s="237" t="s">
        <v>3276</v>
      </c>
      <c r="N1785" s="231"/>
      <c r="O1785" s="231">
        <v>2025</v>
      </c>
      <c r="P1785" s="286">
        <v>45713</v>
      </c>
      <c r="Q1785" s="231" t="s">
        <v>3505</v>
      </c>
      <c r="R1785" s="231"/>
      <c r="S1785" s="241" t="s">
        <v>453</v>
      </c>
      <c r="T1785" s="231"/>
    </row>
    <row r="1786" spans="1:20" ht="15" customHeight="1">
      <c r="A1786" s="231">
        <v>1785</v>
      </c>
      <c r="B1786" s="231" t="s">
        <v>53</v>
      </c>
      <c r="C1786" s="231" t="s">
        <v>10</v>
      </c>
      <c r="D1786" s="237" t="s">
        <v>3578</v>
      </c>
      <c r="E1786" s="268"/>
      <c r="F1786" s="231"/>
      <c r="G1786" s="231"/>
      <c r="H1786" s="237" t="s">
        <v>221</v>
      </c>
      <c r="I1786" s="249">
        <v>364</v>
      </c>
      <c r="J1786" s="249">
        <v>0</v>
      </c>
      <c r="K1786" s="231">
        <f t="shared" si="38"/>
        <v>10</v>
      </c>
      <c r="L1786" s="231"/>
      <c r="M1786" s="299" t="s">
        <v>15</v>
      </c>
      <c r="N1786" s="231"/>
      <c r="O1786" s="231">
        <v>2025</v>
      </c>
      <c r="P1786" s="286">
        <v>45714</v>
      </c>
      <c r="Q1786" s="231" t="s">
        <v>3505</v>
      </c>
      <c r="R1786" s="231"/>
      <c r="S1786" s="241" t="s">
        <v>453</v>
      </c>
      <c r="T1786" s="231"/>
    </row>
    <row r="1787" spans="1:20" ht="15" customHeight="1">
      <c r="A1787" s="231">
        <v>1786</v>
      </c>
      <c r="B1787" s="231" t="s">
        <v>55</v>
      </c>
      <c r="C1787" s="231" t="s">
        <v>10</v>
      </c>
      <c r="D1787" s="237" t="s">
        <v>3579</v>
      </c>
      <c r="E1787" s="268"/>
      <c r="F1787" s="231"/>
      <c r="G1787" s="231"/>
      <c r="H1787" s="237" t="s">
        <v>2894</v>
      </c>
      <c r="I1787" s="249">
        <v>400</v>
      </c>
      <c r="J1787" s="249">
        <v>0</v>
      </c>
      <c r="K1787" s="231" t="b">
        <f t="shared" si="38"/>
        <v>0</v>
      </c>
      <c r="L1787" s="231"/>
      <c r="M1787" s="237" t="s">
        <v>3276</v>
      </c>
      <c r="N1787" s="231"/>
      <c r="O1787" s="231">
        <v>2025</v>
      </c>
      <c r="P1787" s="286">
        <v>45715</v>
      </c>
      <c r="Q1787" s="231" t="s">
        <v>3505</v>
      </c>
      <c r="R1787" s="231"/>
      <c r="S1787" s="241" t="s">
        <v>453</v>
      </c>
      <c r="T1787" s="231"/>
    </row>
    <row r="1788" spans="1:20" ht="15" customHeight="1">
      <c r="A1788" s="231">
        <v>1787</v>
      </c>
      <c r="B1788" s="231" t="s">
        <v>52</v>
      </c>
      <c r="C1788" s="231" t="s">
        <v>10</v>
      </c>
      <c r="D1788" s="237" t="s">
        <v>3580</v>
      </c>
      <c r="E1788" s="268"/>
      <c r="F1788" s="231"/>
      <c r="G1788" s="231"/>
      <c r="H1788" s="237" t="s">
        <v>3060</v>
      </c>
      <c r="I1788" s="249">
        <v>0</v>
      </c>
      <c r="J1788" s="249">
        <v>142</v>
      </c>
      <c r="K1788" s="231" t="b">
        <f t="shared" si="38"/>
        <v>0</v>
      </c>
      <c r="L1788" s="231"/>
      <c r="M1788" s="237" t="s">
        <v>3276</v>
      </c>
      <c r="N1788" s="231"/>
      <c r="O1788" s="231">
        <v>2025</v>
      </c>
      <c r="P1788" s="286">
        <v>45716</v>
      </c>
      <c r="Q1788" s="231" t="s">
        <v>3505</v>
      </c>
      <c r="R1788" s="231"/>
      <c r="S1788" s="241" t="s">
        <v>453</v>
      </c>
      <c r="T1788" s="231"/>
    </row>
    <row r="1789" spans="1:20" ht="15" customHeight="1">
      <c r="A1789" s="231">
        <v>1788</v>
      </c>
      <c r="B1789" s="231" t="s">
        <v>52</v>
      </c>
      <c r="C1789" s="231" t="s">
        <v>10</v>
      </c>
      <c r="D1789" s="237" t="s">
        <v>3581</v>
      </c>
      <c r="E1789" s="268"/>
      <c r="F1789" s="231"/>
      <c r="G1789" s="231"/>
      <c r="H1789" s="237" t="s">
        <v>3060</v>
      </c>
      <c r="I1789" s="249">
        <v>304</v>
      </c>
      <c r="J1789" s="249">
        <v>0</v>
      </c>
      <c r="K1789" s="231" t="b">
        <f t="shared" si="38"/>
        <v>0</v>
      </c>
      <c r="L1789" s="231"/>
      <c r="M1789" s="237" t="s">
        <v>3276</v>
      </c>
      <c r="N1789" s="231"/>
      <c r="O1789" s="231">
        <v>2025</v>
      </c>
      <c r="P1789" s="286">
        <v>45716</v>
      </c>
      <c r="Q1789" s="231" t="s">
        <v>3505</v>
      </c>
      <c r="R1789" s="231"/>
      <c r="S1789" s="241" t="s">
        <v>453</v>
      </c>
      <c r="T1789" s="231"/>
    </row>
    <row r="1790" spans="1:20" ht="15" customHeight="1">
      <c r="A1790" s="231">
        <v>1789</v>
      </c>
      <c r="B1790" s="231" t="s">
        <v>52</v>
      </c>
      <c r="C1790" s="231" t="s">
        <v>10</v>
      </c>
      <c r="D1790" s="237" t="s">
        <v>3582</v>
      </c>
      <c r="E1790" s="268"/>
      <c r="F1790" s="231"/>
      <c r="G1790" s="231"/>
      <c r="H1790" s="237" t="s">
        <v>3583</v>
      </c>
      <c r="I1790" s="249">
        <v>0</v>
      </c>
      <c r="J1790" s="249">
        <v>235</v>
      </c>
      <c r="K1790" s="231">
        <f t="shared" si="38"/>
        <v>10</v>
      </c>
      <c r="L1790" s="231"/>
      <c r="M1790" s="299" t="s">
        <v>15</v>
      </c>
      <c r="N1790" s="231"/>
      <c r="O1790" s="231">
        <v>2025</v>
      </c>
      <c r="P1790" s="286">
        <v>45716</v>
      </c>
      <c r="Q1790" s="231" t="s">
        <v>3505</v>
      </c>
      <c r="R1790" s="231"/>
      <c r="S1790" s="241" t="s">
        <v>453</v>
      </c>
      <c r="T1790" s="231"/>
    </row>
    <row r="1791" spans="1:20" ht="15" customHeight="1">
      <c r="A1791" s="231">
        <v>1790</v>
      </c>
      <c r="B1791" s="231" t="s">
        <v>49</v>
      </c>
      <c r="C1791" s="231" t="s">
        <v>10</v>
      </c>
      <c r="D1791" s="237" t="s">
        <v>3584</v>
      </c>
      <c r="E1791" s="268"/>
      <c r="F1791" s="231"/>
      <c r="G1791" s="231"/>
      <c r="H1791" s="237" t="s">
        <v>452</v>
      </c>
      <c r="I1791" s="249">
        <v>200</v>
      </c>
      <c r="J1791" s="249">
        <v>0</v>
      </c>
      <c r="K1791" s="231" t="b">
        <f t="shared" si="38"/>
        <v>0</v>
      </c>
      <c r="L1791" s="231"/>
      <c r="M1791" s="237" t="s">
        <v>3276</v>
      </c>
      <c r="N1791" s="231"/>
      <c r="O1791" s="231">
        <v>2025</v>
      </c>
      <c r="P1791" s="286">
        <v>45716</v>
      </c>
      <c r="Q1791" s="231" t="s">
        <v>3505</v>
      </c>
      <c r="R1791" s="231"/>
      <c r="S1791" s="241" t="s">
        <v>453</v>
      </c>
      <c r="T1791" s="231"/>
    </row>
    <row r="1792" spans="1:20" ht="15" customHeight="1">
      <c r="A1792" s="231">
        <v>1791</v>
      </c>
      <c r="B1792" s="231" t="s">
        <v>52</v>
      </c>
      <c r="C1792" s="231" t="s">
        <v>10</v>
      </c>
      <c r="D1792" s="237" t="s">
        <v>3585</v>
      </c>
      <c r="E1792" s="268"/>
      <c r="F1792" s="231"/>
      <c r="G1792" s="231"/>
      <c r="H1792" s="237" t="s">
        <v>2980</v>
      </c>
      <c r="I1792" s="249">
        <v>0</v>
      </c>
      <c r="J1792" s="249">
        <v>300</v>
      </c>
      <c r="K1792" s="231">
        <f t="shared" si="38"/>
        <v>10</v>
      </c>
      <c r="L1792" s="231"/>
      <c r="M1792" s="299" t="s">
        <v>15</v>
      </c>
      <c r="N1792" s="231"/>
      <c r="O1792" s="231">
        <v>2025</v>
      </c>
      <c r="P1792" s="286">
        <v>45716</v>
      </c>
      <c r="Q1792" s="231" t="s">
        <v>3505</v>
      </c>
      <c r="R1792" s="231"/>
      <c r="S1792" s="241" t="s">
        <v>453</v>
      </c>
      <c r="T1792" s="231"/>
    </row>
    <row r="1793" spans="1:20" ht="15" customHeight="1">
      <c r="A1793" s="231">
        <v>1792</v>
      </c>
      <c r="B1793" s="231" t="s">
        <v>52</v>
      </c>
      <c r="C1793" s="231" t="s">
        <v>10</v>
      </c>
      <c r="D1793" s="237" t="s">
        <v>3586</v>
      </c>
      <c r="E1793" s="268"/>
      <c r="F1793" s="231"/>
      <c r="G1793" s="231"/>
      <c r="H1793" s="237" t="s">
        <v>2776</v>
      </c>
      <c r="I1793" s="249">
        <v>350</v>
      </c>
      <c r="J1793" s="249">
        <v>0</v>
      </c>
      <c r="K1793" s="231" t="b">
        <f t="shared" si="38"/>
        <v>0</v>
      </c>
      <c r="L1793" s="231"/>
      <c r="M1793" s="237" t="s">
        <v>3437</v>
      </c>
      <c r="N1793" s="231"/>
      <c r="O1793" s="231">
        <v>2025</v>
      </c>
      <c r="P1793" s="286">
        <v>45714</v>
      </c>
      <c r="Q1793" s="231" t="s">
        <v>3505</v>
      </c>
      <c r="R1793" s="231"/>
      <c r="S1793" s="241" t="s">
        <v>453</v>
      </c>
      <c r="T1793" s="231"/>
    </row>
    <row r="1794" spans="1:20" ht="15" customHeight="1">
      <c r="A1794" s="231">
        <v>1793</v>
      </c>
      <c r="B1794" s="231" t="s">
        <v>52</v>
      </c>
      <c r="C1794" s="231" t="s">
        <v>10</v>
      </c>
      <c r="D1794" s="237" t="s">
        <v>3587</v>
      </c>
      <c r="E1794" s="268"/>
      <c r="F1794" s="231"/>
      <c r="G1794" s="231"/>
      <c r="H1794" s="237" t="s">
        <v>2773</v>
      </c>
      <c r="I1794" s="249">
        <v>400</v>
      </c>
      <c r="J1794" s="249">
        <v>0</v>
      </c>
      <c r="K1794" s="231" t="b">
        <f t="shared" si="38"/>
        <v>0</v>
      </c>
      <c r="L1794" s="231"/>
      <c r="M1794" s="237" t="s">
        <v>3437</v>
      </c>
      <c r="N1794" s="231"/>
      <c r="O1794" s="231">
        <v>2025</v>
      </c>
      <c r="P1794" s="286">
        <v>45714</v>
      </c>
      <c r="Q1794" s="231" t="s">
        <v>3505</v>
      </c>
      <c r="R1794" s="231"/>
      <c r="S1794" s="241" t="s">
        <v>453</v>
      </c>
      <c r="T1794" s="231"/>
    </row>
    <row r="1795" spans="1:20" ht="15" customHeight="1">
      <c r="A1795" s="231">
        <v>1794</v>
      </c>
      <c r="B1795" s="231" t="s">
        <v>52</v>
      </c>
      <c r="C1795" s="231" t="s">
        <v>10</v>
      </c>
      <c r="D1795" s="237" t="s">
        <v>3588</v>
      </c>
      <c r="E1795" s="268"/>
      <c r="F1795" s="231"/>
      <c r="G1795" s="231"/>
      <c r="H1795" s="237" t="s">
        <v>185</v>
      </c>
      <c r="I1795" s="249">
        <v>120</v>
      </c>
      <c r="J1795" s="249">
        <v>0</v>
      </c>
      <c r="K1795" s="231" t="b">
        <f t="shared" si="38"/>
        <v>0</v>
      </c>
      <c r="L1795" s="231"/>
      <c r="M1795" s="237" t="s">
        <v>3437</v>
      </c>
      <c r="N1795" s="231"/>
      <c r="O1795" s="231">
        <v>2025</v>
      </c>
      <c r="P1795" s="286">
        <v>45716</v>
      </c>
      <c r="Q1795" s="231" t="s">
        <v>3505</v>
      </c>
      <c r="R1795" s="231"/>
      <c r="S1795" s="241" t="s">
        <v>453</v>
      </c>
      <c r="T1795" s="231"/>
    </row>
    <row r="1796" spans="1:20" ht="15" customHeight="1">
      <c r="A1796" s="231">
        <v>1795</v>
      </c>
      <c r="B1796" s="231" t="s">
        <v>52</v>
      </c>
      <c r="C1796" s="231" t="s">
        <v>10</v>
      </c>
      <c r="D1796" s="237" t="s">
        <v>3589</v>
      </c>
      <c r="E1796" s="268"/>
      <c r="F1796" s="231"/>
      <c r="G1796" s="231"/>
      <c r="H1796" s="237" t="s">
        <v>185</v>
      </c>
      <c r="I1796" s="249">
        <v>450</v>
      </c>
      <c r="J1796" s="249">
        <v>0</v>
      </c>
      <c r="K1796" s="231" t="b">
        <f t="shared" si="38"/>
        <v>0</v>
      </c>
      <c r="L1796" s="231"/>
      <c r="M1796" s="237" t="s">
        <v>3437</v>
      </c>
      <c r="N1796" s="231"/>
      <c r="O1796" s="231">
        <v>2025</v>
      </c>
      <c r="P1796" s="286">
        <v>45716</v>
      </c>
      <c r="Q1796" s="231" t="s">
        <v>3505</v>
      </c>
      <c r="R1796" s="231"/>
      <c r="S1796" s="241" t="s">
        <v>453</v>
      </c>
      <c r="T1796" s="231"/>
    </row>
    <row r="1797" spans="1:20" ht="15" customHeight="1">
      <c r="A1797" s="231">
        <v>1796</v>
      </c>
      <c r="B1797" s="231" t="s">
        <v>52</v>
      </c>
      <c r="C1797" s="231" t="s">
        <v>10</v>
      </c>
      <c r="D1797" s="237" t="s">
        <v>3590</v>
      </c>
      <c r="E1797" s="268"/>
      <c r="F1797" s="231"/>
      <c r="G1797" s="231"/>
      <c r="H1797" s="237" t="s">
        <v>185</v>
      </c>
      <c r="I1797" s="249">
        <v>56</v>
      </c>
      <c r="J1797" s="249">
        <v>640</v>
      </c>
      <c r="K1797" s="231" t="b">
        <f t="shared" si="38"/>
        <v>0</v>
      </c>
      <c r="L1797" s="231"/>
      <c r="M1797" s="237" t="s">
        <v>3437</v>
      </c>
      <c r="N1797" s="231"/>
      <c r="O1797" s="231">
        <v>2025</v>
      </c>
      <c r="P1797" s="286">
        <v>45714</v>
      </c>
      <c r="Q1797" s="231" t="s">
        <v>3505</v>
      </c>
      <c r="R1797" s="231"/>
      <c r="S1797" s="241" t="s">
        <v>453</v>
      </c>
      <c r="T1797" s="231"/>
    </row>
    <row r="1798" spans="1:20" ht="15" customHeight="1">
      <c r="A1798" s="231">
        <v>1797</v>
      </c>
      <c r="B1798" s="231" t="s">
        <v>52</v>
      </c>
      <c r="C1798" s="231" t="s">
        <v>10</v>
      </c>
      <c r="D1798" s="237" t="s">
        <v>3591</v>
      </c>
      <c r="E1798" s="268"/>
      <c r="F1798" s="231"/>
      <c r="G1798" s="231"/>
      <c r="H1798" s="237" t="s">
        <v>185</v>
      </c>
      <c r="I1798" s="249">
        <v>57</v>
      </c>
      <c r="J1798" s="249">
        <v>0</v>
      </c>
      <c r="K1798" s="231" t="b">
        <f t="shared" si="38"/>
        <v>0</v>
      </c>
      <c r="L1798" s="231"/>
      <c r="M1798" s="237" t="s">
        <v>3437</v>
      </c>
      <c r="N1798" s="231"/>
      <c r="O1798" s="231">
        <v>2025</v>
      </c>
      <c r="P1798" s="286">
        <v>45714</v>
      </c>
      <c r="Q1798" s="231" t="s">
        <v>3505</v>
      </c>
      <c r="R1798" s="231"/>
      <c r="S1798" s="241" t="s">
        <v>453</v>
      </c>
      <c r="T1798" s="231"/>
    </row>
    <row r="1799" spans="1:20" ht="15" customHeight="1">
      <c r="A1799" s="231">
        <v>1798</v>
      </c>
      <c r="B1799" s="231" t="s">
        <v>52</v>
      </c>
      <c r="C1799" s="231" t="s">
        <v>10</v>
      </c>
      <c r="D1799" s="237" t="s">
        <v>3592</v>
      </c>
      <c r="E1799" s="268"/>
      <c r="F1799" s="231"/>
      <c r="G1799" s="231"/>
      <c r="H1799" s="237" t="s">
        <v>2779</v>
      </c>
      <c r="I1799" s="249">
        <v>300</v>
      </c>
      <c r="J1799" s="249">
        <v>0</v>
      </c>
      <c r="K1799" s="231" t="b">
        <f t="shared" si="38"/>
        <v>0</v>
      </c>
      <c r="L1799" s="231"/>
      <c r="M1799" s="237" t="s">
        <v>3276</v>
      </c>
      <c r="N1799" s="231"/>
      <c r="O1799" s="231">
        <v>2025</v>
      </c>
      <c r="P1799" s="286">
        <v>45720</v>
      </c>
      <c r="Q1799" s="231" t="s">
        <v>3505</v>
      </c>
      <c r="R1799" s="231"/>
      <c r="S1799" s="241" t="s">
        <v>453</v>
      </c>
      <c r="T1799" s="231"/>
    </row>
    <row r="1800" spans="1:20" ht="15" customHeight="1">
      <c r="A1800" s="231">
        <v>1799</v>
      </c>
      <c r="B1800" s="231" t="s">
        <v>51</v>
      </c>
      <c r="C1800" s="231" t="s">
        <v>10</v>
      </c>
      <c r="D1800" s="237" t="s">
        <v>3594</v>
      </c>
      <c r="E1800" s="268"/>
      <c r="F1800" s="231"/>
      <c r="G1800" s="231"/>
      <c r="H1800" s="237" t="s">
        <v>158</v>
      </c>
      <c r="I1800" s="249">
        <v>0</v>
      </c>
      <c r="J1800" s="249">
        <v>1000</v>
      </c>
      <c r="K1800" s="231" t="b">
        <f t="shared" si="38"/>
        <v>0</v>
      </c>
      <c r="L1800" s="231"/>
      <c r="M1800" s="237" t="s">
        <v>3276</v>
      </c>
      <c r="N1800" s="231"/>
      <c r="O1800" s="231">
        <v>2025</v>
      </c>
      <c r="P1800" s="286">
        <v>45720</v>
      </c>
      <c r="Q1800" s="231" t="s">
        <v>3505</v>
      </c>
      <c r="R1800" s="231"/>
      <c r="S1800" s="241" t="s">
        <v>453</v>
      </c>
      <c r="T1800" s="231"/>
    </row>
    <row r="1801" spans="1:20" ht="15" customHeight="1">
      <c r="A1801" s="231">
        <v>1800</v>
      </c>
      <c r="B1801" s="231" t="s">
        <v>51</v>
      </c>
      <c r="C1801" s="231" t="s">
        <v>10</v>
      </c>
      <c r="D1801" s="237" t="s">
        <v>3595</v>
      </c>
      <c r="E1801" s="268"/>
      <c r="F1801" s="231"/>
      <c r="G1801" s="231"/>
      <c r="H1801" s="237" t="s">
        <v>3142</v>
      </c>
      <c r="I1801" s="249">
        <v>0</v>
      </c>
      <c r="J1801" s="249">
        <v>300</v>
      </c>
      <c r="K1801" s="231" t="b">
        <f t="shared" si="38"/>
        <v>0</v>
      </c>
      <c r="L1801" s="231"/>
      <c r="M1801" s="237" t="s">
        <v>3596</v>
      </c>
      <c r="N1801" s="231"/>
      <c r="O1801" s="231">
        <v>2025</v>
      </c>
      <c r="P1801" s="286">
        <v>45720</v>
      </c>
      <c r="Q1801" s="231" t="s">
        <v>3505</v>
      </c>
      <c r="R1801" s="231"/>
      <c r="S1801" s="241" t="s">
        <v>453</v>
      </c>
      <c r="T1801" s="231"/>
    </row>
    <row r="1802" spans="1:20" ht="15" customHeight="1">
      <c r="A1802" s="231">
        <v>1801</v>
      </c>
      <c r="B1802" s="231" t="s">
        <v>51</v>
      </c>
      <c r="C1802" s="231" t="s">
        <v>10</v>
      </c>
      <c r="D1802" s="237" t="s">
        <v>3597</v>
      </c>
      <c r="E1802" s="268"/>
      <c r="F1802" s="231"/>
      <c r="G1802" s="231"/>
      <c r="H1802" s="237" t="s">
        <v>3142</v>
      </c>
      <c r="I1802" s="249">
        <v>0</v>
      </c>
      <c r="J1802" s="249">
        <v>900</v>
      </c>
      <c r="K1802" s="231" t="b">
        <f t="shared" si="38"/>
        <v>0</v>
      </c>
      <c r="L1802" s="231"/>
      <c r="M1802" s="237" t="s">
        <v>3596</v>
      </c>
      <c r="N1802" s="231"/>
      <c r="O1802" s="231">
        <v>2025</v>
      </c>
      <c r="P1802" s="286">
        <v>45720</v>
      </c>
      <c r="Q1802" s="231" t="s">
        <v>3505</v>
      </c>
      <c r="R1802" s="231"/>
      <c r="S1802" s="241" t="s">
        <v>453</v>
      </c>
      <c r="T1802" s="231"/>
    </row>
    <row r="1803" spans="1:20" ht="15" customHeight="1">
      <c r="A1803" s="231">
        <v>1802</v>
      </c>
      <c r="B1803" s="231" t="s">
        <v>51</v>
      </c>
      <c r="C1803" s="231" t="s">
        <v>10</v>
      </c>
      <c r="D1803" s="237" t="s">
        <v>3598</v>
      </c>
      <c r="E1803" s="268"/>
      <c r="F1803" s="231"/>
      <c r="G1803" s="231"/>
      <c r="H1803" s="237" t="s">
        <v>3142</v>
      </c>
      <c r="I1803" s="249">
        <v>0</v>
      </c>
      <c r="J1803" s="249">
        <v>500</v>
      </c>
      <c r="K1803" s="231" t="b">
        <f t="shared" si="38"/>
        <v>0</v>
      </c>
      <c r="L1803" s="231"/>
      <c r="M1803" s="237" t="s">
        <v>3596</v>
      </c>
      <c r="N1803" s="231"/>
      <c r="O1803" s="231">
        <v>2025</v>
      </c>
      <c r="P1803" s="286">
        <v>45720</v>
      </c>
      <c r="Q1803" s="231" t="s">
        <v>3505</v>
      </c>
      <c r="R1803" s="231"/>
      <c r="S1803" s="241" t="s">
        <v>453</v>
      </c>
      <c r="T1803" s="231"/>
    </row>
    <row r="1804" spans="1:20" ht="15" customHeight="1">
      <c r="A1804" s="231">
        <v>1803</v>
      </c>
      <c r="B1804" s="231" t="s">
        <v>51</v>
      </c>
      <c r="C1804" s="231" t="s">
        <v>10</v>
      </c>
      <c r="D1804" s="237" t="s">
        <v>3599</v>
      </c>
      <c r="E1804" s="268"/>
      <c r="F1804" s="231"/>
      <c r="G1804" s="231"/>
      <c r="H1804" s="237" t="s">
        <v>160</v>
      </c>
      <c r="I1804" s="249">
        <v>0</v>
      </c>
      <c r="J1804" s="249">
        <v>1194</v>
      </c>
      <c r="K1804" s="231" t="b">
        <f t="shared" si="38"/>
        <v>0</v>
      </c>
      <c r="L1804" s="231"/>
      <c r="M1804" s="237" t="s">
        <v>3276</v>
      </c>
      <c r="N1804" s="231"/>
      <c r="O1804" s="231">
        <v>2025</v>
      </c>
      <c r="P1804" s="286">
        <v>45720</v>
      </c>
      <c r="Q1804" s="231" t="s">
        <v>3505</v>
      </c>
      <c r="R1804" s="231"/>
      <c r="S1804" s="241" t="s">
        <v>453</v>
      </c>
      <c r="T1804" s="231"/>
    </row>
    <row r="1805" spans="1:20" ht="15" customHeight="1">
      <c r="A1805" s="231">
        <v>1804</v>
      </c>
      <c r="B1805" s="231" t="s">
        <v>52</v>
      </c>
      <c r="C1805" s="231" t="s">
        <v>10</v>
      </c>
      <c r="D1805" s="237" t="s">
        <v>3600</v>
      </c>
      <c r="E1805" s="268"/>
      <c r="F1805" s="231"/>
      <c r="G1805" s="231"/>
      <c r="H1805" s="237" t="s">
        <v>3601</v>
      </c>
      <c r="I1805" s="249">
        <v>0</v>
      </c>
      <c r="J1805" s="249">
        <v>600</v>
      </c>
      <c r="K1805" s="231" t="b">
        <f t="shared" si="38"/>
        <v>0</v>
      </c>
      <c r="L1805" s="231"/>
      <c r="M1805" s="237" t="s">
        <v>3276</v>
      </c>
      <c r="N1805" s="231"/>
      <c r="O1805" s="231">
        <v>2025</v>
      </c>
      <c r="P1805" s="286">
        <v>45720</v>
      </c>
      <c r="Q1805" s="231" t="s">
        <v>3505</v>
      </c>
      <c r="R1805" s="231"/>
      <c r="S1805" s="241" t="s">
        <v>453</v>
      </c>
      <c r="T1805" s="231"/>
    </row>
    <row r="1806" spans="1:20" ht="15" customHeight="1">
      <c r="A1806" s="231">
        <v>1805</v>
      </c>
      <c r="B1806" s="231" t="s">
        <v>51</v>
      </c>
      <c r="C1806" s="231" t="s">
        <v>10</v>
      </c>
      <c r="D1806" s="237" t="s">
        <v>3602</v>
      </c>
      <c r="E1806" s="268"/>
      <c r="F1806" s="231"/>
      <c r="G1806" s="231"/>
      <c r="H1806" s="237" t="s">
        <v>3142</v>
      </c>
      <c r="I1806" s="249">
        <v>0</v>
      </c>
      <c r="J1806" s="249">
        <v>1500</v>
      </c>
      <c r="K1806" s="231" t="b">
        <f t="shared" si="38"/>
        <v>0</v>
      </c>
      <c r="L1806" s="231"/>
      <c r="M1806" s="237" t="s">
        <v>3276</v>
      </c>
      <c r="N1806" s="231"/>
      <c r="O1806" s="231">
        <v>2025</v>
      </c>
      <c r="P1806" s="286">
        <v>45718</v>
      </c>
      <c r="Q1806" s="231" t="s">
        <v>3505</v>
      </c>
      <c r="R1806" s="231"/>
      <c r="S1806" s="241" t="s">
        <v>453</v>
      </c>
      <c r="T1806" s="231"/>
    </row>
    <row r="1807" spans="1:20" ht="15" customHeight="1">
      <c r="A1807" s="231">
        <v>1806</v>
      </c>
      <c r="B1807" s="231" t="s">
        <v>52</v>
      </c>
      <c r="C1807" s="231" t="s">
        <v>10</v>
      </c>
      <c r="D1807" s="237" t="s">
        <v>3603</v>
      </c>
      <c r="E1807" s="268"/>
      <c r="F1807" s="231"/>
      <c r="G1807" s="231"/>
      <c r="H1807" s="237" t="s">
        <v>2763</v>
      </c>
      <c r="I1807" s="249">
        <v>174</v>
      </c>
      <c r="J1807" s="249">
        <v>0</v>
      </c>
      <c r="K1807" s="231" t="b">
        <f t="shared" si="38"/>
        <v>0</v>
      </c>
      <c r="L1807" s="231"/>
      <c r="M1807" s="237" t="s">
        <v>3437</v>
      </c>
      <c r="N1807" s="231"/>
      <c r="O1807" s="231">
        <v>2025</v>
      </c>
      <c r="P1807" s="286">
        <v>45721</v>
      </c>
      <c r="Q1807" s="231" t="s">
        <v>3505</v>
      </c>
      <c r="R1807" s="231"/>
      <c r="S1807" s="241" t="s">
        <v>453</v>
      </c>
      <c r="T1807" s="231"/>
    </row>
    <row r="1808" spans="1:20" ht="15" customHeight="1">
      <c r="A1808" s="231">
        <v>1807</v>
      </c>
      <c r="B1808" s="231" t="s">
        <v>52</v>
      </c>
      <c r="C1808" s="231" t="s">
        <v>10</v>
      </c>
      <c r="D1808" s="237" t="s">
        <v>3604</v>
      </c>
      <c r="E1808" s="268"/>
      <c r="F1808" s="231"/>
      <c r="G1808" s="231"/>
      <c r="H1808" s="237" t="s">
        <v>2877</v>
      </c>
      <c r="I1808" s="249">
        <v>0</v>
      </c>
      <c r="J1808" s="249">
        <v>300</v>
      </c>
      <c r="K1808" s="231" t="b">
        <f t="shared" si="38"/>
        <v>0</v>
      </c>
      <c r="L1808" s="231"/>
      <c r="M1808" s="237" t="s">
        <v>3276</v>
      </c>
      <c r="N1808" s="231"/>
      <c r="O1808" s="231">
        <v>2025</v>
      </c>
      <c r="P1808" s="286">
        <v>45720</v>
      </c>
      <c r="Q1808" s="231" t="s">
        <v>3505</v>
      </c>
      <c r="R1808" s="231"/>
      <c r="S1808" s="241" t="s">
        <v>453</v>
      </c>
      <c r="T1808" s="231"/>
    </row>
    <row r="1809" spans="1:20" ht="15" customHeight="1">
      <c r="A1809" s="231">
        <v>1808</v>
      </c>
      <c r="B1809" s="231" t="s">
        <v>52</v>
      </c>
      <c r="C1809" s="231" t="s">
        <v>10</v>
      </c>
      <c r="D1809" s="237" t="s">
        <v>3605</v>
      </c>
      <c r="E1809" s="268"/>
      <c r="F1809" s="231"/>
      <c r="G1809" s="231"/>
      <c r="H1809" s="237" t="s">
        <v>2776</v>
      </c>
      <c r="I1809" s="249">
        <v>0</v>
      </c>
      <c r="J1809" s="249">
        <v>471</v>
      </c>
      <c r="K1809" s="231" t="b">
        <f t="shared" si="38"/>
        <v>0</v>
      </c>
      <c r="L1809" s="231"/>
      <c r="M1809" s="237" t="s">
        <v>3276</v>
      </c>
      <c r="N1809" s="231"/>
      <c r="O1809" s="231">
        <v>2025</v>
      </c>
      <c r="P1809" s="286">
        <v>45723</v>
      </c>
      <c r="Q1809" s="231" t="s">
        <v>3505</v>
      </c>
      <c r="R1809" s="231"/>
      <c r="S1809" s="241" t="s">
        <v>453</v>
      </c>
      <c r="T1809" s="231"/>
    </row>
    <row r="1810" spans="1:20" ht="15" customHeight="1">
      <c r="A1810" s="231">
        <v>1809</v>
      </c>
      <c r="B1810" s="231" t="s">
        <v>52</v>
      </c>
      <c r="C1810" s="231" t="s">
        <v>10</v>
      </c>
      <c r="D1810" s="237" t="s">
        <v>3606</v>
      </c>
      <c r="E1810" s="268"/>
      <c r="F1810" s="231"/>
      <c r="G1810" s="231"/>
      <c r="H1810" s="237" t="s">
        <v>2773</v>
      </c>
      <c r="I1810" s="249">
        <v>0</v>
      </c>
      <c r="J1810" s="249">
        <v>600</v>
      </c>
      <c r="K1810" s="231" t="b">
        <f t="shared" si="38"/>
        <v>0</v>
      </c>
      <c r="L1810" s="231"/>
      <c r="M1810" s="237" t="s">
        <v>3276</v>
      </c>
      <c r="N1810" s="231"/>
      <c r="O1810" s="231">
        <v>2025</v>
      </c>
      <c r="P1810" s="286">
        <v>45723</v>
      </c>
      <c r="Q1810" s="231" t="s">
        <v>3505</v>
      </c>
      <c r="R1810" s="231"/>
      <c r="S1810" s="241" t="s">
        <v>453</v>
      </c>
      <c r="T1810" s="231"/>
    </row>
    <row r="1811" spans="1:20" ht="15" customHeight="1">
      <c r="A1811" s="231">
        <v>1810</v>
      </c>
      <c r="B1811" s="231" t="s">
        <v>52</v>
      </c>
      <c r="C1811" s="231" t="s">
        <v>10</v>
      </c>
      <c r="D1811" s="237" t="s">
        <v>3607</v>
      </c>
      <c r="E1811" s="268"/>
      <c r="F1811" s="231"/>
      <c r="G1811" s="231"/>
      <c r="H1811" s="237" t="s">
        <v>3608</v>
      </c>
      <c r="I1811" s="249">
        <v>300</v>
      </c>
      <c r="J1811" s="249">
        <v>0</v>
      </c>
      <c r="K1811" s="231" t="b">
        <f t="shared" si="38"/>
        <v>0</v>
      </c>
      <c r="L1811" s="231"/>
      <c r="M1811" s="237" t="s">
        <v>3276</v>
      </c>
      <c r="N1811" s="231"/>
      <c r="O1811" s="231">
        <v>2025</v>
      </c>
      <c r="P1811" s="286">
        <v>45723</v>
      </c>
      <c r="Q1811" s="231" t="s">
        <v>3505</v>
      </c>
      <c r="R1811" s="231"/>
      <c r="S1811" s="241" t="s">
        <v>453</v>
      </c>
      <c r="T1811" s="231"/>
    </row>
    <row r="1812" spans="1:20" ht="15" customHeight="1">
      <c r="A1812" s="231">
        <v>1811</v>
      </c>
      <c r="B1812" s="231" t="s">
        <v>52</v>
      </c>
      <c r="C1812" s="231" t="s">
        <v>10</v>
      </c>
      <c r="D1812" s="237" t="s">
        <v>3609</v>
      </c>
      <c r="E1812" s="268"/>
      <c r="F1812" s="231"/>
      <c r="G1812" s="231"/>
      <c r="H1812" s="237" t="s">
        <v>166</v>
      </c>
      <c r="I1812" s="249">
        <v>300</v>
      </c>
      <c r="J1812" s="249">
        <v>0</v>
      </c>
      <c r="K1812" s="231" t="b">
        <f t="shared" si="38"/>
        <v>0</v>
      </c>
      <c r="L1812" s="231"/>
      <c r="M1812" s="237" t="s">
        <v>3276</v>
      </c>
      <c r="N1812" s="231"/>
      <c r="O1812" s="231">
        <v>2025</v>
      </c>
      <c r="P1812" s="286">
        <v>45721</v>
      </c>
      <c r="Q1812" s="231" t="s">
        <v>3505</v>
      </c>
      <c r="R1812" s="231"/>
      <c r="S1812" s="241" t="s">
        <v>453</v>
      </c>
      <c r="T1812" s="231"/>
    </row>
    <row r="1813" spans="1:20" ht="15" customHeight="1">
      <c r="A1813" s="231">
        <v>1812</v>
      </c>
      <c r="B1813" s="231" t="s">
        <v>52</v>
      </c>
      <c r="C1813" s="231" t="s">
        <v>10</v>
      </c>
      <c r="D1813" s="237" t="s">
        <v>3610</v>
      </c>
      <c r="E1813" s="268"/>
      <c r="F1813" s="231"/>
      <c r="G1813" s="231"/>
      <c r="H1813" s="237" t="s">
        <v>2773</v>
      </c>
      <c r="I1813" s="249">
        <v>100</v>
      </c>
      <c r="J1813" s="249">
        <v>600</v>
      </c>
      <c r="K1813" s="231" t="b">
        <f t="shared" ref="K1813:K1877" si="39">IF(M1813="ONT",20,IF(M1813="N/A","N/A",IF(M1813="MIKROTIK",IF(J1813&lt;3000,10,IF(3000&lt;J1813&gt;10000,20,IF(10000&lt;J1813&gt;20000,40,IF(20000&lt;J1813&gt;40000,60,IF(J1813&gt;40000,80,IF(J1813&lt;300,3,)))))))))</f>
        <v>0</v>
      </c>
      <c r="L1813" s="231"/>
      <c r="M1813" s="237" t="s">
        <v>3276</v>
      </c>
      <c r="N1813" s="231"/>
      <c r="O1813" s="231">
        <v>2025</v>
      </c>
      <c r="P1813" s="286">
        <v>45720</v>
      </c>
      <c r="Q1813" s="231" t="s">
        <v>3505</v>
      </c>
      <c r="R1813" s="231"/>
      <c r="S1813" s="241" t="s">
        <v>453</v>
      </c>
      <c r="T1813" s="231"/>
    </row>
    <row r="1814" spans="1:20" ht="15" customHeight="1">
      <c r="A1814" s="231">
        <v>1813</v>
      </c>
      <c r="B1814" s="231" t="s">
        <v>52</v>
      </c>
      <c r="C1814" s="231" t="s">
        <v>10</v>
      </c>
      <c r="D1814" s="237" t="s">
        <v>3611</v>
      </c>
      <c r="E1814" s="268"/>
      <c r="F1814" s="231"/>
      <c r="G1814" s="231"/>
      <c r="H1814" s="237" t="s">
        <v>2763</v>
      </c>
      <c r="I1814" s="249">
        <v>350</v>
      </c>
      <c r="J1814" s="249">
        <v>0</v>
      </c>
      <c r="K1814" s="231" t="b">
        <f t="shared" si="39"/>
        <v>0</v>
      </c>
      <c r="L1814" s="231"/>
      <c r="M1814" s="237" t="s">
        <v>3437</v>
      </c>
      <c r="N1814" s="231"/>
      <c r="O1814" s="231">
        <v>2025</v>
      </c>
      <c r="P1814" s="286">
        <v>45719</v>
      </c>
      <c r="Q1814" s="231" t="s">
        <v>3505</v>
      </c>
      <c r="R1814" s="231"/>
      <c r="S1814" s="241" t="s">
        <v>453</v>
      </c>
      <c r="T1814" s="231"/>
    </row>
    <row r="1815" spans="1:20" ht="15" customHeight="1">
      <c r="A1815" s="231">
        <v>1814</v>
      </c>
      <c r="B1815" s="231" t="s">
        <v>52</v>
      </c>
      <c r="C1815" s="231" t="s">
        <v>10</v>
      </c>
      <c r="D1815" s="237" t="s">
        <v>3612</v>
      </c>
      <c r="E1815" s="268"/>
      <c r="F1815" s="231"/>
      <c r="G1815" s="231"/>
      <c r="H1815" s="237" t="s">
        <v>3613</v>
      </c>
      <c r="I1815" s="249">
        <v>70</v>
      </c>
      <c r="J1815" s="249">
        <v>201</v>
      </c>
      <c r="K1815" s="231" t="b">
        <f t="shared" si="39"/>
        <v>0</v>
      </c>
      <c r="L1815" s="231"/>
      <c r="M1815" s="237" t="s">
        <v>3276</v>
      </c>
      <c r="N1815" s="231"/>
      <c r="O1815" s="231">
        <v>2025</v>
      </c>
      <c r="P1815" s="286">
        <v>45728</v>
      </c>
      <c r="Q1815" s="231" t="s">
        <v>3505</v>
      </c>
      <c r="R1815" s="231"/>
      <c r="S1815" s="241" t="s">
        <v>453</v>
      </c>
      <c r="T1815" s="231"/>
    </row>
    <row r="1816" spans="1:20" ht="15" customHeight="1">
      <c r="A1816" s="231">
        <v>1815</v>
      </c>
      <c r="B1816" s="231" t="s">
        <v>52</v>
      </c>
      <c r="C1816" s="231" t="s">
        <v>10</v>
      </c>
      <c r="D1816" s="237" t="s">
        <v>3614</v>
      </c>
      <c r="E1816" s="268"/>
      <c r="F1816" s="231"/>
      <c r="G1816" s="231"/>
      <c r="H1816" s="237" t="s">
        <v>3615</v>
      </c>
      <c r="I1816" s="249">
        <v>0</v>
      </c>
      <c r="J1816" s="249">
        <v>600</v>
      </c>
      <c r="K1816" s="231" t="b">
        <f t="shared" si="39"/>
        <v>0</v>
      </c>
      <c r="L1816" s="231"/>
      <c r="M1816" s="237" t="s">
        <v>3276</v>
      </c>
      <c r="N1816" s="231"/>
      <c r="O1816" s="231">
        <v>2025</v>
      </c>
      <c r="P1816" s="286">
        <v>45721</v>
      </c>
      <c r="Q1816" s="231" t="s">
        <v>3505</v>
      </c>
      <c r="R1816" s="231"/>
      <c r="S1816" s="241" t="s">
        <v>453</v>
      </c>
      <c r="T1816" s="231"/>
    </row>
    <row r="1817" spans="1:20" ht="15" customHeight="1">
      <c r="A1817" s="231">
        <v>1816</v>
      </c>
      <c r="B1817" s="231" t="s">
        <v>52</v>
      </c>
      <c r="C1817" s="231" t="s">
        <v>10</v>
      </c>
      <c r="D1817" s="237" t="s">
        <v>3616</v>
      </c>
      <c r="E1817" s="268"/>
      <c r="F1817" s="231"/>
      <c r="G1817" s="231"/>
      <c r="H1817" s="237" t="s">
        <v>3615</v>
      </c>
      <c r="I1817" s="249">
        <v>0</v>
      </c>
      <c r="J1817" s="249">
        <v>0</v>
      </c>
      <c r="K1817" s="231" t="b">
        <f t="shared" si="39"/>
        <v>0</v>
      </c>
      <c r="L1817" s="231"/>
      <c r="M1817" s="237" t="s">
        <v>3276</v>
      </c>
      <c r="N1817" s="231"/>
      <c r="O1817" s="231">
        <v>2025</v>
      </c>
      <c r="P1817" s="286">
        <v>45728</v>
      </c>
      <c r="Q1817" s="231" t="s">
        <v>3505</v>
      </c>
      <c r="R1817" s="231"/>
      <c r="S1817" s="241" t="s">
        <v>453</v>
      </c>
      <c r="T1817" s="231"/>
    </row>
    <row r="1818" spans="1:20" ht="15" customHeight="1">
      <c r="A1818" s="231">
        <v>1817</v>
      </c>
      <c r="B1818" s="231" t="s">
        <v>52</v>
      </c>
      <c r="C1818" s="231" t="s">
        <v>10</v>
      </c>
      <c r="D1818" s="237" t="s">
        <v>3617</v>
      </c>
      <c r="E1818" s="268"/>
      <c r="F1818" s="231"/>
      <c r="G1818" s="231"/>
      <c r="H1818" s="237" t="s">
        <v>3542</v>
      </c>
      <c r="I1818" s="249">
        <v>0</v>
      </c>
      <c r="J1818" s="249">
        <v>1000</v>
      </c>
      <c r="K1818" s="231" t="b">
        <f t="shared" si="39"/>
        <v>0</v>
      </c>
      <c r="L1818" s="231"/>
      <c r="M1818" s="237" t="s">
        <v>3276</v>
      </c>
      <c r="N1818" s="231"/>
      <c r="O1818" s="231">
        <v>2025</v>
      </c>
      <c r="P1818" s="286">
        <v>45728</v>
      </c>
      <c r="Q1818" s="231" t="s">
        <v>3505</v>
      </c>
      <c r="R1818" s="231"/>
      <c r="S1818" s="241" t="s">
        <v>453</v>
      </c>
      <c r="T1818" s="231"/>
    </row>
    <row r="1819" spans="1:20" ht="15" customHeight="1">
      <c r="A1819" s="231">
        <v>1818</v>
      </c>
      <c r="B1819" s="231" t="s">
        <v>52</v>
      </c>
      <c r="C1819" s="231" t="s">
        <v>10</v>
      </c>
      <c r="D1819" s="237" t="s">
        <v>3618</v>
      </c>
      <c r="E1819" s="268"/>
      <c r="F1819" s="231"/>
      <c r="G1819" s="231"/>
      <c r="H1819" s="237" t="s">
        <v>3060</v>
      </c>
      <c r="I1819" s="249">
        <v>0</v>
      </c>
      <c r="J1819" s="249">
        <v>665</v>
      </c>
      <c r="K1819" s="231" t="b">
        <f t="shared" si="39"/>
        <v>0</v>
      </c>
      <c r="L1819" s="231"/>
      <c r="M1819" s="237" t="s">
        <v>3276</v>
      </c>
      <c r="N1819" s="231"/>
      <c r="O1819" s="231">
        <v>2025</v>
      </c>
      <c r="P1819" s="286">
        <v>45728</v>
      </c>
      <c r="Q1819" s="231" t="s">
        <v>3505</v>
      </c>
      <c r="R1819" s="231"/>
      <c r="S1819" s="241" t="s">
        <v>453</v>
      </c>
      <c r="T1819" s="231"/>
    </row>
    <row r="1820" spans="1:20" ht="15" customHeight="1">
      <c r="A1820" s="231">
        <v>1819</v>
      </c>
      <c r="B1820" s="231" t="s">
        <v>49</v>
      </c>
      <c r="C1820" s="231" t="s">
        <v>10</v>
      </c>
      <c r="D1820" s="237" t="s">
        <v>3619</v>
      </c>
      <c r="E1820" s="268"/>
      <c r="F1820" s="231"/>
      <c r="G1820" s="231"/>
      <c r="H1820" s="237" t="s">
        <v>3620</v>
      </c>
      <c r="I1820" s="249">
        <v>300</v>
      </c>
      <c r="J1820" s="249">
        <v>0</v>
      </c>
      <c r="K1820" s="231" t="b">
        <f t="shared" si="39"/>
        <v>0</v>
      </c>
      <c r="L1820" s="231"/>
      <c r="M1820" s="237" t="s">
        <v>3276</v>
      </c>
      <c r="N1820" s="231"/>
      <c r="O1820" s="231">
        <v>2025</v>
      </c>
      <c r="P1820" s="286">
        <v>45729</v>
      </c>
      <c r="Q1820" s="231" t="s">
        <v>3505</v>
      </c>
      <c r="R1820" s="231"/>
      <c r="S1820" s="241" t="s">
        <v>453</v>
      </c>
      <c r="T1820" s="231"/>
    </row>
    <row r="1821" spans="1:20" ht="15" customHeight="1">
      <c r="A1821" s="231">
        <v>1820</v>
      </c>
      <c r="B1821" s="231" t="s">
        <v>52</v>
      </c>
      <c r="C1821" s="231" t="s">
        <v>10</v>
      </c>
      <c r="D1821" s="237" t="s">
        <v>3621</v>
      </c>
      <c r="E1821" s="268"/>
      <c r="F1821" s="231"/>
      <c r="G1821" s="231"/>
      <c r="H1821" s="237" t="s">
        <v>2763</v>
      </c>
      <c r="I1821" s="249">
        <v>0</v>
      </c>
      <c r="J1821" s="249">
        <v>790</v>
      </c>
      <c r="K1821" s="231" t="b">
        <f t="shared" si="39"/>
        <v>0</v>
      </c>
      <c r="L1821" s="231"/>
      <c r="M1821" s="237" t="s">
        <v>3276</v>
      </c>
      <c r="N1821" s="231"/>
      <c r="O1821" s="231">
        <v>2025</v>
      </c>
      <c r="P1821" s="286">
        <v>45729</v>
      </c>
      <c r="Q1821" s="231" t="s">
        <v>3505</v>
      </c>
      <c r="R1821" s="231"/>
      <c r="S1821" s="241" t="s">
        <v>453</v>
      </c>
      <c r="T1821" s="231"/>
    </row>
    <row r="1822" spans="1:20" ht="15" customHeight="1">
      <c r="A1822" s="231">
        <v>1821</v>
      </c>
      <c r="B1822" s="231" t="s">
        <v>52</v>
      </c>
      <c r="C1822" s="231" t="s">
        <v>10</v>
      </c>
      <c r="D1822" s="237" t="s">
        <v>3622</v>
      </c>
      <c r="E1822" s="268"/>
      <c r="F1822" s="231"/>
      <c r="G1822" s="231"/>
      <c r="H1822" s="237" t="s">
        <v>3623</v>
      </c>
      <c r="I1822" s="249">
        <v>0</v>
      </c>
      <c r="J1822" s="249">
        <v>1000</v>
      </c>
      <c r="K1822" s="231" t="b">
        <f t="shared" si="39"/>
        <v>0</v>
      </c>
      <c r="L1822" s="231"/>
      <c r="M1822" s="237" t="s">
        <v>3276</v>
      </c>
      <c r="N1822" s="231"/>
      <c r="O1822" s="231">
        <v>2025</v>
      </c>
      <c r="P1822" s="286">
        <v>45730</v>
      </c>
      <c r="Q1822" s="231" t="s">
        <v>3505</v>
      </c>
      <c r="R1822" s="231"/>
      <c r="S1822" s="241" t="s">
        <v>453</v>
      </c>
      <c r="T1822" s="231"/>
    </row>
    <row r="1823" spans="1:20" ht="15" customHeight="1">
      <c r="A1823" s="231">
        <v>1822</v>
      </c>
      <c r="B1823" s="231" t="s">
        <v>52</v>
      </c>
      <c r="C1823" s="231" t="s">
        <v>10</v>
      </c>
      <c r="D1823" s="237" t="s">
        <v>3624</v>
      </c>
      <c r="E1823" s="268"/>
      <c r="F1823" s="231"/>
      <c r="G1823" s="231"/>
      <c r="H1823" s="237" t="s">
        <v>2783</v>
      </c>
      <c r="I1823" s="249">
        <v>339</v>
      </c>
      <c r="J1823" s="249">
        <v>0</v>
      </c>
      <c r="K1823" s="231" t="b">
        <f t="shared" si="39"/>
        <v>0</v>
      </c>
      <c r="L1823" s="231"/>
      <c r="M1823" s="237" t="s">
        <v>3437</v>
      </c>
      <c r="N1823" s="231"/>
      <c r="O1823" s="231">
        <v>2025</v>
      </c>
      <c r="P1823" s="286">
        <v>45730</v>
      </c>
      <c r="Q1823" s="231" t="s">
        <v>3505</v>
      </c>
      <c r="R1823" s="231"/>
      <c r="S1823" s="241" t="s">
        <v>453</v>
      </c>
      <c r="T1823" s="231"/>
    </row>
    <row r="1824" spans="1:20" ht="15" customHeight="1">
      <c r="A1824" s="231">
        <v>1823</v>
      </c>
      <c r="B1824" s="231" t="s">
        <v>55</v>
      </c>
      <c r="C1824" s="231" t="s">
        <v>10</v>
      </c>
      <c r="D1824" s="237" t="s">
        <v>3625</v>
      </c>
      <c r="E1824" s="268"/>
      <c r="F1824" s="231"/>
      <c r="G1824" s="231"/>
      <c r="H1824" s="237" t="s">
        <v>2894</v>
      </c>
      <c r="I1824" s="249">
        <v>200</v>
      </c>
      <c r="J1824" s="249">
        <v>0</v>
      </c>
      <c r="K1824" s="231" t="b">
        <f t="shared" si="39"/>
        <v>0</v>
      </c>
      <c r="L1824" s="231"/>
      <c r="M1824" s="237" t="s">
        <v>3437</v>
      </c>
      <c r="N1824" s="231"/>
      <c r="O1824" s="231">
        <v>2025</v>
      </c>
      <c r="P1824" s="286">
        <v>45728</v>
      </c>
      <c r="Q1824" s="231" t="s">
        <v>3505</v>
      </c>
      <c r="R1824" s="231"/>
      <c r="S1824" s="241" t="s">
        <v>453</v>
      </c>
      <c r="T1824" s="231"/>
    </row>
    <row r="1825" spans="1:20" ht="15" customHeight="1">
      <c r="A1825" s="231">
        <v>1824</v>
      </c>
      <c r="B1825" s="231" t="s">
        <v>52</v>
      </c>
      <c r="C1825" s="231" t="s">
        <v>10</v>
      </c>
      <c r="D1825" s="237" t="s">
        <v>3626</v>
      </c>
      <c r="E1825" s="268"/>
      <c r="F1825" s="231"/>
      <c r="G1825" s="231"/>
      <c r="H1825" s="231" t="s">
        <v>3301</v>
      </c>
      <c r="I1825" s="249">
        <v>97</v>
      </c>
      <c r="J1825" s="249">
        <v>0</v>
      </c>
      <c r="K1825" s="231" t="b">
        <f t="shared" si="39"/>
        <v>0</v>
      </c>
      <c r="L1825" s="231"/>
      <c r="M1825" s="237" t="s">
        <v>3437</v>
      </c>
      <c r="N1825" s="231"/>
      <c r="O1825" s="231">
        <v>2025</v>
      </c>
      <c r="P1825" s="286">
        <v>45734</v>
      </c>
      <c r="Q1825" s="231" t="s">
        <v>3505</v>
      </c>
      <c r="R1825" s="231"/>
      <c r="S1825" s="241" t="s">
        <v>453</v>
      </c>
      <c r="T1825" s="231"/>
    </row>
    <row r="1826" spans="1:20" ht="15" customHeight="1">
      <c r="A1826" s="231">
        <v>1825</v>
      </c>
      <c r="B1826" s="231" t="s">
        <v>52</v>
      </c>
      <c r="C1826" s="231" t="s">
        <v>10</v>
      </c>
      <c r="D1826" s="237" t="s">
        <v>3627</v>
      </c>
      <c r="E1826" s="268"/>
      <c r="F1826" s="231"/>
      <c r="G1826" s="231"/>
      <c r="H1826" s="231" t="s">
        <v>3628</v>
      </c>
      <c r="I1826" s="249">
        <v>75</v>
      </c>
      <c r="J1826" s="249">
        <v>0</v>
      </c>
      <c r="K1826" s="231" t="b">
        <f t="shared" si="39"/>
        <v>0</v>
      </c>
      <c r="L1826" s="231"/>
      <c r="M1826" s="237" t="s">
        <v>3437</v>
      </c>
      <c r="N1826" s="231"/>
      <c r="O1826" s="231">
        <v>2025</v>
      </c>
      <c r="P1826" s="286">
        <v>45734</v>
      </c>
      <c r="Q1826" s="231" t="s">
        <v>3505</v>
      </c>
      <c r="R1826" s="231"/>
      <c r="S1826" s="241" t="s">
        <v>453</v>
      </c>
      <c r="T1826" s="231"/>
    </row>
    <row r="1827" spans="1:20" ht="15" customHeight="1">
      <c r="A1827" s="231">
        <v>1826</v>
      </c>
      <c r="B1827" s="231" t="s">
        <v>52</v>
      </c>
      <c r="C1827" s="231" t="s">
        <v>10</v>
      </c>
      <c r="D1827" s="237" t="s">
        <v>3629</v>
      </c>
      <c r="E1827" s="268"/>
      <c r="F1827" s="231"/>
      <c r="G1827" s="231"/>
      <c r="H1827" s="231" t="s">
        <v>3628</v>
      </c>
      <c r="I1827" s="249">
        <v>75</v>
      </c>
      <c r="J1827" s="249">
        <v>0</v>
      </c>
      <c r="K1827" s="231" t="b">
        <f t="shared" si="39"/>
        <v>0</v>
      </c>
      <c r="L1827" s="231"/>
      <c r="M1827" s="237" t="s">
        <v>3437</v>
      </c>
      <c r="N1827" s="231"/>
      <c r="O1827" s="231">
        <v>2025</v>
      </c>
      <c r="P1827" s="286">
        <v>45734</v>
      </c>
      <c r="Q1827" s="231" t="s">
        <v>3505</v>
      </c>
      <c r="R1827" s="231"/>
      <c r="S1827" s="241" t="s">
        <v>453</v>
      </c>
      <c r="T1827" s="231"/>
    </row>
    <row r="1828" spans="1:20" ht="15" customHeight="1">
      <c r="A1828" s="231">
        <v>1827</v>
      </c>
      <c r="B1828" s="231" t="s">
        <v>52</v>
      </c>
      <c r="C1828" s="231" t="s">
        <v>10</v>
      </c>
      <c r="D1828" s="304" t="s">
        <v>4361</v>
      </c>
      <c r="E1828" s="268"/>
      <c r="F1828" s="231"/>
      <c r="G1828" s="231"/>
      <c r="H1828" s="231" t="s">
        <v>3330</v>
      </c>
      <c r="I1828" s="249">
        <v>0</v>
      </c>
      <c r="J1828" s="249">
        <v>400</v>
      </c>
      <c r="K1828" s="231" t="b">
        <f t="shared" si="39"/>
        <v>0</v>
      </c>
      <c r="L1828" s="231"/>
      <c r="M1828" s="237" t="s">
        <v>4225</v>
      </c>
      <c r="N1828" s="231"/>
      <c r="O1828" s="231">
        <v>2025</v>
      </c>
      <c r="P1828" s="286">
        <v>45735</v>
      </c>
      <c r="Q1828" s="231" t="s">
        <v>3505</v>
      </c>
      <c r="R1828" s="231"/>
      <c r="S1828" s="241" t="s">
        <v>453</v>
      </c>
      <c r="T1828" s="231"/>
    </row>
    <row r="1829" spans="1:20" ht="15" customHeight="1">
      <c r="A1829" s="231">
        <v>1828</v>
      </c>
      <c r="B1829" s="231" t="s">
        <v>52</v>
      </c>
      <c r="C1829" s="231" t="s">
        <v>10</v>
      </c>
      <c r="D1829" s="237" t="s">
        <v>3630</v>
      </c>
      <c r="E1829" s="268"/>
      <c r="F1829" s="231"/>
      <c r="G1829" s="231"/>
      <c r="H1829" s="231" t="s">
        <v>3628</v>
      </c>
      <c r="I1829" s="249">
        <v>423</v>
      </c>
      <c r="J1829" s="249">
        <v>0</v>
      </c>
      <c r="K1829" s="231" t="b">
        <f t="shared" si="39"/>
        <v>0</v>
      </c>
      <c r="L1829" s="231"/>
      <c r="M1829" s="237" t="s">
        <v>3437</v>
      </c>
      <c r="N1829" s="231"/>
      <c r="O1829" s="231">
        <v>2025</v>
      </c>
      <c r="P1829" s="286">
        <v>45735</v>
      </c>
      <c r="Q1829" s="231" t="s">
        <v>3505</v>
      </c>
      <c r="R1829" s="231"/>
      <c r="S1829" s="241" t="s">
        <v>453</v>
      </c>
      <c r="T1829" s="231"/>
    </row>
    <row r="1830" spans="1:20" ht="15" customHeight="1">
      <c r="A1830" s="231">
        <v>1829</v>
      </c>
      <c r="B1830" s="231" t="s">
        <v>52</v>
      </c>
      <c r="C1830" s="231" t="s">
        <v>10</v>
      </c>
      <c r="D1830" s="237" t="s">
        <v>3631</v>
      </c>
      <c r="E1830" s="268"/>
      <c r="F1830" s="231"/>
      <c r="G1830" s="231"/>
      <c r="H1830" s="231" t="s">
        <v>3623</v>
      </c>
      <c r="I1830" s="249">
        <v>450</v>
      </c>
      <c r="J1830" s="249">
        <v>0</v>
      </c>
      <c r="K1830" s="231" t="b">
        <f t="shared" si="39"/>
        <v>0</v>
      </c>
      <c r="L1830" s="231"/>
      <c r="M1830" s="237" t="s">
        <v>3276</v>
      </c>
      <c r="N1830" s="231"/>
      <c r="O1830" s="231">
        <v>2025</v>
      </c>
      <c r="P1830" s="286">
        <v>45733</v>
      </c>
      <c r="Q1830" s="231" t="s">
        <v>3593</v>
      </c>
      <c r="R1830" s="231"/>
      <c r="S1830" s="241" t="s">
        <v>453</v>
      </c>
      <c r="T1830" s="231"/>
    </row>
    <row r="1831" spans="1:20" ht="15" customHeight="1">
      <c r="A1831" s="231">
        <v>1830</v>
      </c>
      <c r="B1831" s="231" t="s">
        <v>51</v>
      </c>
      <c r="C1831" s="231" t="s">
        <v>10</v>
      </c>
      <c r="D1831" s="237" t="s">
        <v>3632</v>
      </c>
      <c r="E1831" s="268"/>
      <c r="F1831" s="231"/>
      <c r="G1831" s="231"/>
      <c r="H1831" s="231" t="s">
        <v>3633</v>
      </c>
      <c r="I1831" s="249">
        <v>0</v>
      </c>
      <c r="J1831" s="249">
        <v>1943</v>
      </c>
      <c r="K1831" s="231" t="b">
        <f t="shared" si="39"/>
        <v>0</v>
      </c>
      <c r="L1831" s="231"/>
      <c r="M1831" s="237" t="s">
        <v>3276</v>
      </c>
      <c r="N1831" s="231"/>
      <c r="O1831" s="231">
        <v>2025</v>
      </c>
      <c r="P1831" s="286">
        <v>45733</v>
      </c>
      <c r="Q1831" s="231" t="s">
        <v>3593</v>
      </c>
      <c r="R1831" s="231"/>
      <c r="S1831" s="241" t="s">
        <v>453</v>
      </c>
      <c r="T1831" s="231"/>
    </row>
    <row r="1832" spans="1:20" ht="15" customHeight="1">
      <c r="A1832" s="231">
        <v>1831</v>
      </c>
      <c r="B1832" s="231" t="s">
        <v>52</v>
      </c>
      <c r="C1832" s="231" t="s">
        <v>10</v>
      </c>
      <c r="D1832" s="237" t="s">
        <v>3634</v>
      </c>
      <c r="E1832" s="268"/>
      <c r="F1832" s="231"/>
      <c r="G1832" s="231"/>
      <c r="H1832" s="231" t="s">
        <v>3635</v>
      </c>
      <c r="I1832" s="249">
        <v>0</v>
      </c>
      <c r="J1832" s="249">
        <v>300</v>
      </c>
      <c r="K1832" s="231" t="b">
        <f t="shared" si="39"/>
        <v>0</v>
      </c>
      <c r="L1832" s="231"/>
      <c r="M1832" s="237" t="s">
        <v>3276</v>
      </c>
      <c r="N1832" s="231"/>
      <c r="O1832" s="231">
        <v>2025</v>
      </c>
      <c r="P1832" s="286">
        <v>45733</v>
      </c>
      <c r="Q1832" s="231" t="s">
        <v>3593</v>
      </c>
      <c r="R1832" s="231"/>
      <c r="S1832" s="241" t="s">
        <v>453</v>
      </c>
      <c r="T1832" s="231"/>
    </row>
    <row r="1833" spans="1:20" ht="15" customHeight="1">
      <c r="A1833" s="231">
        <v>1832</v>
      </c>
      <c r="B1833" s="231" t="s">
        <v>55</v>
      </c>
      <c r="C1833" s="231" t="s">
        <v>10</v>
      </c>
      <c r="D1833" s="237" t="s">
        <v>3636</v>
      </c>
      <c r="E1833" s="268"/>
      <c r="F1833" s="231"/>
      <c r="G1833" s="231"/>
      <c r="H1833" s="231" t="s">
        <v>3637</v>
      </c>
      <c r="I1833" s="249">
        <v>0</v>
      </c>
      <c r="J1833" s="249">
        <v>1800</v>
      </c>
      <c r="K1833" s="231" t="b">
        <f t="shared" si="39"/>
        <v>0</v>
      </c>
      <c r="L1833" s="231"/>
      <c r="M1833" s="237" t="s">
        <v>3276</v>
      </c>
      <c r="N1833" s="231"/>
      <c r="O1833" s="231">
        <v>2025</v>
      </c>
      <c r="P1833" s="286">
        <v>45734</v>
      </c>
      <c r="Q1833" s="231" t="s">
        <v>3593</v>
      </c>
      <c r="R1833" s="231"/>
      <c r="S1833" s="241" t="s">
        <v>453</v>
      </c>
      <c r="T1833" s="231"/>
    </row>
    <row r="1834" spans="1:20" ht="15" customHeight="1">
      <c r="A1834" s="231">
        <v>1833</v>
      </c>
      <c r="B1834" s="231" t="s">
        <v>52</v>
      </c>
      <c r="C1834" s="231" t="s">
        <v>10</v>
      </c>
      <c r="D1834" s="237" t="s">
        <v>3638</v>
      </c>
      <c r="E1834" s="268"/>
      <c r="F1834" s="231"/>
      <c r="G1834" s="231"/>
      <c r="H1834" s="231" t="s">
        <v>3639</v>
      </c>
      <c r="I1834" s="249">
        <v>100</v>
      </c>
      <c r="J1834" s="249">
        <v>700</v>
      </c>
      <c r="K1834" s="231" t="b">
        <f t="shared" si="39"/>
        <v>0</v>
      </c>
      <c r="L1834" s="231"/>
      <c r="M1834" s="237" t="s">
        <v>3276</v>
      </c>
      <c r="N1834" s="231"/>
      <c r="O1834" s="231">
        <v>2025</v>
      </c>
      <c r="P1834" s="286">
        <v>45734</v>
      </c>
      <c r="Q1834" s="231" t="s">
        <v>3593</v>
      </c>
      <c r="R1834" s="231"/>
      <c r="S1834" s="241" t="s">
        <v>453</v>
      </c>
      <c r="T1834" s="231"/>
    </row>
    <row r="1835" spans="1:20" ht="15" customHeight="1">
      <c r="A1835" s="231">
        <v>1834</v>
      </c>
      <c r="B1835" s="231" t="s">
        <v>52</v>
      </c>
      <c r="C1835" s="231" t="s">
        <v>10</v>
      </c>
      <c r="D1835" s="237" t="s">
        <v>3640</v>
      </c>
      <c r="E1835" s="268"/>
      <c r="F1835" s="231"/>
      <c r="G1835" s="231"/>
      <c r="H1835" s="231" t="s">
        <v>3641</v>
      </c>
      <c r="I1835" s="249">
        <v>102</v>
      </c>
      <c r="J1835" s="249">
        <v>896</v>
      </c>
      <c r="K1835" s="231" t="b">
        <f t="shared" si="39"/>
        <v>0</v>
      </c>
      <c r="L1835" s="231"/>
      <c r="M1835" s="237" t="s">
        <v>3276</v>
      </c>
      <c r="N1835" s="231"/>
      <c r="O1835" s="231">
        <v>2025</v>
      </c>
      <c r="P1835" s="286">
        <v>45734</v>
      </c>
      <c r="Q1835" s="231" t="s">
        <v>3593</v>
      </c>
      <c r="R1835" s="231"/>
      <c r="S1835" s="241" t="s">
        <v>453</v>
      </c>
      <c r="T1835" s="231"/>
    </row>
    <row r="1836" spans="1:20" ht="15" customHeight="1">
      <c r="A1836" s="231">
        <v>1835</v>
      </c>
      <c r="B1836" s="231" t="s">
        <v>52</v>
      </c>
      <c r="C1836" s="231" t="s">
        <v>10</v>
      </c>
      <c r="D1836" s="237" t="s">
        <v>3642</v>
      </c>
      <c r="E1836" s="268"/>
      <c r="F1836" s="231"/>
      <c r="G1836" s="231"/>
      <c r="H1836" s="231" t="s">
        <v>3643</v>
      </c>
      <c r="I1836" s="249">
        <v>0</v>
      </c>
      <c r="J1836" s="249">
        <v>300</v>
      </c>
      <c r="K1836" s="231" t="b">
        <f t="shared" si="39"/>
        <v>0</v>
      </c>
      <c r="L1836" s="231"/>
      <c r="M1836" s="237" t="s">
        <v>3276</v>
      </c>
      <c r="N1836" s="231"/>
      <c r="O1836" s="231">
        <v>2025</v>
      </c>
      <c r="P1836" s="286">
        <v>45723</v>
      </c>
      <c r="Q1836" s="231" t="s">
        <v>3593</v>
      </c>
      <c r="R1836" s="231"/>
      <c r="S1836" s="241" t="s">
        <v>453</v>
      </c>
      <c r="T1836" s="231"/>
    </row>
    <row r="1837" spans="1:20" ht="15" customHeight="1">
      <c r="A1837" s="231">
        <v>1836</v>
      </c>
      <c r="B1837" s="231" t="s">
        <v>52</v>
      </c>
      <c r="C1837" s="231" t="s">
        <v>10</v>
      </c>
      <c r="D1837" s="237" t="s">
        <v>3644</v>
      </c>
      <c r="E1837" s="268"/>
      <c r="F1837" s="231"/>
      <c r="G1837" s="231"/>
      <c r="H1837" s="231" t="s">
        <v>3645</v>
      </c>
      <c r="I1837" s="249">
        <v>110</v>
      </c>
      <c r="J1837" s="249">
        <v>0</v>
      </c>
      <c r="K1837" s="231" t="b">
        <f t="shared" si="39"/>
        <v>0</v>
      </c>
      <c r="L1837" s="231"/>
      <c r="M1837" s="237" t="s">
        <v>3276</v>
      </c>
      <c r="N1837" s="231"/>
      <c r="O1837" s="231">
        <v>2025</v>
      </c>
      <c r="P1837" s="286">
        <v>45735</v>
      </c>
      <c r="Q1837" s="231" t="s">
        <v>3593</v>
      </c>
      <c r="R1837" s="231"/>
      <c r="S1837" s="241" t="s">
        <v>453</v>
      </c>
      <c r="T1837" s="231"/>
    </row>
    <row r="1838" spans="1:20" ht="15" customHeight="1">
      <c r="A1838" s="231">
        <v>1837</v>
      </c>
      <c r="B1838" s="231" t="s">
        <v>52</v>
      </c>
      <c r="C1838" s="231" t="s">
        <v>10</v>
      </c>
      <c r="D1838" s="237" t="s">
        <v>3646</v>
      </c>
      <c r="E1838" s="268"/>
      <c r="F1838" s="231"/>
      <c r="G1838" s="231"/>
      <c r="H1838" s="231" t="s">
        <v>3488</v>
      </c>
      <c r="I1838" s="249">
        <v>148</v>
      </c>
      <c r="J1838" s="249">
        <v>0</v>
      </c>
      <c r="K1838" s="231" t="b">
        <f t="shared" si="39"/>
        <v>0</v>
      </c>
      <c r="L1838" s="231"/>
      <c r="M1838" s="237" t="s">
        <v>3276</v>
      </c>
      <c r="N1838" s="231"/>
      <c r="O1838" s="231">
        <v>2025</v>
      </c>
      <c r="P1838" s="286">
        <v>45736</v>
      </c>
      <c r="Q1838" s="231" t="s">
        <v>3593</v>
      </c>
      <c r="R1838" s="231"/>
      <c r="S1838" s="241" t="s">
        <v>453</v>
      </c>
      <c r="T1838" s="231"/>
    </row>
    <row r="1839" spans="1:20" ht="15" customHeight="1">
      <c r="A1839" s="231">
        <v>1838</v>
      </c>
      <c r="B1839" s="231" t="s">
        <v>52</v>
      </c>
      <c r="C1839" s="231" t="s">
        <v>10</v>
      </c>
      <c r="D1839" s="237" t="s">
        <v>3647</v>
      </c>
      <c r="E1839" s="268"/>
      <c r="F1839" s="231"/>
      <c r="G1839" s="231"/>
      <c r="H1839" s="231" t="s">
        <v>3111</v>
      </c>
      <c r="I1839" s="249">
        <v>0</v>
      </c>
      <c r="J1839" s="249">
        <v>390</v>
      </c>
      <c r="K1839" s="231" t="b">
        <f t="shared" si="39"/>
        <v>0</v>
      </c>
      <c r="L1839" s="231"/>
      <c r="M1839" s="237" t="s">
        <v>3276</v>
      </c>
      <c r="N1839" s="231"/>
      <c r="O1839" s="231">
        <v>2025</v>
      </c>
      <c r="P1839" s="286">
        <v>45737</v>
      </c>
      <c r="Q1839" s="231" t="s">
        <v>3593</v>
      </c>
      <c r="R1839" s="231"/>
      <c r="S1839" s="241" t="s">
        <v>453</v>
      </c>
      <c r="T1839" s="231"/>
    </row>
    <row r="1840" spans="1:20" ht="15" customHeight="1">
      <c r="A1840" s="231">
        <v>1839</v>
      </c>
      <c r="B1840" s="231" t="s">
        <v>52</v>
      </c>
      <c r="C1840" s="231" t="s">
        <v>10</v>
      </c>
      <c r="D1840" s="237" t="s">
        <v>3648</v>
      </c>
      <c r="E1840" s="268"/>
      <c r="F1840" s="231"/>
      <c r="G1840" s="231"/>
      <c r="H1840" s="244" t="s">
        <v>3485</v>
      </c>
      <c r="I1840" s="249">
        <v>400</v>
      </c>
      <c r="J1840" s="249">
        <v>0</v>
      </c>
      <c r="K1840" s="231" t="b">
        <f t="shared" si="39"/>
        <v>0</v>
      </c>
      <c r="L1840" s="231"/>
      <c r="M1840" s="237" t="s">
        <v>3276</v>
      </c>
      <c r="N1840" s="231"/>
      <c r="O1840" s="231">
        <v>2025</v>
      </c>
      <c r="P1840" s="286">
        <v>45375</v>
      </c>
      <c r="Q1840" s="231" t="s">
        <v>3593</v>
      </c>
      <c r="R1840" s="231"/>
      <c r="S1840" s="241" t="s">
        <v>453</v>
      </c>
      <c r="T1840" s="231"/>
    </row>
    <row r="1841" spans="1:20" ht="15" customHeight="1">
      <c r="A1841" s="231">
        <v>1840</v>
      </c>
      <c r="B1841" s="231" t="s">
        <v>52</v>
      </c>
      <c r="C1841" s="231" t="s">
        <v>10</v>
      </c>
      <c r="D1841" s="237" t="s">
        <v>3649</v>
      </c>
      <c r="E1841" s="268"/>
      <c r="F1841" s="231"/>
      <c r="G1841" s="231"/>
      <c r="H1841" s="244" t="s">
        <v>2046</v>
      </c>
      <c r="I1841" s="249">
        <v>400</v>
      </c>
      <c r="J1841" s="249">
        <v>600</v>
      </c>
      <c r="K1841" s="231" t="b">
        <f t="shared" si="39"/>
        <v>0</v>
      </c>
      <c r="L1841" s="231"/>
      <c r="M1841" s="237" t="s">
        <v>3276</v>
      </c>
      <c r="N1841" s="231"/>
      <c r="O1841" s="231">
        <v>2025</v>
      </c>
      <c r="P1841" s="286">
        <v>45740</v>
      </c>
      <c r="Q1841" s="231" t="s">
        <v>3593</v>
      </c>
      <c r="R1841" s="231"/>
      <c r="S1841" s="241" t="s">
        <v>453</v>
      </c>
      <c r="T1841" s="231"/>
    </row>
    <row r="1842" spans="1:20" ht="15" customHeight="1">
      <c r="A1842" s="231">
        <v>1841</v>
      </c>
      <c r="B1842" s="231" t="s">
        <v>52</v>
      </c>
      <c r="C1842" s="231" t="s">
        <v>10</v>
      </c>
      <c r="D1842" s="237" t="s">
        <v>3650</v>
      </c>
      <c r="E1842" s="268"/>
      <c r="F1842" s="231"/>
      <c r="G1842" s="231"/>
      <c r="H1842" s="244" t="s">
        <v>3651</v>
      </c>
      <c r="I1842" s="249">
        <v>0</v>
      </c>
      <c r="J1842" s="249">
        <v>400</v>
      </c>
      <c r="K1842" s="231" t="b">
        <f t="shared" si="39"/>
        <v>0</v>
      </c>
      <c r="L1842" s="231"/>
      <c r="M1842" s="237" t="s">
        <v>3276</v>
      </c>
      <c r="N1842" s="231"/>
      <c r="O1842" s="231">
        <v>2025</v>
      </c>
      <c r="P1842" s="286">
        <v>45726</v>
      </c>
      <c r="Q1842" s="231" t="s">
        <v>3593</v>
      </c>
      <c r="R1842" s="231"/>
      <c r="S1842" s="241" t="s">
        <v>453</v>
      </c>
      <c r="T1842" s="231"/>
    </row>
    <row r="1843" spans="1:20" ht="15" customHeight="1">
      <c r="A1843" s="231">
        <v>1842</v>
      </c>
      <c r="B1843" s="231" t="s">
        <v>52</v>
      </c>
      <c r="C1843" s="231" t="s">
        <v>10</v>
      </c>
      <c r="D1843" s="304" t="s">
        <v>4366</v>
      </c>
      <c r="E1843" s="268"/>
      <c r="F1843" s="231"/>
      <c r="G1843" s="231"/>
      <c r="H1843" s="304" t="s">
        <v>3477</v>
      </c>
      <c r="I1843" s="249">
        <v>0</v>
      </c>
      <c r="J1843" s="249">
        <v>3983</v>
      </c>
      <c r="K1843" s="231" t="b">
        <f t="shared" si="39"/>
        <v>0</v>
      </c>
      <c r="L1843" s="231"/>
      <c r="M1843" s="237" t="s">
        <v>3276</v>
      </c>
      <c r="N1843" s="231"/>
      <c r="O1843" s="231">
        <v>2025</v>
      </c>
      <c r="P1843" s="286">
        <v>45740</v>
      </c>
      <c r="Q1843" s="231" t="s">
        <v>3593</v>
      </c>
      <c r="R1843" s="231"/>
      <c r="S1843" s="241" t="s">
        <v>453</v>
      </c>
      <c r="T1843" s="231"/>
    </row>
    <row r="1844" spans="1:20" ht="15" customHeight="1">
      <c r="A1844" s="231">
        <v>1843</v>
      </c>
      <c r="B1844" s="231" t="s">
        <v>52</v>
      </c>
      <c r="C1844" s="231" t="s">
        <v>10</v>
      </c>
      <c r="D1844" s="237" t="s">
        <v>3652</v>
      </c>
      <c r="E1844" s="268"/>
      <c r="F1844" s="231"/>
      <c r="G1844" s="231"/>
      <c r="H1844" s="244" t="s">
        <v>3301</v>
      </c>
      <c r="I1844" s="249">
        <v>200</v>
      </c>
      <c r="J1844" s="249">
        <v>0</v>
      </c>
      <c r="K1844" s="231" t="b">
        <f t="shared" si="39"/>
        <v>0</v>
      </c>
      <c r="L1844" s="231"/>
      <c r="M1844" s="237" t="s">
        <v>3276</v>
      </c>
      <c r="N1844" s="231"/>
      <c r="O1844" s="231">
        <v>2025</v>
      </c>
      <c r="P1844" s="286">
        <v>45741</v>
      </c>
      <c r="Q1844" s="231" t="s">
        <v>3593</v>
      </c>
      <c r="R1844" s="231"/>
      <c r="S1844" s="241" t="s">
        <v>453</v>
      </c>
      <c r="T1844" s="231"/>
    </row>
    <row r="1845" spans="1:20" ht="15" customHeight="1">
      <c r="A1845" s="231">
        <v>1844</v>
      </c>
      <c r="B1845" s="231" t="s">
        <v>52</v>
      </c>
      <c r="C1845" s="231" t="s">
        <v>10</v>
      </c>
      <c r="D1845" s="237" t="s">
        <v>3653</v>
      </c>
      <c r="E1845" s="268"/>
      <c r="F1845" s="231"/>
      <c r="G1845" s="231"/>
      <c r="H1845" s="244" t="s">
        <v>3628</v>
      </c>
      <c r="I1845" s="249">
        <v>250</v>
      </c>
      <c r="J1845" s="249">
        <v>0</v>
      </c>
      <c r="K1845" s="231" t="b">
        <f t="shared" si="39"/>
        <v>0</v>
      </c>
      <c r="L1845" s="231"/>
      <c r="M1845" s="237" t="s">
        <v>3276</v>
      </c>
      <c r="N1845" s="231"/>
      <c r="O1845" s="231">
        <v>2025</v>
      </c>
      <c r="P1845" s="286">
        <v>45741</v>
      </c>
      <c r="Q1845" s="231" t="s">
        <v>3593</v>
      </c>
      <c r="R1845" s="231"/>
      <c r="S1845" s="241" t="s">
        <v>453</v>
      </c>
      <c r="T1845" s="231"/>
    </row>
    <row r="1846" spans="1:20" ht="15" customHeight="1">
      <c r="A1846" s="231">
        <v>1845</v>
      </c>
      <c r="B1846" s="231" t="s">
        <v>52</v>
      </c>
      <c r="C1846" s="231" t="s">
        <v>10</v>
      </c>
      <c r="D1846" s="237" t="s">
        <v>3654</v>
      </c>
      <c r="E1846" s="268"/>
      <c r="F1846" s="231"/>
      <c r="G1846" s="231"/>
      <c r="H1846" s="244" t="s">
        <v>3477</v>
      </c>
      <c r="I1846" s="249">
        <v>200</v>
      </c>
      <c r="J1846" s="249">
        <v>3800</v>
      </c>
      <c r="K1846" s="231" t="b">
        <f t="shared" si="39"/>
        <v>0</v>
      </c>
      <c r="L1846" s="231"/>
      <c r="M1846" s="237" t="s">
        <v>3276</v>
      </c>
      <c r="N1846" s="231"/>
      <c r="O1846" s="231">
        <v>2025</v>
      </c>
      <c r="P1846" s="286">
        <v>45741</v>
      </c>
      <c r="Q1846" s="231" t="s">
        <v>3593</v>
      </c>
      <c r="R1846" s="231"/>
      <c r="S1846" s="241" t="s">
        <v>453</v>
      </c>
      <c r="T1846" s="231"/>
    </row>
    <row r="1847" spans="1:20" ht="15" customHeight="1">
      <c r="A1847" s="231">
        <v>1846</v>
      </c>
      <c r="B1847" s="231" t="s">
        <v>52</v>
      </c>
      <c r="C1847" s="231" t="s">
        <v>10</v>
      </c>
      <c r="D1847" s="237" t="s">
        <v>3655</v>
      </c>
      <c r="E1847" s="268"/>
      <c r="F1847" s="231"/>
      <c r="G1847" s="231"/>
      <c r="H1847" s="244" t="s">
        <v>3330</v>
      </c>
      <c r="I1847" s="249">
        <v>38</v>
      </c>
      <c r="J1847" s="249">
        <v>492</v>
      </c>
      <c r="K1847" s="231" t="b">
        <f t="shared" si="39"/>
        <v>0</v>
      </c>
      <c r="L1847" s="231"/>
      <c r="M1847" s="237" t="s">
        <v>3276</v>
      </c>
      <c r="N1847" s="231"/>
      <c r="O1847" s="231">
        <v>2025</v>
      </c>
      <c r="P1847" s="286">
        <v>45742</v>
      </c>
      <c r="Q1847" s="231" t="s">
        <v>3593</v>
      </c>
      <c r="R1847" s="231"/>
      <c r="S1847" s="241" t="s">
        <v>453</v>
      </c>
      <c r="T1847" s="231"/>
    </row>
    <row r="1848" spans="1:20" ht="15" customHeight="1">
      <c r="A1848" s="231">
        <v>1847</v>
      </c>
      <c r="B1848" s="231" t="s">
        <v>52</v>
      </c>
      <c r="C1848" s="231" t="s">
        <v>10</v>
      </c>
      <c r="D1848" s="237" t="s">
        <v>3656</v>
      </c>
      <c r="E1848" s="268"/>
      <c r="F1848" s="231"/>
      <c r="G1848" s="231"/>
      <c r="H1848" s="244" t="s">
        <v>3657</v>
      </c>
      <c r="I1848" s="249">
        <v>0</v>
      </c>
      <c r="J1848" s="249">
        <v>506</v>
      </c>
      <c r="K1848" s="231" t="b">
        <f t="shared" si="39"/>
        <v>0</v>
      </c>
      <c r="L1848" s="231"/>
      <c r="M1848" s="237" t="s">
        <v>3276</v>
      </c>
      <c r="N1848" s="231"/>
      <c r="O1848" s="231">
        <v>2025</v>
      </c>
      <c r="P1848" s="286">
        <v>45742</v>
      </c>
      <c r="Q1848" s="231" t="s">
        <v>3593</v>
      </c>
      <c r="R1848" s="231"/>
      <c r="S1848" s="241" t="s">
        <v>453</v>
      </c>
      <c r="T1848" s="231"/>
    </row>
    <row r="1849" spans="1:20" ht="15" customHeight="1">
      <c r="A1849" s="231">
        <v>1848</v>
      </c>
      <c r="B1849" s="231" t="s">
        <v>52</v>
      </c>
      <c r="C1849" s="231" t="s">
        <v>10</v>
      </c>
      <c r="D1849" s="237" t="s">
        <v>3658</v>
      </c>
      <c r="E1849" s="268"/>
      <c r="F1849" s="231"/>
      <c r="G1849" s="231"/>
      <c r="H1849" s="244" t="s">
        <v>3659</v>
      </c>
      <c r="I1849" s="249">
        <v>300</v>
      </c>
      <c r="J1849" s="249">
        <v>0</v>
      </c>
      <c r="K1849" s="231" t="b">
        <f t="shared" si="39"/>
        <v>0</v>
      </c>
      <c r="L1849" s="231"/>
      <c r="M1849" s="237" t="s">
        <v>3276</v>
      </c>
      <c r="N1849" s="231"/>
      <c r="O1849" s="231">
        <v>2025</v>
      </c>
      <c r="P1849" s="286">
        <v>45743</v>
      </c>
      <c r="Q1849" s="231" t="s">
        <v>3593</v>
      </c>
      <c r="R1849" s="231"/>
      <c r="S1849" s="241" t="s">
        <v>453</v>
      </c>
      <c r="T1849" s="231"/>
    </row>
    <row r="1850" spans="1:20" ht="15" customHeight="1">
      <c r="A1850" s="231">
        <v>1849</v>
      </c>
      <c r="B1850" s="231" t="s">
        <v>52</v>
      </c>
      <c r="C1850" s="231" t="s">
        <v>10</v>
      </c>
      <c r="D1850" s="237" t="s">
        <v>3660</v>
      </c>
      <c r="E1850" s="268"/>
      <c r="F1850" s="231"/>
      <c r="G1850" s="231"/>
      <c r="H1850" s="244" t="s">
        <v>3661</v>
      </c>
      <c r="I1850" s="249">
        <v>150</v>
      </c>
      <c r="J1850" s="249">
        <v>0</v>
      </c>
      <c r="K1850" s="231" t="b">
        <f t="shared" si="39"/>
        <v>0</v>
      </c>
      <c r="L1850" s="231"/>
      <c r="M1850" s="237" t="s">
        <v>3276</v>
      </c>
      <c r="N1850" s="231"/>
      <c r="O1850" s="231">
        <v>2025</v>
      </c>
      <c r="P1850" s="286">
        <v>45743</v>
      </c>
      <c r="Q1850" s="231" t="s">
        <v>3593</v>
      </c>
      <c r="R1850" s="231"/>
      <c r="S1850" s="241" t="s">
        <v>453</v>
      </c>
      <c r="T1850" s="231"/>
    </row>
    <row r="1851" spans="1:20" ht="15" customHeight="1">
      <c r="A1851" s="231">
        <v>1850</v>
      </c>
      <c r="B1851" s="231" t="s">
        <v>55</v>
      </c>
      <c r="C1851" s="231" t="s">
        <v>10</v>
      </c>
      <c r="D1851" s="237" t="s">
        <v>3663</v>
      </c>
      <c r="E1851" s="268"/>
      <c r="F1851" s="231"/>
      <c r="G1851" s="231"/>
      <c r="H1851" s="244" t="s">
        <v>3664</v>
      </c>
      <c r="I1851" s="249">
        <v>0</v>
      </c>
      <c r="J1851" s="249">
        <v>400</v>
      </c>
      <c r="K1851" s="231" t="b">
        <f t="shared" si="39"/>
        <v>0</v>
      </c>
      <c r="L1851" s="231"/>
      <c r="M1851" s="237" t="s">
        <v>3276</v>
      </c>
      <c r="N1851" s="231"/>
      <c r="O1851" s="231">
        <v>2025</v>
      </c>
      <c r="P1851" s="286">
        <v>45744</v>
      </c>
      <c r="Q1851" s="231" t="s">
        <v>3593</v>
      </c>
      <c r="R1851" s="231"/>
      <c r="S1851" s="241" t="s">
        <v>453</v>
      </c>
      <c r="T1851" s="231"/>
    </row>
    <row r="1852" spans="1:20" ht="15" customHeight="1">
      <c r="A1852" s="231">
        <v>1851</v>
      </c>
      <c r="B1852" s="231" t="s">
        <v>53</v>
      </c>
      <c r="C1852" s="231" t="s">
        <v>10</v>
      </c>
      <c r="D1852" s="237" t="s">
        <v>3665</v>
      </c>
      <c r="E1852" s="268"/>
      <c r="F1852" s="231"/>
      <c r="G1852" s="231"/>
      <c r="H1852" s="244" t="s">
        <v>3666</v>
      </c>
      <c r="I1852" s="249">
        <v>0</v>
      </c>
      <c r="J1852" s="249">
        <v>1000</v>
      </c>
      <c r="K1852" s="231" t="b">
        <f t="shared" si="39"/>
        <v>0</v>
      </c>
      <c r="L1852" s="231"/>
      <c r="M1852" s="237" t="s">
        <v>3276</v>
      </c>
      <c r="N1852" s="231"/>
      <c r="O1852" s="231">
        <v>2025</v>
      </c>
      <c r="P1852" s="286">
        <v>45744</v>
      </c>
      <c r="Q1852" s="231" t="s">
        <v>3593</v>
      </c>
      <c r="R1852" s="231"/>
      <c r="S1852" s="241" t="s">
        <v>453</v>
      </c>
      <c r="T1852" s="231"/>
    </row>
    <row r="1853" spans="1:20" ht="15" customHeight="1">
      <c r="A1853" s="231">
        <v>1852</v>
      </c>
      <c r="B1853" s="231" t="s">
        <v>49</v>
      </c>
      <c r="C1853" s="231" t="s">
        <v>10</v>
      </c>
      <c r="D1853" s="237" t="s">
        <v>3667</v>
      </c>
      <c r="E1853" s="268"/>
      <c r="F1853" s="231"/>
      <c r="G1853" s="231"/>
      <c r="H1853" s="244" t="s">
        <v>3496</v>
      </c>
      <c r="I1853" s="249">
        <v>0</v>
      </c>
      <c r="J1853" s="249">
        <v>120</v>
      </c>
      <c r="K1853" s="231" t="b">
        <f t="shared" si="39"/>
        <v>0</v>
      </c>
      <c r="L1853" s="231"/>
      <c r="M1853" s="237" t="s">
        <v>3276</v>
      </c>
      <c r="N1853" s="231"/>
      <c r="O1853" s="231">
        <v>2025</v>
      </c>
      <c r="P1853" s="286">
        <v>45745</v>
      </c>
      <c r="Q1853" s="231" t="s">
        <v>3593</v>
      </c>
      <c r="R1853" s="231"/>
      <c r="S1853" s="241" t="s">
        <v>453</v>
      </c>
      <c r="T1853" s="231"/>
    </row>
    <row r="1854" spans="1:20" ht="15" customHeight="1">
      <c r="A1854" s="231">
        <v>1853</v>
      </c>
      <c r="B1854" s="231" t="s">
        <v>52</v>
      </c>
      <c r="C1854" s="231" t="s">
        <v>10</v>
      </c>
      <c r="D1854" s="237" t="s">
        <v>3668</v>
      </c>
      <c r="E1854" s="268"/>
      <c r="F1854" s="231"/>
      <c r="G1854" s="231"/>
      <c r="H1854" s="244" t="s">
        <v>3669</v>
      </c>
      <c r="I1854" s="249">
        <v>150</v>
      </c>
      <c r="J1854" s="249">
        <v>0</v>
      </c>
      <c r="K1854" s="231" t="b">
        <f t="shared" si="39"/>
        <v>0</v>
      </c>
      <c r="L1854" s="231"/>
      <c r="M1854" s="237" t="s">
        <v>3437</v>
      </c>
      <c r="N1854" s="231"/>
      <c r="O1854" s="231">
        <v>2025</v>
      </c>
      <c r="P1854" s="286">
        <v>45742</v>
      </c>
      <c r="Q1854" s="231" t="s">
        <v>3593</v>
      </c>
      <c r="R1854" s="231"/>
      <c r="S1854" s="241" t="s">
        <v>453</v>
      </c>
      <c r="T1854" s="231"/>
    </row>
    <row r="1855" spans="1:20" ht="15" customHeight="1">
      <c r="A1855" s="231">
        <v>1854</v>
      </c>
      <c r="B1855" s="231" t="s">
        <v>52</v>
      </c>
      <c r="C1855" s="231" t="s">
        <v>10</v>
      </c>
      <c r="D1855" s="237" t="s">
        <v>3670</v>
      </c>
      <c r="E1855" s="268"/>
      <c r="F1855" s="231"/>
      <c r="G1855" s="231"/>
      <c r="H1855" s="244" t="s">
        <v>3669</v>
      </c>
      <c r="I1855" s="249">
        <v>134</v>
      </c>
      <c r="J1855" s="249">
        <v>0</v>
      </c>
      <c r="K1855" s="231" t="b">
        <f t="shared" si="39"/>
        <v>0</v>
      </c>
      <c r="L1855" s="231"/>
      <c r="M1855" s="237" t="s">
        <v>3437</v>
      </c>
      <c r="N1855" s="231"/>
      <c r="O1855" s="231">
        <v>2025</v>
      </c>
      <c r="P1855" s="286">
        <v>45742</v>
      </c>
      <c r="Q1855" s="231" t="s">
        <v>3593</v>
      </c>
      <c r="R1855" s="231"/>
      <c r="S1855" s="241" t="s">
        <v>453</v>
      </c>
      <c r="T1855" s="231"/>
    </row>
    <row r="1856" spans="1:20" ht="15" customHeight="1">
      <c r="A1856" s="231">
        <v>1855</v>
      </c>
      <c r="B1856" s="231" t="s">
        <v>52</v>
      </c>
      <c r="C1856" s="231" t="s">
        <v>10</v>
      </c>
      <c r="D1856" s="237" t="s">
        <v>3671</v>
      </c>
      <c r="E1856" s="268"/>
      <c r="F1856" s="231"/>
      <c r="G1856" s="231"/>
      <c r="H1856" s="244" t="s">
        <v>3669</v>
      </c>
      <c r="I1856" s="249">
        <v>209</v>
      </c>
      <c r="J1856" s="249">
        <v>0</v>
      </c>
      <c r="K1856" s="231" t="b">
        <f t="shared" si="39"/>
        <v>0</v>
      </c>
      <c r="L1856" s="231"/>
      <c r="M1856" s="237" t="s">
        <v>3437</v>
      </c>
      <c r="N1856" s="231"/>
      <c r="O1856" s="231">
        <v>2025</v>
      </c>
      <c r="P1856" s="286">
        <v>45742</v>
      </c>
      <c r="Q1856" s="231" t="s">
        <v>3593</v>
      </c>
      <c r="R1856" s="231"/>
      <c r="S1856" s="241" t="s">
        <v>453</v>
      </c>
      <c r="T1856" s="231"/>
    </row>
    <row r="1857" spans="1:27" ht="15" customHeight="1">
      <c r="A1857" s="231">
        <v>1856</v>
      </c>
      <c r="B1857" s="231" t="s">
        <v>52</v>
      </c>
      <c r="C1857" s="231" t="s">
        <v>10</v>
      </c>
      <c r="D1857" s="237" t="s">
        <v>3672</v>
      </c>
      <c r="E1857" s="268"/>
      <c r="F1857" s="231"/>
      <c r="G1857" s="231"/>
      <c r="H1857" s="244" t="s">
        <v>3669</v>
      </c>
      <c r="I1857" s="249">
        <v>189</v>
      </c>
      <c r="J1857" s="249">
        <v>0</v>
      </c>
      <c r="K1857" s="231" t="b">
        <f t="shared" si="39"/>
        <v>0</v>
      </c>
      <c r="L1857" s="231"/>
      <c r="M1857" s="237" t="s">
        <v>3437</v>
      </c>
      <c r="N1857" s="231"/>
      <c r="O1857" s="231">
        <v>2025</v>
      </c>
      <c r="P1857" s="286">
        <v>45742</v>
      </c>
      <c r="Q1857" s="231" t="s">
        <v>3593</v>
      </c>
      <c r="R1857" s="231"/>
      <c r="S1857" s="241" t="s">
        <v>453</v>
      </c>
      <c r="T1857" s="231"/>
    </row>
    <row r="1858" spans="1:27" ht="15" customHeight="1">
      <c r="A1858" s="231">
        <v>1857</v>
      </c>
      <c r="B1858" s="231" t="s">
        <v>52</v>
      </c>
      <c r="C1858" s="231" t="s">
        <v>10</v>
      </c>
      <c r="D1858" s="237" t="s">
        <v>3673</v>
      </c>
      <c r="E1858" s="268"/>
      <c r="F1858" s="231"/>
      <c r="G1858" s="231"/>
      <c r="H1858" s="244" t="s">
        <v>3669</v>
      </c>
      <c r="I1858" s="249">
        <v>120</v>
      </c>
      <c r="J1858" s="249">
        <v>0</v>
      </c>
      <c r="K1858" s="231" t="b">
        <f t="shared" si="39"/>
        <v>0</v>
      </c>
      <c r="L1858" s="231"/>
      <c r="M1858" s="237" t="s">
        <v>3437</v>
      </c>
      <c r="N1858" s="231"/>
      <c r="O1858" s="231">
        <v>2025</v>
      </c>
      <c r="P1858" s="286">
        <v>45743</v>
      </c>
      <c r="Q1858" s="231" t="s">
        <v>3593</v>
      </c>
      <c r="R1858" s="231"/>
      <c r="S1858" s="241" t="s">
        <v>453</v>
      </c>
      <c r="T1858" s="231"/>
    </row>
    <row r="1859" spans="1:27" ht="15" customHeight="1">
      <c r="A1859" s="231">
        <v>1858</v>
      </c>
      <c r="B1859" s="231" t="s">
        <v>52</v>
      </c>
      <c r="C1859" s="231" t="s">
        <v>10</v>
      </c>
      <c r="D1859" s="237" t="s">
        <v>3674</v>
      </c>
      <c r="E1859" s="268"/>
      <c r="F1859" s="231"/>
      <c r="G1859" s="231"/>
      <c r="H1859" s="244" t="s">
        <v>3669</v>
      </c>
      <c r="I1859" s="249">
        <v>108</v>
      </c>
      <c r="J1859" s="249">
        <v>0</v>
      </c>
      <c r="K1859" s="231" t="b">
        <f t="shared" si="39"/>
        <v>0</v>
      </c>
      <c r="L1859" s="231"/>
      <c r="M1859" s="237" t="s">
        <v>3437</v>
      </c>
      <c r="N1859" s="231"/>
      <c r="O1859" s="231">
        <v>2025</v>
      </c>
      <c r="P1859" s="286">
        <v>45743</v>
      </c>
      <c r="Q1859" s="231" t="s">
        <v>3593</v>
      </c>
      <c r="R1859" s="231"/>
      <c r="S1859" s="241" t="s">
        <v>453</v>
      </c>
      <c r="T1859" s="231"/>
      <c r="U1859" s="90">
        <v>4</v>
      </c>
      <c r="V1859" s="90">
        <v>4</v>
      </c>
      <c r="W1859" s="90">
        <v>0</v>
      </c>
      <c r="X1859" s="90" t="s">
        <v>4362</v>
      </c>
      <c r="Y1859" s="90" t="s">
        <v>4363</v>
      </c>
      <c r="Z1859" s="90" t="s">
        <v>4364</v>
      </c>
      <c r="AA1859" s="90" t="s">
        <v>4365</v>
      </c>
    </row>
    <row r="1860" spans="1:27" ht="15" customHeight="1">
      <c r="A1860" s="231">
        <v>1859</v>
      </c>
      <c r="B1860" s="231" t="s">
        <v>52</v>
      </c>
      <c r="C1860" s="231" t="s">
        <v>10</v>
      </c>
      <c r="D1860" s="237" t="s">
        <v>3675</v>
      </c>
      <c r="E1860" s="268"/>
      <c r="F1860" s="231"/>
      <c r="G1860" s="231"/>
      <c r="H1860" s="244" t="s">
        <v>3669</v>
      </c>
      <c r="I1860" s="249">
        <v>160</v>
      </c>
      <c r="J1860" s="249">
        <v>0</v>
      </c>
      <c r="K1860" s="231" t="b">
        <f t="shared" si="39"/>
        <v>0</v>
      </c>
      <c r="L1860" s="231"/>
      <c r="M1860" s="237" t="s">
        <v>3437</v>
      </c>
      <c r="N1860" s="231"/>
      <c r="O1860" s="231">
        <v>2025</v>
      </c>
      <c r="P1860" s="286">
        <v>45743</v>
      </c>
      <c r="Q1860" s="231" t="s">
        <v>3593</v>
      </c>
      <c r="R1860" s="231"/>
      <c r="S1860" s="241" t="s">
        <v>453</v>
      </c>
      <c r="T1860" s="231"/>
    </row>
    <row r="1861" spans="1:27" ht="15" customHeight="1">
      <c r="A1861" s="231">
        <v>1860</v>
      </c>
      <c r="B1861" s="231" t="s">
        <v>52</v>
      </c>
      <c r="C1861" s="231" t="s">
        <v>10</v>
      </c>
      <c r="D1861" s="237" t="s">
        <v>3676</v>
      </c>
      <c r="E1861" s="268"/>
      <c r="F1861" s="231"/>
      <c r="G1861" s="231"/>
      <c r="H1861" s="244" t="s">
        <v>3669</v>
      </c>
      <c r="I1861" s="249">
        <v>97</v>
      </c>
      <c r="J1861" s="249">
        <v>0</v>
      </c>
      <c r="K1861" s="231" t="b">
        <f t="shared" si="39"/>
        <v>0</v>
      </c>
      <c r="L1861" s="231"/>
      <c r="M1861" s="237" t="s">
        <v>3437</v>
      </c>
      <c r="N1861" s="231"/>
      <c r="O1861" s="231">
        <v>2025</v>
      </c>
      <c r="P1861" s="286">
        <v>45743</v>
      </c>
      <c r="Q1861" s="231" t="s">
        <v>3593</v>
      </c>
      <c r="R1861" s="231"/>
      <c r="S1861" s="241" t="s">
        <v>453</v>
      </c>
      <c r="T1861" s="231"/>
    </row>
    <row r="1862" spans="1:27" ht="15" customHeight="1">
      <c r="A1862" s="231">
        <v>1861</v>
      </c>
      <c r="B1862" s="231" t="s">
        <v>52</v>
      </c>
      <c r="C1862" s="231" t="s">
        <v>10</v>
      </c>
      <c r="D1862" s="237" t="s">
        <v>3677</v>
      </c>
      <c r="E1862" s="268"/>
      <c r="F1862" s="231"/>
      <c r="G1862" s="231"/>
      <c r="H1862" s="244" t="s">
        <v>3669</v>
      </c>
      <c r="I1862" s="249">
        <v>197</v>
      </c>
      <c r="J1862" s="249">
        <v>0</v>
      </c>
      <c r="K1862" s="231" t="b">
        <f t="shared" si="39"/>
        <v>0</v>
      </c>
      <c r="L1862" s="231"/>
      <c r="M1862" s="237" t="s">
        <v>3437</v>
      </c>
      <c r="N1862" s="231"/>
      <c r="O1862" s="231">
        <v>2025</v>
      </c>
      <c r="P1862" s="286">
        <v>45743</v>
      </c>
      <c r="Q1862" s="231" t="s">
        <v>3593</v>
      </c>
      <c r="R1862" s="231"/>
      <c r="S1862" s="241" t="s">
        <v>453</v>
      </c>
      <c r="T1862" s="231"/>
    </row>
    <row r="1863" spans="1:27" ht="15" customHeight="1">
      <c r="A1863" s="231">
        <v>1862</v>
      </c>
      <c r="B1863" s="231" t="s">
        <v>52</v>
      </c>
      <c r="C1863" s="231" t="s">
        <v>10</v>
      </c>
      <c r="D1863" s="237" t="s">
        <v>3678</v>
      </c>
      <c r="E1863" s="268"/>
      <c r="F1863" s="231"/>
      <c r="G1863" s="231"/>
      <c r="H1863" s="244" t="s">
        <v>3669</v>
      </c>
      <c r="I1863" s="249">
        <v>100</v>
      </c>
      <c r="J1863" s="249">
        <v>0</v>
      </c>
      <c r="K1863" s="231" t="b">
        <f t="shared" si="39"/>
        <v>0</v>
      </c>
      <c r="L1863" s="231"/>
      <c r="M1863" s="237" t="s">
        <v>3437</v>
      </c>
      <c r="N1863" s="231"/>
      <c r="O1863" s="231">
        <v>2025</v>
      </c>
      <c r="P1863" s="286">
        <v>45744</v>
      </c>
      <c r="Q1863" s="231" t="s">
        <v>3593</v>
      </c>
      <c r="R1863" s="231"/>
      <c r="S1863" s="241" t="s">
        <v>453</v>
      </c>
      <c r="T1863" s="231"/>
    </row>
    <row r="1864" spans="1:27" ht="15" customHeight="1">
      <c r="A1864" s="231">
        <v>1863</v>
      </c>
      <c r="B1864" s="231" t="s">
        <v>52</v>
      </c>
      <c r="C1864" s="231" t="s">
        <v>10</v>
      </c>
      <c r="D1864" s="237" t="s">
        <v>3679</v>
      </c>
      <c r="E1864" s="268"/>
      <c r="F1864" s="231"/>
      <c r="G1864" s="231"/>
      <c r="H1864" s="244" t="s">
        <v>3669</v>
      </c>
      <c r="I1864" s="249">
        <v>105</v>
      </c>
      <c r="J1864" s="249">
        <v>0</v>
      </c>
      <c r="K1864" s="231" t="b">
        <f t="shared" si="39"/>
        <v>0</v>
      </c>
      <c r="L1864" s="231"/>
      <c r="M1864" s="237" t="s">
        <v>3437</v>
      </c>
      <c r="N1864" s="231"/>
      <c r="O1864" s="231">
        <v>2025</v>
      </c>
      <c r="P1864" s="286">
        <v>45744</v>
      </c>
      <c r="Q1864" s="231" t="s">
        <v>3593</v>
      </c>
      <c r="R1864" s="231"/>
      <c r="S1864" s="241" t="s">
        <v>453</v>
      </c>
      <c r="T1864" s="231"/>
    </row>
    <row r="1865" spans="1:27" ht="15" customHeight="1">
      <c r="A1865" s="231">
        <v>1864</v>
      </c>
      <c r="B1865" s="231" t="s">
        <v>52</v>
      </c>
      <c r="C1865" s="231" t="s">
        <v>10</v>
      </c>
      <c r="D1865" s="237" t="s">
        <v>3680</v>
      </c>
      <c r="E1865" s="268"/>
      <c r="F1865" s="231"/>
      <c r="G1865" s="231"/>
      <c r="H1865" s="244" t="s">
        <v>3330</v>
      </c>
      <c r="I1865" s="249">
        <v>300</v>
      </c>
      <c r="J1865" s="249">
        <v>0</v>
      </c>
      <c r="K1865" s="231" t="b">
        <f t="shared" si="39"/>
        <v>0</v>
      </c>
      <c r="L1865" s="231"/>
      <c r="M1865" s="237" t="s">
        <v>3437</v>
      </c>
      <c r="N1865" s="231"/>
      <c r="O1865" s="231">
        <v>2025</v>
      </c>
      <c r="P1865" s="286">
        <v>45744</v>
      </c>
      <c r="Q1865" s="231" t="s">
        <v>3593</v>
      </c>
      <c r="R1865" s="231"/>
      <c r="S1865" s="241" t="s">
        <v>453</v>
      </c>
      <c r="T1865" s="231"/>
    </row>
    <row r="1866" spans="1:27" ht="15" customHeight="1">
      <c r="A1866" s="231">
        <v>1865</v>
      </c>
      <c r="B1866" s="231" t="s">
        <v>52</v>
      </c>
      <c r="C1866" s="231" t="s">
        <v>10</v>
      </c>
      <c r="D1866" s="237" t="s">
        <v>3681</v>
      </c>
      <c r="E1866" s="268"/>
      <c r="F1866" s="231"/>
      <c r="G1866" s="231"/>
      <c r="H1866" s="244" t="s">
        <v>3669</v>
      </c>
      <c r="I1866" s="249">
        <v>139</v>
      </c>
      <c r="J1866" s="249">
        <v>0</v>
      </c>
      <c r="K1866" s="231" t="b">
        <f t="shared" si="39"/>
        <v>0</v>
      </c>
      <c r="L1866" s="231"/>
      <c r="M1866" s="237" t="s">
        <v>3437</v>
      </c>
      <c r="N1866" s="231"/>
      <c r="O1866" s="231">
        <v>2025</v>
      </c>
      <c r="P1866" s="286">
        <v>45744</v>
      </c>
      <c r="Q1866" s="231" t="s">
        <v>3593</v>
      </c>
      <c r="R1866" s="231"/>
      <c r="S1866" s="241" t="s">
        <v>453</v>
      </c>
      <c r="T1866" s="231"/>
    </row>
    <row r="1867" spans="1:27" ht="15" customHeight="1">
      <c r="A1867" s="231">
        <v>1866</v>
      </c>
      <c r="B1867" s="231" t="s">
        <v>52</v>
      </c>
      <c r="C1867" s="231" t="s">
        <v>10</v>
      </c>
      <c r="D1867" s="237" t="s">
        <v>3682</v>
      </c>
      <c r="E1867" s="268"/>
      <c r="F1867" s="231"/>
      <c r="G1867" s="231"/>
      <c r="H1867" s="244" t="s">
        <v>3301</v>
      </c>
      <c r="I1867" s="249">
        <v>300</v>
      </c>
      <c r="J1867" s="249">
        <v>0</v>
      </c>
      <c r="K1867" s="231" t="b">
        <f t="shared" si="39"/>
        <v>0</v>
      </c>
      <c r="L1867" s="231"/>
      <c r="M1867" s="237" t="s">
        <v>3437</v>
      </c>
      <c r="N1867" s="231"/>
      <c r="O1867" s="231">
        <v>2025</v>
      </c>
      <c r="P1867" s="286">
        <v>45744</v>
      </c>
      <c r="Q1867" s="231" t="s">
        <v>3593</v>
      </c>
      <c r="R1867" s="231"/>
      <c r="S1867" s="241" t="s">
        <v>453</v>
      </c>
      <c r="T1867" s="231"/>
    </row>
    <row r="1868" spans="1:27" ht="15" customHeight="1">
      <c r="A1868" s="231">
        <v>1867</v>
      </c>
      <c r="B1868" s="231" t="s">
        <v>52</v>
      </c>
      <c r="C1868" s="231" t="s">
        <v>10</v>
      </c>
      <c r="D1868" s="237" t="s">
        <v>3683</v>
      </c>
      <c r="E1868" s="268"/>
      <c r="F1868" s="231"/>
      <c r="G1868" s="231"/>
      <c r="H1868" s="244" t="s">
        <v>3669</v>
      </c>
      <c r="I1868" s="249">
        <v>100</v>
      </c>
      <c r="J1868" s="249">
        <v>0</v>
      </c>
      <c r="K1868" s="231" t="b">
        <f t="shared" si="39"/>
        <v>0</v>
      </c>
      <c r="L1868" s="231"/>
      <c r="M1868" s="237" t="s">
        <v>3437</v>
      </c>
      <c r="N1868" s="231"/>
      <c r="O1868" s="231">
        <v>2025</v>
      </c>
      <c r="P1868" s="286">
        <v>45744</v>
      </c>
      <c r="Q1868" s="231" t="s">
        <v>3593</v>
      </c>
      <c r="R1868" s="231"/>
      <c r="S1868" s="241" t="s">
        <v>453</v>
      </c>
      <c r="T1868" s="231"/>
    </row>
    <row r="1869" spans="1:27" ht="15" customHeight="1">
      <c r="A1869" s="231">
        <v>1868</v>
      </c>
      <c r="B1869" s="231" t="s">
        <v>52</v>
      </c>
      <c r="C1869" s="231" t="s">
        <v>10</v>
      </c>
      <c r="D1869" s="237" t="s">
        <v>3684</v>
      </c>
      <c r="E1869" s="268"/>
      <c r="F1869" s="231"/>
      <c r="G1869" s="231"/>
      <c r="H1869" s="244" t="s">
        <v>3669</v>
      </c>
      <c r="I1869" s="249">
        <v>87</v>
      </c>
      <c r="J1869" s="249">
        <v>0</v>
      </c>
      <c r="K1869" s="231" t="b">
        <f t="shared" si="39"/>
        <v>0</v>
      </c>
      <c r="L1869" s="231"/>
      <c r="M1869" s="237" t="s">
        <v>3437</v>
      </c>
      <c r="N1869" s="231"/>
      <c r="O1869" s="231">
        <v>2025</v>
      </c>
      <c r="P1869" s="286">
        <v>45747</v>
      </c>
      <c r="Q1869" s="231" t="s">
        <v>3593</v>
      </c>
      <c r="R1869" s="231"/>
      <c r="S1869" s="241" t="s">
        <v>453</v>
      </c>
      <c r="T1869" s="231"/>
    </row>
    <row r="1870" spans="1:27" ht="15" customHeight="1">
      <c r="A1870" s="231">
        <v>1869</v>
      </c>
      <c r="B1870" s="231" t="s">
        <v>52</v>
      </c>
      <c r="C1870" s="231" t="s">
        <v>10</v>
      </c>
      <c r="D1870" s="237" t="s">
        <v>3685</v>
      </c>
      <c r="E1870" s="268"/>
      <c r="F1870" s="231"/>
      <c r="G1870" s="231"/>
      <c r="H1870" s="244" t="s">
        <v>3669</v>
      </c>
      <c r="I1870" s="249">
        <v>66</v>
      </c>
      <c r="J1870" s="249">
        <v>0</v>
      </c>
      <c r="K1870" s="231" t="b">
        <f t="shared" si="39"/>
        <v>0</v>
      </c>
      <c r="L1870" s="231"/>
      <c r="M1870" s="237" t="s">
        <v>3437</v>
      </c>
      <c r="N1870" s="231"/>
      <c r="O1870" s="231">
        <v>2025</v>
      </c>
      <c r="P1870" s="286">
        <v>45747</v>
      </c>
      <c r="Q1870" s="231" t="s">
        <v>3593</v>
      </c>
      <c r="R1870" s="231"/>
      <c r="S1870" s="241" t="s">
        <v>453</v>
      </c>
      <c r="T1870" s="231"/>
    </row>
    <row r="1871" spans="1:27" ht="15" customHeight="1">
      <c r="A1871" s="231">
        <v>1870</v>
      </c>
      <c r="B1871" s="231" t="s">
        <v>52</v>
      </c>
      <c r="C1871" s="231" t="s">
        <v>10</v>
      </c>
      <c r="D1871" s="237" t="s">
        <v>3686</v>
      </c>
      <c r="E1871" s="268"/>
      <c r="F1871" s="231"/>
      <c r="G1871" s="231"/>
      <c r="H1871" s="244" t="s">
        <v>3669</v>
      </c>
      <c r="I1871" s="249">
        <v>96</v>
      </c>
      <c r="J1871" s="249">
        <v>0</v>
      </c>
      <c r="K1871" s="231" t="b">
        <f t="shared" si="39"/>
        <v>0</v>
      </c>
      <c r="L1871" s="231"/>
      <c r="M1871" s="237" t="s">
        <v>3437</v>
      </c>
      <c r="N1871" s="231"/>
      <c r="O1871" s="231">
        <v>2025</v>
      </c>
      <c r="P1871" s="286">
        <v>45747</v>
      </c>
      <c r="Q1871" s="231" t="s">
        <v>3593</v>
      </c>
      <c r="R1871" s="231"/>
      <c r="S1871" s="241" t="s">
        <v>453</v>
      </c>
      <c r="T1871" s="231"/>
    </row>
    <row r="1872" spans="1:27" ht="15" customHeight="1">
      <c r="A1872" s="231">
        <v>1871</v>
      </c>
      <c r="B1872" s="231" t="s">
        <v>52</v>
      </c>
      <c r="C1872" s="231" t="s">
        <v>10</v>
      </c>
      <c r="D1872" s="237" t="s">
        <v>3687</v>
      </c>
      <c r="E1872" s="268"/>
      <c r="F1872" s="231"/>
      <c r="G1872" s="231"/>
      <c r="H1872" s="244" t="s">
        <v>3488</v>
      </c>
      <c r="I1872" s="282">
        <v>0</v>
      </c>
      <c r="J1872" s="249">
        <v>800</v>
      </c>
      <c r="K1872" s="231" t="b">
        <f t="shared" si="39"/>
        <v>0</v>
      </c>
      <c r="L1872" s="231"/>
      <c r="M1872" s="262" t="s">
        <v>3276</v>
      </c>
      <c r="N1872" s="231"/>
      <c r="O1872" s="231">
        <v>2025</v>
      </c>
      <c r="P1872" s="286">
        <v>45747</v>
      </c>
      <c r="Q1872" s="231" t="s">
        <v>3593</v>
      </c>
      <c r="R1872" s="231"/>
      <c r="S1872" s="241" t="s">
        <v>453</v>
      </c>
      <c r="T1872" s="231"/>
    </row>
    <row r="1873" spans="1:27" ht="15" customHeight="1">
      <c r="A1873" s="231">
        <v>1872</v>
      </c>
      <c r="B1873" s="231" t="s">
        <v>52</v>
      </c>
      <c r="C1873" s="231" t="s">
        <v>10</v>
      </c>
      <c r="D1873" s="237" t="s">
        <v>3688</v>
      </c>
      <c r="E1873" s="268"/>
      <c r="F1873" s="231"/>
      <c r="G1873" s="231"/>
      <c r="H1873" s="244" t="s">
        <v>3330</v>
      </c>
      <c r="I1873" s="249">
        <v>255</v>
      </c>
      <c r="J1873" s="249">
        <v>1025</v>
      </c>
      <c r="K1873" s="231" t="b">
        <f t="shared" si="39"/>
        <v>0</v>
      </c>
      <c r="L1873" s="231"/>
      <c r="M1873" s="262" t="s">
        <v>3276</v>
      </c>
      <c r="N1873" s="231"/>
      <c r="O1873" s="231">
        <v>2025</v>
      </c>
      <c r="P1873" s="286">
        <v>45748</v>
      </c>
      <c r="Q1873" s="231" t="s">
        <v>3593</v>
      </c>
      <c r="R1873" s="231"/>
      <c r="S1873" s="241" t="s">
        <v>453</v>
      </c>
      <c r="T1873" s="231"/>
    </row>
    <row r="1874" spans="1:27" ht="15" customHeight="1">
      <c r="A1874" s="231">
        <v>1873</v>
      </c>
      <c r="B1874" s="231" t="s">
        <v>52</v>
      </c>
      <c r="C1874" s="231" t="s">
        <v>10</v>
      </c>
      <c r="D1874" s="237" t="s">
        <v>3690</v>
      </c>
      <c r="E1874" s="268"/>
      <c r="F1874" s="231"/>
      <c r="G1874" s="231"/>
      <c r="H1874" s="244" t="s">
        <v>3691</v>
      </c>
      <c r="I1874" s="249">
        <v>100</v>
      </c>
      <c r="J1874" s="249">
        <v>0</v>
      </c>
      <c r="K1874" s="231" t="b">
        <f t="shared" si="39"/>
        <v>0</v>
      </c>
      <c r="L1874" s="231"/>
      <c r="M1874" s="262" t="s">
        <v>3276</v>
      </c>
      <c r="N1874" s="231"/>
      <c r="O1874" s="231">
        <v>2025</v>
      </c>
      <c r="P1874" s="286">
        <v>45749</v>
      </c>
      <c r="Q1874" s="231" t="s">
        <v>3593</v>
      </c>
      <c r="R1874" s="231"/>
      <c r="S1874" s="241" t="s">
        <v>453</v>
      </c>
      <c r="T1874" s="231"/>
      <c r="U1874" s="90">
        <v>4</v>
      </c>
      <c r="V1874" s="90">
        <v>2</v>
      </c>
      <c r="W1874" s="90">
        <v>2</v>
      </c>
      <c r="X1874" s="90" t="s">
        <v>4367</v>
      </c>
      <c r="Y1874" s="90" t="s">
        <v>4368</v>
      </c>
      <c r="Z1874" s="90" t="s">
        <v>4369</v>
      </c>
      <c r="AA1874" s="90" t="s">
        <v>4370</v>
      </c>
    </row>
    <row r="1875" spans="1:27" ht="15" customHeight="1">
      <c r="A1875" s="231">
        <v>1874</v>
      </c>
      <c r="B1875" s="231" t="s">
        <v>52</v>
      </c>
      <c r="C1875" s="231" t="s">
        <v>10</v>
      </c>
      <c r="D1875" s="237" t="s">
        <v>3692</v>
      </c>
      <c r="E1875" s="268"/>
      <c r="F1875" s="231"/>
      <c r="G1875" s="231"/>
      <c r="H1875" s="244" t="s">
        <v>3279</v>
      </c>
      <c r="I1875" s="249">
        <v>0</v>
      </c>
      <c r="J1875" s="249">
        <v>304</v>
      </c>
      <c r="K1875" s="231" t="b">
        <f t="shared" si="39"/>
        <v>0</v>
      </c>
      <c r="L1875" s="231"/>
      <c r="M1875" s="262" t="s">
        <v>3276</v>
      </c>
      <c r="N1875" s="231"/>
      <c r="O1875" s="231">
        <v>2025</v>
      </c>
      <c r="P1875" s="286">
        <v>45749</v>
      </c>
      <c r="Q1875" s="231" t="s">
        <v>3593</v>
      </c>
      <c r="R1875" s="231"/>
      <c r="S1875" s="241" t="s">
        <v>453</v>
      </c>
      <c r="T1875" s="231"/>
    </row>
    <row r="1876" spans="1:27" ht="15" customHeight="1">
      <c r="A1876" s="231">
        <v>1875</v>
      </c>
      <c r="B1876" s="231" t="s">
        <v>52</v>
      </c>
      <c r="C1876" s="231" t="s">
        <v>10</v>
      </c>
      <c r="D1876" s="237" t="s">
        <v>3693</v>
      </c>
      <c r="E1876" s="268"/>
      <c r="F1876" s="231"/>
      <c r="G1876" s="231"/>
      <c r="H1876" s="244" t="s">
        <v>3279</v>
      </c>
      <c r="I1876" s="249">
        <v>0</v>
      </c>
      <c r="J1876" s="249">
        <v>0</v>
      </c>
      <c r="K1876" s="231" t="b">
        <f t="shared" si="39"/>
        <v>0</v>
      </c>
      <c r="L1876" s="231"/>
      <c r="M1876" s="262" t="s">
        <v>3276</v>
      </c>
      <c r="N1876" s="231"/>
      <c r="O1876" s="231">
        <v>2025</v>
      </c>
      <c r="P1876" s="286">
        <v>45749</v>
      </c>
      <c r="Q1876" s="231" t="s">
        <v>3593</v>
      </c>
      <c r="R1876" s="231"/>
      <c r="S1876" s="241" t="s">
        <v>453</v>
      </c>
      <c r="T1876" s="231"/>
    </row>
    <row r="1877" spans="1:27" ht="15" customHeight="1">
      <c r="A1877" s="231">
        <v>1876</v>
      </c>
      <c r="B1877" s="231" t="s">
        <v>51</v>
      </c>
      <c r="C1877" s="231" t="s">
        <v>10</v>
      </c>
      <c r="D1877" s="237" t="s">
        <v>3694</v>
      </c>
      <c r="E1877" s="268"/>
      <c r="F1877" s="231"/>
      <c r="G1877" s="231"/>
      <c r="H1877" s="244" t="s">
        <v>3695</v>
      </c>
      <c r="I1877" s="249">
        <v>0</v>
      </c>
      <c r="J1877" s="249">
        <v>300</v>
      </c>
      <c r="K1877" s="231" t="b">
        <f t="shared" si="39"/>
        <v>0</v>
      </c>
      <c r="L1877" s="231"/>
      <c r="M1877" s="262" t="s">
        <v>3596</v>
      </c>
      <c r="N1877" s="231"/>
      <c r="O1877" s="231">
        <v>2025</v>
      </c>
      <c r="P1877" s="286">
        <v>45749</v>
      </c>
      <c r="Q1877" s="231" t="s">
        <v>3593</v>
      </c>
      <c r="R1877" s="231"/>
      <c r="S1877" s="241" t="s">
        <v>453</v>
      </c>
      <c r="T1877" s="231"/>
    </row>
    <row r="1878" spans="1:27" ht="15" customHeight="1">
      <c r="A1878" s="231">
        <v>1877</v>
      </c>
      <c r="B1878" s="231" t="s">
        <v>51</v>
      </c>
      <c r="C1878" s="231" t="s">
        <v>10</v>
      </c>
      <c r="D1878" s="237" t="s">
        <v>3696</v>
      </c>
      <c r="E1878" s="268"/>
      <c r="F1878" s="231"/>
      <c r="G1878" s="231"/>
      <c r="H1878" s="244" t="s">
        <v>3695</v>
      </c>
      <c r="I1878" s="249">
        <v>0</v>
      </c>
      <c r="J1878" s="249">
        <v>300</v>
      </c>
      <c r="K1878" s="231" t="b">
        <f t="shared" ref="K1878:K1920" si="40">IF(M1878="ONT",20,IF(M1878="N/A","N/A",IF(M1878="MIKROTIK",IF(J1878&lt;3000,10,IF(3000&lt;J1878&gt;10000,20,IF(10000&lt;J1878&gt;20000,40,IF(20000&lt;J1878&gt;40000,60,IF(J1878&gt;40000,80,IF(J1878&lt;300,3,)))))))))</f>
        <v>0</v>
      </c>
      <c r="L1878" s="231"/>
      <c r="M1878" s="262" t="s">
        <v>3596</v>
      </c>
      <c r="N1878" s="231"/>
      <c r="O1878" s="231">
        <v>2025</v>
      </c>
      <c r="P1878" s="286">
        <v>45749</v>
      </c>
      <c r="Q1878" s="231" t="s">
        <v>3593</v>
      </c>
      <c r="R1878" s="231"/>
      <c r="S1878" s="241" t="s">
        <v>453</v>
      </c>
      <c r="T1878" s="231"/>
    </row>
    <row r="1879" spans="1:27" ht="15" customHeight="1">
      <c r="A1879" s="231">
        <v>1878</v>
      </c>
      <c r="B1879" s="231" t="s">
        <v>51</v>
      </c>
      <c r="C1879" s="231" t="s">
        <v>10</v>
      </c>
      <c r="D1879" s="237" t="s">
        <v>3697</v>
      </c>
      <c r="E1879" s="268"/>
      <c r="F1879" s="231"/>
      <c r="G1879" s="231"/>
      <c r="H1879" s="244" t="s">
        <v>3695</v>
      </c>
      <c r="I1879" s="249">
        <v>0</v>
      </c>
      <c r="J1879" s="249">
        <v>600</v>
      </c>
      <c r="K1879" s="231" t="b">
        <f t="shared" si="40"/>
        <v>0</v>
      </c>
      <c r="L1879" s="231"/>
      <c r="M1879" s="262" t="s">
        <v>3596</v>
      </c>
      <c r="N1879" s="231"/>
      <c r="O1879" s="231">
        <v>2025</v>
      </c>
      <c r="P1879" s="286">
        <v>45749</v>
      </c>
      <c r="Q1879" s="231" t="s">
        <v>3593</v>
      </c>
      <c r="R1879" s="231"/>
      <c r="S1879" s="241" t="s">
        <v>453</v>
      </c>
      <c r="T1879" s="231"/>
    </row>
    <row r="1880" spans="1:27" ht="15" customHeight="1">
      <c r="A1880" s="231">
        <v>1879</v>
      </c>
      <c r="B1880" s="231" t="s">
        <v>51</v>
      </c>
      <c r="C1880" s="231" t="s">
        <v>10</v>
      </c>
      <c r="D1880" s="237" t="s">
        <v>3698</v>
      </c>
      <c r="E1880" s="268"/>
      <c r="F1880" s="231"/>
      <c r="G1880" s="231"/>
      <c r="H1880" s="244" t="s">
        <v>3695</v>
      </c>
      <c r="I1880" s="249">
        <v>0</v>
      </c>
      <c r="J1880" s="249">
        <v>400</v>
      </c>
      <c r="K1880" s="231" t="b">
        <f t="shared" si="40"/>
        <v>0</v>
      </c>
      <c r="L1880" s="231"/>
      <c r="M1880" s="262" t="s">
        <v>3596</v>
      </c>
      <c r="N1880" s="231"/>
      <c r="O1880" s="231">
        <v>2025</v>
      </c>
      <c r="P1880" s="286">
        <v>45749</v>
      </c>
      <c r="Q1880" s="231" t="s">
        <v>3593</v>
      </c>
      <c r="R1880" s="231"/>
      <c r="S1880" s="241" t="s">
        <v>453</v>
      </c>
      <c r="T1880" s="231"/>
    </row>
    <row r="1881" spans="1:27" ht="15" customHeight="1">
      <c r="A1881" s="231">
        <v>1880</v>
      </c>
      <c r="B1881" s="231" t="s">
        <v>51</v>
      </c>
      <c r="C1881" s="231" t="s">
        <v>10</v>
      </c>
      <c r="D1881" s="237" t="s">
        <v>3699</v>
      </c>
      <c r="E1881" s="268"/>
      <c r="F1881" s="231"/>
      <c r="G1881" s="231"/>
      <c r="H1881" s="244" t="s">
        <v>3695</v>
      </c>
      <c r="I1881" s="249">
        <v>0</v>
      </c>
      <c r="J1881" s="249">
        <v>900</v>
      </c>
      <c r="K1881" s="231" t="b">
        <f t="shared" si="40"/>
        <v>0</v>
      </c>
      <c r="L1881" s="231"/>
      <c r="M1881" s="262" t="s">
        <v>3596</v>
      </c>
      <c r="N1881" s="231"/>
      <c r="O1881" s="231">
        <v>2025</v>
      </c>
      <c r="P1881" s="286">
        <v>45749</v>
      </c>
      <c r="Q1881" s="231" t="s">
        <v>3593</v>
      </c>
      <c r="R1881" s="231"/>
      <c r="S1881" s="241" t="s">
        <v>453</v>
      </c>
      <c r="T1881" s="231"/>
    </row>
    <row r="1882" spans="1:27" ht="15" customHeight="1">
      <c r="A1882" s="231">
        <v>1881</v>
      </c>
      <c r="B1882" s="231" t="s">
        <v>51</v>
      </c>
      <c r="C1882" s="231" t="s">
        <v>10</v>
      </c>
      <c r="D1882" s="237" t="s">
        <v>3700</v>
      </c>
      <c r="E1882" s="268"/>
      <c r="F1882" s="231"/>
      <c r="G1882" s="231"/>
      <c r="H1882" s="244" t="s">
        <v>3695</v>
      </c>
      <c r="I1882" s="249">
        <v>300</v>
      </c>
      <c r="J1882" s="249">
        <v>1500</v>
      </c>
      <c r="K1882" s="231" t="b">
        <f t="shared" si="40"/>
        <v>0</v>
      </c>
      <c r="L1882" s="231"/>
      <c r="M1882" s="262" t="s">
        <v>3596</v>
      </c>
      <c r="N1882" s="231"/>
      <c r="O1882" s="231">
        <v>2025</v>
      </c>
      <c r="P1882" s="286">
        <v>45749</v>
      </c>
      <c r="Q1882" s="231" t="s">
        <v>3593</v>
      </c>
      <c r="R1882" s="231"/>
      <c r="S1882" s="241" t="s">
        <v>453</v>
      </c>
      <c r="T1882" s="231"/>
    </row>
    <row r="1883" spans="1:27" ht="15" customHeight="1">
      <c r="A1883" s="231">
        <v>1882</v>
      </c>
      <c r="B1883" s="231" t="s">
        <v>52</v>
      </c>
      <c r="C1883" s="231" t="s">
        <v>10</v>
      </c>
      <c r="D1883" s="237" t="s">
        <v>3701</v>
      </c>
      <c r="E1883" s="268"/>
      <c r="F1883" s="231"/>
      <c r="G1883" s="231"/>
      <c r="H1883" s="244" t="s">
        <v>2046</v>
      </c>
      <c r="I1883" s="249">
        <v>200</v>
      </c>
      <c r="J1883" s="249">
        <v>0</v>
      </c>
      <c r="K1883" s="231" t="b">
        <f t="shared" si="40"/>
        <v>0</v>
      </c>
      <c r="L1883" s="231"/>
      <c r="M1883" s="262" t="s">
        <v>3276</v>
      </c>
      <c r="N1883" s="231"/>
      <c r="O1883" s="231">
        <v>2025</v>
      </c>
      <c r="P1883" s="286">
        <v>45750</v>
      </c>
      <c r="Q1883" s="231" t="s">
        <v>3593</v>
      </c>
      <c r="R1883" s="231"/>
      <c r="S1883" s="241" t="s">
        <v>453</v>
      </c>
      <c r="T1883" s="231"/>
    </row>
    <row r="1884" spans="1:27" ht="15" customHeight="1">
      <c r="A1884" s="231">
        <v>1883</v>
      </c>
      <c r="B1884" s="231" t="s">
        <v>52</v>
      </c>
      <c r="C1884" s="231" t="s">
        <v>10</v>
      </c>
      <c r="D1884" s="237" t="s">
        <v>3702</v>
      </c>
      <c r="E1884" s="268"/>
      <c r="F1884" s="231"/>
      <c r="G1884" s="231"/>
      <c r="H1884" s="244" t="s">
        <v>3691</v>
      </c>
      <c r="I1884" s="249">
        <v>86</v>
      </c>
      <c r="J1884" s="249">
        <v>300</v>
      </c>
      <c r="K1884" s="231" t="b">
        <f t="shared" si="40"/>
        <v>0</v>
      </c>
      <c r="L1884" s="231"/>
      <c r="M1884" s="262" t="s">
        <v>3276</v>
      </c>
      <c r="N1884" s="231"/>
      <c r="O1884" s="231">
        <v>2025</v>
      </c>
      <c r="P1884" s="286">
        <v>45750</v>
      </c>
      <c r="Q1884" s="231" t="s">
        <v>3593</v>
      </c>
      <c r="R1884" s="231"/>
      <c r="S1884" s="241" t="s">
        <v>453</v>
      </c>
      <c r="T1884" s="231"/>
    </row>
    <row r="1885" spans="1:27" ht="15" customHeight="1">
      <c r="A1885" s="231">
        <v>1884</v>
      </c>
      <c r="B1885" s="231" t="s">
        <v>52</v>
      </c>
      <c r="C1885" s="231" t="s">
        <v>10</v>
      </c>
      <c r="D1885" s="237" t="s">
        <v>3703</v>
      </c>
      <c r="E1885" s="268"/>
      <c r="F1885" s="231"/>
      <c r="G1885" s="231"/>
      <c r="H1885" s="244" t="s">
        <v>2046</v>
      </c>
      <c r="I1885" s="249">
        <v>110</v>
      </c>
      <c r="J1885" s="249">
        <v>763</v>
      </c>
      <c r="K1885" s="231" t="b">
        <f t="shared" si="40"/>
        <v>0</v>
      </c>
      <c r="L1885" s="231"/>
      <c r="M1885" s="262" t="s">
        <v>3276</v>
      </c>
      <c r="N1885" s="231"/>
      <c r="O1885" s="231">
        <v>2025</v>
      </c>
      <c r="P1885" s="286">
        <v>45750</v>
      </c>
      <c r="Q1885" s="231" t="s">
        <v>3593</v>
      </c>
      <c r="R1885" s="231"/>
      <c r="S1885" s="241" t="s">
        <v>453</v>
      </c>
      <c r="T1885" s="231"/>
    </row>
    <row r="1886" spans="1:27" ht="15" customHeight="1">
      <c r="A1886" s="231">
        <v>1885</v>
      </c>
      <c r="B1886" s="231" t="s">
        <v>49</v>
      </c>
      <c r="C1886" s="231" t="s">
        <v>10</v>
      </c>
      <c r="D1886" s="237" t="s">
        <v>3704</v>
      </c>
      <c r="E1886" s="268"/>
      <c r="F1886" s="231"/>
      <c r="G1886" s="231"/>
      <c r="H1886" s="244" t="s">
        <v>3496</v>
      </c>
      <c r="I1886" s="249">
        <v>0</v>
      </c>
      <c r="J1886" s="249">
        <v>700</v>
      </c>
      <c r="K1886" s="231" t="b">
        <f t="shared" si="40"/>
        <v>0</v>
      </c>
      <c r="L1886" s="231"/>
      <c r="M1886" s="262" t="s">
        <v>3276</v>
      </c>
      <c r="N1886" s="231"/>
      <c r="O1886" s="231">
        <v>2025</v>
      </c>
      <c r="P1886" s="286">
        <v>45750</v>
      </c>
      <c r="Q1886" s="231" t="s">
        <v>3593</v>
      </c>
      <c r="R1886" s="231"/>
      <c r="S1886" s="241" t="s">
        <v>453</v>
      </c>
      <c r="T1886" s="231"/>
    </row>
    <row r="1887" spans="1:27" ht="15" customHeight="1">
      <c r="A1887" s="231">
        <v>1886</v>
      </c>
      <c r="B1887" s="231" t="s">
        <v>49</v>
      </c>
      <c r="C1887" s="231" t="s">
        <v>10</v>
      </c>
      <c r="D1887" s="237" t="s">
        <v>3705</v>
      </c>
      <c r="E1887" s="268"/>
      <c r="F1887" s="231"/>
      <c r="G1887" s="231"/>
      <c r="H1887" s="244" t="s">
        <v>3496</v>
      </c>
      <c r="I1887" s="249">
        <v>0</v>
      </c>
      <c r="J1887" s="249">
        <v>0</v>
      </c>
      <c r="K1887" s="231" t="b">
        <f t="shared" si="40"/>
        <v>0</v>
      </c>
      <c r="L1887" s="231"/>
      <c r="M1887" s="262" t="s">
        <v>3276</v>
      </c>
      <c r="N1887" s="231"/>
      <c r="O1887" s="231">
        <v>2025</v>
      </c>
      <c r="P1887" s="286">
        <v>45750</v>
      </c>
      <c r="Q1887" s="231" t="s">
        <v>3593</v>
      </c>
      <c r="R1887" s="231"/>
      <c r="S1887" s="241" t="s">
        <v>453</v>
      </c>
      <c r="T1887" s="231"/>
    </row>
    <row r="1888" spans="1:27" ht="15" customHeight="1">
      <c r="A1888" s="231">
        <v>1887</v>
      </c>
      <c r="B1888" s="231" t="s">
        <v>50</v>
      </c>
      <c r="C1888" s="231" t="s">
        <v>10</v>
      </c>
      <c r="D1888" s="237" t="s">
        <v>3706</v>
      </c>
      <c r="E1888" s="268"/>
      <c r="F1888" s="231"/>
      <c r="G1888" s="231"/>
      <c r="H1888" s="244" t="s">
        <v>3707</v>
      </c>
      <c r="I1888" s="249">
        <v>0</v>
      </c>
      <c r="J1888" s="249">
        <v>2500</v>
      </c>
      <c r="K1888" s="231" t="b">
        <f t="shared" si="40"/>
        <v>0</v>
      </c>
      <c r="L1888" s="231"/>
      <c r="M1888" s="262" t="s">
        <v>3276</v>
      </c>
      <c r="N1888" s="231"/>
      <c r="O1888" s="231">
        <v>2025</v>
      </c>
      <c r="P1888" s="286">
        <v>45750</v>
      </c>
      <c r="Q1888" s="231" t="s">
        <v>3593</v>
      </c>
      <c r="R1888" s="231"/>
      <c r="S1888" s="241" t="s">
        <v>453</v>
      </c>
      <c r="T1888" s="231"/>
    </row>
    <row r="1889" spans="1:20" ht="15" customHeight="1">
      <c r="A1889" s="231">
        <v>1888</v>
      </c>
      <c r="B1889" s="231" t="s">
        <v>52</v>
      </c>
      <c r="C1889" s="231" t="s">
        <v>10</v>
      </c>
      <c r="D1889" s="237" t="s">
        <v>3708</v>
      </c>
      <c r="E1889" s="268"/>
      <c r="F1889" s="231"/>
      <c r="G1889" s="231"/>
      <c r="H1889" s="244" t="s">
        <v>2046</v>
      </c>
      <c r="I1889" s="249">
        <v>110</v>
      </c>
      <c r="J1889" s="249">
        <v>379</v>
      </c>
      <c r="K1889" s="231" t="b">
        <f t="shared" si="40"/>
        <v>0</v>
      </c>
      <c r="L1889" s="231"/>
      <c r="M1889" s="262" t="s">
        <v>3276</v>
      </c>
      <c r="N1889" s="231"/>
      <c r="O1889" s="231">
        <v>2025</v>
      </c>
      <c r="P1889" s="286">
        <v>45750</v>
      </c>
      <c r="Q1889" s="231" t="s">
        <v>3593</v>
      </c>
      <c r="R1889" s="231"/>
      <c r="S1889" s="241" t="s">
        <v>453</v>
      </c>
      <c r="T1889" s="231"/>
    </row>
    <row r="1890" spans="1:20" ht="15" customHeight="1">
      <c r="A1890" s="231">
        <v>1889</v>
      </c>
      <c r="B1890" s="231" t="s">
        <v>52</v>
      </c>
      <c r="C1890" s="231" t="s">
        <v>10</v>
      </c>
      <c r="D1890" s="304" t="s">
        <v>4376</v>
      </c>
      <c r="E1890" s="268"/>
      <c r="F1890" s="231"/>
      <c r="G1890" s="231"/>
      <c r="H1890" s="244" t="s">
        <v>3421</v>
      </c>
      <c r="I1890" s="249">
        <v>0</v>
      </c>
      <c r="J1890" s="249">
        <v>618</v>
      </c>
      <c r="K1890" s="231">
        <v>10</v>
      </c>
      <c r="L1890" s="231"/>
      <c r="M1890" s="262" t="s">
        <v>4225</v>
      </c>
      <c r="N1890" s="231"/>
      <c r="O1890" s="231">
        <v>2025</v>
      </c>
      <c r="P1890" s="286">
        <v>45756</v>
      </c>
      <c r="Q1890" s="231" t="s">
        <v>3593</v>
      </c>
      <c r="R1890" s="231"/>
      <c r="S1890" s="241" t="s">
        <v>453</v>
      </c>
      <c r="T1890" s="231"/>
    </row>
    <row r="1891" spans="1:20" ht="15" customHeight="1">
      <c r="A1891" s="231">
        <v>1890</v>
      </c>
      <c r="B1891" s="231" t="s">
        <v>52</v>
      </c>
      <c r="C1891" s="231" t="s">
        <v>10</v>
      </c>
      <c r="D1891" s="237" t="s">
        <v>3709</v>
      </c>
      <c r="E1891" s="268"/>
      <c r="F1891" s="231"/>
      <c r="G1891" s="231"/>
      <c r="H1891" s="244" t="s">
        <v>3669</v>
      </c>
      <c r="I1891" s="249">
        <v>200</v>
      </c>
      <c r="J1891" s="249">
        <v>0</v>
      </c>
      <c r="K1891" s="231" t="b">
        <f t="shared" si="40"/>
        <v>0</v>
      </c>
      <c r="L1891" s="231"/>
      <c r="M1891" s="237" t="s">
        <v>3437</v>
      </c>
      <c r="N1891" s="231"/>
      <c r="O1891" s="231">
        <v>2025</v>
      </c>
      <c r="P1891" s="286">
        <v>45747</v>
      </c>
      <c r="Q1891" s="231" t="s">
        <v>3593</v>
      </c>
      <c r="R1891" s="231"/>
      <c r="S1891" s="241" t="s">
        <v>453</v>
      </c>
      <c r="T1891" s="231"/>
    </row>
    <row r="1892" spans="1:20" ht="15" customHeight="1">
      <c r="A1892" s="231">
        <v>1891</v>
      </c>
      <c r="B1892" s="231" t="s">
        <v>52</v>
      </c>
      <c r="C1892" s="231" t="s">
        <v>10</v>
      </c>
      <c r="D1892" s="237" t="s">
        <v>3710</v>
      </c>
      <c r="E1892" s="268"/>
      <c r="F1892" s="231"/>
      <c r="G1892" s="231"/>
      <c r="H1892" s="244" t="s">
        <v>3669</v>
      </c>
      <c r="I1892" s="249">
        <v>200</v>
      </c>
      <c r="J1892" s="249">
        <v>0</v>
      </c>
      <c r="K1892" s="231" t="b">
        <f t="shared" si="40"/>
        <v>0</v>
      </c>
      <c r="L1892" s="231"/>
      <c r="M1892" s="237" t="s">
        <v>3437</v>
      </c>
      <c r="N1892" s="231"/>
      <c r="O1892" s="231">
        <v>2025</v>
      </c>
      <c r="P1892" s="286">
        <v>45692</v>
      </c>
      <c r="Q1892" s="231" t="s">
        <v>3593</v>
      </c>
      <c r="R1892" s="231"/>
      <c r="S1892" s="241" t="s">
        <v>453</v>
      </c>
      <c r="T1892" s="231"/>
    </row>
    <row r="1893" spans="1:20" ht="15" customHeight="1">
      <c r="A1893" s="231">
        <v>1892</v>
      </c>
      <c r="B1893" s="231" t="s">
        <v>52</v>
      </c>
      <c r="C1893" s="231" t="s">
        <v>10</v>
      </c>
      <c r="D1893" s="237" t="s">
        <v>3711</v>
      </c>
      <c r="E1893" s="268"/>
      <c r="F1893" s="231"/>
      <c r="G1893" s="231"/>
      <c r="H1893" s="244" t="s">
        <v>3628</v>
      </c>
      <c r="I1893" s="249">
        <v>200</v>
      </c>
      <c r="J1893" s="249">
        <v>0</v>
      </c>
      <c r="K1893" s="231" t="b">
        <f t="shared" si="40"/>
        <v>0</v>
      </c>
      <c r="L1893" s="231"/>
      <c r="M1893" s="237" t="s">
        <v>3437</v>
      </c>
      <c r="N1893" s="231"/>
      <c r="O1893" s="231">
        <v>2025</v>
      </c>
      <c r="P1893" s="286">
        <v>45692</v>
      </c>
      <c r="Q1893" s="231" t="s">
        <v>3593</v>
      </c>
      <c r="R1893" s="231"/>
      <c r="S1893" s="241" t="s">
        <v>453</v>
      </c>
      <c r="T1893" s="231"/>
    </row>
    <row r="1894" spans="1:20" ht="15" customHeight="1">
      <c r="A1894" s="231">
        <v>1893</v>
      </c>
      <c r="B1894" s="231" t="s">
        <v>52</v>
      </c>
      <c r="C1894" s="231" t="s">
        <v>10</v>
      </c>
      <c r="D1894" s="237" t="s">
        <v>3712</v>
      </c>
      <c r="E1894" s="268"/>
      <c r="F1894" s="231"/>
      <c r="G1894" s="231"/>
      <c r="H1894" s="244" t="s">
        <v>3483</v>
      </c>
      <c r="I1894" s="249">
        <v>83</v>
      </c>
      <c r="J1894" s="249">
        <v>0</v>
      </c>
      <c r="K1894" s="231" t="b">
        <f t="shared" si="40"/>
        <v>0</v>
      </c>
      <c r="L1894" s="231"/>
      <c r="M1894" s="237" t="s">
        <v>3437</v>
      </c>
      <c r="N1894" s="231"/>
      <c r="O1894" s="231">
        <v>2025</v>
      </c>
      <c r="P1894" s="286">
        <v>45720</v>
      </c>
      <c r="Q1894" s="231" t="s">
        <v>3593</v>
      </c>
      <c r="R1894" s="231"/>
      <c r="S1894" s="241" t="s">
        <v>453</v>
      </c>
      <c r="T1894" s="231"/>
    </row>
    <row r="1895" spans="1:20" ht="15" customHeight="1">
      <c r="A1895" s="231">
        <v>1894</v>
      </c>
      <c r="B1895" s="231" t="s">
        <v>52</v>
      </c>
      <c r="C1895" s="231" t="s">
        <v>10</v>
      </c>
      <c r="D1895" s="237" t="s">
        <v>3713</v>
      </c>
      <c r="E1895" s="268"/>
      <c r="F1895" s="231"/>
      <c r="G1895" s="231"/>
      <c r="H1895" s="244" t="s">
        <v>3360</v>
      </c>
      <c r="I1895" s="249">
        <v>300</v>
      </c>
      <c r="J1895" s="249">
        <v>0</v>
      </c>
      <c r="K1895" s="231" t="b">
        <f t="shared" si="40"/>
        <v>0</v>
      </c>
      <c r="L1895" s="231"/>
      <c r="M1895" s="237" t="s">
        <v>3437</v>
      </c>
      <c r="N1895" s="231"/>
      <c r="O1895" s="231">
        <v>2025</v>
      </c>
      <c r="P1895" s="286">
        <v>45751</v>
      </c>
      <c r="Q1895" s="231" t="s">
        <v>3593</v>
      </c>
      <c r="R1895" s="231"/>
      <c r="S1895" s="241" t="s">
        <v>453</v>
      </c>
      <c r="T1895" s="231"/>
    </row>
    <row r="1896" spans="1:20" ht="15" customHeight="1">
      <c r="A1896" s="231">
        <v>1895</v>
      </c>
      <c r="B1896" s="231" t="s">
        <v>52</v>
      </c>
      <c r="C1896" s="231" t="s">
        <v>10</v>
      </c>
      <c r="D1896" s="237" t="s">
        <v>3714</v>
      </c>
      <c r="E1896" s="268"/>
      <c r="F1896" s="231"/>
      <c r="G1896" s="231"/>
      <c r="H1896" s="244" t="s">
        <v>3669</v>
      </c>
      <c r="I1896" s="249">
        <v>247</v>
      </c>
      <c r="J1896" s="249">
        <v>0</v>
      </c>
      <c r="K1896" s="231" t="b">
        <f t="shared" si="40"/>
        <v>0</v>
      </c>
      <c r="L1896" s="231"/>
      <c r="M1896" s="237" t="s">
        <v>3437</v>
      </c>
      <c r="N1896" s="231"/>
      <c r="O1896" s="231">
        <v>2025</v>
      </c>
      <c r="P1896" s="286">
        <v>45781</v>
      </c>
      <c r="Q1896" s="231" t="s">
        <v>3593</v>
      </c>
      <c r="R1896" s="231"/>
      <c r="S1896" s="241" t="s">
        <v>453</v>
      </c>
      <c r="T1896" s="231"/>
    </row>
    <row r="1897" spans="1:20" ht="15" customHeight="1">
      <c r="A1897" s="231">
        <v>1896</v>
      </c>
      <c r="B1897" s="231" t="s">
        <v>52</v>
      </c>
      <c r="C1897" s="231" t="s">
        <v>10</v>
      </c>
      <c r="D1897" s="237" t="s">
        <v>3716</v>
      </c>
      <c r="E1897" s="268"/>
      <c r="F1897" s="231"/>
      <c r="G1897" s="231"/>
      <c r="H1897" s="237" t="s">
        <v>3330</v>
      </c>
      <c r="I1897" s="278">
        <v>0</v>
      </c>
      <c r="J1897" s="278">
        <v>400</v>
      </c>
      <c r="K1897" s="231" t="b">
        <f t="shared" si="40"/>
        <v>0</v>
      </c>
      <c r="L1897" s="231"/>
      <c r="M1897" s="237" t="s">
        <v>3437</v>
      </c>
      <c r="N1897" s="231"/>
      <c r="O1897" s="231">
        <v>2025</v>
      </c>
      <c r="P1897" s="286">
        <v>45782</v>
      </c>
      <c r="Q1897" s="231" t="s">
        <v>3593</v>
      </c>
      <c r="R1897" s="231"/>
      <c r="S1897" s="241" t="s">
        <v>453</v>
      </c>
      <c r="T1897" s="231"/>
    </row>
    <row r="1898" spans="1:20" ht="15" customHeight="1">
      <c r="A1898" s="231">
        <v>1897</v>
      </c>
      <c r="B1898" s="231" t="s">
        <v>49</v>
      </c>
      <c r="C1898" s="231" t="s">
        <v>10</v>
      </c>
      <c r="D1898" s="237" t="s">
        <v>3717</v>
      </c>
      <c r="E1898" s="268"/>
      <c r="F1898" s="231"/>
      <c r="G1898" s="231"/>
      <c r="H1898" s="237" t="s">
        <v>3718</v>
      </c>
      <c r="I1898" s="278">
        <v>0</v>
      </c>
      <c r="J1898" s="278">
        <v>0</v>
      </c>
      <c r="K1898" s="231" t="b">
        <f t="shared" si="40"/>
        <v>0</v>
      </c>
      <c r="L1898" s="231"/>
      <c r="M1898" s="262" t="s">
        <v>3276</v>
      </c>
      <c r="N1898" s="231"/>
      <c r="O1898" s="231">
        <v>2025</v>
      </c>
      <c r="P1898" s="286">
        <v>45784</v>
      </c>
      <c r="Q1898" s="231" t="s">
        <v>3593</v>
      </c>
      <c r="R1898" s="231"/>
      <c r="S1898" s="241" t="s">
        <v>453</v>
      </c>
      <c r="T1898" s="231"/>
    </row>
    <row r="1899" spans="1:20" ht="15" customHeight="1">
      <c r="A1899" s="231">
        <v>1898</v>
      </c>
      <c r="B1899" s="231" t="s">
        <v>52</v>
      </c>
      <c r="C1899" s="231" t="s">
        <v>10</v>
      </c>
      <c r="D1899" s="237" t="s">
        <v>3719</v>
      </c>
      <c r="E1899" s="268"/>
      <c r="F1899" s="231"/>
      <c r="G1899" s="231"/>
      <c r="H1899" s="237" t="s">
        <v>3720</v>
      </c>
      <c r="I1899" s="278">
        <v>173</v>
      </c>
      <c r="J1899" s="278">
        <v>0</v>
      </c>
      <c r="K1899" s="231" t="b">
        <f t="shared" si="40"/>
        <v>0</v>
      </c>
      <c r="L1899" s="231"/>
      <c r="M1899" s="237" t="s">
        <v>3437</v>
      </c>
      <c r="N1899" s="231"/>
      <c r="O1899" s="231">
        <v>2025</v>
      </c>
      <c r="P1899" s="286">
        <v>45785</v>
      </c>
      <c r="Q1899" s="231" t="s">
        <v>3593</v>
      </c>
      <c r="R1899" s="231"/>
      <c r="S1899" s="241" t="s">
        <v>453</v>
      </c>
      <c r="T1899" s="231"/>
    </row>
    <row r="1900" spans="1:20" ht="15" customHeight="1">
      <c r="A1900" s="231">
        <v>1899</v>
      </c>
      <c r="B1900" s="231" t="s">
        <v>52</v>
      </c>
      <c r="C1900" s="231" t="s">
        <v>10</v>
      </c>
      <c r="D1900" s="237" t="s">
        <v>3721</v>
      </c>
      <c r="E1900" s="268"/>
      <c r="F1900" s="231"/>
      <c r="G1900" s="231"/>
      <c r="H1900" s="237" t="s">
        <v>3722</v>
      </c>
      <c r="I1900" s="278">
        <v>0</v>
      </c>
      <c r="J1900" s="278">
        <v>350</v>
      </c>
      <c r="K1900" s="231" t="b">
        <f t="shared" si="40"/>
        <v>0</v>
      </c>
      <c r="L1900" s="231"/>
      <c r="M1900" s="237" t="s">
        <v>3437</v>
      </c>
      <c r="N1900" s="231"/>
      <c r="O1900" s="231">
        <v>2025</v>
      </c>
      <c r="P1900" s="286">
        <v>45787</v>
      </c>
      <c r="Q1900" s="231" t="s">
        <v>3593</v>
      </c>
      <c r="R1900" s="231"/>
      <c r="S1900" s="241" t="s">
        <v>453</v>
      </c>
      <c r="T1900" s="231"/>
    </row>
    <row r="1901" spans="1:20" ht="15" customHeight="1">
      <c r="A1901" s="231">
        <v>1900</v>
      </c>
      <c r="B1901" s="231" t="s">
        <v>52</v>
      </c>
      <c r="C1901" s="231" t="s">
        <v>10</v>
      </c>
      <c r="D1901" s="237" t="s">
        <v>3723</v>
      </c>
      <c r="E1901" s="268"/>
      <c r="F1901" s="231"/>
      <c r="G1901" s="231"/>
      <c r="H1901" s="237" t="s">
        <v>3724</v>
      </c>
      <c r="I1901" s="278">
        <v>844</v>
      </c>
      <c r="J1901" s="278">
        <v>0</v>
      </c>
      <c r="K1901" s="231" t="b">
        <f t="shared" si="40"/>
        <v>0</v>
      </c>
      <c r="L1901" s="231"/>
      <c r="M1901" s="262" t="s">
        <v>3276</v>
      </c>
      <c r="N1901" s="231"/>
      <c r="O1901" s="231">
        <v>2025</v>
      </c>
      <c r="P1901" s="286">
        <v>45783</v>
      </c>
      <c r="Q1901" s="231" t="s">
        <v>3593</v>
      </c>
      <c r="R1901" s="231"/>
      <c r="S1901" s="241" t="s">
        <v>453</v>
      </c>
      <c r="T1901" s="231"/>
    </row>
    <row r="1902" spans="1:20" ht="15" customHeight="1">
      <c r="A1902" s="231">
        <v>1901</v>
      </c>
      <c r="B1902" s="231" t="s">
        <v>52</v>
      </c>
      <c r="C1902" s="231" t="s">
        <v>10</v>
      </c>
      <c r="D1902" s="269" t="s">
        <v>3725</v>
      </c>
      <c r="E1902" s="268"/>
      <c r="F1902" s="231"/>
      <c r="G1902" s="231"/>
      <c r="H1902" s="237" t="s">
        <v>3726</v>
      </c>
      <c r="I1902" s="278">
        <v>283</v>
      </c>
      <c r="J1902" s="278">
        <v>0</v>
      </c>
      <c r="K1902" s="231" t="b">
        <f t="shared" si="40"/>
        <v>0</v>
      </c>
      <c r="L1902" s="231"/>
      <c r="M1902" s="262" t="s">
        <v>3276</v>
      </c>
      <c r="N1902" s="231"/>
      <c r="O1902" s="231">
        <v>2025</v>
      </c>
      <c r="P1902" s="286">
        <v>45784</v>
      </c>
      <c r="Q1902" s="231" t="s">
        <v>3593</v>
      </c>
      <c r="R1902" s="231"/>
      <c r="S1902" s="241" t="s">
        <v>453</v>
      </c>
      <c r="T1902" s="231"/>
    </row>
    <row r="1903" spans="1:20" ht="15" customHeight="1">
      <c r="A1903" s="231">
        <v>1902</v>
      </c>
      <c r="B1903" s="231" t="s">
        <v>49</v>
      </c>
      <c r="C1903" s="231" t="s">
        <v>10</v>
      </c>
      <c r="D1903" s="237" t="s">
        <v>3727</v>
      </c>
      <c r="E1903" s="268"/>
      <c r="F1903" s="231"/>
      <c r="G1903" s="231"/>
      <c r="H1903" s="237" t="s">
        <v>3496</v>
      </c>
      <c r="I1903" s="278">
        <v>0</v>
      </c>
      <c r="J1903" s="278">
        <v>308</v>
      </c>
      <c r="K1903" s="231" t="b">
        <f t="shared" si="40"/>
        <v>0</v>
      </c>
      <c r="L1903" s="231"/>
      <c r="M1903" s="262" t="s">
        <v>3276</v>
      </c>
      <c r="N1903" s="231"/>
      <c r="O1903" s="231">
        <v>2025</v>
      </c>
      <c r="P1903" s="286">
        <v>45784</v>
      </c>
      <c r="Q1903" s="231" t="s">
        <v>3593</v>
      </c>
      <c r="R1903" s="231"/>
      <c r="S1903" s="241" t="s">
        <v>453</v>
      </c>
      <c r="T1903" s="231"/>
    </row>
    <row r="1904" spans="1:20" ht="15" customHeight="1">
      <c r="A1904" s="231">
        <v>1903</v>
      </c>
      <c r="B1904" s="231" t="s">
        <v>52</v>
      </c>
      <c r="C1904" s="231" t="s">
        <v>10</v>
      </c>
      <c r="D1904" s="237" t="s">
        <v>3728</v>
      </c>
      <c r="E1904" s="268"/>
      <c r="F1904" s="231"/>
      <c r="G1904" s="231"/>
      <c r="H1904" s="245" t="s">
        <v>3729</v>
      </c>
      <c r="I1904" s="278">
        <v>0</v>
      </c>
      <c r="J1904" s="278">
        <v>100</v>
      </c>
      <c r="K1904" s="231" t="b">
        <f t="shared" si="40"/>
        <v>0</v>
      </c>
      <c r="L1904" s="231"/>
      <c r="M1904" s="262" t="s">
        <v>3276</v>
      </c>
      <c r="N1904" s="231"/>
      <c r="O1904" s="231">
        <v>2025</v>
      </c>
      <c r="P1904" s="286">
        <v>45784</v>
      </c>
      <c r="Q1904" s="231" t="s">
        <v>3593</v>
      </c>
      <c r="R1904" s="231"/>
      <c r="S1904" s="241" t="s">
        <v>453</v>
      </c>
      <c r="T1904" s="231"/>
    </row>
    <row r="1905" spans="1:20" ht="15" customHeight="1">
      <c r="A1905" s="231">
        <v>1904</v>
      </c>
      <c r="B1905" s="231" t="s">
        <v>49</v>
      </c>
      <c r="C1905" s="231" t="s">
        <v>10</v>
      </c>
      <c r="D1905" s="237" t="s">
        <v>3730</v>
      </c>
      <c r="E1905" s="268"/>
      <c r="F1905" s="231"/>
      <c r="G1905" s="231"/>
      <c r="H1905" s="237" t="s">
        <v>3496</v>
      </c>
      <c r="I1905" s="278">
        <v>0</v>
      </c>
      <c r="J1905" s="278">
        <v>546</v>
      </c>
      <c r="K1905" s="231" t="b">
        <f t="shared" si="40"/>
        <v>0</v>
      </c>
      <c r="L1905" s="231"/>
      <c r="M1905" s="262" t="s">
        <v>3276</v>
      </c>
      <c r="N1905" s="231"/>
      <c r="O1905" s="231">
        <v>2025</v>
      </c>
      <c r="P1905" s="286">
        <v>45786</v>
      </c>
      <c r="Q1905" s="231" t="s">
        <v>3689</v>
      </c>
      <c r="R1905" s="231"/>
      <c r="S1905" s="241" t="s">
        <v>453</v>
      </c>
      <c r="T1905" s="231"/>
    </row>
    <row r="1906" spans="1:20" ht="15" customHeight="1">
      <c r="A1906" s="231">
        <v>1905</v>
      </c>
      <c r="B1906" s="231" t="s">
        <v>52</v>
      </c>
      <c r="C1906" s="231" t="s">
        <v>10</v>
      </c>
      <c r="D1906" s="237" t="s">
        <v>3731</v>
      </c>
      <c r="E1906" s="268"/>
      <c r="F1906" s="231"/>
      <c r="G1906" s="231"/>
      <c r="H1906" s="237" t="s">
        <v>3732</v>
      </c>
      <c r="I1906" s="278">
        <v>0</v>
      </c>
      <c r="J1906" s="278">
        <v>100</v>
      </c>
      <c r="K1906" s="231" t="b">
        <f t="shared" si="40"/>
        <v>0</v>
      </c>
      <c r="L1906" s="231"/>
      <c r="M1906" s="262" t="s">
        <v>3276</v>
      </c>
      <c r="N1906" s="231"/>
      <c r="O1906" s="231">
        <v>2025</v>
      </c>
      <c r="P1906" s="286">
        <v>45786</v>
      </c>
      <c r="Q1906" s="231" t="s">
        <v>3689</v>
      </c>
      <c r="R1906" s="231"/>
      <c r="S1906" s="241" t="s">
        <v>453</v>
      </c>
      <c r="T1906" s="231"/>
    </row>
    <row r="1907" spans="1:20" ht="15" customHeight="1">
      <c r="A1907" s="231">
        <v>1906</v>
      </c>
      <c r="B1907" s="231" t="s">
        <v>52</v>
      </c>
      <c r="C1907" s="231" t="s">
        <v>10</v>
      </c>
      <c r="D1907" s="237" t="s">
        <v>3733</v>
      </c>
      <c r="E1907" s="268"/>
      <c r="F1907" s="231"/>
      <c r="G1907" s="231"/>
      <c r="H1907" s="237" t="s">
        <v>3691</v>
      </c>
      <c r="I1907" s="278">
        <v>200</v>
      </c>
      <c r="J1907" s="278">
        <v>400</v>
      </c>
      <c r="K1907" s="231" t="b">
        <f t="shared" si="40"/>
        <v>0</v>
      </c>
      <c r="L1907" s="231"/>
      <c r="M1907" s="262" t="s">
        <v>3276</v>
      </c>
      <c r="N1907" s="231"/>
      <c r="O1907" s="231">
        <v>2025</v>
      </c>
      <c r="P1907" s="286">
        <v>45786</v>
      </c>
      <c r="Q1907" s="231" t="s">
        <v>3689</v>
      </c>
      <c r="R1907" s="231"/>
      <c r="S1907" s="241" t="s">
        <v>453</v>
      </c>
      <c r="T1907" s="231"/>
    </row>
    <row r="1908" spans="1:20" ht="15" customHeight="1">
      <c r="A1908" s="231">
        <v>1907</v>
      </c>
      <c r="B1908" s="231" t="s">
        <v>52</v>
      </c>
      <c r="C1908" s="231" t="s">
        <v>10</v>
      </c>
      <c r="D1908" s="237" t="s">
        <v>3734</v>
      </c>
      <c r="E1908" s="268"/>
      <c r="F1908" s="231"/>
      <c r="G1908" s="231"/>
      <c r="H1908" s="237" t="s">
        <v>3691</v>
      </c>
      <c r="I1908" s="278">
        <v>300</v>
      </c>
      <c r="J1908" s="278">
        <v>0</v>
      </c>
      <c r="K1908" s="231" t="b">
        <f t="shared" si="40"/>
        <v>0</v>
      </c>
      <c r="L1908" s="231"/>
      <c r="M1908" s="262" t="s">
        <v>3276</v>
      </c>
      <c r="N1908" s="231"/>
      <c r="O1908" s="231">
        <v>2025</v>
      </c>
      <c r="P1908" s="286">
        <v>45786</v>
      </c>
      <c r="Q1908" s="231" t="s">
        <v>3689</v>
      </c>
      <c r="R1908" s="231"/>
      <c r="S1908" s="241" t="s">
        <v>453</v>
      </c>
      <c r="T1908" s="231"/>
    </row>
    <row r="1909" spans="1:20" ht="15" customHeight="1">
      <c r="A1909" s="231">
        <v>1908</v>
      </c>
      <c r="B1909" s="231" t="s">
        <v>52</v>
      </c>
      <c r="C1909" s="231" t="s">
        <v>10</v>
      </c>
      <c r="D1909" s="237" t="s">
        <v>3735</v>
      </c>
      <c r="E1909" s="268"/>
      <c r="F1909" s="231"/>
      <c r="G1909" s="231"/>
      <c r="H1909" s="237" t="s">
        <v>3301</v>
      </c>
      <c r="I1909" s="278">
        <v>400</v>
      </c>
      <c r="J1909" s="278">
        <v>0</v>
      </c>
      <c r="K1909" s="231" t="b">
        <f t="shared" si="40"/>
        <v>0</v>
      </c>
      <c r="L1909" s="231"/>
      <c r="M1909" s="237" t="s">
        <v>3437</v>
      </c>
      <c r="N1909" s="231"/>
      <c r="O1909" s="231">
        <v>2025</v>
      </c>
      <c r="P1909" s="286">
        <v>45787</v>
      </c>
      <c r="Q1909" s="231" t="s">
        <v>3689</v>
      </c>
      <c r="R1909" s="231"/>
      <c r="S1909" s="241" t="s">
        <v>453</v>
      </c>
      <c r="T1909" s="231"/>
    </row>
    <row r="1910" spans="1:20" ht="15" customHeight="1">
      <c r="A1910" s="231">
        <v>1909</v>
      </c>
      <c r="B1910" s="231" t="s">
        <v>52</v>
      </c>
      <c r="C1910" s="231" t="s">
        <v>10</v>
      </c>
      <c r="D1910" s="270" t="s">
        <v>3738</v>
      </c>
      <c r="E1910" s="268"/>
      <c r="F1910" s="231"/>
      <c r="G1910" s="231"/>
      <c r="H1910" s="231" t="s">
        <v>3739</v>
      </c>
      <c r="I1910" s="278">
        <v>34</v>
      </c>
      <c r="J1910" s="278">
        <v>0</v>
      </c>
      <c r="K1910" s="231" t="b">
        <f t="shared" si="40"/>
        <v>0</v>
      </c>
      <c r="L1910" s="231"/>
      <c r="M1910" s="237" t="s">
        <v>3437</v>
      </c>
      <c r="N1910" s="231"/>
      <c r="O1910" s="231">
        <v>2025</v>
      </c>
      <c r="P1910" s="287">
        <v>45790</v>
      </c>
      <c r="Q1910" s="231" t="s">
        <v>3689</v>
      </c>
      <c r="R1910" s="231"/>
      <c r="S1910" s="241" t="s">
        <v>453</v>
      </c>
      <c r="T1910" s="231"/>
    </row>
    <row r="1911" spans="1:20" ht="15" customHeight="1">
      <c r="A1911" s="231">
        <v>1910</v>
      </c>
      <c r="B1911" s="231" t="s">
        <v>52</v>
      </c>
      <c r="C1911" s="231" t="s">
        <v>10</v>
      </c>
      <c r="D1911" s="270" t="s">
        <v>3740</v>
      </c>
      <c r="E1911" s="268"/>
      <c r="F1911" s="231"/>
      <c r="G1911" s="231"/>
      <c r="H1911" s="231" t="s">
        <v>3739</v>
      </c>
      <c r="I1911" s="278">
        <v>40</v>
      </c>
      <c r="J1911" s="278">
        <v>0</v>
      </c>
      <c r="K1911" s="231" t="b">
        <f t="shared" si="40"/>
        <v>0</v>
      </c>
      <c r="L1911" s="231"/>
      <c r="M1911" s="237" t="s">
        <v>3437</v>
      </c>
      <c r="N1911" s="231"/>
      <c r="O1911" s="231">
        <v>2025</v>
      </c>
      <c r="P1911" s="287">
        <v>45790</v>
      </c>
      <c r="Q1911" s="231" t="s">
        <v>3689</v>
      </c>
      <c r="R1911" s="231"/>
      <c r="S1911" s="241" t="s">
        <v>453</v>
      </c>
      <c r="T1911" s="231"/>
    </row>
    <row r="1912" spans="1:20" ht="15" customHeight="1">
      <c r="A1912" s="231">
        <v>1911</v>
      </c>
      <c r="B1912" s="231" t="s">
        <v>52</v>
      </c>
      <c r="C1912" s="231" t="s">
        <v>10</v>
      </c>
      <c r="D1912" s="270" t="s">
        <v>3741</v>
      </c>
      <c r="E1912" s="268"/>
      <c r="F1912" s="231"/>
      <c r="G1912" s="231"/>
      <c r="H1912" s="231" t="s">
        <v>3739</v>
      </c>
      <c r="I1912" s="278">
        <v>34</v>
      </c>
      <c r="J1912" s="278">
        <v>400</v>
      </c>
      <c r="K1912" s="231" t="b">
        <f t="shared" si="40"/>
        <v>0</v>
      </c>
      <c r="L1912" s="231"/>
      <c r="M1912" s="237" t="s">
        <v>3437</v>
      </c>
      <c r="N1912" s="231"/>
      <c r="O1912" s="231">
        <v>2025</v>
      </c>
      <c r="P1912" s="287">
        <v>45790</v>
      </c>
      <c r="Q1912" s="231" t="s">
        <v>3689</v>
      </c>
      <c r="R1912" s="231"/>
      <c r="S1912" s="241" t="s">
        <v>453</v>
      </c>
      <c r="T1912" s="231"/>
    </row>
    <row r="1913" spans="1:20" ht="15" customHeight="1">
      <c r="A1913" s="231">
        <v>1912</v>
      </c>
      <c r="B1913" s="231" t="s">
        <v>52</v>
      </c>
      <c r="C1913" s="231" t="s">
        <v>10</v>
      </c>
      <c r="D1913" s="270" t="s">
        <v>3742</v>
      </c>
      <c r="E1913" s="268"/>
      <c r="F1913" s="231"/>
      <c r="G1913" s="231"/>
      <c r="H1913" s="231" t="s">
        <v>3416</v>
      </c>
      <c r="I1913" s="278">
        <v>0</v>
      </c>
      <c r="J1913" s="278">
        <v>316</v>
      </c>
      <c r="K1913" s="231" t="b">
        <f t="shared" si="40"/>
        <v>0</v>
      </c>
      <c r="L1913" s="231"/>
      <c r="M1913" s="237" t="s">
        <v>3276</v>
      </c>
      <c r="N1913" s="231"/>
      <c r="O1913" s="231">
        <v>2025</v>
      </c>
      <c r="P1913" s="287">
        <v>45790</v>
      </c>
      <c r="Q1913" s="231" t="s">
        <v>3689</v>
      </c>
      <c r="R1913" s="231"/>
      <c r="S1913" s="241" t="s">
        <v>453</v>
      </c>
      <c r="T1913" s="231"/>
    </row>
    <row r="1914" spans="1:20" ht="15" customHeight="1">
      <c r="A1914" s="231">
        <v>1913</v>
      </c>
      <c r="B1914" s="327" t="s">
        <v>49</v>
      </c>
      <c r="C1914" s="327" t="s">
        <v>10</v>
      </c>
      <c r="D1914" s="273" t="s">
        <v>3743</v>
      </c>
      <c r="E1914" s="268"/>
      <c r="F1914" s="231"/>
      <c r="G1914" s="231"/>
      <c r="H1914" s="274" t="s">
        <v>3496</v>
      </c>
      <c r="I1914" s="278">
        <v>0</v>
      </c>
      <c r="J1914" s="278">
        <v>500</v>
      </c>
      <c r="K1914" s="231" t="b">
        <f t="shared" si="40"/>
        <v>0</v>
      </c>
      <c r="L1914" s="231"/>
      <c r="M1914" s="237" t="s">
        <v>3276</v>
      </c>
      <c r="N1914" s="231"/>
      <c r="O1914" s="231">
        <v>2025</v>
      </c>
      <c r="P1914" s="287">
        <v>45771</v>
      </c>
      <c r="Q1914" s="231" t="s">
        <v>3689</v>
      </c>
      <c r="R1914" s="231"/>
      <c r="S1914" s="241" t="s">
        <v>453</v>
      </c>
      <c r="T1914" s="231"/>
    </row>
    <row r="1915" spans="1:20" ht="15" customHeight="1">
      <c r="A1915" s="231">
        <v>1914</v>
      </c>
      <c r="B1915" s="327" t="s">
        <v>52</v>
      </c>
      <c r="C1915" s="327" t="s">
        <v>10</v>
      </c>
      <c r="D1915" s="273" t="s">
        <v>3744</v>
      </c>
      <c r="E1915" s="268"/>
      <c r="F1915" s="231"/>
      <c r="G1915" s="231"/>
      <c r="H1915" s="274" t="s">
        <v>3745</v>
      </c>
      <c r="I1915" s="278">
        <v>0</v>
      </c>
      <c r="J1915" s="278">
        <v>1500</v>
      </c>
      <c r="K1915" s="231" t="b">
        <f t="shared" si="40"/>
        <v>0</v>
      </c>
      <c r="L1915" s="231"/>
      <c r="M1915" s="237" t="s">
        <v>3276</v>
      </c>
      <c r="N1915" s="231"/>
      <c r="O1915" s="231">
        <v>2025</v>
      </c>
      <c r="P1915" s="287">
        <v>45775</v>
      </c>
      <c r="Q1915" s="231" t="s">
        <v>3689</v>
      </c>
      <c r="R1915" s="231"/>
      <c r="S1915" s="241" t="s">
        <v>453</v>
      </c>
      <c r="T1915" s="231"/>
    </row>
    <row r="1916" spans="1:20" ht="15" customHeight="1">
      <c r="A1916" s="231">
        <v>1915</v>
      </c>
      <c r="B1916" s="327" t="s">
        <v>49</v>
      </c>
      <c r="C1916" s="327" t="s">
        <v>10</v>
      </c>
      <c r="D1916" s="273" t="s">
        <v>3746</v>
      </c>
      <c r="E1916" s="268"/>
      <c r="F1916" s="231"/>
      <c r="G1916" s="231"/>
      <c r="H1916" s="274" t="s">
        <v>3496</v>
      </c>
      <c r="I1916" s="278">
        <v>0</v>
      </c>
      <c r="J1916" s="278">
        <v>327</v>
      </c>
      <c r="K1916" s="231" t="b">
        <f t="shared" si="40"/>
        <v>0</v>
      </c>
      <c r="L1916" s="231"/>
      <c r="M1916" s="237" t="s">
        <v>3276</v>
      </c>
      <c r="N1916" s="231"/>
      <c r="O1916" s="231">
        <v>2025</v>
      </c>
      <c r="P1916" s="287">
        <v>45776</v>
      </c>
      <c r="Q1916" s="231" t="s">
        <v>3689</v>
      </c>
      <c r="R1916" s="231"/>
      <c r="S1916" s="241" t="s">
        <v>453</v>
      </c>
      <c r="T1916" s="231"/>
    </row>
    <row r="1917" spans="1:20" ht="15" customHeight="1">
      <c r="A1917" s="231">
        <v>1916</v>
      </c>
      <c r="B1917" s="327" t="s">
        <v>52</v>
      </c>
      <c r="C1917" s="327" t="s">
        <v>10</v>
      </c>
      <c r="D1917" s="273" t="s">
        <v>3747</v>
      </c>
      <c r="E1917" s="268"/>
      <c r="F1917" s="231"/>
      <c r="G1917" s="231"/>
      <c r="H1917" s="274" t="s">
        <v>3458</v>
      </c>
      <c r="I1917" s="278">
        <v>50</v>
      </c>
      <c r="J1917" s="278">
        <v>100</v>
      </c>
      <c r="K1917" s="231" t="b">
        <f t="shared" si="40"/>
        <v>0</v>
      </c>
      <c r="L1917" s="231"/>
      <c r="M1917" s="237" t="s">
        <v>3276</v>
      </c>
      <c r="N1917" s="231"/>
      <c r="O1917" s="231">
        <v>2025</v>
      </c>
      <c r="P1917" s="287">
        <v>45776</v>
      </c>
      <c r="Q1917" s="231" t="s">
        <v>3689</v>
      </c>
      <c r="R1917" s="231"/>
      <c r="S1917" s="241" t="s">
        <v>453</v>
      </c>
      <c r="T1917" s="231"/>
    </row>
    <row r="1918" spans="1:20" ht="15" customHeight="1">
      <c r="A1918" s="231">
        <v>1917</v>
      </c>
      <c r="B1918" s="327" t="s">
        <v>49</v>
      </c>
      <c r="C1918" s="327" t="s">
        <v>10</v>
      </c>
      <c r="D1918" s="273" t="s">
        <v>3748</v>
      </c>
      <c r="E1918" s="268"/>
      <c r="F1918" s="231"/>
      <c r="G1918" s="231"/>
      <c r="H1918" s="274" t="s">
        <v>3496</v>
      </c>
      <c r="I1918" s="278">
        <v>0</v>
      </c>
      <c r="J1918" s="278">
        <v>214</v>
      </c>
      <c r="K1918" s="231" t="b">
        <f t="shared" si="40"/>
        <v>0</v>
      </c>
      <c r="L1918" s="231"/>
      <c r="M1918" s="237" t="s">
        <v>3276</v>
      </c>
      <c r="N1918" s="231"/>
      <c r="O1918" s="231">
        <v>2025</v>
      </c>
      <c r="P1918" s="287">
        <v>45776</v>
      </c>
      <c r="Q1918" s="231" t="s">
        <v>3689</v>
      </c>
      <c r="R1918" s="231"/>
      <c r="S1918" s="241" t="s">
        <v>453</v>
      </c>
      <c r="T1918" s="231"/>
    </row>
    <row r="1919" spans="1:20" ht="15" customHeight="1">
      <c r="A1919" s="231">
        <v>1918</v>
      </c>
      <c r="B1919" s="327" t="s">
        <v>52</v>
      </c>
      <c r="C1919" s="327" t="s">
        <v>10</v>
      </c>
      <c r="D1919" s="273" t="s">
        <v>3749</v>
      </c>
      <c r="E1919" s="268"/>
      <c r="F1919" s="231"/>
      <c r="G1919" s="231"/>
      <c r="H1919" s="274" t="s">
        <v>3750</v>
      </c>
      <c r="I1919" s="278">
        <v>0</v>
      </c>
      <c r="J1919" s="278">
        <v>450</v>
      </c>
      <c r="K1919" s="231" t="b">
        <f t="shared" si="40"/>
        <v>0</v>
      </c>
      <c r="L1919" s="231"/>
      <c r="M1919" s="237" t="s">
        <v>3437</v>
      </c>
      <c r="N1919" s="231"/>
      <c r="O1919" s="231">
        <v>2025</v>
      </c>
      <c r="P1919" s="287">
        <v>45662</v>
      </c>
      <c r="Q1919" s="231" t="s">
        <v>3689</v>
      </c>
      <c r="R1919" s="231"/>
      <c r="S1919" s="241" t="s">
        <v>453</v>
      </c>
      <c r="T1919" s="231"/>
    </row>
    <row r="1920" spans="1:20" ht="15" customHeight="1">
      <c r="A1920" s="231">
        <v>1919</v>
      </c>
      <c r="B1920" s="327" t="s">
        <v>52</v>
      </c>
      <c r="C1920" s="327" t="s">
        <v>10</v>
      </c>
      <c r="D1920" s="273" t="s">
        <v>3751</v>
      </c>
      <c r="E1920" s="268"/>
      <c r="F1920" s="231"/>
      <c r="G1920" s="231"/>
      <c r="H1920" s="274" t="s">
        <v>3752</v>
      </c>
      <c r="I1920" s="278">
        <v>0</v>
      </c>
      <c r="J1920" s="278">
        <v>1000</v>
      </c>
      <c r="K1920" s="231" t="b">
        <f t="shared" si="40"/>
        <v>0</v>
      </c>
      <c r="L1920" s="231"/>
      <c r="M1920" s="237" t="s">
        <v>3276</v>
      </c>
      <c r="N1920" s="231"/>
      <c r="O1920" s="231">
        <v>2025</v>
      </c>
      <c r="P1920" s="287">
        <v>45777</v>
      </c>
      <c r="Q1920" s="231" t="s">
        <v>3689</v>
      </c>
      <c r="R1920" s="231"/>
      <c r="S1920" s="241" t="s">
        <v>453</v>
      </c>
      <c r="T1920" s="231"/>
    </row>
    <row r="1921" spans="1:20" ht="15" customHeight="1">
      <c r="A1921" s="231">
        <v>1920</v>
      </c>
      <c r="B1921" s="327" t="s">
        <v>53</v>
      </c>
      <c r="C1921" s="327" t="s">
        <v>10</v>
      </c>
      <c r="D1921" s="273" t="s">
        <v>3753</v>
      </c>
      <c r="E1921" s="268"/>
      <c r="F1921" s="231"/>
      <c r="G1921" s="231"/>
      <c r="H1921" s="274" t="s">
        <v>3417</v>
      </c>
      <c r="I1921" s="278">
        <v>523</v>
      </c>
      <c r="J1921" s="278">
        <v>0</v>
      </c>
      <c r="K1921" s="327">
        <v>20</v>
      </c>
      <c r="L1921" s="231"/>
      <c r="M1921" s="299" t="s">
        <v>15</v>
      </c>
      <c r="N1921" s="231"/>
      <c r="O1921" s="231">
        <v>2025</v>
      </c>
      <c r="P1921" s="287">
        <v>45770</v>
      </c>
      <c r="Q1921" s="231" t="s">
        <v>3689</v>
      </c>
      <c r="R1921" s="231"/>
      <c r="S1921" s="241" t="s">
        <v>453</v>
      </c>
      <c r="T1921" s="231"/>
    </row>
    <row r="1922" spans="1:20" ht="15" customHeight="1">
      <c r="A1922" s="231">
        <v>1921</v>
      </c>
      <c r="B1922" s="327" t="s">
        <v>53</v>
      </c>
      <c r="C1922" s="327" t="s">
        <v>10</v>
      </c>
      <c r="D1922" s="273" t="s">
        <v>3754</v>
      </c>
      <c r="E1922" s="268"/>
      <c r="F1922" s="231"/>
      <c r="G1922" s="231"/>
      <c r="H1922" s="274" t="s">
        <v>3417</v>
      </c>
      <c r="I1922" s="278">
        <v>400</v>
      </c>
      <c r="J1922" s="278">
        <v>0</v>
      </c>
      <c r="K1922" s="327">
        <v>20</v>
      </c>
      <c r="L1922" s="231"/>
      <c r="M1922" s="299" t="s">
        <v>15</v>
      </c>
      <c r="N1922" s="231"/>
      <c r="O1922" s="231">
        <v>2025</v>
      </c>
      <c r="P1922" s="287">
        <v>45770</v>
      </c>
      <c r="Q1922" s="231" t="s">
        <v>3689</v>
      </c>
      <c r="R1922" s="231"/>
      <c r="S1922" s="241" t="s">
        <v>453</v>
      </c>
      <c r="T1922" s="231"/>
    </row>
    <row r="1923" spans="1:20" ht="15" customHeight="1">
      <c r="A1923" s="231">
        <v>1922</v>
      </c>
      <c r="B1923" s="327" t="s">
        <v>53</v>
      </c>
      <c r="C1923" s="327" t="s">
        <v>10</v>
      </c>
      <c r="D1923" s="273" t="s">
        <v>3755</v>
      </c>
      <c r="E1923" s="268"/>
      <c r="F1923" s="231"/>
      <c r="G1923" s="231"/>
      <c r="H1923" s="274" t="s">
        <v>3417</v>
      </c>
      <c r="I1923" s="278">
        <v>337</v>
      </c>
      <c r="J1923" s="278">
        <v>0</v>
      </c>
      <c r="K1923" s="327">
        <v>20</v>
      </c>
      <c r="L1923" s="231"/>
      <c r="M1923" s="299" t="s">
        <v>15</v>
      </c>
      <c r="N1923" s="231"/>
      <c r="O1923" s="231">
        <v>2025</v>
      </c>
      <c r="P1923" s="287">
        <v>45770</v>
      </c>
      <c r="Q1923" s="231" t="s">
        <v>3593</v>
      </c>
      <c r="R1923" s="231"/>
      <c r="S1923" s="241" t="s">
        <v>453</v>
      </c>
      <c r="T1923" s="231"/>
    </row>
    <row r="1924" spans="1:20" ht="15" customHeight="1">
      <c r="A1924" s="231">
        <v>1923</v>
      </c>
      <c r="B1924" s="327" t="s">
        <v>52</v>
      </c>
      <c r="C1924" s="327" t="s">
        <v>10</v>
      </c>
      <c r="D1924" s="273" t="s">
        <v>3756</v>
      </c>
      <c r="E1924" s="268"/>
      <c r="F1924" s="231"/>
      <c r="G1924" s="231"/>
      <c r="H1924" s="274" t="s">
        <v>3669</v>
      </c>
      <c r="I1924" s="278">
        <v>65</v>
      </c>
      <c r="J1924" s="278">
        <v>0</v>
      </c>
      <c r="K1924" s="231" t="b">
        <f t="shared" ref="K1924:K1987" si="41">IF(M1924="ONT",20,IF(M1924="N/A","N/A",IF(M1924="MIKROTIK",IF(J1924&lt;3000,10,IF(3000&lt;J1924&gt;10000,20,IF(10000&lt;J1924&gt;20000,40,IF(20000&lt;J1924&gt;40000,60,IF(J1924&gt;40000,80,IF(J1924&lt;300,3,)))))))))</f>
        <v>0</v>
      </c>
      <c r="L1924" s="231"/>
      <c r="M1924" s="237" t="s">
        <v>3437</v>
      </c>
      <c r="N1924" s="231"/>
      <c r="O1924" s="231">
        <v>2025</v>
      </c>
      <c r="P1924" s="287">
        <v>45773</v>
      </c>
      <c r="Q1924" s="231" t="s">
        <v>3505</v>
      </c>
      <c r="R1924" s="231"/>
      <c r="S1924" s="241" t="s">
        <v>453</v>
      </c>
      <c r="T1924" s="231"/>
    </row>
    <row r="1925" spans="1:20" ht="15" customHeight="1">
      <c r="A1925" s="231">
        <v>1924</v>
      </c>
      <c r="B1925" s="327" t="s">
        <v>50</v>
      </c>
      <c r="C1925" s="327" t="s">
        <v>10</v>
      </c>
      <c r="D1925" s="273" t="s">
        <v>3757</v>
      </c>
      <c r="E1925" s="268"/>
      <c r="F1925" s="231"/>
      <c r="G1925" s="231"/>
      <c r="H1925" s="231" t="s">
        <v>4609</v>
      </c>
      <c r="I1925" s="278">
        <v>0</v>
      </c>
      <c r="J1925" s="278">
        <v>207</v>
      </c>
      <c r="K1925" s="231" t="str">
        <f t="shared" si="41"/>
        <v>N/A</v>
      </c>
      <c r="L1925" s="231"/>
      <c r="M1925" s="72" t="s">
        <v>456</v>
      </c>
      <c r="N1925" s="231"/>
      <c r="O1925" s="231">
        <v>2025</v>
      </c>
      <c r="P1925" s="287">
        <v>45772</v>
      </c>
      <c r="Q1925" s="231" t="s">
        <v>3505</v>
      </c>
      <c r="R1925" s="231"/>
      <c r="S1925" s="241" t="s">
        <v>453</v>
      </c>
      <c r="T1925" s="231"/>
    </row>
    <row r="1926" spans="1:20" ht="15" customHeight="1">
      <c r="A1926" s="231">
        <v>1925</v>
      </c>
      <c r="B1926" s="327" t="s">
        <v>50</v>
      </c>
      <c r="C1926" s="327" t="s">
        <v>10</v>
      </c>
      <c r="D1926" s="273" t="s">
        <v>3758</v>
      </c>
      <c r="E1926" s="268"/>
      <c r="F1926" s="231"/>
      <c r="G1926" s="231"/>
      <c r="H1926" s="231" t="s">
        <v>4609</v>
      </c>
      <c r="I1926" s="279">
        <v>423</v>
      </c>
      <c r="J1926" s="278">
        <v>0</v>
      </c>
      <c r="K1926" s="231" t="b">
        <f t="shared" si="41"/>
        <v>0</v>
      </c>
      <c r="L1926" s="231"/>
      <c r="M1926" s="72" t="s">
        <v>4234</v>
      </c>
      <c r="N1926" s="231"/>
      <c r="O1926" s="231">
        <v>2025</v>
      </c>
      <c r="P1926" s="287">
        <v>45772</v>
      </c>
      <c r="Q1926" s="231" t="s">
        <v>3593</v>
      </c>
      <c r="R1926" s="231"/>
      <c r="S1926" s="241" t="s">
        <v>453</v>
      </c>
      <c r="T1926" s="231"/>
    </row>
    <row r="1927" spans="1:20" ht="15" customHeight="1">
      <c r="A1927" s="231">
        <v>1926</v>
      </c>
      <c r="B1927" s="327" t="s">
        <v>50</v>
      </c>
      <c r="C1927" s="327" t="s">
        <v>10</v>
      </c>
      <c r="D1927" s="273" t="s">
        <v>3759</v>
      </c>
      <c r="E1927" s="268"/>
      <c r="F1927" s="231"/>
      <c r="G1927" s="231"/>
      <c r="H1927" s="231" t="s">
        <v>4609</v>
      </c>
      <c r="I1927" s="279">
        <v>433</v>
      </c>
      <c r="J1927" s="278">
        <v>0</v>
      </c>
      <c r="K1927" s="231" t="b">
        <f t="shared" si="41"/>
        <v>0</v>
      </c>
      <c r="L1927" s="231"/>
      <c r="M1927" s="72" t="s">
        <v>4234</v>
      </c>
      <c r="N1927" s="231"/>
      <c r="O1927" s="231">
        <v>2025</v>
      </c>
      <c r="P1927" s="287">
        <v>45772</v>
      </c>
      <c r="Q1927" s="231" t="s">
        <v>3689</v>
      </c>
      <c r="R1927" s="231"/>
      <c r="S1927" s="241" t="s">
        <v>453</v>
      </c>
      <c r="T1927" s="231"/>
    </row>
    <row r="1928" spans="1:20" ht="15" customHeight="1">
      <c r="A1928" s="231">
        <v>1927</v>
      </c>
      <c r="B1928" s="327" t="s">
        <v>50</v>
      </c>
      <c r="C1928" s="327" t="s">
        <v>10</v>
      </c>
      <c r="D1928" s="273" t="s">
        <v>3760</v>
      </c>
      <c r="E1928" s="268"/>
      <c r="F1928" s="231"/>
      <c r="G1928" s="231"/>
      <c r="H1928" s="231" t="s">
        <v>4609</v>
      </c>
      <c r="I1928" s="279">
        <v>396</v>
      </c>
      <c r="J1928" s="278">
        <v>0</v>
      </c>
      <c r="K1928" s="231" t="b">
        <f t="shared" si="41"/>
        <v>0</v>
      </c>
      <c r="L1928" s="231"/>
      <c r="M1928" s="72" t="s">
        <v>4234</v>
      </c>
      <c r="N1928" s="231"/>
      <c r="O1928" s="231">
        <v>2025</v>
      </c>
      <c r="P1928" s="287">
        <v>45772</v>
      </c>
      <c r="Q1928" s="231" t="s">
        <v>3715</v>
      </c>
      <c r="R1928" s="231"/>
      <c r="S1928" s="241" t="s">
        <v>453</v>
      </c>
      <c r="T1928" s="231"/>
    </row>
    <row r="1929" spans="1:20" ht="15" customHeight="1">
      <c r="A1929" s="231">
        <v>1928</v>
      </c>
      <c r="B1929" s="327" t="s">
        <v>50</v>
      </c>
      <c r="C1929" s="327" t="s">
        <v>10</v>
      </c>
      <c r="D1929" s="273" t="s">
        <v>3761</v>
      </c>
      <c r="E1929" s="268"/>
      <c r="F1929" s="231"/>
      <c r="G1929" s="231"/>
      <c r="H1929" s="231" t="s">
        <v>4609</v>
      </c>
      <c r="I1929" s="279">
        <v>287</v>
      </c>
      <c r="J1929" s="278">
        <v>0</v>
      </c>
      <c r="K1929" s="231" t="b">
        <f t="shared" si="41"/>
        <v>0</v>
      </c>
      <c r="L1929" s="231"/>
      <c r="M1929" s="72" t="s">
        <v>4234</v>
      </c>
      <c r="N1929" s="231"/>
      <c r="O1929" s="231">
        <v>2025</v>
      </c>
      <c r="P1929" s="287">
        <v>45772</v>
      </c>
      <c r="Q1929" s="231" t="s">
        <v>3715</v>
      </c>
      <c r="R1929" s="231"/>
      <c r="S1929" s="241" t="s">
        <v>453</v>
      </c>
      <c r="T1929" s="231"/>
    </row>
    <row r="1930" spans="1:20" ht="15" customHeight="1">
      <c r="A1930" s="231">
        <v>1929</v>
      </c>
      <c r="B1930" s="327" t="s">
        <v>50</v>
      </c>
      <c r="C1930" s="327" t="s">
        <v>10</v>
      </c>
      <c r="D1930" s="273" t="s">
        <v>3762</v>
      </c>
      <c r="E1930" s="268"/>
      <c r="F1930" s="231"/>
      <c r="G1930" s="231"/>
      <c r="H1930" s="231" t="s">
        <v>4609</v>
      </c>
      <c r="I1930" s="279">
        <v>234</v>
      </c>
      <c r="J1930" s="278">
        <v>0</v>
      </c>
      <c r="K1930" s="231" t="b">
        <f t="shared" si="41"/>
        <v>0</v>
      </c>
      <c r="L1930" s="231"/>
      <c r="M1930" s="72" t="s">
        <v>4234</v>
      </c>
      <c r="N1930" s="231"/>
      <c r="O1930" s="231">
        <v>2025</v>
      </c>
      <c r="P1930" s="287">
        <v>45772</v>
      </c>
      <c r="Q1930" s="231" t="s">
        <v>3715</v>
      </c>
      <c r="R1930" s="231"/>
      <c r="S1930" s="241" t="s">
        <v>453</v>
      </c>
      <c r="T1930" s="231"/>
    </row>
    <row r="1931" spans="1:20" ht="15" customHeight="1">
      <c r="A1931" s="231">
        <v>1930</v>
      </c>
      <c r="B1931" s="327" t="s">
        <v>50</v>
      </c>
      <c r="C1931" s="327" t="s">
        <v>10</v>
      </c>
      <c r="D1931" s="273" t="s">
        <v>3763</v>
      </c>
      <c r="E1931" s="268"/>
      <c r="F1931" s="231"/>
      <c r="G1931" s="231"/>
      <c r="H1931" s="231" t="s">
        <v>4609</v>
      </c>
      <c r="I1931" s="279">
        <v>137</v>
      </c>
      <c r="J1931" s="278">
        <v>0</v>
      </c>
      <c r="K1931" s="231" t="b">
        <f t="shared" si="41"/>
        <v>0</v>
      </c>
      <c r="L1931" s="231"/>
      <c r="M1931" s="72" t="s">
        <v>4234</v>
      </c>
      <c r="N1931" s="231"/>
      <c r="O1931" s="231">
        <v>2025</v>
      </c>
      <c r="P1931" s="287">
        <v>45772</v>
      </c>
      <c r="Q1931" s="231" t="s">
        <v>3715</v>
      </c>
      <c r="R1931" s="231"/>
      <c r="S1931" s="241" t="s">
        <v>453</v>
      </c>
      <c r="T1931" s="231"/>
    </row>
    <row r="1932" spans="1:20" ht="15" customHeight="1">
      <c r="A1932" s="231">
        <v>1931</v>
      </c>
      <c r="B1932" s="327" t="s">
        <v>50</v>
      </c>
      <c r="C1932" s="327" t="s">
        <v>10</v>
      </c>
      <c r="D1932" s="273" t="s">
        <v>3764</v>
      </c>
      <c r="E1932" s="268"/>
      <c r="F1932" s="231"/>
      <c r="G1932" s="231"/>
      <c r="H1932" s="231" t="s">
        <v>4609</v>
      </c>
      <c r="I1932" s="279">
        <v>241</v>
      </c>
      <c r="J1932" s="278">
        <v>0</v>
      </c>
      <c r="K1932" s="231" t="b">
        <f t="shared" si="41"/>
        <v>0</v>
      </c>
      <c r="L1932" s="231"/>
      <c r="M1932" s="72" t="s">
        <v>4234</v>
      </c>
      <c r="N1932" s="231"/>
      <c r="O1932" s="231">
        <v>2025</v>
      </c>
      <c r="P1932" s="287">
        <v>45772</v>
      </c>
      <c r="Q1932" s="231" t="s">
        <v>3715</v>
      </c>
      <c r="R1932" s="231"/>
      <c r="S1932" s="241" t="s">
        <v>453</v>
      </c>
      <c r="T1932" s="231"/>
    </row>
    <row r="1933" spans="1:20" ht="15" customHeight="1">
      <c r="A1933" s="231">
        <v>1932</v>
      </c>
      <c r="B1933" s="327" t="s">
        <v>50</v>
      </c>
      <c r="C1933" s="327" t="s">
        <v>10</v>
      </c>
      <c r="D1933" s="273" t="s">
        <v>3765</v>
      </c>
      <c r="E1933" s="268"/>
      <c r="F1933" s="231"/>
      <c r="G1933" s="231"/>
      <c r="H1933" s="231" t="s">
        <v>4609</v>
      </c>
      <c r="I1933" s="279">
        <v>352</v>
      </c>
      <c r="J1933" s="278">
        <v>0</v>
      </c>
      <c r="K1933" s="231" t="b">
        <f t="shared" si="41"/>
        <v>0</v>
      </c>
      <c r="L1933" s="231"/>
      <c r="M1933" s="72" t="s">
        <v>4234</v>
      </c>
      <c r="N1933" s="231"/>
      <c r="O1933" s="231">
        <v>2025</v>
      </c>
      <c r="P1933" s="287">
        <v>45772</v>
      </c>
      <c r="Q1933" s="231" t="s">
        <v>3715</v>
      </c>
      <c r="R1933" s="231"/>
      <c r="S1933" s="241" t="s">
        <v>453</v>
      </c>
      <c r="T1933" s="231"/>
    </row>
    <row r="1934" spans="1:20" ht="15" customHeight="1">
      <c r="A1934" s="231">
        <v>1933</v>
      </c>
      <c r="B1934" s="327" t="s">
        <v>52</v>
      </c>
      <c r="C1934" s="327" t="s">
        <v>10</v>
      </c>
      <c r="D1934" s="273" t="s">
        <v>3766</v>
      </c>
      <c r="E1934" s="268"/>
      <c r="F1934" s="231"/>
      <c r="G1934" s="231"/>
      <c r="H1934" s="276" t="s">
        <v>3739</v>
      </c>
      <c r="I1934" s="278">
        <v>24</v>
      </c>
      <c r="J1934" s="278">
        <v>400</v>
      </c>
      <c r="K1934" s="231" t="b">
        <f t="shared" si="41"/>
        <v>0</v>
      </c>
      <c r="L1934" s="231"/>
      <c r="M1934" s="237" t="s">
        <v>3437</v>
      </c>
      <c r="N1934" s="231"/>
      <c r="O1934" s="231">
        <v>2025</v>
      </c>
      <c r="P1934" s="287">
        <v>45790</v>
      </c>
      <c r="Q1934" s="231" t="s">
        <v>3715</v>
      </c>
      <c r="R1934" s="231"/>
      <c r="S1934" s="241" t="s">
        <v>453</v>
      </c>
      <c r="T1934" s="231"/>
    </row>
    <row r="1935" spans="1:20" ht="15" customHeight="1">
      <c r="A1935" s="231">
        <v>1934</v>
      </c>
      <c r="B1935" s="327" t="s">
        <v>52</v>
      </c>
      <c r="C1935" s="327" t="s">
        <v>10</v>
      </c>
      <c r="D1935" s="270" t="s">
        <v>3767</v>
      </c>
      <c r="E1935" s="268"/>
      <c r="F1935" s="231"/>
      <c r="G1935" s="231"/>
      <c r="H1935" s="276" t="s">
        <v>3739</v>
      </c>
      <c r="I1935" s="278">
        <v>34</v>
      </c>
      <c r="J1935" s="278">
        <v>0</v>
      </c>
      <c r="K1935" s="231" t="b">
        <f t="shared" si="41"/>
        <v>0</v>
      </c>
      <c r="L1935" s="231"/>
      <c r="M1935" s="237" t="s">
        <v>3276</v>
      </c>
      <c r="N1935" s="231"/>
      <c r="O1935" s="231">
        <v>2025</v>
      </c>
      <c r="P1935" s="287">
        <v>45790</v>
      </c>
      <c r="Q1935" s="231" t="s">
        <v>3715</v>
      </c>
      <c r="R1935" s="231"/>
      <c r="S1935" s="241" t="s">
        <v>453</v>
      </c>
      <c r="T1935" s="231"/>
    </row>
    <row r="1936" spans="1:20" ht="15" customHeight="1">
      <c r="A1936" s="231">
        <v>1935</v>
      </c>
      <c r="B1936" s="327" t="s">
        <v>50</v>
      </c>
      <c r="C1936" s="327" t="s">
        <v>10</v>
      </c>
      <c r="D1936" s="273" t="s">
        <v>3768</v>
      </c>
      <c r="E1936" s="268"/>
      <c r="F1936" s="231"/>
      <c r="G1936" s="231"/>
      <c r="H1936" s="276" t="s">
        <v>3769</v>
      </c>
      <c r="I1936" s="278">
        <v>0</v>
      </c>
      <c r="J1936" s="278">
        <v>546</v>
      </c>
      <c r="K1936" s="231">
        <f t="shared" si="41"/>
        <v>10</v>
      </c>
      <c r="L1936" s="231"/>
      <c r="M1936" s="299" t="s">
        <v>15</v>
      </c>
      <c r="N1936" s="231"/>
      <c r="O1936" s="231">
        <v>2025</v>
      </c>
      <c r="P1936" s="287">
        <v>45791</v>
      </c>
      <c r="Q1936" s="231" t="s">
        <v>3715</v>
      </c>
      <c r="R1936" s="231"/>
      <c r="S1936" s="241" t="s">
        <v>453</v>
      </c>
      <c r="T1936" s="231"/>
    </row>
    <row r="1937" spans="1:24" ht="15" customHeight="1">
      <c r="A1937" s="231">
        <v>1936</v>
      </c>
      <c r="B1937" s="327" t="s">
        <v>52</v>
      </c>
      <c r="C1937" s="327" t="s">
        <v>10</v>
      </c>
      <c r="D1937" s="273" t="s">
        <v>3770</v>
      </c>
      <c r="E1937" s="268"/>
      <c r="F1937" s="231"/>
      <c r="G1937" s="231"/>
      <c r="H1937" s="276" t="s">
        <v>3771</v>
      </c>
      <c r="I1937" s="278">
        <v>131</v>
      </c>
      <c r="J1937" s="278">
        <v>0</v>
      </c>
      <c r="K1937" s="231" t="b">
        <f t="shared" si="41"/>
        <v>0</v>
      </c>
      <c r="L1937" s="231"/>
      <c r="M1937" s="237" t="s">
        <v>3276</v>
      </c>
      <c r="N1937" s="231"/>
      <c r="O1937" s="231">
        <v>2025</v>
      </c>
      <c r="P1937" s="287">
        <v>45792</v>
      </c>
      <c r="Q1937" s="231" t="s">
        <v>3715</v>
      </c>
      <c r="R1937" s="231"/>
      <c r="S1937" s="241" t="s">
        <v>453</v>
      </c>
      <c r="T1937" s="231"/>
    </row>
    <row r="1938" spans="1:24" ht="15" customHeight="1">
      <c r="A1938" s="231">
        <v>1937</v>
      </c>
      <c r="B1938" s="327" t="s">
        <v>52</v>
      </c>
      <c r="C1938" s="327" t="s">
        <v>10</v>
      </c>
      <c r="D1938" s="273" t="s">
        <v>3772</v>
      </c>
      <c r="E1938" s="268"/>
      <c r="F1938" s="231"/>
      <c r="G1938" s="231"/>
      <c r="H1938" s="276" t="s">
        <v>3773</v>
      </c>
      <c r="I1938" s="278">
        <v>300</v>
      </c>
      <c r="J1938" s="278">
        <v>0</v>
      </c>
      <c r="K1938" s="231" t="b">
        <f t="shared" si="41"/>
        <v>0</v>
      </c>
      <c r="L1938" s="231"/>
      <c r="M1938" s="237" t="s">
        <v>3276</v>
      </c>
      <c r="N1938" s="231"/>
      <c r="O1938" s="231">
        <v>2025</v>
      </c>
      <c r="P1938" s="287">
        <v>45793</v>
      </c>
      <c r="Q1938" s="231" t="s">
        <v>3715</v>
      </c>
      <c r="R1938" s="231"/>
      <c r="S1938" s="241" t="s">
        <v>453</v>
      </c>
      <c r="T1938" s="231"/>
    </row>
    <row r="1939" spans="1:24" ht="15" customHeight="1">
      <c r="A1939" s="231">
        <v>1938</v>
      </c>
      <c r="B1939" s="327" t="s">
        <v>52</v>
      </c>
      <c r="C1939" s="327" t="s">
        <v>10</v>
      </c>
      <c r="D1939" s="273" t="s">
        <v>3774</v>
      </c>
      <c r="E1939" s="268"/>
      <c r="F1939" s="231"/>
      <c r="G1939" s="231"/>
      <c r="H1939" s="276" t="s">
        <v>3775</v>
      </c>
      <c r="I1939" s="278">
        <v>200</v>
      </c>
      <c r="J1939" s="278">
        <v>768</v>
      </c>
      <c r="K1939" s="231" t="b">
        <f t="shared" si="41"/>
        <v>0</v>
      </c>
      <c r="L1939" s="231"/>
      <c r="M1939" s="237" t="s">
        <v>3276</v>
      </c>
      <c r="N1939" s="231"/>
      <c r="O1939" s="231">
        <v>2025</v>
      </c>
      <c r="P1939" s="287">
        <v>45793</v>
      </c>
      <c r="Q1939" s="231" t="s">
        <v>3715</v>
      </c>
      <c r="R1939" s="231"/>
      <c r="S1939" s="241" t="s">
        <v>453</v>
      </c>
      <c r="T1939" s="231"/>
    </row>
    <row r="1940" spans="1:24" ht="15" customHeight="1">
      <c r="A1940" s="231">
        <v>1939</v>
      </c>
      <c r="B1940" s="327" t="s">
        <v>52</v>
      </c>
      <c r="C1940" s="327" t="s">
        <v>10</v>
      </c>
      <c r="D1940" s="273" t="s">
        <v>3776</v>
      </c>
      <c r="E1940" s="268"/>
      <c r="F1940" s="231"/>
      <c r="G1940" s="231"/>
      <c r="H1940" s="275" t="s">
        <v>3777</v>
      </c>
      <c r="I1940" s="278">
        <v>250</v>
      </c>
      <c r="J1940" s="278">
        <v>961</v>
      </c>
      <c r="K1940" s="231" t="b">
        <f t="shared" si="41"/>
        <v>0</v>
      </c>
      <c r="L1940" s="231"/>
      <c r="M1940" s="237" t="s">
        <v>3276</v>
      </c>
      <c r="N1940" s="231"/>
      <c r="O1940" s="231">
        <v>2025</v>
      </c>
      <c r="P1940" s="287">
        <v>45796</v>
      </c>
      <c r="Q1940" s="231" t="s">
        <v>3715</v>
      </c>
      <c r="R1940" s="231"/>
      <c r="S1940" s="241" t="s">
        <v>453</v>
      </c>
      <c r="T1940" s="231"/>
      <c r="U1940" s="90">
        <v>1</v>
      </c>
      <c r="V1940" s="90">
        <v>1</v>
      </c>
      <c r="W1940" s="90">
        <v>0</v>
      </c>
      <c r="X1940" s="90" t="s">
        <v>4377</v>
      </c>
    </row>
    <row r="1941" spans="1:24" ht="15" customHeight="1">
      <c r="A1941" s="231">
        <v>1940</v>
      </c>
      <c r="B1941" s="327" t="s">
        <v>52</v>
      </c>
      <c r="C1941" s="327" t="s">
        <v>10</v>
      </c>
      <c r="D1941" s="273" t="s">
        <v>3778</v>
      </c>
      <c r="E1941" s="268"/>
      <c r="F1941" s="231"/>
      <c r="G1941" s="231"/>
      <c r="H1941" s="275" t="s">
        <v>3431</v>
      </c>
      <c r="I1941" s="278">
        <v>250</v>
      </c>
      <c r="J1941" s="278">
        <v>0</v>
      </c>
      <c r="K1941" s="231" t="b">
        <f t="shared" si="41"/>
        <v>0</v>
      </c>
      <c r="L1941" s="231"/>
      <c r="M1941" s="237" t="s">
        <v>3276</v>
      </c>
      <c r="N1941" s="231"/>
      <c r="O1941" s="231">
        <v>2025</v>
      </c>
      <c r="P1941" s="287">
        <v>45796</v>
      </c>
      <c r="Q1941" s="231" t="s">
        <v>3715</v>
      </c>
      <c r="R1941" s="231"/>
      <c r="S1941" s="241" t="s">
        <v>453</v>
      </c>
      <c r="T1941" s="231"/>
    </row>
    <row r="1942" spans="1:24" ht="15" customHeight="1">
      <c r="A1942" s="231">
        <v>1941</v>
      </c>
      <c r="B1942" s="327" t="s">
        <v>52</v>
      </c>
      <c r="C1942" s="327" t="s">
        <v>10</v>
      </c>
      <c r="D1942" s="273" t="s">
        <v>3779</v>
      </c>
      <c r="E1942" s="268"/>
      <c r="F1942" s="231"/>
      <c r="G1942" s="231"/>
      <c r="H1942" s="276" t="s">
        <v>3301</v>
      </c>
      <c r="I1942" s="278">
        <v>0</v>
      </c>
      <c r="J1942" s="278">
        <v>100</v>
      </c>
      <c r="K1942" s="231" t="b">
        <f t="shared" si="41"/>
        <v>0</v>
      </c>
      <c r="L1942" s="231"/>
      <c r="M1942" s="237" t="s">
        <v>3437</v>
      </c>
      <c r="N1942" s="231"/>
      <c r="O1942" s="231">
        <v>2025</v>
      </c>
      <c r="P1942" s="289">
        <v>45789</v>
      </c>
      <c r="Q1942" s="231" t="s">
        <v>3715</v>
      </c>
      <c r="R1942" s="231"/>
      <c r="S1942" s="241" t="s">
        <v>453</v>
      </c>
      <c r="T1942" s="231"/>
    </row>
    <row r="1943" spans="1:24" ht="15" customHeight="1">
      <c r="A1943" s="231">
        <v>1942</v>
      </c>
      <c r="B1943" s="327" t="s">
        <v>52</v>
      </c>
      <c r="C1943" s="327" t="s">
        <v>10</v>
      </c>
      <c r="D1943" s="273" t="s">
        <v>3780</v>
      </c>
      <c r="E1943" s="268"/>
      <c r="F1943" s="231"/>
      <c r="G1943" s="231"/>
      <c r="H1943" s="276" t="s">
        <v>3732</v>
      </c>
      <c r="I1943" s="278">
        <v>100</v>
      </c>
      <c r="J1943" s="278">
        <v>0</v>
      </c>
      <c r="K1943" s="231" t="b">
        <f t="shared" si="41"/>
        <v>0</v>
      </c>
      <c r="L1943" s="231"/>
      <c r="M1943" s="237" t="s">
        <v>3437</v>
      </c>
      <c r="N1943" s="231"/>
      <c r="O1943" s="231">
        <v>2025</v>
      </c>
      <c r="P1943" s="287">
        <v>45799</v>
      </c>
      <c r="Q1943" s="231" t="s">
        <v>3715</v>
      </c>
      <c r="R1943" s="231"/>
      <c r="S1943" s="241" t="s">
        <v>453</v>
      </c>
      <c r="T1943" s="231"/>
    </row>
    <row r="1944" spans="1:24" ht="15" customHeight="1">
      <c r="A1944" s="231">
        <v>1943</v>
      </c>
      <c r="B1944" s="327" t="s">
        <v>52</v>
      </c>
      <c r="C1944" s="327" t="s">
        <v>10</v>
      </c>
      <c r="D1944" s="273" t="s">
        <v>3781</v>
      </c>
      <c r="E1944" s="268"/>
      <c r="F1944" s="231"/>
      <c r="G1944" s="231"/>
      <c r="H1944" s="276" t="s">
        <v>3782</v>
      </c>
      <c r="I1944" s="278">
        <v>245</v>
      </c>
      <c r="J1944" s="278">
        <v>0</v>
      </c>
      <c r="K1944" s="231" t="b">
        <f t="shared" si="41"/>
        <v>0</v>
      </c>
      <c r="L1944" s="231"/>
      <c r="M1944" s="237" t="s">
        <v>3437</v>
      </c>
      <c r="N1944" s="231"/>
      <c r="O1944" s="231">
        <v>2025</v>
      </c>
      <c r="P1944" s="289">
        <v>45792</v>
      </c>
      <c r="Q1944" s="231" t="s">
        <v>3715</v>
      </c>
      <c r="R1944" s="231"/>
      <c r="S1944" s="241" t="s">
        <v>453</v>
      </c>
      <c r="T1944" s="231"/>
    </row>
    <row r="1945" spans="1:24" ht="15" customHeight="1">
      <c r="A1945" s="231">
        <v>1944</v>
      </c>
      <c r="B1945" s="327" t="s">
        <v>52</v>
      </c>
      <c r="C1945" s="327" t="s">
        <v>10</v>
      </c>
      <c r="D1945" s="273" t="s">
        <v>3783</v>
      </c>
      <c r="E1945" s="268"/>
      <c r="F1945" s="231"/>
      <c r="G1945" s="231"/>
      <c r="H1945" s="277" t="s">
        <v>3784</v>
      </c>
      <c r="I1945" s="278">
        <v>279</v>
      </c>
      <c r="J1945" s="278">
        <v>0</v>
      </c>
      <c r="K1945" s="231" t="b">
        <f t="shared" si="41"/>
        <v>0</v>
      </c>
      <c r="L1945" s="231"/>
      <c r="M1945" s="237" t="s">
        <v>3437</v>
      </c>
      <c r="N1945" s="231"/>
      <c r="O1945" s="231">
        <v>2025</v>
      </c>
      <c r="P1945" s="289">
        <v>45793</v>
      </c>
      <c r="Q1945" s="231" t="s">
        <v>3715</v>
      </c>
      <c r="R1945" s="231"/>
      <c r="S1945" s="241" t="s">
        <v>453</v>
      </c>
      <c r="T1945" s="231"/>
    </row>
    <row r="1946" spans="1:24" ht="15" customHeight="1">
      <c r="A1946" s="231">
        <v>1945</v>
      </c>
      <c r="B1946" s="327" t="s">
        <v>52</v>
      </c>
      <c r="C1946" s="327" t="s">
        <v>10</v>
      </c>
      <c r="D1946" s="273" t="s">
        <v>3785</v>
      </c>
      <c r="E1946" s="268"/>
      <c r="F1946" s="231"/>
      <c r="G1946" s="231"/>
      <c r="H1946" s="277" t="s">
        <v>3784</v>
      </c>
      <c r="I1946" s="278">
        <v>250</v>
      </c>
      <c r="J1946" s="278">
        <v>483</v>
      </c>
      <c r="K1946" s="231" t="b">
        <f t="shared" si="41"/>
        <v>0</v>
      </c>
      <c r="L1946" s="231"/>
      <c r="M1946" s="237" t="s">
        <v>3437</v>
      </c>
      <c r="N1946" s="231"/>
      <c r="O1946" s="231">
        <v>2025</v>
      </c>
      <c r="P1946" s="289">
        <v>45793</v>
      </c>
      <c r="Q1946" s="231" t="s">
        <v>3715</v>
      </c>
      <c r="R1946" s="231"/>
      <c r="S1946" s="241" t="s">
        <v>453</v>
      </c>
      <c r="T1946" s="231"/>
    </row>
    <row r="1947" spans="1:24" ht="15" customHeight="1">
      <c r="A1947" s="231">
        <v>1946</v>
      </c>
      <c r="B1947" s="327" t="s">
        <v>52</v>
      </c>
      <c r="C1947" s="327" t="s">
        <v>10</v>
      </c>
      <c r="D1947" s="273" t="s">
        <v>3786</v>
      </c>
      <c r="E1947" s="268"/>
      <c r="F1947" s="231"/>
      <c r="G1947" s="231"/>
      <c r="H1947" s="276" t="s">
        <v>3463</v>
      </c>
      <c r="I1947" s="278">
        <v>0</v>
      </c>
      <c r="J1947" s="278">
        <v>250</v>
      </c>
      <c r="K1947" s="231" t="b">
        <f t="shared" si="41"/>
        <v>0</v>
      </c>
      <c r="L1947" s="231"/>
      <c r="M1947" s="237" t="s">
        <v>3437</v>
      </c>
      <c r="N1947" s="231"/>
      <c r="O1947" s="231">
        <v>2025</v>
      </c>
      <c r="P1947" s="289">
        <v>45793</v>
      </c>
      <c r="Q1947" s="231" t="s">
        <v>3715</v>
      </c>
      <c r="R1947" s="231"/>
      <c r="S1947" s="241" t="s">
        <v>453</v>
      </c>
      <c r="T1947" s="231"/>
    </row>
    <row r="1948" spans="1:24" ht="15" customHeight="1">
      <c r="A1948" s="61">
        <v>1947</v>
      </c>
      <c r="B1948" s="327" t="s">
        <v>52</v>
      </c>
      <c r="C1948" s="327" t="s">
        <v>10</v>
      </c>
      <c r="D1948" s="273" t="s">
        <v>3787</v>
      </c>
      <c r="E1948" s="246"/>
      <c r="H1948" s="276" t="s">
        <v>3301</v>
      </c>
      <c r="I1948" s="278">
        <v>0</v>
      </c>
      <c r="J1948" s="278">
        <v>0</v>
      </c>
      <c r="K1948" s="231" t="b">
        <f t="shared" si="41"/>
        <v>0</v>
      </c>
      <c r="L1948" s="61"/>
      <c r="M1948" s="237" t="s">
        <v>3437</v>
      </c>
      <c r="N1948" s="61"/>
      <c r="O1948" s="231">
        <v>2025</v>
      </c>
      <c r="P1948" s="289">
        <v>45800</v>
      </c>
      <c r="Q1948" s="61" t="s">
        <v>3689</v>
      </c>
      <c r="R1948" s="61"/>
      <c r="S1948" s="241" t="s">
        <v>453</v>
      </c>
      <c r="T1948" s="61"/>
    </row>
    <row r="1949" spans="1:24" ht="15" customHeight="1">
      <c r="A1949" s="61">
        <v>1948</v>
      </c>
      <c r="B1949" s="327" t="s">
        <v>52</v>
      </c>
      <c r="C1949" s="327" t="s">
        <v>10</v>
      </c>
      <c r="D1949" s="273" t="s">
        <v>3788</v>
      </c>
      <c r="H1949" s="276" t="s">
        <v>3301</v>
      </c>
      <c r="I1949" s="278">
        <v>0</v>
      </c>
      <c r="J1949" s="278">
        <v>0</v>
      </c>
      <c r="K1949" s="231" t="b">
        <f t="shared" si="41"/>
        <v>0</v>
      </c>
      <c r="L1949" s="61"/>
      <c r="M1949" s="237" t="s">
        <v>3437</v>
      </c>
      <c r="N1949" s="61"/>
      <c r="O1949" s="231">
        <v>2025</v>
      </c>
      <c r="P1949" s="289">
        <v>45800</v>
      </c>
      <c r="Q1949" s="61" t="s">
        <v>3689</v>
      </c>
      <c r="R1949" s="61"/>
      <c r="S1949" s="241" t="s">
        <v>453</v>
      </c>
      <c r="T1949" s="61"/>
    </row>
    <row r="1950" spans="1:24" ht="15" customHeight="1">
      <c r="A1950" s="61">
        <v>1949</v>
      </c>
      <c r="B1950" s="327" t="s">
        <v>52</v>
      </c>
      <c r="C1950" s="327" t="s">
        <v>10</v>
      </c>
      <c r="D1950" s="273" t="s">
        <v>3789</v>
      </c>
      <c r="H1950" s="276" t="s">
        <v>3301</v>
      </c>
      <c r="I1950" s="278">
        <v>0</v>
      </c>
      <c r="J1950" s="278">
        <v>0</v>
      </c>
      <c r="K1950" s="231" t="b">
        <f t="shared" si="41"/>
        <v>0</v>
      </c>
      <c r="L1950" s="61"/>
      <c r="M1950" s="237" t="s">
        <v>3437</v>
      </c>
      <c r="N1950" s="61"/>
      <c r="O1950" s="231">
        <v>2025</v>
      </c>
      <c r="P1950" s="289">
        <v>45800</v>
      </c>
      <c r="Q1950" s="61" t="s">
        <v>3689</v>
      </c>
      <c r="R1950" s="61"/>
      <c r="S1950" s="241" t="s">
        <v>453</v>
      </c>
      <c r="T1950" s="61"/>
    </row>
    <row r="1951" spans="1:24" ht="15" customHeight="1">
      <c r="A1951" s="61">
        <v>1950</v>
      </c>
      <c r="B1951" s="327" t="s">
        <v>52</v>
      </c>
      <c r="C1951" s="327" t="s">
        <v>10</v>
      </c>
      <c r="D1951" s="273" t="s">
        <v>3790</v>
      </c>
      <c r="H1951" s="277" t="s">
        <v>3791</v>
      </c>
      <c r="I1951" s="278">
        <v>450</v>
      </c>
      <c r="J1951" s="278">
        <v>0</v>
      </c>
      <c r="K1951" s="231" t="b">
        <f t="shared" si="41"/>
        <v>0</v>
      </c>
      <c r="L1951" s="61"/>
      <c r="M1951" s="237" t="s">
        <v>3437</v>
      </c>
      <c r="N1951" s="61"/>
      <c r="O1951" s="231">
        <v>2025</v>
      </c>
      <c r="P1951" s="289">
        <v>45801</v>
      </c>
      <c r="Q1951" s="61" t="s">
        <v>3689</v>
      </c>
      <c r="R1951" s="61"/>
      <c r="S1951" s="241" t="s">
        <v>453</v>
      </c>
      <c r="T1951" s="61"/>
    </row>
    <row r="1952" spans="1:24" ht="15" customHeight="1">
      <c r="A1952" s="61">
        <v>1951</v>
      </c>
      <c r="B1952" s="327" t="s">
        <v>52</v>
      </c>
      <c r="C1952" s="327" t="s">
        <v>10</v>
      </c>
      <c r="D1952" s="292" t="s">
        <v>4721</v>
      </c>
      <c r="H1952" s="292" t="s">
        <v>4125</v>
      </c>
      <c r="I1952" s="301">
        <v>0</v>
      </c>
      <c r="J1952" s="301">
        <v>1500</v>
      </c>
      <c r="K1952" s="231" t="b">
        <f t="shared" si="41"/>
        <v>0</v>
      </c>
      <c r="L1952" s="61"/>
      <c r="M1952" s="299" t="s">
        <v>3596</v>
      </c>
      <c r="N1952" s="61"/>
      <c r="O1952" s="231">
        <v>2025</v>
      </c>
      <c r="P1952" s="303">
        <v>45802.75</v>
      </c>
      <c r="Q1952" s="61" t="s">
        <v>3689</v>
      </c>
      <c r="R1952" s="61"/>
      <c r="S1952" s="241" t="s">
        <v>453</v>
      </c>
      <c r="T1952" s="61"/>
    </row>
    <row r="1953" spans="1:20" ht="15" customHeight="1">
      <c r="A1953" s="61">
        <v>1952</v>
      </c>
      <c r="B1953" s="327" t="s">
        <v>52</v>
      </c>
      <c r="C1953" s="327" t="s">
        <v>10</v>
      </c>
      <c r="D1953" s="292" t="s">
        <v>3806</v>
      </c>
      <c r="H1953" s="292" t="s">
        <v>4126</v>
      </c>
      <c r="I1953" s="301">
        <v>0</v>
      </c>
      <c r="J1953" s="301">
        <v>1747</v>
      </c>
      <c r="K1953" s="231" t="b">
        <f t="shared" si="41"/>
        <v>0</v>
      </c>
      <c r="L1953" s="61"/>
      <c r="M1953" s="299" t="s">
        <v>3437</v>
      </c>
      <c r="N1953" s="61"/>
      <c r="O1953" s="231">
        <v>2025</v>
      </c>
      <c r="P1953" s="303">
        <v>45803.813194444447</v>
      </c>
      <c r="Q1953" s="61" t="s">
        <v>3689</v>
      </c>
      <c r="R1953" s="61"/>
      <c r="S1953" s="241" t="s">
        <v>453</v>
      </c>
      <c r="T1953" s="61"/>
    </row>
    <row r="1954" spans="1:20" ht="15" customHeight="1">
      <c r="A1954" s="61">
        <v>1953</v>
      </c>
      <c r="B1954" s="327" t="s">
        <v>52</v>
      </c>
      <c r="C1954" s="327" t="s">
        <v>10</v>
      </c>
      <c r="D1954" s="292" t="s">
        <v>3807</v>
      </c>
      <c r="H1954" s="292" t="s">
        <v>3641</v>
      </c>
      <c r="I1954" s="301">
        <v>378</v>
      </c>
      <c r="J1954" s="301">
        <v>0</v>
      </c>
      <c r="K1954" s="231" t="b">
        <f t="shared" si="41"/>
        <v>0</v>
      </c>
      <c r="L1954" s="61"/>
      <c r="M1954" s="299" t="s">
        <v>3276</v>
      </c>
      <c r="N1954" s="61"/>
      <c r="O1954" s="231">
        <v>2025</v>
      </c>
      <c r="P1954" s="303">
        <v>45804.838888888888</v>
      </c>
      <c r="Q1954" s="61" t="s">
        <v>3689</v>
      </c>
      <c r="R1954" s="61"/>
      <c r="S1954" s="241" t="s">
        <v>453</v>
      </c>
      <c r="T1954" s="61"/>
    </row>
    <row r="1955" spans="1:20" ht="15" customHeight="1">
      <c r="A1955" s="61">
        <v>1954</v>
      </c>
      <c r="B1955" s="327" t="s">
        <v>52</v>
      </c>
      <c r="C1955" s="327" t="s">
        <v>10</v>
      </c>
      <c r="D1955" s="292" t="s">
        <v>3808</v>
      </c>
      <c r="H1955" s="292" t="s">
        <v>4127</v>
      </c>
      <c r="I1955" s="301">
        <v>245</v>
      </c>
      <c r="J1955" s="301">
        <v>0</v>
      </c>
      <c r="K1955" s="231" t="b">
        <f t="shared" si="41"/>
        <v>0</v>
      </c>
      <c r="L1955" s="61"/>
      <c r="M1955" s="299" t="s">
        <v>3276</v>
      </c>
      <c r="N1955" s="61"/>
      <c r="O1955" s="231">
        <v>2025</v>
      </c>
      <c r="P1955" s="303">
        <v>45805.57916666667</v>
      </c>
      <c r="Q1955" s="61" t="s">
        <v>3689</v>
      </c>
      <c r="R1955" s="61"/>
      <c r="S1955" s="241" t="s">
        <v>453</v>
      </c>
      <c r="T1955" s="61"/>
    </row>
    <row r="1956" spans="1:20" ht="15" customHeight="1">
      <c r="A1956" s="61">
        <v>1955</v>
      </c>
      <c r="B1956" s="327" t="s">
        <v>52</v>
      </c>
      <c r="C1956" s="327" t="s">
        <v>10</v>
      </c>
      <c r="D1956" s="292" t="s">
        <v>3809</v>
      </c>
      <c r="H1956" s="292" t="s">
        <v>4128</v>
      </c>
      <c r="I1956" s="301">
        <v>0</v>
      </c>
      <c r="J1956" s="301">
        <v>743</v>
      </c>
      <c r="K1956" s="231" t="b">
        <f t="shared" si="41"/>
        <v>0</v>
      </c>
      <c r="L1956" s="61"/>
      <c r="M1956" s="299" t="s">
        <v>3276</v>
      </c>
      <c r="N1956" s="61"/>
      <c r="O1956" s="231">
        <v>2025</v>
      </c>
      <c r="P1956" s="303">
        <v>45806.592361111114</v>
      </c>
      <c r="Q1956" s="61" t="s">
        <v>3689</v>
      </c>
      <c r="R1956" s="61"/>
      <c r="S1956" s="241" t="s">
        <v>453</v>
      </c>
      <c r="T1956" s="61"/>
    </row>
    <row r="1957" spans="1:20" ht="15" customHeight="1">
      <c r="A1957" s="61">
        <v>1956</v>
      </c>
      <c r="B1957" s="327" t="s">
        <v>52</v>
      </c>
      <c r="C1957" s="327" t="s">
        <v>10</v>
      </c>
      <c r="D1957" s="292" t="s">
        <v>3810</v>
      </c>
      <c r="H1957" s="292" t="s">
        <v>3691</v>
      </c>
      <c r="I1957" s="301">
        <v>0</v>
      </c>
      <c r="J1957" s="301">
        <v>562</v>
      </c>
      <c r="K1957" s="231" t="b">
        <f t="shared" si="41"/>
        <v>0</v>
      </c>
      <c r="L1957" s="61"/>
      <c r="M1957" s="299" t="s">
        <v>3276</v>
      </c>
      <c r="N1957" s="61"/>
      <c r="O1957" s="231">
        <v>2025</v>
      </c>
      <c r="P1957" s="303">
        <v>45826.772916666669</v>
      </c>
      <c r="Q1957" s="61" t="s">
        <v>3689</v>
      </c>
      <c r="R1957" s="61"/>
      <c r="S1957" s="241" t="s">
        <v>453</v>
      </c>
      <c r="T1957" s="61"/>
    </row>
    <row r="1958" spans="1:20" ht="15" customHeight="1">
      <c r="A1958" s="61">
        <v>1957</v>
      </c>
      <c r="B1958" s="327" t="s">
        <v>52</v>
      </c>
      <c r="C1958" s="327" t="s">
        <v>10</v>
      </c>
      <c r="D1958" s="292" t="s">
        <v>3811</v>
      </c>
      <c r="H1958" s="292" t="s">
        <v>4129</v>
      </c>
      <c r="I1958" s="301">
        <v>339</v>
      </c>
      <c r="J1958" s="301">
        <v>1000</v>
      </c>
      <c r="K1958" s="231" t="b">
        <f t="shared" si="41"/>
        <v>0</v>
      </c>
      <c r="L1958" s="61"/>
      <c r="M1958" s="299" t="s">
        <v>3276</v>
      </c>
      <c r="N1958" s="61"/>
      <c r="O1958" s="231">
        <v>2025</v>
      </c>
      <c r="P1958" s="303">
        <v>45806.784722222219</v>
      </c>
      <c r="Q1958" s="61" t="s">
        <v>3689</v>
      </c>
      <c r="R1958" s="61"/>
      <c r="S1958" s="241" t="s">
        <v>453</v>
      </c>
      <c r="T1958" s="61"/>
    </row>
    <row r="1959" spans="1:20" ht="15" customHeight="1">
      <c r="A1959" s="61">
        <v>1958</v>
      </c>
      <c r="B1959" s="327" t="s">
        <v>52</v>
      </c>
      <c r="C1959" s="327" t="s">
        <v>10</v>
      </c>
      <c r="D1959" s="292" t="s">
        <v>3812</v>
      </c>
      <c r="H1959" s="292" t="s">
        <v>3732</v>
      </c>
      <c r="I1959" s="301">
        <v>0</v>
      </c>
      <c r="J1959" s="301">
        <v>550</v>
      </c>
      <c r="K1959" s="231" t="b">
        <f t="shared" si="41"/>
        <v>0</v>
      </c>
      <c r="L1959" s="61"/>
      <c r="M1959" s="299" t="s">
        <v>3276</v>
      </c>
      <c r="N1959" s="61"/>
      <c r="O1959" s="231">
        <v>2025</v>
      </c>
      <c r="P1959" s="303">
        <v>45820.464583333334</v>
      </c>
      <c r="Q1959" s="61" t="s">
        <v>3689</v>
      </c>
      <c r="R1959" s="61"/>
      <c r="S1959" s="241" t="s">
        <v>453</v>
      </c>
      <c r="T1959" s="61"/>
    </row>
    <row r="1960" spans="1:20" ht="15" customHeight="1">
      <c r="A1960" s="61">
        <v>1959</v>
      </c>
      <c r="B1960" s="327" t="s">
        <v>51</v>
      </c>
      <c r="C1960" s="327" t="s">
        <v>10</v>
      </c>
      <c r="D1960" s="292" t="s">
        <v>3813</v>
      </c>
      <c r="H1960" s="292" t="s">
        <v>4130</v>
      </c>
      <c r="I1960" s="301">
        <v>0</v>
      </c>
      <c r="J1960" s="301">
        <v>671</v>
      </c>
      <c r="K1960" s="231">
        <f t="shared" si="41"/>
        <v>10</v>
      </c>
      <c r="L1960" s="61"/>
      <c r="M1960" s="299" t="s">
        <v>15</v>
      </c>
      <c r="N1960" s="61"/>
      <c r="O1960" s="231">
        <v>2025</v>
      </c>
      <c r="P1960" s="303">
        <v>45821.75</v>
      </c>
      <c r="Q1960" s="61" t="s">
        <v>3689</v>
      </c>
      <c r="R1960" s="61"/>
      <c r="S1960" s="241" t="s">
        <v>453</v>
      </c>
      <c r="T1960" s="61"/>
    </row>
    <row r="1961" spans="1:20" ht="15" customHeight="1">
      <c r="A1961" s="61">
        <v>1960</v>
      </c>
      <c r="B1961" s="327" t="s">
        <v>52</v>
      </c>
      <c r="C1961" s="327" t="s">
        <v>10</v>
      </c>
      <c r="D1961" s="292" t="s">
        <v>3814</v>
      </c>
      <c r="H1961" s="292" t="s">
        <v>4131</v>
      </c>
      <c r="I1961" s="301">
        <v>200</v>
      </c>
      <c r="J1961" s="301">
        <v>1154.7</v>
      </c>
      <c r="K1961" s="231" t="b">
        <f t="shared" si="41"/>
        <v>0</v>
      </c>
      <c r="L1961" s="61"/>
      <c r="M1961" s="299" t="s">
        <v>3276</v>
      </c>
      <c r="N1961" s="61"/>
      <c r="O1961" s="231">
        <v>2025</v>
      </c>
      <c r="P1961" s="303">
        <v>45807.526388888888</v>
      </c>
      <c r="Q1961" s="61" t="s">
        <v>3689</v>
      </c>
      <c r="R1961" s="61"/>
      <c r="S1961" s="241" t="s">
        <v>453</v>
      </c>
      <c r="T1961" s="61"/>
    </row>
    <row r="1962" spans="1:20" ht="15" customHeight="1">
      <c r="A1962" s="61">
        <v>1961</v>
      </c>
      <c r="B1962" s="327" t="s">
        <v>52</v>
      </c>
      <c r="C1962" s="327" t="s">
        <v>10</v>
      </c>
      <c r="D1962" s="292" t="s">
        <v>3815</v>
      </c>
      <c r="H1962" s="292" t="s">
        <v>3390</v>
      </c>
      <c r="I1962" s="301">
        <v>0</v>
      </c>
      <c r="J1962" s="301">
        <v>851</v>
      </c>
      <c r="K1962" s="231" t="b">
        <f t="shared" si="41"/>
        <v>0</v>
      </c>
      <c r="L1962" s="61"/>
      <c r="M1962" s="299" t="s">
        <v>3276</v>
      </c>
      <c r="N1962" s="61"/>
      <c r="O1962" s="231">
        <v>2025</v>
      </c>
      <c r="P1962" s="303">
        <v>45812.549305555556</v>
      </c>
      <c r="Q1962" s="61" t="s">
        <v>3689</v>
      </c>
      <c r="R1962" s="61"/>
      <c r="S1962" s="241" t="s">
        <v>453</v>
      </c>
      <c r="T1962" s="61"/>
    </row>
    <row r="1963" spans="1:20" ht="15" customHeight="1">
      <c r="A1963" s="61">
        <v>1962</v>
      </c>
      <c r="B1963" s="327" t="s">
        <v>52</v>
      </c>
      <c r="C1963" s="327" t="s">
        <v>10</v>
      </c>
      <c r="D1963" s="292" t="s">
        <v>3816</v>
      </c>
      <c r="H1963" s="292" t="s">
        <v>4132</v>
      </c>
      <c r="I1963" s="301">
        <v>0</v>
      </c>
      <c r="J1963" s="301">
        <v>302</v>
      </c>
      <c r="K1963" s="231" t="b">
        <f t="shared" si="41"/>
        <v>0</v>
      </c>
      <c r="L1963" s="61"/>
      <c r="M1963" s="299" t="s">
        <v>3276</v>
      </c>
      <c r="N1963" s="61"/>
      <c r="O1963" s="231">
        <v>2025</v>
      </c>
      <c r="P1963" s="303">
        <v>45825.604166666664</v>
      </c>
      <c r="Q1963" s="61" t="s">
        <v>3689</v>
      </c>
      <c r="R1963" s="61"/>
      <c r="S1963" s="241" t="s">
        <v>453</v>
      </c>
      <c r="T1963" s="61"/>
    </row>
    <row r="1964" spans="1:20" ht="15" customHeight="1">
      <c r="A1964" s="61">
        <v>1963</v>
      </c>
      <c r="B1964" s="327" t="s">
        <v>52</v>
      </c>
      <c r="C1964" s="327" t="s">
        <v>10</v>
      </c>
      <c r="D1964" s="292" t="s">
        <v>3817</v>
      </c>
      <c r="H1964" s="292" t="s">
        <v>4133</v>
      </c>
      <c r="I1964" s="301">
        <v>0</v>
      </c>
      <c r="J1964" s="301">
        <v>267</v>
      </c>
      <c r="K1964" s="231" t="b">
        <f t="shared" si="41"/>
        <v>0</v>
      </c>
      <c r="L1964" s="61"/>
      <c r="M1964" s="299" t="s">
        <v>3276</v>
      </c>
      <c r="N1964" s="61"/>
      <c r="O1964" s="231">
        <v>2025</v>
      </c>
      <c r="P1964" s="303">
        <v>45813.513888888891</v>
      </c>
      <c r="Q1964" s="61" t="s">
        <v>3689</v>
      </c>
      <c r="R1964" s="61"/>
      <c r="S1964" s="241" t="s">
        <v>453</v>
      </c>
      <c r="T1964" s="61"/>
    </row>
    <row r="1965" spans="1:20" ht="15" customHeight="1">
      <c r="A1965" s="61">
        <v>1964</v>
      </c>
      <c r="B1965" s="327" t="s">
        <v>52</v>
      </c>
      <c r="C1965" s="327" t="s">
        <v>10</v>
      </c>
      <c r="D1965" s="292" t="s">
        <v>3818</v>
      </c>
      <c r="H1965" s="292" t="s">
        <v>4134</v>
      </c>
      <c r="I1965" s="301">
        <v>0</v>
      </c>
      <c r="J1965" s="301">
        <v>251</v>
      </c>
      <c r="K1965" s="231" t="b">
        <f t="shared" si="41"/>
        <v>0</v>
      </c>
      <c r="L1965" s="61"/>
      <c r="M1965" s="299" t="s">
        <v>3276</v>
      </c>
      <c r="N1965" s="61"/>
      <c r="O1965" s="231">
        <v>2025</v>
      </c>
      <c r="P1965" s="303">
        <v>45817.771527777775</v>
      </c>
      <c r="Q1965" s="61" t="s">
        <v>3689</v>
      </c>
      <c r="R1965" s="61"/>
      <c r="S1965" s="241" t="s">
        <v>453</v>
      </c>
      <c r="T1965" s="61"/>
    </row>
    <row r="1966" spans="1:20" ht="15" customHeight="1">
      <c r="A1966" s="61">
        <v>1965</v>
      </c>
      <c r="B1966" s="327" t="s">
        <v>52</v>
      </c>
      <c r="C1966" s="327" t="s">
        <v>10</v>
      </c>
      <c r="D1966" s="292" t="s">
        <v>3819</v>
      </c>
      <c r="H1966" s="292" t="s">
        <v>4135</v>
      </c>
      <c r="I1966" s="301">
        <v>0</v>
      </c>
      <c r="J1966" s="301">
        <v>577</v>
      </c>
      <c r="K1966" s="231" t="b">
        <f t="shared" si="41"/>
        <v>0</v>
      </c>
      <c r="L1966" s="61"/>
      <c r="M1966" s="299" t="s">
        <v>3276</v>
      </c>
      <c r="N1966" s="61"/>
      <c r="O1966" s="231">
        <v>2025</v>
      </c>
      <c r="P1966" s="303">
        <v>45810.564583333333</v>
      </c>
      <c r="Q1966" s="61" t="s">
        <v>3689</v>
      </c>
      <c r="R1966" s="61"/>
      <c r="S1966" s="241" t="s">
        <v>453</v>
      </c>
      <c r="T1966" s="61"/>
    </row>
    <row r="1967" spans="1:20" ht="15" customHeight="1">
      <c r="A1967" s="61">
        <v>1966</v>
      </c>
      <c r="B1967" s="327" t="s">
        <v>52</v>
      </c>
      <c r="C1967" s="327" t="s">
        <v>10</v>
      </c>
      <c r="D1967" s="292" t="s">
        <v>3820</v>
      </c>
      <c r="H1967" s="292" t="s">
        <v>4136</v>
      </c>
      <c r="I1967" s="301">
        <v>0</v>
      </c>
      <c r="J1967" s="301">
        <v>482</v>
      </c>
      <c r="K1967" s="231" t="b">
        <f t="shared" si="41"/>
        <v>0</v>
      </c>
      <c r="L1967" s="61"/>
      <c r="M1967" s="299" t="s">
        <v>3276</v>
      </c>
      <c r="N1967" s="61"/>
      <c r="O1967" s="231">
        <v>2025</v>
      </c>
      <c r="P1967" s="303">
        <v>45810.666666666664</v>
      </c>
      <c r="Q1967" s="61" t="s">
        <v>3689</v>
      </c>
      <c r="R1967" s="61"/>
      <c r="S1967" s="241" t="s">
        <v>453</v>
      </c>
      <c r="T1967" s="61"/>
    </row>
    <row r="1968" spans="1:20" ht="15" customHeight="1">
      <c r="A1968" s="61">
        <v>1967</v>
      </c>
      <c r="B1968" s="327" t="s">
        <v>52</v>
      </c>
      <c r="C1968" s="327" t="s">
        <v>10</v>
      </c>
      <c r="D1968" s="292" t="s">
        <v>3821</v>
      </c>
      <c r="H1968" s="292" t="s">
        <v>4137</v>
      </c>
      <c r="I1968" s="301">
        <v>0</v>
      </c>
      <c r="J1968" s="301">
        <v>1150</v>
      </c>
      <c r="K1968" s="231" t="b">
        <f t="shared" si="41"/>
        <v>0</v>
      </c>
      <c r="L1968" s="61"/>
      <c r="M1968" s="299" t="s">
        <v>3276</v>
      </c>
      <c r="N1968" s="61"/>
      <c r="O1968" s="231">
        <v>2025</v>
      </c>
      <c r="P1968" s="303">
        <v>45819.512499999997</v>
      </c>
      <c r="Q1968" s="61" t="s">
        <v>3715</v>
      </c>
      <c r="R1968" s="61"/>
      <c r="S1968" s="241" t="s">
        <v>453</v>
      </c>
      <c r="T1968" s="61"/>
    </row>
    <row r="1969" spans="1:20" ht="15" customHeight="1">
      <c r="A1969" s="61">
        <v>1968</v>
      </c>
      <c r="B1969" s="327" t="s">
        <v>52</v>
      </c>
      <c r="C1969" s="327" t="s">
        <v>10</v>
      </c>
      <c r="D1969" s="292" t="s">
        <v>3822</v>
      </c>
      <c r="H1969" s="292" t="s">
        <v>4137</v>
      </c>
      <c r="I1969" s="301">
        <v>0</v>
      </c>
      <c r="J1969" s="301">
        <v>168</v>
      </c>
      <c r="K1969" s="231" t="b">
        <f t="shared" si="41"/>
        <v>0</v>
      </c>
      <c r="L1969" s="61"/>
      <c r="M1969" s="299" t="s">
        <v>3276</v>
      </c>
      <c r="N1969" s="61"/>
      <c r="O1969" s="231">
        <v>2025</v>
      </c>
      <c r="P1969" s="303">
        <v>45819.54583333333</v>
      </c>
      <c r="Q1969" s="61" t="s">
        <v>3715</v>
      </c>
      <c r="R1969" s="61"/>
      <c r="S1969" s="241" t="s">
        <v>453</v>
      </c>
      <c r="T1969" s="61"/>
    </row>
    <row r="1970" spans="1:20" ht="15" customHeight="1">
      <c r="A1970" s="61">
        <v>1969</v>
      </c>
      <c r="B1970" s="327" t="s">
        <v>52</v>
      </c>
      <c r="C1970" s="327" t="s">
        <v>10</v>
      </c>
      <c r="D1970" s="292" t="s">
        <v>3823</v>
      </c>
      <c r="H1970" s="292" t="s">
        <v>4137</v>
      </c>
      <c r="I1970" s="301">
        <v>0</v>
      </c>
      <c r="J1970" s="301">
        <v>111</v>
      </c>
      <c r="K1970" s="231">
        <f t="shared" si="41"/>
        <v>10</v>
      </c>
      <c r="L1970" s="61"/>
      <c r="M1970" s="299" t="s">
        <v>15</v>
      </c>
      <c r="N1970" s="61"/>
      <c r="O1970" s="231">
        <v>2025</v>
      </c>
      <c r="P1970" s="303">
        <v>45819.586111111108</v>
      </c>
      <c r="Q1970" s="61" t="s">
        <v>3715</v>
      </c>
      <c r="R1970" s="61"/>
      <c r="S1970" s="241" t="s">
        <v>453</v>
      </c>
      <c r="T1970" s="61"/>
    </row>
    <row r="1971" spans="1:20" ht="15" customHeight="1">
      <c r="A1971" s="61">
        <v>1970</v>
      </c>
      <c r="B1971" s="327" t="s">
        <v>52</v>
      </c>
      <c r="C1971" s="327" t="s">
        <v>10</v>
      </c>
      <c r="D1971" s="292" t="s">
        <v>3824</v>
      </c>
      <c r="H1971" s="292" t="s">
        <v>4137</v>
      </c>
      <c r="I1971" s="301">
        <v>0</v>
      </c>
      <c r="J1971" s="301">
        <v>60</v>
      </c>
      <c r="K1971" s="231" t="b">
        <f t="shared" si="41"/>
        <v>0</v>
      </c>
      <c r="L1971" s="61"/>
      <c r="M1971" s="299" t="s">
        <v>3276</v>
      </c>
      <c r="N1971" s="61"/>
      <c r="O1971" s="231">
        <v>2025</v>
      </c>
      <c r="P1971" s="303">
        <v>45819.627083333333</v>
      </c>
      <c r="Q1971" s="61" t="s">
        <v>3715</v>
      </c>
      <c r="R1971" s="61"/>
      <c r="S1971" s="241" t="s">
        <v>453</v>
      </c>
      <c r="T1971" s="61"/>
    </row>
    <row r="1972" spans="1:20" ht="15" customHeight="1">
      <c r="A1972" s="61">
        <v>1971</v>
      </c>
      <c r="B1972" s="327" t="s">
        <v>52</v>
      </c>
      <c r="C1972" s="327" t="s">
        <v>10</v>
      </c>
      <c r="D1972" s="292" t="s">
        <v>3825</v>
      </c>
      <c r="H1972" s="292" t="s">
        <v>4138</v>
      </c>
      <c r="I1972" s="301">
        <v>272</v>
      </c>
      <c r="J1972" s="301">
        <v>0</v>
      </c>
      <c r="K1972" s="231" t="b">
        <f t="shared" si="41"/>
        <v>0</v>
      </c>
      <c r="L1972" s="61"/>
      <c r="M1972" s="299" t="s">
        <v>3276</v>
      </c>
      <c r="N1972" s="61"/>
      <c r="O1972" s="231">
        <v>2025</v>
      </c>
      <c r="P1972" s="303">
        <v>45811.486111111109</v>
      </c>
      <c r="Q1972" s="61" t="s">
        <v>3715</v>
      </c>
      <c r="R1972" s="61"/>
      <c r="S1972" s="241" t="s">
        <v>453</v>
      </c>
      <c r="T1972" s="61"/>
    </row>
    <row r="1973" spans="1:20" ht="15" customHeight="1">
      <c r="A1973" s="61">
        <v>1972</v>
      </c>
      <c r="B1973" s="327" t="s">
        <v>52</v>
      </c>
      <c r="C1973" s="327" t="s">
        <v>10</v>
      </c>
      <c r="D1973" s="292" t="s">
        <v>3827</v>
      </c>
      <c r="H1973" s="292" t="s">
        <v>3750</v>
      </c>
      <c r="I1973" s="301">
        <v>0</v>
      </c>
      <c r="J1973" s="301">
        <v>267</v>
      </c>
      <c r="K1973" s="231" t="b">
        <f t="shared" si="41"/>
        <v>0</v>
      </c>
      <c r="L1973" s="61"/>
      <c r="M1973" s="299" t="s">
        <v>3276</v>
      </c>
      <c r="N1973" s="61"/>
      <c r="O1973" s="231">
        <v>2025</v>
      </c>
      <c r="P1973" s="303">
        <v>45813.529166666667</v>
      </c>
      <c r="Q1973" s="61" t="s">
        <v>3715</v>
      </c>
      <c r="R1973" s="61"/>
      <c r="S1973" s="241" t="s">
        <v>453</v>
      </c>
      <c r="T1973" s="61"/>
    </row>
    <row r="1974" spans="1:20" ht="15" customHeight="1">
      <c r="A1974" s="61">
        <v>1973</v>
      </c>
      <c r="B1974" s="327" t="s">
        <v>52</v>
      </c>
      <c r="C1974" s="327" t="s">
        <v>10</v>
      </c>
      <c r="D1974" s="292" t="s">
        <v>3828</v>
      </c>
      <c r="H1974" s="292" t="s">
        <v>3752</v>
      </c>
      <c r="I1974" s="301">
        <v>0</v>
      </c>
      <c r="J1974" s="301">
        <v>5479</v>
      </c>
      <c r="K1974" s="231">
        <f t="shared" si="41"/>
        <v>20</v>
      </c>
      <c r="L1974" s="61"/>
      <c r="M1974" s="299" t="s">
        <v>15</v>
      </c>
      <c r="N1974" s="61"/>
      <c r="O1974" s="231">
        <v>2025</v>
      </c>
      <c r="P1974" s="303">
        <v>45813.786805555559</v>
      </c>
      <c r="Q1974" s="61" t="s">
        <v>3715</v>
      </c>
      <c r="R1974" s="61"/>
      <c r="S1974" s="241" t="s">
        <v>453</v>
      </c>
      <c r="T1974" s="61"/>
    </row>
    <row r="1975" spans="1:20" ht="15" customHeight="1">
      <c r="A1975" s="61">
        <v>1974</v>
      </c>
      <c r="B1975" s="327" t="s">
        <v>52</v>
      </c>
      <c r="C1975" s="327" t="s">
        <v>10</v>
      </c>
      <c r="D1975" s="292" t="s">
        <v>3829</v>
      </c>
      <c r="H1975" s="292" t="s">
        <v>4128</v>
      </c>
      <c r="I1975" s="301">
        <v>0</v>
      </c>
      <c r="J1975" s="301">
        <v>1000</v>
      </c>
      <c r="K1975" s="231" t="b">
        <f t="shared" si="41"/>
        <v>0</v>
      </c>
      <c r="L1975" s="61"/>
      <c r="M1975" s="299" t="s">
        <v>3276</v>
      </c>
      <c r="N1975" s="61"/>
      <c r="O1975" s="231">
        <v>2025</v>
      </c>
      <c r="P1975" s="303">
        <v>45814.777083333334</v>
      </c>
      <c r="Q1975" s="61" t="s">
        <v>3715</v>
      </c>
      <c r="R1975" s="61"/>
      <c r="S1975" s="241" t="s">
        <v>453</v>
      </c>
      <c r="T1975" s="61"/>
    </row>
    <row r="1976" spans="1:20" ht="15" customHeight="1">
      <c r="A1976" s="61">
        <v>1975</v>
      </c>
      <c r="B1976" s="327" t="s">
        <v>52</v>
      </c>
      <c r="C1976" s="327" t="s">
        <v>10</v>
      </c>
      <c r="D1976" s="292" t="s">
        <v>3830</v>
      </c>
      <c r="H1976" s="292" t="s">
        <v>4128</v>
      </c>
      <c r="I1976" s="301">
        <v>0</v>
      </c>
      <c r="J1976" s="301">
        <v>418</v>
      </c>
      <c r="K1976" s="231" t="b">
        <f t="shared" si="41"/>
        <v>0</v>
      </c>
      <c r="L1976" s="61"/>
      <c r="M1976" s="299" t="s">
        <v>3276</v>
      </c>
      <c r="N1976" s="61"/>
      <c r="O1976" s="231">
        <v>2025</v>
      </c>
      <c r="P1976" s="303">
        <v>45817.513194444444</v>
      </c>
      <c r="Q1976" s="61" t="s">
        <v>3715</v>
      </c>
      <c r="R1976" s="61"/>
      <c r="S1976" s="241" t="s">
        <v>453</v>
      </c>
      <c r="T1976" s="61"/>
    </row>
    <row r="1977" spans="1:20" ht="15" customHeight="1">
      <c r="A1977" s="61">
        <v>1976</v>
      </c>
      <c r="B1977" s="327" t="s">
        <v>52</v>
      </c>
      <c r="C1977" s="327" t="s">
        <v>10</v>
      </c>
      <c r="D1977" s="292" t="s">
        <v>3831</v>
      </c>
      <c r="H1977" s="292" t="s">
        <v>3330</v>
      </c>
      <c r="I1977" s="301">
        <v>333</v>
      </c>
      <c r="J1977" s="301">
        <v>0</v>
      </c>
      <c r="K1977" s="231" t="b">
        <f t="shared" si="41"/>
        <v>0</v>
      </c>
      <c r="L1977" s="61"/>
      <c r="M1977" s="299" t="s">
        <v>3437</v>
      </c>
      <c r="N1977" s="61"/>
      <c r="O1977" s="231">
        <v>2025</v>
      </c>
      <c r="P1977" s="303">
        <v>45818.625</v>
      </c>
      <c r="Q1977" s="61" t="s">
        <v>3715</v>
      </c>
      <c r="R1977" s="61"/>
      <c r="S1977" s="241" t="s">
        <v>453</v>
      </c>
      <c r="T1977" s="61"/>
    </row>
    <row r="1978" spans="1:20" ht="15" customHeight="1">
      <c r="A1978" s="61">
        <v>1977</v>
      </c>
      <c r="B1978" s="327" t="s">
        <v>52</v>
      </c>
      <c r="C1978" s="327" t="s">
        <v>10</v>
      </c>
      <c r="D1978" s="292" t="s">
        <v>3832</v>
      </c>
      <c r="H1978" s="292" t="s">
        <v>4128</v>
      </c>
      <c r="I1978" s="301">
        <v>0</v>
      </c>
      <c r="J1978" s="301">
        <v>596</v>
      </c>
      <c r="K1978" s="231" t="b">
        <f t="shared" si="41"/>
        <v>0</v>
      </c>
      <c r="L1978" s="61"/>
      <c r="M1978" s="299" t="s">
        <v>3276</v>
      </c>
      <c r="N1978" s="61"/>
      <c r="O1978" s="231">
        <v>2025</v>
      </c>
      <c r="P1978" s="303">
        <v>45818.738194444442</v>
      </c>
      <c r="Q1978" s="61" t="s">
        <v>3715</v>
      </c>
      <c r="R1978" s="61"/>
      <c r="S1978" s="241" t="s">
        <v>453</v>
      </c>
      <c r="T1978" s="61"/>
    </row>
    <row r="1979" spans="1:20" ht="15" customHeight="1">
      <c r="A1979" s="61">
        <v>1978</v>
      </c>
      <c r="B1979" s="327" t="s">
        <v>52</v>
      </c>
      <c r="C1979" s="327" t="s">
        <v>10</v>
      </c>
      <c r="D1979" s="292" t="s">
        <v>3834</v>
      </c>
      <c r="H1979" s="292" t="s">
        <v>4127</v>
      </c>
      <c r="I1979" s="301">
        <v>86</v>
      </c>
      <c r="J1979" s="301">
        <v>601</v>
      </c>
      <c r="K1979" s="231" t="b">
        <f t="shared" si="41"/>
        <v>0</v>
      </c>
      <c r="L1979" s="61"/>
      <c r="M1979" s="299" t="s">
        <v>3276</v>
      </c>
      <c r="N1979" s="61"/>
      <c r="O1979" s="231">
        <v>2025</v>
      </c>
      <c r="P1979" s="303">
        <v>45820.510416666664</v>
      </c>
      <c r="Q1979" s="61" t="s">
        <v>3715</v>
      </c>
      <c r="R1979" s="61"/>
      <c r="S1979" s="241" t="s">
        <v>453</v>
      </c>
      <c r="T1979" s="61"/>
    </row>
    <row r="1980" spans="1:20" ht="15" customHeight="1">
      <c r="A1980" s="61">
        <v>1979</v>
      </c>
      <c r="B1980" s="327" t="s">
        <v>52</v>
      </c>
      <c r="C1980" s="327" t="s">
        <v>10</v>
      </c>
      <c r="D1980" s="292" t="s">
        <v>3835</v>
      </c>
      <c r="H1980" s="292" t="s">
        <v>4139</v>
      </c>
      <c r="I1980" s="301">
        <v>0</v>
      </c>
      <c r="J1980" s="301">
        <v>433</v>
      </c>
      <c r="K1980" s="231" t="b">
        <f t="shared" si="41"/>
        <v>0</v>
      </c>
      <c r="L1980" s="61"/>
      <c r="M1980" s="299" t="s">
        <v>3276</v>
      </c>
      <c r="N1980" s="61"/>
      <c r="O1980" s="231">
        <v>2025</v>
      </c>
      <c r="P1980" s="303">
        <v>45820.838888888888</v>
      </c>
      <c r="Q1980" s="61" t="s">
        <v>3715</v>
      </c>
      <c r="R1980" s="61"/>
      <c r="S1980" s="241" t="s">
        <v>453</v>
      </c>
      <c r="T1980" s="61"/>
    </row>
    <row r="1981" spans="1:20" ht="15" customHeight="1">
      <c r="A1981" s="61">
        <v>1980</v>
      </c>
      <c r="B1981" s="327" t="s">
        <v>52</v>
      </c>
      <c r="C1981" s="327" t="s">
        <v>10</v>
      </c>
      <c r="D1981" s="292" t="s">
        <v>3836</v>
      </c>
      <c r="H1981" s="292" t="s">
        <v>4136</v>
      </c>
      <c r="I1981" s="301">
        <v>0</v>
      </c>
      <c r="J1981" s="301">
        <v>332</v>
      </c>
      <c r="K1981" s="231" t="b">
        <f t="shared" si="41"/>
        <v>0</v>
      </c>
      <c r="L1981" s="61"/>
      <c r="M1981" s="299" t="s">
        <v>3276</v>
      </c>
      <c r="N1981" s="61"/>
      <c r="O1981" s="231">
        <v>2025</v>
      </c>
      <c r="P1981" s="303">
        <v>45828.5</v>
      </c>
      <c r="Q1981" s="61" t="s">
        <v>3715</v>
      </c>
      <c r="R1981" s="61"/>
      <c r="S1981" s="241" t="s">
        <v>453</v>
      </c>
      <c r="T1981" s="61"/>
    </row>
    <row r="1982" spans="1:20" ht="15" customHeight="1">
      <c r="A1982" s="61">
        <v>1981</v>
      </c>
      <c r="B1982" s="327" t="s">
        <v>52</v>
      </c>
      <c r="C1982" s="327" t="s">
        <v>10</v>
      </c>
      <c r="D1982" s="292" t="s">
        <v>3837</v>
      </c>
      <c r="H1982" s="292" t="s">
        <v>4140</v>
      </c>
      <c r="I1982" s="301">
        <v>0</v>
      </c>
      <c r="J1982" s="301">
        <v>0</v>
      </c>
      <c r="K1982" s="231" t="b">
        <f t="shared" si="41"/>
        <v>0</v>
      </c>
      <c r="L1982" s="61"/>
      <c r="M1982" s="299" t="s">
        <v>3437</v>
      </c>
      <c r="N1982" s="61"/>
      <c r="O1982" s="231">
        <v>2025</v>
      </c>
      <c r="P1982" s="303">
        <v>45925</v>
      </c>
      <c r="Q1982" s="61" t="s">
        <v>3715</v>
      </c>
      <c r="R1982" s="61"/>
      <c r="S1982" s="241" t="s">
        <v>453</v>
      </c>
      <c r="T1982" s="61"/>
    </row>
    <row r="1983" spans="1:20" ht="15" customHeight="1">
      <c r="A1983" s="61">
        <v>1982</v>
      </c>
      <c r="B1983" s="327" t="s">
        <v>52</v>
      </c>
      <c r="C1983" s="327" t="s">
        <v>10</v>
      </c>
      <c r="D1983" s="292" t="s">
        <v>3838</v>
      </c>
      <c r="H1983" s="292" t="s">
        <v>4141</v>
      </c>
      <c r="I1983" s="301">
        <v>0</v>
      </c>
      <c r="J1983" s="301">
        <v>427.4</v>
      </c>
      <c r="K1983" s="231" t="b">
        <f t="shared" si="41"/>
        <v>0</v>
      </c>
      <c r="L1983" s="61"/>
      <c r="M1983" s="299" t="s">
        <v>3276</v>
      </c>
      <c r="N1983" s="61"/>
      <c r="O1983" s="231">
        <v>2025</v>
      </c>
      <c r="P1983" s="303">
        <v>45821.494444444441</v>
      </c>
      <c r="Q1983" s="61" t="s">
        <v>3715</v>
      </c>
      <c r="R1983" s="61"/>
      <c r="S1983" s="241" t="s">
        <v>453</v>
      </c>
      <c r="T1983" s="61"/>
    </row>
    <row r="1984" spans="1:20" ht="15" customHeight="1">
      <c r="A1984" s="61">
        <v>1983</v>
      </c>
      <c r="B1984" s="327" t="s">
        <v>52</v>
      </c>
      <c r="C1984" s="327" t="s">
        <v>10</v>
      </c>
      <c r="D1984" s="292" t="s">
        <v>3839</v>
      </c>
      <c r="H1984" s="292" t="s">
        <v>4129</v>
      </c>
      <c r="I1984" s="301">
        <v>202</v>
      </c>
      <c r="J1984" s="301">
        <v>0</v>
      </c>
      <c r="K1984" s="231" t="b">
        <f t="shared" si="41"/>
        <v>0</v>
      </c>
      <c r="L1984" s="61"/>
      <c r="M1984" s="299" t="s">
        <v>3437</v>
      </c>
      <c r="N1984" s="61"/>
      <c r="O1984" s="231">
        <v>2025</v>
      </c>
      <c r="P1984" s="303">
        <v>45821.542361111111</v>
      </c>
      <c r="Q1984" s="61" t="s">
        <v>3715</v>
      </c>
      <c r="R1984" s="61"/>
      <c r="S1984" s="241" t="s">
        <v>453</v>
      </c>
      <c r="T1984" s="61"/>
    </row>
    <row r="1985" spans="1:24" ht="15" customHeight="1">
      <c r="A1985" s="61">
        <v>1984</v>
      </c>
      <c r="B1985" s="327" t="s">
        <v>52</v>
      </c>
      <c r="C1985" s="327" t="s">
        <v>10</v>
      </c>
      <c r="D1985" s="292" t="s">
        <v>3840</v>
      </c>
      <c r="H1985" s="292" t="s">
        <v>4128</v>
      </c>
      <c r="I1985" s="301">
        <v>176</v>
      </c>
      <c r="J1985" s="301">
        <v>0</v>
      </c>
      <c r="K1985" s="231" t="b">
        <f t="shared" si="41"/>
        <v>0</v>
      </c>
      <c r="L1985" s="61"/>
      <c r="M1985" s="299" t="s">
        <v>3276</v>
      </c>
      <c r="N1985" s="61"/>
      <c r="O1985" s="231">
        <v>2025</v>
      </c>
      <c r="P1985" s="303">
        <v>45821.675694444442</v>
      </c>
      <c r="Q1985" s="61" t="s">
        <v>3715</v>
      </c>
      <c r="R1985" s="61"/>
      <c r="S1985" s="241" t="s">
        <v>453</v>
      </c>
      <c r="T1985" s="61"/>
    </row>
    <row r="1986" spans="1:24" ht="15" customHeight="1">
      <c r="A1986" s="61">
        <v>1985</v>
      </c>
      <c r="B1986" s="327" t="s">
        <v>52</v>
      </c>
      <c r="C1986" s="327" t="s">
        <v>10</v>
      </c>
      <c r="D1986" s="292" t="s">
        <v>3841</v>
      </c>
      <c r="E1986" s="298"/>
      <c r="F1986" s="297"/>
      <c r="G1986" s="297"/>
      <c r="H1986" s="292" t="s">
        <v>3732</v>
      </c>
      <c r="I1986" s="301">
        <v>277</v>
      </c>
      <c r="J1986" s="301">
        <v>0</v>
      </c>
      <c r="K1986" s="231" t="b">
        <f t="shared" si="41"/>
        <v>0</v>
      </c>
      <c r="L1986" s="299"/>
      <c r="M1986" s="299" t="s">
        <v>3276</v>
      </c>
      <c r="N1986" s="61"/>
      <c r="O1986" s="231">
        <v>2025</v>
      </c>
      <c r="P1986" s="303">
        <v>45821.754861111112</v>
      </c>
      <c r="Q1986" s="90" t="s">
        <v>3715</v>
      </c>
      <c r="S1986" s="320" t="s">
        <v>453</v>
      </c>
    </row>
    <row r="1987" spans="1:24" ht="15" customHeight="1">
      <c r="A1987" s="61">
        <v>1986</v>
      </c>
      <c r="B1987" s="327" t="s">
        <v>52</v>
      </c>
      <c r="C1987" s="327" t="s">
        <v>10</v>
      </c>
      <c r="D1987" s="292" t="s">
        <v>3842</v>
      </c>
      <c r="H1987" s="292" t="s">
        <v>4142</v>
      </c>
      <c r="I1987" s="301">
        <v>246</v>
      </c>
      <c r="J1987" s="301">
        <v>1200</v>
      </c>
      <c r="K1987" s="231" t="b">
        <f t="shared" si="41"/>
        <v>0</v>
      </c>
      <c r="L1987" s="299"/>
      <c r="M1987" s="299" t="s">
        <v>3276</v>
      </c>
      <c r="N1987" s="61"/>
      <c r="O1987" s="231">
        <v>2025</v>
      </c>
      <c r="P1987" s="303">
        <v>45822.625</v>
      </c>
      <c r="Q1987" s="90" t="s">
        <v>3715</v>
      </c>
      <c r="S1987" s="241" t="s">
        <v>453</v>
      </c>
    </row>
    <row r="1988" spans="1:24" ht="15" customHeight="1">
      <c r="A1988" s="61">
        <v>1987</v>
      </c>
      <c r="B1988" s="327" t="s">
        <v>52</v>
      </c>
      <c r="C1988" s="327" t="s">
        <v>10</v>
      </c>
      <c r="D1988" s="292" t="s">
        <v>3843</v>
      </c>
      <c r="H1988" s="292" t="s">
        <v>4128</v>
      </c>
      <c r="I1988" s="301">
        <v>0</v>
      </c>
      <c r="J1988" s="301">
        <v>646</v>
      </c>
      <c r="K1988" s="231" t="b">
        <f t="shared" ref="K1988:K2051" si="42">IF(M1988="ONT",20,IF(M1988="N/A","N/A",IF(M1988="MIKROTIK",IF(J1988&lt;3000,10,IF(3000&lt;J1988&gt;10000,20,IF(10000&lt;J1988&gt;20000,40,IF(20000&lt;J1988&gt;40000,60,IF(J1988&gt;40000,80,IF(J1988&lt;300,3,)))))))))</f>
        <v>0</v>
      </c>
      <c r="L1988" s="299"/>
      <c r="M1988" s="299" t="s">
        <v>3276</v>
      </c>
      <c r="N1988" s="61"/>
      <c r="O1988" s="231">
        <v>2025</v>
      </c>
      <c r="P1988" s="303">
        <v>45824.625</v>
      </c>
      <c r="Q1988" s="90" t="s">
        <v>3715</v>
      </c>
      <c r="S1988" s="241" t="s">
        <v>453</v>
      </c>
    </row>
    <row r="1989" spans="1:24" ht="15" customHeight="1">
      <c r="A1989" s="61">
        <v>1988</v>
      </c>
      <c r="B1989" s="327" t="s">
        <v>52</v>
      </c>
      <c r="C1989" s="327" t="s">
        <v>10</v>
      </c>
      <c r="D1989" s="292" t="s">
        <v>3844</v>
      </c>
      <c r="H1989" s="292" t="s">
        <v>4128</v>
      </c>
      <c r="I1989" s="301">
        <v>0</v>
      </c>
      <c r="J1989" s="301">
        <v>302</v>
      </c>
      <c r="K1989" s="231" t="b">
        <f t="shared" si="42"/>
        <v>0</v>
      </c>
      <c r="L1989" s="299"/>
      <c r="M1989" s="299" t="s">
        <v>3276</v>
      </c>
      <c r="N1989" s="61"/>
      <c r="O1989" s="231">
        <v>2025</v>
      </c>
      <c r="P1989" s="303">
        <v>45824.625</v>
      </c>
      <c r="Q1989" s="90" t="s">
        <v>3715</v>
      </c>
      <c r="S1989" s="241" t="s">
        <v>453</v>
      </c>
    </row>
    <row r="1990" spans="1:24" ht="15" customHeight="1">
      <c r="A1990" s="61">
        <v>1989</v>
      </c>
      <c r="B1990" s="327" t="s">
        <v>52</v>
      </c>
      <c r="C1990" s="327" t="s">
        <v>10</v>
      </c>
      <c r="D1990" s="292" t="s">
        <v>3845</v>
      </c>
      <c r="H1990" s="292" t="s">
        <v>3360</v>
      </c>
      <c r="I1990" s="301">
        <v>0</v>
      </c>
      <c r="J1990" s="301">
        <v>0</v>
      </c>
      <c r="K1990" s="231" t="b">
        <f t="shared" si="42"/>
        <v>0</v>
      </c>
      <c r="L1990" s="299"/>
      <c r="M1990" s="299" t="s">
        <v>3437</v>
      </c>
      <c r="N1990" s="61"/>
      <c r="O1990" s="231">
        <v>2025</v>
      </c>
      <c r="P1990" s="303">
        <v>45825.620138888888</v>
      </c>
      <c r="Q1990" s="90" t="s">
        <v>3715</v>
      </c>
      <c r="S1990" s="241" t="s">
        <v>453</v>
      </c>
      <c r="U1990" s="90">
        <v>1</v>
      </c>
      <c r="V1990" s="90">
        <v>1</v>
      </c>
      <c r="W1990" s="90">
        <v>0</v>
      </c>
      <c r="X1990" s="90" t="s">
        <v>4378</v>
      </c>
    </row>
    <row r="1991" spans="1:24" ht="15" customHeight="1">
      <c r="A1991" s="61">
        <v>1990</v>
      </c>
      <c r="B1991" s="327" t="s">
        <v>52</v>
      </c>
      <c r="C1991" s="327" t="s">
        <v>10</v>
      </c>
      <c r="D1991" s="292" t="s">
        <v>3846</v>
      </c>
      <c r="H1991" s="292" t="s">
        <v>3360</v>
      </c>
      <c r="I1991" s="301">
        <v>0</v>
      </c>
      <c r="J1991" s="301">
        <v>0</v>
      </c>
      <c r="K1991" s="231" t="b">
        <f t="shared" si="42"/>
        <v>0</v>
      </c>
      <c r="L1991" s="299"/>
      <c r="M1991" s="299" t="s">
        <v>3437</v>
      </c>
      <c r="N1991" s="61"/>
      <c r="O1991" s="231">
        <v>2025</v>
      </c>
      <c r="P1991" s="303">
        <v>45825.62222222222</v>
      </c>
      <c r="Q1991" s="90" t="s">
        <v>4227</v>
      </c>
      <c r="S1991" s="241" t="s">
        <v>453</v>
      </c>
    </row>
    <row r="1992" spans="1:24" ht="15" customHeight="1">
      <c r="A1992" s="61">
        <v>1991</v>
      </c>
      <c r="B1992" s="327" t="s">
        <v>52</v>
      </c>
      <c r="C1992" s="327" t="s">
        <v>10</v>
      </c>
      <c r="D1992" s="292" t="s">
        <v>3847</v>
      </c>
      <c r="H1992" s="292" t="s">
        <v>3301</v>
      </c>
      <c r="I1992" s="301">
        <v>78</v>
      </c>
      <c r="J1992" s="301">
        <v>704</v>
      </c>
      <c r="K1992" s="231" t="b">
        <f t="shared" si="42"/>
        <v>0</v>
      </c>
      <c r="L1992" s="299"/>
      <c r="M1992" s="299" t="s">
        <v>3276</v>
      </c>
      <c r="N1992" s="61"/>
      <c r="O1992" s="231">
        <v>2025</v>
      </c>
      <c r="P1992" s="303">
        <v>45826.54791666667</v>
      </c>
      <c r="Q1992" s="90" t="s">
        <v>3715</v>
      </c>
      <c r="S1992" s="241" t="s">
        <v>453</v>
      </c>
    </row>
    <row r="1993" spans="1:24" ht="15" customHeight="1">
      <c r="A1993" s="61">
        <v>1992</v>
      </c>
      <c r="B1993" s="327" t="s">
        <v>52</v>
      </c>
      <c r="C1993" s="327" t="s">
        <v>10</v>
      </c>
      <c r="D1993" s="292" t="s">
        <v>3848</v>
      </c>
      <c r="H1993" s="292" t="s">
        <v>3732</v>
      </c>
      <c r="I1993" s="301">
        <v>78</v>
      </c>
      <c r="J1993" s="301">
        <v>402</v>
      </c>
      <c r="K1993" s="231" t="b">
        <f t="shared" si="42"/>
        <v>0</v>
      </c>
      <c r="L1993" s="299"/>
      <c r="M1993" s="299" t="s">
        <v>3276</v>
      </c>
      <c r="N1993" s="61"/>
      <c r="O1993" s="231">
        <v>2025</v>
      </c>
      <c r="P1993" s="303">
        <v>45826.775000000001</v>
      </c>
      <c r="Q1993" s="90" t="s">
        <v>4227</v>
      </c>
      <c r="S1993" s="241" t="s">
        <v>453</v>
      </c>
    </row>
    <row r="1994" spans="1:24" ht="15" customHeight="1">
      <c r="A1994" s="61">
        <v>1993</v>
      </c>
      <c r="B1994" s="327" t="s">
        <v>52</v>
      </c>
      <c r="C1994" s="327" t="s">
        <v>10</v>
      </c>
      <c r="D1994" s="292" t="s">
        <v>3849</v>
      </c>
      <c r="H1994" s="292" t="s">
        <v>4143</v>
      </c>
      <c r="I1994" s="301">
        <v>594</v>
      </c>
      <c r="J1994" s="301">
        <v>0</v>
      </c>
      <c r="K1994" s="231" t="b">
        <f t="shared" si="42"/>
        <v>0</v>
      </c>
      <c r="L1994" s="299"/>
      <c r="M1994" s="299" t="s">
        <v>3437</v>
      </c>
      <c r="N1994" s="61"/>
      <c r="O1994" s="231">
        <v>2025</v>
      </c>
      <c r="P1994" s="303">
        <v>45826.775000000001</v>
      </c>
      <c r="Q1994" s="90" t="s">
        <v>4227</v>
      </c>
      <c r="S1994" s="241" t="s">
        <v>453</v>
      </c>
    </row>
    <row r="1995" spans="1:24" ht="15" customHeight="1">
      <c r="A1995" s="61">
        <v>1994</v>
      </c>
      <c r="B1995" s="327" t="s">
        <v>52</v>
      </c>
      <c r="C1995" s="327" t="s">
        <v>10</v>
      </c>
      <c r="D1995" s="292" t="s">
        <v>3850</v>
      </c>
      <c r="H1995" s="292" t="s">
        <v>3527</v>
      </c>
      <c r="I1995" s="301">
        <v>0</v>
      </c>
      <c r="J1995" s="301">
        <v>0</v>
      </c>
      <c r="K1995" s="231" t="b">
        <f t="shared" si="42"/>
        <v>0</v>
      </c>
      <c r="L1995" s="299"/>
      <c r="M1995" s="299" t="s">
        <v>3437</v>
      </c>
      <c r="N1995" s="61"/>
      <c r="O1995" s="231">
        <v>2025</v>
      </c>
      <c r="P1995" s="303">
        <v>45826.844444444447</v>
      </c>
      <c r="Q1995" s="90" t="s">
        <v>3715</v>
      </c>
      <c r="S1995" s="241" t="s">
        <v>453</v>
      </c>
    </row>
    <row r="1996" spans="1:24" ht="15" customHeight="1">
      <c r="A1996" s="61">
        <v>1995</v>
      </c>
      <c r="B1996" s="327" t="s">
        <v>52</v>
      </c>
      <c r="C1996" s="327" t="s">
        <v>10</v>
      </c>
      <c r="D1996" s="292" t="s">
        <v>3851</v>
      </c>
      <c r="H1996" s="292" t="s">
        <v>3409</v>
      </c>
      <c r="I1996" s="301">
        <v>264</v>
      </c>
      <c r="J1996" s="301">
        <v>784</v>
      </c>
      <c r="K1996" s="231" t="b">
        <f t="shared" si="42"/>
        <v>0</v>
      </c>
      <c r="L1996" s="299"/>
      <c r="M1996" s="299" t="s">
        <v>3437</v>
      </c>
      <c r="N1996" s="61"/>
      <c r="O1996" s="231">
        <v>2025</v>
      </c>
      <c r="P1996" s="303">
        <v>45827.752083333333</v>
      </c>
      <c r="Q1996" s="90" t="s">
        <v>4227</v>
      </c>
      <c r="S1996" s="241" t="s">
        <v>453</v>
      </c>
    </row>
    <row r="1997" spans="1:24" ht="15" customHeight="1">
      <c r="A1997" s="61">
        <v>1996</v>
      </c>
      <c r="B1997" s="327" t="s">
        <v>52</v>
      </c>
      <c r="C1997" s="327" t="s">
        <v>10</v>
      </c>
      <c r="D1997" s="292" t="s">
        <v>3852</v>
      </c>
      <c r="H1997" s="292" t="s">
        <v>4144</v>
      </c>
      <c r="I1997" s="301">
        <v>224</v>
      </c>
      <c r="J1997" s="301">
        <v>478</v>
      </c>
      <c r="K1997" s="231" t="b">
        <f t="shared" si="42"/>
        <v>0</v>
      </c>
      <c r="L1997" s="299"/>
      <c r="M1997" s="299" t="s">
        <v>3437</v>
      </c>
      <c r="N1997" s="61"/>
      <c r="O1997" s="231">
        <v>2025</v>
      </c>
      <c r="P1997" s="303">
        <v>45828.588194444441</v>
      </c>
      <c r="Q1997" s="90" t="s">
        <v>4227</v>
      </c>
      <c r="S1997" s="241" t="s">
        <v>453</v>
      </c>
    </row>
    <row r="1998" spans="1:24" ht="15" customHeight="1">
      <c r="A1998" s="61">
        <v>1997</v>
      </c>
      <c r="B1998" s="327" t="s">
        <v>52</v>
      </c>
      <c r="C1998" s="327" t="s">
        <v>10</v>
      </c>
      <c r="D1998" s="304" t="s">
        <v>4385</v>
      </c>
      <c r="H1998" s="292" t="s">
        <v>3669</v>
      </c>
      <c r="I1998" s="301">
        <v>3800</v>
      </c>
      <c r="J1998" s="301">
        <v>1100</v>
      </c>
      <c r="K1998" s="231" t="str">
        <f t="shared" si="42"/>
        <v>N/A</v>
      </c>
      <c r="L1998" s="299"/>
      <c r="M1998" s="299" t="s">
        <v>456</v>
      </c>
      <c r="N1998" s="61"/>
      <c r="O1998" s="231">
        <v>2025</v>
      </c>
      <c r="P1998" s="303">
        <v>45828.588194444441</v>
      </c>
      <c r="Q1998" s="90" t="s">
        <v>4227</v>
      </c>
      <c r="S1998" s="241" t="s">
        <v>453</v>
      </c>
    </row>
    <row r="1999" spans="1:24" ht="15" customHeight="1">
      <c r="A1999" s="61">
        <v>1998</v>
      </c>
      <c r="B1999" s="327" t="s">
        <v>52</v>
      </c>
      <c r="C1999" s="327" t="s">
        <v>10</v>
      </c>
      <c r="D1999" s="292" t="s">
        <v>3853</v>
      </c>
      <c r="H1999" s="292" t="s">
        <v>4145</v>
      </c>
      <c r="I1999" s="301">
        <v>0</v>
      </c>
      <c r="J1999" s="301">
        <v>600</v>
      </c>
      <c r="K1999" s="231" t="b">
        <f t="shared" si="42"/>
        <v>0</v>
      </c>
      <c r="L1999" s="299"/>
      <c r="M1999" s="299" t="s">
        <v>4224</v>
      </c>
      <c r="N1999" s="61"/>
      <c r="O1999" s="231">
        <v>2025</v>
      </c>
      <c r="P1999" s="303">
        <v>45828.75</v>
      </c>
      <c r="Q1999" s="90" t="s">
        <v>4227</v>
      </c>
      <c r="S1999" s="241" t="s">
        <v>453</v>
      </c>
    </row>
    <row r="2000" spans="1:24" ht="15" customHeight="1">
      <c r="A2000" s="61">
        <v>1999</v>
      </c>
      <c r="B2000" s="327" t="s">
        <v>52</v>
      </c>
      <c r="C2000" s="327" t="s">
        <v>10</v>
      </c>
      <c r="D2000" s="292" t="s">
        <v>3854</v>
      </c>
      <c r="H2000" s="292" t="s">
        <v>4146</v>
      </c>
      <c r="I2000" s="301">
        <v>0</v>
      </c>
      <c r="J2000" s="301">
        <v>150</v>
      </c>
      <c r="K2000" s="231" t="b">
        <f t="shared" si="42"/>
        <v>0</v>
      </c>
      <c r="L2000" s="299"/>
      <c r="M2000" s="299" t="s">
        <v>4224</v>
      </c>
      <c r="N2000" s="61"/>
      <c r="O2000" s="231">
        <v>2025</v>
      </c>
      <c r="P2000" s="303">
        <v>45832.564583333333</v>
      </c>
      <c r="Q2000" s="90" t="s">
        <v>4227</v>
      </c>
      <c r="S2000" s="241" t="s">
        <v>453</v>
      </c>
    </row>
    <row r="2001" spans="1:28" ht="15" customHeight="1">
      <c r="A2001" s="61">
        <v>2000</v>
      </c>
      <c r="B2001" s="327" t="s">
        <v>52</v>
      </c>
      <c r="C2001" s="327" t="s">
        <v>10</v>
      </c>
      <c r="D2001" s="292" t="s">
        <v>3855</v>
      </c>
      <c r="H2001" s="292" t="s">
        <v>4147</v>
      </c>
      <c r="I2001" s="301">
        <v>65</v>
      </c>
      <c r="J2001" s="301">
        <v>350</v>
      </c>
      <c r="K2001" s="231" t="b">
        <f t="shared" si="42"/>
        <v>0</v>
      </c>
      <c r="L2001" s="299"/>
      <c r="M2001" s="299" t="s">
        <v>4224</v>
      </c>
      <c r="N2001" s="61"/>
      <c r="O2001" s="231">
        <v>2025</v>
      </c>
      <c r="P2001" s="303">
        <v>45831.75</v>
      </c>
      <c r="Q2001" s="90" t="s">
        <v>4227</v>
      </c>
      <c r="S2001" s="241" t="s">
        <v>453</v>
      </c>
    </row>
    <row r="2002" spans="1:28" ht="15" customHeight="1">
      <c r="A2002" s="61">
        <v>2001</v>
      </c>
      <c r="B2002" s="327" t="s">
        <v>52</v>
      </c>
      <c r="C2002" s="327" t="s">
        <v>10</v>
      </c>
      <c r="D2002" s="292" t="s">
        <v>3856</v>
      </c>
      <c r="H2002" s="292" t="s">
        <v>4145</v>
      </c>
      <c r="I2002" s="301">
        <v>0</v>
      </c>
      <c r="J2002" s="301">
        <v>444</v>
      </c>
      <c r="K2002" s="231" t="b">
        <f t="shared" si="42"/>
        <v>0</v>
      </c>
      <c r="L2002" s="299"/>
      <c r="M2002" s="299" t="s">
        <v>3437</v>
      </c>
      <c r="N2002" s="61"/>
      <c r="O2002" s="231">
        <v>2025</v>
      </c>
      <c r="P2002" s="303">
        <v>45831.702777777777</v>
      </c>
      <c r="Q2002" s="90" t="s">
        <v>4227</v>
      </c>
      <c r="S2002" s="241" t="s">
        <v>453</v>
      </c>
    </row>
    <row r="2003" spans="1:28" ht="15" customHeight="1">
      <c r="A2003" s="61">
        <v>2002</v>
      </c>
      <c r="B2003" s="327" t="s">
        <v>52</v>
      </c>
      <c r="C2003" s="327" t="s">
        <v>10</v>
      </c>
      <c r="D2003" s="293" t="s">
        <v>3857</v>
      </c>
      <c r="H2003" s="292" t="s">
        <v>4132</v>
      </c>
      <c r="I2003" s="301">
        <v>0</v>
      </c>
      <c r="J2003" s="301">
        <v>1800</v>
      </c>
      <c r="K2003" s="231" t="b">
        <f t="shared" si="42"/>
        <v>0</v>
      </c>
      <c r="L2003" s="299"/>
      <c r="M2003" s="299" t="s">
        <v>4224</v>
      </c>
      <c r="N2003" s="61"/>
      <c r="O2003" s="231">
        <v>2025</v>
      </c>
      <c r="P2003" s="303">
        <v>45841</v>
      </c>
      <c r="Q2003" s="90" t="s">
        <v>4227</v>
      </c>
      <c r="S2003" s="241" t="s">
        <v>453</v>
      </c>
    </row>
    <row r="2004" spans="1:28" ht="15" customHeight="1">
      <c r="A2004" s="61">
        <v>2003</v>
      </c>
      <c r="B2004" s="327" t="s">
        <v>52</v>
      </c>
      <c r="C2004" s="327" t="s">
        <v>10</v>
      </c>
      <c r="D2004" s="292" t="s">
        <v>3858</v>
      </c>
      <c r="H2004" s="292" t="s">
        <v>4132</v>
      </c>
      <c r="I2004" s="301">
        <v>0</v>
      </c>
      <c r="J2004" s="301">
        <v>834</v>
      </c>
      <c r="K2004" s="231">
        <f t="shared" si="42"/>
        <v>10</v>
      </c>
      <c r="L2004" s="299"/>
      <c r="M2004" s="299" t="s">
        <v>15</v>
      </c>
      <c r="N2004" s="61"/>
      <c r="O2004" s="231">
        <v>2025</v>
      </c>
      <c r="P2004" s="303">
        <v>45846</v>
      </c>
      <c r="Q2004" s="90" t="s">
        <v>4227</v>
      </c>
      <c r="S2004" s="241" t="s">
        <v>453</v>
      </c>
    </row>
    <row r="2005" spans="1:28" ht="15" customHeight="1">
      <c r="A2005" s="61">
        <v>2004</v>
      </c>
      <c r="B2005" s="327" t="s">
        <v>52</v>
      </c>
      <c r="C2005" s="327" t="s">
        <v>10</v>
      </c>
      <c r="D2005" s="292" t="s">
        <v>3859</v>
      </c>
      <c r="H2005" s="292" t="s">
        <v>4148</v>
      </c>
      <c r="I2005" s="301">
        <v>207</v>
      </c>
      <c r="J2005" s="301">
        <v>0</v>
      </c>
      <c r="K2005" s="231" t="b">
        <f t="shared" si="42"/>
        <v>0</v>
      </c>
      <c r="L2005" s="299"/>
      <c r="M2005" s="299" t="s">
        <v>3437</v>
      </c>
      <c r="N2005" s="61"/>
      <c r="O2005" s="231">
        <v>2025</v>
      </c>
      <c r="P2005" s="303">
        <v>45828.847916666666</v>
      </c>
      <c r="Q2005" s="90" t="s">
        <v>4227</v>
      </c>
      <c r="S2005" s="241" t="s">
        <v>453</v>
      </c>
    </row>
    <row r="2006" spans="1:28" ht="15" customHeight="1">
      <c r="A2006" s="61">
        <v>2005</v>
      </c>
      <c r="B2006" s="327" t="s">
        <v>52</v>
      </c>
      <c r="C2006" s="327" t="s">
        <v>10</v>
      </c>
      <c r="D2006" s="292" t="s">
        <v>3860</v>
      </c>
      <c r="H2006" s="292" t="s">
        <v>3659</v>
      </c>
      <c r="I2006" s="301">
        <v>0</v>
      </c>
      <c r="J2006" s="301">
        <v>684</v>
      </c>
      <c r="K2006" s="231">
        <f t="shared" si="42"/>
        <v>10</v>
      </c>
      <c r="L2006" s="299"/>
      <c r="M2006" s="299" t="s">
        <v>15</v>
      </c>
      <c r="N2006" s="61"/>
      <c r="O2006" s="231">
        <v>2025</v>
      </c>
      <c r="P2006" s="303">
        <v>45831.604166666664</v>
      </c>
      <c r="Q2006" s="90" t="s">
        <v>4227</v>
      </c>
      <c r="S2006" s="241" t="s">
        <v>453</v>
      </c>
    </row>
    <row r="2007" spans="1:28" ht="15" customHeight="1">
      <c r="A2007" s="61">
        <v>2006</v>
      </c>
      <c r="B2007" s="327" t="s">
        <v>52</v>
      </c>
      <c r="C2007" s="327" t="s">
        <v>10</v>
      </c>
      <c r="D2007" s="294" t="s">
        <v>3861</v>
      </c>
      <c r="H2007" s="292" t="s">
        <v>3718</v>
      </c>
      <c r="I2007" s="301">
        <v>0</v>
      </c>
      <c r="J2007" s="301">
        <v>1600</v>
      </c>
      <c r="K2007" s="231">
        <f t="shared" si="42"/>
        <v>10</v>
      </c>
      <c r="L2007" s="299"/>
      <c r="M2007" s="299" t="s">
        <v>15</v>
      </c>
      <c r="N2007" s="61"/>
      <c r="O2007" s="231">
        <v>2025</v>
      </c>
      <c r="P2007" s="303">
        <v>45831.708333333336</v>
      </c>
      <c r="Q2007" s="90" t="s">
        <v>4227</v>
      </c>
      <c r="S2007" s="241" t="s">
        <v>453</v>
      </c>
    </row>
    <row r="2008" spans="1:28" ht="15" customHeight="1">
      <c r="A2008" s="61">
        <v>2007</v>
      </c>
      <c r="B2008" s="327" t="s">
        <v>52</v>
      </c>
      <c r="C2008" s="327" t="s">
        <v>10</v>
      </c>
      <c r="D2008" s="292" t="s">
        <v>3862</v>
      </c>
      <c r="H2008" s="292" t="s">
        <v>4149</v>
      </c>
      <c r="I2008" s="301">
        <v>150</v>
      </c>
      <c r="J2008" s="301">
        <v>0</v>
      </c>
      <c r="K2008" s="231" t="b">
        <f t="shared" si="42"/>
        <v>0</v>
      </c>
      <c r="L2008" s="299"/>
      <c r="M2008" s="299" t="s">
        <v>3437</v>
      </c>
      <c r="N2008" s="61"/>
      <c r="O2008" s="231">
        <v>2025</v>
      </c>
      <c r="P2008" s="303">
        <v>45831.708333333336</v>
      </c>
      <c r="Q2008" s="90" t="s">
        <v>4227</v>
      </c>
      <c r="S2008" s="241" t="s">
        <v>453</v>
      </c>
    </row>
    <row r="2009" spans="1:28" ht="15" customHeight="1">
      <c r="A2009" s="61">
        <v>2008</v>
      </c>
      <c r="B2009" s="327" t="s">
        <v>52</v>
      </c>
      <c r="C2009" s="327" t="s">
        <v>10</v>
      </c>
      <c r="D2009" s="294" t="s">
        <v>3863</v>
      </c>
      <c r="H2009" s="292" t="s">
        <v>3718</v>
      </c>
      <c r="I2009" s="301">
        <v>0</v>
      </c>
      <c r="J2009" s="301">
        <v>1600</v>
      </c>
      <c r="K2009" s="231">
        <f t="shared" si="42"/>
        <v>10</v>
      </c>
      <c r="L2009" s="299"/>
      <c r="M2009" s="299" t="s">
        <v>15</v>
      </c>
      <c r="N2009" s="61"/>
      <c r="O2009" s="231">
        <v>2025</v>
      </c>
      <c r="P2009" s="303">
        <v>45831.708333333336</v>
      </c>
      <c r="Q2009" s="90" t="s">
        <v>4227</v>
      </c>
      <c r="S2009" s="241" t="s">
        <v>453</v>
      </c>
    </row>
    <row r="2010" spans="1:28" ht="15" customHeight="1">
      <c r="A2010" s="61">
        <v>2009</v>
      </c>
      <c r="B2010" s="327" t="s">
        <v>52</v>
      </c>
      <c r="C2010" s="327" t="s">
        <v>10</v>
      </c>
      <c r="D2010" s="292" t="s">
        <v>3867</v>
      </c>
      <c r="H2010" s="292" t="s">
        <v>4151</v>
      </c>
      <c r="I2010" s="301">
        <v>0</v>
      </c>
      <c r="J2010" s="301">
        <v>617</v>
      </c>
      <c r="K2010" s="231" t="b">
        <f t="shared" si="42"/>
        <v>0</v>
      </c>
      <c r="L2010" s="299"/>
      <c r="M2010" s="299" t="s">
        <v>4224</v>
      </c>
      <c r="N2010" s="61"/>
      <c r="O2010" s="231">
        <v>2025</v>
      </c>
      <c r="P2010" s="303">
        <v>45832.541666666664</v>
      </c>
      <c r="Q2010" s="90" t="s">
        <v>4227</v>
      </c>
      <c r="S2010" s="241" t="s">
        <v>453</v>
      </c>
    </row>
    <row r="2011" spans="1:28" ht="15" customHeight="1">
      <c r="A2011" s="61">
        <v>2010</v>
      </c>
      <c r="B2011" s="327" t="s">
        <v>52</v>
      </c>
      <c r="C2011" s="327" t="s">
        <v>10</v>
      </c>
      <c r="D2011" s="292" t="s">
        <v>3869</v>
      </c>
      <c r="H2011" s="292" t="s">
        <v>3360</v>
      </c>
      <c r="I2011" s="301">
        <v>0</v>
      </c>
      <c r="J2011" s="301">
        <v>0</v>
      </c>
      <c r="K2011" s="231" t="b">
        <f t="shared" si="42"/>
        <v>0</v>
      </c>
      <c r="L2011" s="299"/>
      <c r="M2011" s="299" t="s">
        <v>3437</v>
      </c>
      <c r="N2011" s="61"/>
      <c r="O2011" s="231">
        <v>2025</v>
      </c>
      <c r="P2011" s="303">
        <v>45832.724999999999</v>
      </c>
      <c r="Q2011" s="90" t="s">
        <v>4227</v>
      </c>
      <c r="S2011" s="241" t="s">
        <v>453</v>
      </c>
      <c r="U2011" s="90">
        <v>5</v>
      </c>
      <c r="V2011" s="90">
        <v>5</v>
      </c>
      <c r="W2011" s="90">
        <v>0</v>
      </c>
      <c r="X2011" s="90" t="s">
        <v>4379</v>
      </c>
      <c r="Y2011" s="90" t="s">
        <v>4380</v>
      </c>
      <c r="Z2011" s="90" t="s">
        <v>4381</v>
      </c>
      <c r="AA2011" s="90" t="s">
        <v>4382</v>
      </c>
      <c r="AB2011" s="90" t="s">
        <v>4383</v>
      </c>
    </row>
    <row r="2012" spans="1:28" ht="15" customHeight="1">
      <c r="A2012" s="61">
        <v>2011</v>
      </c>
      <c r="B2012" s="327" t="s">
        <v>52</v>
      </c>
      <c r="C2012" s="327" t="s">
        <v>10</v>
      </c>
      <c r="D2012" s="292" t="s">
        <v>3870</v>
      </c>
      <c r="H2012" s="292" t="s">
        <v>3360</v>
      </c>
      <c r="I2012" s="301">
        <v>0</v>
      </c>
      <c r="J2012" s="301">
        <v>0</v>
      </c>
      <c r="K2012" s="231" t="b">
        <f t="shared" si="42"/>
        <v>0</v>
      </c>
      <c r="L2012" s="299"/>
      <c r="M2012" s="299" t="s">
        <v>3437</v>
      </c>
      <c r="N2012" s="61"/>
      <c r="O2012" s="231">
        <v>2025</v>
      </c>
      <c r="P2012" s="303">
        <v>45832.738888888889</v>
      </c>
      <c r="Q2012" s="90" t="s">
        <v>4227</v>
      </c>
      <c r="S2012" s="241" t="s">
        <v>453</v>
      </c>
    </row>
    <row r="2013" spans="1:28" ht="15" customHeight="1">
      <c r="A2013" s="61">
        <v>2012</v>
      </c>
      <c r="B2013" s="327" t="s">
        <v>52</v>
      </c>
      <c r="C2013" s="327" t="s">
        <v>10</v>
      </c>
      <c r="D2013" s="292" t="s">
        <v>3871</v>
      </c>
      <c r="H2013" s="292" t="s">
        <v>4152</v>
      </c>
      <c r="I2013" s="301">
        <v>166</v>
      </c>
      <c r="J2013" s="301">
        <v>0</v>
      </c>
      <c r="K2013" s="231" t="b">
        <f t="shared" si="42"/>
        <v>0</v>
      </c>
      <c r="L2013" s="299"/>
      <c r="M2013" s="299" t="s">
        <v>3437</v>
      </c>
      <c r="N2013" s="61"/>
      <c r="O2013" s="231">
        <v>2025</v>
      </c>
      <c r="P2013" s="303">
        <v>45832.801388888889</v>
      </c>
      <c r="Q2013" s="90" t="s">
        <v>4227</v>
      </c>
      <c r="S2013" s="241" t="s">
        <v>453</v>
      </c>
      <c r="U2013" s="90">
        <v>1</v>
      </c>
      <c r="V2013" s="90">
        <v>1</v>
      </c>
      <c r="W2013" s="90">
        <v>0</v>
      </c>
      <c r="X2013" s="90" t="s">
        <v>4384</v>
      </c>
    </row>
    <row r="2014" spans="1:28" ht="15" customHeight="1">
      <c r="A2014" s="61">
        <v>2013</v>
      </c>
      <c r="B2014" s="327" t="s">
        <v>52</v>
      </c>
      <c r="C2014" s="327" t="s">
        <v>10</v>
      </c>
      <c r="D2014" s="292" t="s">
        <v>3872</v>
      </c>
      <c r="H2014" s="292" t="s">
        <v>3360</v>
      </c>
      <c r="I2014" s="301">
        <v>159</v>
      </c>
      <c r="J2014" s="301">
        <v>0</v>
      </c>
      <c r="K2014" s="231" t="b">
        <f t="shared" si="42"/>
        <v>0</v>
      </c>
      <c r="L2014" s="299"/>
      <c r="M2014" s="299" t="s">
        <v>3437</v>
      </c>
      <c r="N2014" s="61"/>
      <c r="O2014" s="231">
        <v>2025</v>
      </c>
      <c r="P2014" s="303">
        <v>45833.543055555558</v>
      </c>
      <c r="Q2014" s="90" t="s">
        <v>4227</v>
      </c>
      <c r="S2014" s="241" t="s">
        <v>453</v>
      </c>
    </row>
    <row r="2015" spans="1:28" ht="15" customHeight="1">
      <c r="A2015" s="61">
        <v>2014</v>
      </c>
      <c r="B2015" s="327" t="s">
        <v>52</v>
      </c>
      <c r="C2015" s="327" t="s">
        <v>10</v>
      </c>
      <c r="D2015" s="292" t="s">
        <v>3873</v>
      </c>
      <c r="H2015" s="292" t="s">
        <v>3360</v>
      </c>
      <c r="I2015" s="301">
        <v>121</v>
      </c>
      <c r="J2015" s="301">
        <v>0</v>
      </c>
      <c r="K2015" s="231" t="b">
        <f t="shared" si="42"/>
        <v>0</v>
      </c>
      <c r="L2015" s="299"/>
      <c r="M2015" s="299" t="s">
        <v>3437</v>
      </c>
      <c r="N2015" s="61"/>
      <c r="O2015" s="231">
        <v>2025</v>
      </c>
      <c r="P2015" s="303">
        <v>45833.882638888892</v>
      </c>
      <c r="Q2015" s="90" t="s">
        <v>4227</v>
      </c>
      <c r="S2015" s="241" t="s">
        <v>453</v>
      </c>
    </row>
    <row r="2016" spans="1:28" ht="15" customHeight="1">
      <c r="A2016" s="61">
        <v>2015</v>
      </c>
      <c r="B2016" s="327" t="s">
        <v>52</v>
      </c>
      <c r="C2016" s="327" t="s">
        <v>10</v>
      </c>
      <c r="D2016" s="292" t="s">
        <v>3874</v>
      </c>
      <c r="H2016" s="292" t="s">
        <v>4153</v>
      </c>
      <c r="I2016" s="301">
        <v>114</v>
      </c>
      <c r="J2016" s="301">
        <v>701</v>
      </c>
      <c r="K2016" s="231" t="b">
        <f t="shared" si="42"/>
        <v>0</v>
      </c>
      <c r="L2016" s="299"/>
      <c r="M2016" s="299" t="s">
        <v>4224</v>
      </c>
      <c r="N2016" s="61"/>
      <c r="O2016" s="231">
        <v>2025</v>
      </c>
      <c r="P2016" s="303">
        <v>45835</v>
      </c>
      <c r="Q2016" s="90" t="s">
        <v>4227</v>
      </c>
      <c r="S2016" s="241" t="s">
        <v>453</v>
      </c>
    </row>
    <row r="2017" spans="1:19" ht="15" customHeight="1">
      <c r="A2017" s="61">
        <v>2016</v>
      </c>
      <c r="B2017" s="327" t="s">
        <v>52</v>
      </c>
      <c r="C2017" s="327" t="s">
        <v>10</v>
      </c>
      <c r="D2017" s="292" t="s">
        <v>3875</v>
      </c>
      <c r="H2017" s="292" t="s">
        <v>4154</v>
      </c>
      <c r="I2017" s="301">
        <v>0</v>
      </c>
      <c r="J2017" s="301">
        <v>1000</v>
      </c>
      <c r="K2017" s="231" t="b">
        <f t="shared" si="42"/>
        <v>0</v>
      </c>
      <c r="L2017" s="299"/>
      <c r="M2017" s="299" t="s">
        <v>4224</v>
      </c>
      <c r="N2017" s="61"/>
      <c r="O2017" s="231">
        <v>2025</v>
      </c>
      <c r="P2017" s="303">
        <v>45833.43472222222</v>
      </c>
      <c r="Q2017" s="90" t="s">
        <v>4227</v>
      </c>
      <c r="S2017" s="241" t="s">
        <v>453</v>
      </c>
    </row>
    <row r="2018" spans="1:19" ht="15" customHeight="1">
      <c r="A2018" s="61">
        <v>2017</v>
      </c>
      <c r="B2018" s="327" t="s">
        <v>52</v>
      </c>
      <c r="C2018" s="327" t="s">
        <v>10</v>
      </c>
      <c r="D2018" s="292" t="s">
        <v>3876</v>
      </c>
      <c r="H2018" s="292" t="s">
        <v>4151</v>
      </c>
      <c r="I2018" s="301">
        <v>408</v>
      </c>
      <c r="J2018" s="301">
        <v>0</v>
      </c>
      <c r="K2018" s="231" t="b">
        <f t="shared" si="42"/>
        <v>0</v>
      </c>
      <c r="L2018" s="299"/>
      <c r="M2018" s="299" t="s">
        <v>3437</v>
      </c>
      <c r="N2018" s="61"/>
      <c r="O2018" s="231">
        <v>2025</v>
      </c>
      <c r="P2018" s="303">
        <v>45833.589583333334</v>
      </c>
      <c r="Q2018" s="90" t="s">
        <v>4228</v>
      </c>
      <c r="S2018" s="241" t="s">
        <v>453</v>
      </c>
    </row>
    <row r="2019" spans="1:19" ht="15" customHeight="1">
      <c r="A2019" s="61">
        <v>2018</v>
      </c>
      <c r="B2019" s="327" t="s">
        <v>51</v>
      </c>
      <c r="C2019" s="327" t="s">
        <v>10</v>
      </c>
      <c r="D2019" s="292" t="s">
        <v>3877</v>
      </c>
      <c r="H2019" s="292" t="s">
        <v>4155</v>
      </c>
      <c r="I2019" s="301">
        <v>0</v>
      </c>
      <c r="J2019" s="301">
        <v>3498</v>
      </c>
      <c r="K2019" s="231">
        <f t="shared" si="42"/>
        <v>20</v>
      </c>
      <c r="L2019" s="299"/>
      <c r="M2019" s="299" t="s">
        <v>15</v>
      </c>
      <c r="N2019" s="61"/>
      <c r="O2019" s="231">
        <v>2025</v>
      </c>
      <c r="P2019" s="303">
        <v>45833.882638888892</v>
      </c>
      <c r="Q2019" s="90" t="s">
        <v>4227</v>
      </c>
      <c r="S2019" s="241" t="s">
        <v>453</v>
      </c>
    </row>
    <row r="2020" spans="1:19" ht="15" customHeight="1">
      <c r="A2020" s="61">
        <v>2019</v>
      </c>
      <c r="B2020" s="327" t="s">
        <v>52</v>
      </c>
      <c r="C2020" s="327" t="s">
        <v>10</v>
      </c>
      <c r="D2020" s="292" t="s">
        <v>3878</v>
      </c>
      <c r="H2020" s="292" t="s">
        <v>4156</v>
      </c>
      <c r="I2020" s="301">
        <v>0</v>
      </c>
      <c r="J2020" s="301">
        <v>150</v>
      </c>
      <c r="K2020" s="231" t="b">
        <f t="shared" si="42"/>
        <v>0</v>
      </c>
      <c r="L2020" s="299"/>
      <c r="M2020" s="299" t="s">
        <v>4224</v>
      </c>
      <c r="N2020" s="61"/>
      <c r="O2020" s="231">
        <v>2025</v>
      </c>
      <c r="P2020" s="303">
        <v>45839</v>
      </c>
      <c r="Q2020" s="90" t="s">
        <v>4227</v>
      </c>
      <c r="S2020" s="241" t="s">
        <v>453</v>
      </c>
    </row>
    <row r="2021" spans="1:19" ht="15" customHeight="1">
      <c r="A2021" s="61">
        <v>2020</v>
      </c>
      <c r="B2021" s="327" t="s">
        <v>52</v>
      </c>
      <c r="C2021" s="327" t="s">
        <v>10</v>
      </c>
      <c r="D2021" s="292" t="s">
        <v>3879</v>
      </c>
      <c r="H2021" s="292" t="s">
        <v>3488</v>
      </c>
      <c r="I2021" s="301">
        <v>162</v>
      </c>
      <c r="J2021" s="301">
        <v>0</v>
      </c>
      <c r="K2021" s="231" t="b">
        <f t="shared" si="42"/>
        <v>0</v>
      </c>
      <c r="L2021" s="299"/>
      <c r="M2021" s="299" t="s">
        <v>4224</v>
      </c>
      <c r="N2021" s="61"/>
      <c r="O2021" s="231">
        <v>2025</v>
      </c>
      <c r="P2021" s="303">
        <v>45838</v>
      </c>
      <c r="Q2021" s="90" t="s">
        <v>4227</v>
      </c>
      <c r="S2021" s="241" t="s">
        <v>453</v>
      </c>
    </row>
    <row r="2022" spans="1:19" ht="15" customHeight="1">
      <c r="A2022" s="61">
        <v>2021</v>
      </c>
      <c r="B2022" s="327" t="s">
        <v>52</v>
      </c>
      <c r="C2022" s="327" t="s">
        <v>10</v>
      </c>
      <c r="D2022" s="292" t="s">
        <v>3880</v>
      </c>
      <c r="H2022" s="292" t="s">
        <v>4157</v>
      </c>
      <c r="I2022" s="301">
        <v>272</v>
      </c>
      <c r="J2022" s="301">
        <v>0</v>
      </c>
      <c r="K2022" s="231" t="b">
        <f t="shared" si="42"/>
        <v>0</v>
      </c>
      <c r="L2022" s="299"/>
      <c r="M2022" s="299" t="s">
        <v>3437</v>
      </c>
      <c r="N2022" s="61"/>
      <c r="O2022" s="231">
        <v>2025</v>
      </c>
      <c r="P2022" s="303">
        <v>45838.728472222225</v>
      </c>
      <c r="Q2022" s="90" t="s">
        <v>4227</v>
      </c>
      <c r="S2022" s="241" t="s">
        <v>453</v>
      </c>
    </row>
    <row r="2023" spans="1:19" ht="15" customHeight="1">
      <c r="A2023" s="61">
        <v>2022</v>
      </c>
      <c r="B2023" s="327" t="s">
        <v>52</v>
      </c>
      <c r="C2023" s="327" t="s">
        <v>10</v>
      </c>
      <c r="D2023" s="295" t="s">
        <v>3881</v>
      </c>
      <c r="H2023" s="292" t="s">
        <v>4158</v>
      </c>
      <c r="I2023" s="301">
        <v>0</v>
      </c>
      <c r="J2023" s="301">
        <v>508</v>
      </c>
      <c r="K2023" s="231" t="b">
        <f t="shared" si="42"/>
        <v>0</v>
      </c>
      <c r="L2023" s="299"/>
      <c r="M2023" s="299" t="s">
        <v>3437</v>
      </c>
      <c r="N2023" s="61"/>
      <c r="O2023" s="231">
        <v>2025</v>
      </c>
      <c r="P2023" s="303">
        <v>45839</v>
      </c>
      <c r="Q2023" s="90" t="s">
        <v>4227</v>
      </c>
      <c r="S2023" s="241" t="s">
        <v>453</v>
      </c>
    </row>
    <row r="2024" spans="1:19" ht="15" customHeight="1">
      <c r="A2024" s="61">
        <v>2023</v>
      </c>
      <c r="B2024" s="327" t="s">
        <v>52</v>
      </c>
      <c r="C2024" s="327" t="s">
        <v>10</v>
      </c>
      <c r="D2024" s="292" t="s">
        <v>3882</v>
      </c>
      <c r="H2024" s="292" t="s">
        <v>3691</v>
      </c>
      <c r="I2024" s="301">
        <v>150</v>
      </c>
      <c r="J2024" s="301">
        <v>0</v>
      </c>
      <c r="K2024" s="231" t="b">
        <f t="shared" si="42"/>
        <v>0</v>
      </c>
      <c r="L2024" s="299"/>
      <c r="M2024" s="299" t="s">
        <v>4224</v>
      </c>
      <c r="N2024" s="61"/>
      <c r="O2024" s="231">
        <v>2025</v>
      </c>
      <c r="P2024" s="303">
        <v>45839</v>
      </c>
      <c r="Q2024" s="90" t="s">
        <v>4227</v>
      </c>
      <c r="S2024" s="241" t="s">
        <v>453</v>
      </c>
    </row>
    <row r="2025" spans="1:19" ht="15" customHeight="1">
      <c r="A2025" s="61">
        <v>2024</v>
      </c>
      <c r="B2025" s="327" t="s">
        <v>49</v>
      </c>
      <c r="C2025" s="327" t="s">
        <v>10</v>
      </c>
      <c r="D2025" s="296" t="s">
        <v>3883</v>
      </c>
      <c r="H2025" s="292" t="s">
        <v>3718</v>
      </c>
      <c r="I2025" s="301">
        <v>148</v>
      </c>
      <c r="J2025" s="301">
        <v>500</v>
      </c>
      <c r="K2025" s="231" t="b">
        <f t="shared" si="42"/>
        <v>0</v>
      </c>
      <c r="L2025" s="299"/>
      <c r="M2025" s="299" t="s">
        <v>4224</v>
      </c>
      <c r="N2025" s="61"/>
      <c r="O2025" s="231">
        <v>2025</v>
      </c>
      <c r="P2025" s="303">
        <v>45839.649305555555</v>
      </c>
      <c r="Q2025" s="90" t="s">
        <v>4227</v>
      </c>
      <c r="S2025" s="241" t="s">
        <v>453</v>
      </c>
    </row>
    <row r="2026" spans="1:19" ht="15" customHeight="1">
      <c r="A2026" s="61">
        <v>2025</v>
      </c>
      <c r="B2026" s="327" t="s">
        <v>52</v>
      </c>
      <c r="C2026" s="327" t="s">
        <v>10</v>
      </c>
      <c r="D2026" s="292" t="s">
        <v>3884</v>
      </c>
      <c r="H2026" s="292" t="s">
        <v>3669</v>
      </c>
      <c r="I2026" s="301">
        <v>227</v>
      </c>
      <c r="J2026" s="301">
        <v>0</v>
      </c>
      <c r="K2026" s="231" t="b">
        <f t="shared" si="42"/>
        <v>0</v>
      </c>
      <c r="L2026" s="299"/>
      <c r="M2026" s="299" t="s">
        <v>3437</v>
      </c>
      <c r="N2026" s="61"/>
      <c r="O2026" s="231">
        <v>2025</v>
      </c>
      <c r="P2026" s="303">
        <v>45840</v>
      </c>
      <c r="Q2026" s="90" t="s">
        <v>4227</v>
      </c>
      <c r="S2026" s="241" t="s">
        <v>453</v>
      </c>
    </row>
    <row r="2027" spans="1:19" ht="15" customHeight="1">
      <c r="A2027" s="61">
        <v>2026</v>
      </c>
      <c r="B2027" s="327" t="s">
        <v>52</v>
      </c>
      <c r="C2027" s="327" t="s">
        <v>10</v>
      </c>
      <c r="D2027" s="292" t="s">
        <v>3885</v>
      </c>
      <c r="H2027" s="292" t="s">
        <v>3669</v>
      </c>
      <c r="I2027" s="301">
        <v>320</v>
      </c>
      <c r="J2027" s="301">
        <v>0</v>
      </c>
      <c r="K2027" s="231" t="b">
        <f t="shared" si="42"/>
        <v>0</v>
      </c>
      <c r="L2027" s="299"/>
      <c r="M2027" s="299" t="s">
        <v>3437</v>
      </c>
      <c r="N2027" s="61"/>
      <c r="O2027" s="231">
        <v>2025</v>
      </c>
      <c r="P2027" s="303">
        <v>45840</v>
      </c>
      <c r="Q2027" s="90" t="s">
        <v>4227</v>
      </c>
      <c r="S2027" s="241" t="s">
        <v>453</v>
      </c>
    </row>
    <row r="2028" spans="1:19" ht="15" customHeight="1">
      <c r="A2028" s="61">
        <v>2027</v>
      </c>
      <c r="B2028" s="327" t="s">
        <v>52</v>
      </c>
      <c r="C2028" s="327" t="s">
        <v>10</v>
      </c>
      <c r="D2028" s="292" t="s">
        <v>3886</v>
      </c>
      <c r="H2028" s="292" t="s">
        <v>3527</v>
      </c>
      <c r="I2028" s="301">
        <v>153</v>
      </c>
      <c r="J2028" s="301">
        <v>0</v>
      </c>
      <c r="K2028" s="231" t="b">
        <f t="shared" si="42"/>
        <v>0</v>
      </c>
      <c r="L2028" s="299"/>
      <c r="M2028" s="299" t="s">
        <v>3437</v>
      </c>
      <c r="N2028" s="61"/>
      <c r="O2028" s="231">
        <v>2025</v>
      </c>
      <c r="P2028" s="303">
        <v>45841</v>
      </c>
      <c r="Q2028" s="90" t="s">
        <v>4227</v>
      </c>
      <c r="S2028" s="241" t="s">
        <v>453</v>
      </c>
    </row>
    <row r="2029" spans="1:19" ht="15" customHeight="1">
      <c r="A2029" s="61">
        <v>2028</v>
      </c>
      <c r="B2029" s="327" t="s">
        <v>52</v>
      </c>
      <c r="C2029" s="327" t="s">
        <v>10</v>
      </c>
      <c r="D2029" s="292" t="s">
        <v>3887</v>
      </c>
      <c r="H2029" s="292" t="s">
        <v>3360</v>
      </c>
      <c r="I2029" s="301">
        <v>194</v>
      </c>
      <c r="J2029" s="301">
        <v>0</v>
      </c>
      <c r="K2029" s="231" t="b">
        <f t="shared" si="42"/>
        <v>0</v>
      </c>
      <c r="L2029" s="299"/>
      <c r="M2029" s="299" t="s">
        <v>4224</v>
      </c>
      <c r="N2029" s="61"/>
      <c r="O2029" s="231">
        <v>2025</v>
      </c>
      <c r="P2029" s="303">
        <v>45841</v>
      </c>
      <c r="Q2029" s="90" t="s">
        <v>4227</v>
      </c>
      <c r="S2029" s="241" t="s">
        <v>453</v>
      </c>
    </row>
    <row r="2030" spans="1:19" ht="15" customHeight="1">
      <c r="A2030" s="61">
        <v>2029</v>
      </c>
      <c r="B2030" s="327" t="s">
        <v>52</v>
      </c>
      <c r="C2030" s="327" t="s">
        <v>10</v>
      </c>
      <c r="D2030" s="292" t="s">
        <v>3888</v>
      </c>
      <c r="H2030" s="292" t="s">
        <v>4159</v>
      </c>
      <c r="I2030" s="301">
        <v>116</v>
      </c>
      <c r="J2030" s="301">
        <v>0</v>
      </c>
      <c r="K2030" s="231" t="b">
        <f t="shared" si="42"/>
        <v>0</v>
      </c>
      <c r="L2030" s="299"/>
      <c r="M2030" s="299" t="s">
        <v>3437</v>
      </c>
      <c r="N2030" s="61"/>
      <c r="O2030" s="231">
        <v>2025</v>
      </c>
      <c r="P2030" s="303">
        <v>45842</v>
      </c>
      <c r="Q2030" s="90" t="s">
        <v>4227</v>
      </c>
      <c r="S2030" s="241" t="s">
        <v>453</v>
      </c>
    </row>
    <row r="2031" spans="1:19" ht="15" customHeight="1">
      <c r="A2031" s="61">
        <v>2030</v>
      </c>
      <c r="B2031" s="327" t="s">
        <v>52</v>
      </c>
      <c r="C2031" s="327" t="s">
        <v>10</v>
      </c>
      <c r="D2031" s="292" t="s">
        <v>3889</v>
      </c>
      <c r="H2031" s="292" t="s">
        <v>2765</v>
      </c>
      <c r="I2031" s="301">
        <v>100</v>
      </c>
      <c r="J2031" s="301">
        <v>0</v>
      </c>
      <c r="K2031" s="231" t="b">
        <f t="shared" si="42"/>
        <v>0</v>
      </c>
      <c r="L2031" s="299"/>
      <c r="M2031" s="299" t="s">
        <v>4224</v>
      </c>
      <c r="N2031" s="61"/>
      <c r="O2031" s="231">
        <v>2025</v>
      </c>
      <c r="P2031" s="303">
        <v>45845</v>
      </c>
      <c r="Q2031" s="90" t="s">
        <v>4227</v>
      </c>
      <c r="S2031" s="241" t="s">
        <v>453</v>
      </c>
    </row>
    <row r="2032" spans="1:19" ht="15" customHeight="1">
      <c r="A2032" s="61">
        <v>2031</v>
      </c>
      <c r="B2032" s="327" t="s">
        <v>52</v>
      </c>
      <c r="C2032" s="327" t="s">
        <v>10</v>
      </c>
      <c r="D2032" s="292" t="s">
        <v>3890</v>
      </c>
      <c r="H2032" s="292" t="s">
        <v>4153</v>
      </c>
      <c r="I2032" s="301">
        <v>0</v>
      </c>
      <c r="J2032" s="301">
        <v>800</v>
      </c>
      <c r="K2032" s="231" t="b">
        <f t="shared" si="42"/>
        <v>0</v>
      </c>
      <c r="L2032" s="299"/>
      <c r="M2032" s="299" t="s">
        <v>4224</v>
      </c>
      <c r="N2032" s="61"/>
      <c r="O2032" s="231">
        <v>2025</v>
      </c>
      <c r="P2032" s="303">
        <v>45845</v>
      </c>
      <c r="Q2032" s="90" t="s">
        <v>4227</v>
      </c>
      <c r="S2032" s="241" t="s">
        <v>453</v>
      </c>
    </row>
    <row r="2033" spans="1:27" ht="15" customHeight="1">
      <c r="A2033" s="61">
        <v>2032</v>
      </c>
      <c r="B2033" s="327" t="s">
        <v>52</v>
      </c>
      <c r="C2033" s="327" t="s">
        <v>10</v>
      </c>
      <c r="D2033" s="292" t="s">
        <v>3891</v>
      </c>
      <c r="H2033" s="292" t="s">
        <v>4160</v>
      </c>
      <c r="I2033" s="301">
        <v>0</v>
      </c>
      <c r="J2033" s="301">
        <v>200</v>
      </c>
      <c r="K2033" s="231" t="b">
        <f t="shared" si="42"/>
        <v>0</v>
      </c>
      <c r="L2033" s="299"/>
      <c r="M2033" s="299" t="s">
        <v>4224</v>
      </c>
      <c r="N2033" s="61"/>
      <c r="O2033" s="231">
        <v>2025</v>
      </c>
      <c r="P2033" s="303">
        <v>45845</v>
      </c>
      <c r="Q2033" s="90" t="s">
        <v>4227</v>
      </c>
      <c r="S2033" s="241" t="s">
        <v>453</v>
      </c>
    </row>
    <row r="2034" spans="1:27" ht="15" customHeight="1">
      <c r="A2034" s="61">
        <v>2033</v>
      </c>
      <c r="B2034" s="327" t="s">
        <v>52</v>
      </c>
      <c r="C2034" s="327" t="s">
        <v>10</v>
      </c>
      <c r="D2034" s="292" t="s">
        <v>3892</v>
      </c>
      <c r="H2034" s="292" t="s">
        <v>3338</v>
      </c>
      <c r="I2034" s="301">
        <v>100</v>
      </c>
      <c r="J2034" s="301">
        <v>0</v>
      </c>
      <c r="K2034" s="231" t="b">
        <f t="shared" si="42"/>
        <v>0</v>
      </c>
      <c r="L2034" s="299"/>
      <c r="M2034" s="299" t="s">
        <v>4224</v>
      </c>
      <c r="N2034" s="61"/>
      <c r="O2034" s="231">
        <v>2025</v>
      </c>
      <c r="P2034" s="303">
        <v>45845</v>
      </c>
      <c r="Q2034" s="90" t="s">
        <v>4227</v>
      </c>
      <c r="S2034" s="241" t="s">
        <v>453</v>
      </c>
      <c r="U2034" s="90">
        <v>3</v>
      </c>
      <c r="V2034" s="90">
        <v>3</v>
      </c>
      <c r="W2034" s="90">
        <v>0</v>
      </c>
      <c r="X2034" s="90" t="s">
        <v>4386</v>
      </c>
      <c r="Y2034" s="90" t="s">
        <v>4387</v>
      </c>
      <c r="Z2034" s="90" t="s">
        <v>4388</v>
      </c>
    </row>
    <row r="2035" spans="1:27" ht="15" customHeight="1">
      <c r="A2035" s="61">
        <v>2034</v>
      </c>
      <c r="B2035" s="327" t="s">
        <v>52</v>
      </c>
      <c r="C2035" s="327" t="s">
        <v>10</v>
      </c>
      <c r="D2035" s="292" t="s">
        <v>3893</v>
      </c>
      <c r="H2035" s="292" t="s">
        <v>3750</v>
      </c>
      <c r="I2035" s="301">
        <v>450</v>
      </c>
      <c r="J2035" s="301">
        <v>0</v>
      </c>
      <c r="K2035" s="231" t="b">
        <f t="shared" si="42"/>
        <v>0</v>
      </c>
      <c r="L2035" s="299"/>
      <c r="M2035" s="299" t="s">
        <v>4224</v>
      </c>
      <c r="N2035" s="61"/>
      <c r="O2035" s="231">
        <v>2025</v>
      </c>
      <c r="P2035" s="303">
        <v>45846</v>
      </c>
      <c r="Q2035" s="90" t="s">
        <v>4227</v>
      </c>
      <c r="S2035" s="241" t="s">
        <v>453</v>
      </c>
    </row>
    <row r="2036" spans="1:27" ht="15" customHeight="1">
      <c r="A2036" s="61">
        <v>2035</v>
      </c>
      <c r="B2036" s="327" t="s">
        <v>52</v>
      </c>
      <c r="C2036" s="327" t="s">
        <v>10</v>
      </c>
      <c r="D2036" s="292" t="s">
        <v>3894</v>
      </c>
      <c r="H2036" s="292" t="s">
        <v>3739</v>
      </c>
      <c r="I2036" s="301">
        <v>474</v>
      </c>
      <c r="J2036" s="301">
        <v>0</v>
      </c>
      <c r="K2036" s="231" t="b">
        <f t="shared" si="42"/>
        <v>0</v>
      </c>
      <c r="L2036" s="299"/>
      <c r="M2036" s="299" t="s">
        <v>4224</v>
      </c>
      <c r="N2036" s="61"/>
      <c r="O2036" s="231">
        <v>2025</v>
      </c>
      <c r="P2036" s="303">
        <v>45846</v>
      </c>
      <c r="Q2036" s="90" t="s">
        <v>4227</v>
      </c>
      <c r="S2036" s="241" t="s">
        <v>453</v>
      </c>
    </row>
    <row r="2037" spans="1:27" ht="15" customHeight="1">
      <c r="A2037" s="61">
        <v>2036</v>
      </c>
      <c r="B2037" s="327" t="s">
        <v>52</v>
      </c>
      <c r="C2037" s="327" t="s">
        <v>10</v>
      </c>
      <c r="D2037" s="292" t="s">
        <v>3895</v>
      </c>
      <c r="H2037" s="292" t="s">
        <v>4161</v>
      </c>
      <c r="I2037" s="301">
        <v>0</v>
      </c>
      <c r="J2037" s="301">
        <v>0</v>
      </c>
      <c r="K2037" s="231" t="b">
        <f t="shared" si="42"/>
        <v>0</v>
      </c>
      <c r="L2037" s="299"/>
      <c r="M2037" s="299" t="s">
        <v>3437</v>
      </c>
      <c r="N2037" s="61"/>
      <c r="O2037" s="231">
        <v>2025</v>
      </c>
      <c r="P2037" s="303">
        <v>45846</v>
      </c>
      <c r="Q2037" s="90" t="s">
        <v>4227</v>
      </c>
      <c r="S2037" s="241" t="s">
        <v>453</v>
      </c>
    </row>
    <row r="2038" spans="1:27" ht="15" customHeight="1">
      <c r="A2038" s="61">
        <v>2037</v>
      </c>
      <c r="B2038" s="327" t="s">
        <v>52</v>
      </c>
      <c r="C2038" s="327" t="s">
        <v>10</v>
      </c>
      <c r="D2038" s="292" t="s">
        <v>3896</v>
      </c>
      <c r="H2038" s="292" t="s">
        <v>4161</v>
      </c>
      <c r="I2038" s="301">
        <v>0</v>
      </c>
      <c r="J2038" s="301">
        <v>0</v>
      </c>
      <c r="K2038" s="231" t="b">
        <f t="shared" si="42"/>
        <v>0</v>
      </c>
      <c r="L2038" s="299"/>
      <c r="M2038" s="299" t="s">
        <v>3437</v>
      </c>
      <c r="N2038" s="61"/>
      <c r="O2038" s="231">
        <v>2025</v>
      </c>
      <c r="P2038" s="303">
        <v>45846</v>
      </c>
      <c r="Q2038" s="90" t="s">
        <v>4227</v>
      </c>
      <c r="S2038" s="241" t="s">
        <v>453</v>
      </c>
    </row>
    <row r="2039" spans="1:27" ht="15" customHeight="1">
      <c r="A2039" s="61">
        <v>2038</v>
      </c>
      <c r="B2039" s="327" t="s">
        <v>53</v>
      </c>
      <c r="C2039" s="327" t="s">
        <v>10</v>
      </c>
      <c r="D2039" s="292" t="s">
        <v>3897</v>
      </c>
      <c r="H2039" s="292" t="s">
        <v>3493</v>
      </c>
      <c r="I2039" s="301">
        <v>824</v>
      </c>
      <c r="J2039" s="301">
        <v>0</v>
      </c>
      <c r="K2039" s="231">
        <f t="shared" si="42"/>
        <v>10</v>
      </c>
      <c r="L2039" s="299"/>
      <c r="M2039" s="299" t="s">
        <v>15</v>
      </c>
      <c r="N2039" s="61"/>
      <c r="O2039" s="231">
        <v>2025</v>
      </c>
      <c r="P2039" s="303">
        <v>45846</v>
      </c>
      <c r="Q2039" s="90" t="s">
        <v>4229</v>
      </c>
      <c r="S2039" s="241" t="s">
        <v>453</v>
      </c>
      <c r="U2039" s="90">
        <v>1</v>
      </c>
      <c r="V2039" s="90">
        <v>1</v>
      </c>
      <c r="W2039" s="90">
        <v>0</v>
      </c>
      <c r="X2039" s="90" t="s">
        <v>4375</v>
      </c>
    </row>
    <row r="2040" spans="1:27" ht="15" customHeight="1">
      <c r="A2040" s="61">
        <v>2039</v>
      </c>
      <c r="B2040" s="327" t="s">
        <v>52</v>
      </c>
      <c r="C2040" s="327" t="s">
        <v>10</v>
      </c>
      <c r="D2040" s="292" t="s">
        <v>3899</v>
      </c>
      <c r="H2040" s="292" t="s">
        <v>4129</v>
      </c>
      <c r="I2040" s="301">
        <v>244</v>
      </c>
      <c r="J2040" s="301">
        <v>0</v>
      </c>
      <c r="K2040" s="231" t="b">
        <f t="shared" si="42"/>
        <v>0</v>
      </c>
      <c r="L2040" s="299"/>
      <c r="M2040" s="299" t="s">
        <v>3437</v>
      </c>
      <c r="N2040" s="61"/>
      <c r="O2040" s="231">
        <v>2025</v>
      </c>
      <c r="P2040" s="303">
        <v>45848</v>
      </c>
      <c r="Q2040" s="90" t="s">
        <v>4229</v>
      </c>
      <c r="S2040" s="241" t="s">
        <v>453</v>
      </c>
      <c r="U2040" s="90">
        <v>4</v>
      </c>
      <c r="V2040" s="90">
        <v>4</v>
      </c>
      <c r="W2040" s="90">
        <v>0</v>
      </c>
      <c r="X2040" s="90" t="s">
        <v>4371</v>
      </c>
      <c r="Y2040" s="90" t="s">
        <v>4372</v>
      </c>
      <c r="Z2040" s="90" t="s">
        <v>4373</v>
      </c>
      <c r="AA2040" s="305" t="s">
        <v>4374</v>
      </c>
    </row>
    <row r="2041" spans="1:27" ht="15" customHeight="1">
      <c r="A2041" s="61">
        <v>2040</v>
      </c>
      <c r="B2041" s="327" t="s">
        <v>52</v>
      </c>
      <c r="C2041" s="327" t="s">
        <v>10</v>
      </c>
      <c r="D2041" s="292" t="s">
        <v>3900</v>
      </c>
      <c r="H2041" s="292" t="s">
        <v>4145</v>
      </c>
      <c r="I2041" s="301">
        <v>162</v>
      </c>
      <c r="J2041" s="301">
        <v>0</v>
      </c>
      <c r="K2041" s="231" t="b">
        <f t="shared" si="42"/>
        <v>0</v>
      </c>
      <c r="L2041" s="299"/>
      <c r="M2041" s="299" t="s">
        <v>4224</v>
      </c>
      <c r="N2041" s="61"/>
      <c r="O2041" s="231">
        <v>2025</v>
      </c>
      <c r="P2041" s="303">
        <v>45848</v>
      </c>
      <c r="Q2041" s="90" t="s">
        <v>4227</v>
      </c>
      <c r="S2041" s="241" t="s">
        <v>453</v>
      </c>
    </row>
    <row r="2042" spans="1:27" ht="15" customHeight="1">
      <c r="A2042" s="61">
        <v>2041</v>
      </c>
      <c r="B2042" s="327" t="s">
        <v>49</v>
      </c>
      <c r="C2042" s="327" t="s">
        <v>10</v>
      </c>
      <c r="D2042" s="292" t="s">
        <v>3901</v>
      </c>
      <c r="H2042" s="292" t="s">
        <v>4162</v>
      </c>
      <c r="I2042" s="301">
        <v>0</v>
      </c>
      <c r="J2042" s="301">
        <v>761</v>
      </c>
      <c r="K2042" s="231" t="b">
        <f t="shared" si="42"/>
        <v>0</v>
      </c>
      <c r="L2042" s="299"/>
      <c r="M2042" s="299" t="s">
        <v>4224</v>
      </c>
      <c r="N2042" s="61"/>
      <c r="O2042" s="231">
        <v>2025</v>
      </c>
      <c r="P2042" s="303">
        <v>45849</v>
      </c>
      <c r="Q2042" s="90" t="s">
        <v>4227</v>
      </c>
      <c r="S2042" s="241" t="s">
        <v>453</v>
      </c>
    </row>
    <row r="2043" spans="1:27" ht="15" customHeight="1">
      <c r="A2043" s="61">
        <v>2042</v>
      </c>
      <c r="B2043" s="327" t="s">
        <v>52</v>
      </c>
      <c r="C2043" s="327" t="s">
        <v>10</v>
      </c>
      <c r="D2043" s="292" t="s">
        <v>3902</v>
      </c>
      <c r="H2043" s="292" t="s">
        <v>3722</v>
      </c>
      <c r="I2043" s="301">
        <v>89</v>
      </c>
      <c r="J2043" s="301">
        <v>675</v>
      </c>
      <c r="K2043" s="231" t="b">
        <f t="shared" si="42"/>
        <v>0</v>
      </c>
      <c r="L2043" s="299"/>
      <c r="M2043" s="299" t="s">
        <v>3437</v>
      </c>
      <c r="N2043" s="61"/>
      <c r="O2043" s="231">
        <v>2025</v>
      </c>
      <c r="P2043" s="303">
        <v>45849</v>
      </c>
      <c r="Q2043" s="90" t="s">
        <v>4227</v>
      </c>
      <c r="S2043" s="241" t="s">
        <v>453</v>
      </c>
    </row>
    <row r="2044" spans="1:27" ht="15" customHeight="1">
      <c r="A2044" s="61">
        <v>2043</v>
      </c>
      <c r="B2044" s="327" t="s">
        <v>50</v>
      </c>
      <c r="C2044" s="327" t="s">
        <v>10</v>
      </c>
      <c r="D2044" s="292" t="s">
        <v>3903</v>
      </c>
      <c r="H2044" s="292" t="s">
        <v>4163</v>
      </c>
      <c r="I2044" s="301">
        <v>0</v>
      </c>
      <c r="J2044" s="301">
        <v>270</v>
      </c>
      <c r="K2044" s="231">
        <f t="shared" si="42"/>
        <v>10</v>
      </c>
      <c r="L2044" s="299"/>
      <c r="M2044" s="299" t="s">
        <v>15</v>
      </c>
      <c r="N2044" s="61"/>
      <c r="O2044" s="231">
        <v>2025</v>
      </c>
      <c r="P2044" s="303">
        <v>45852</v>
      </c>
      <c r="Q2044" s="90" t="s">
        <v>4227</v>
      </c>
      <c r="S2044" s="241" t="s">
        <v>453</v>
      </c>
    </row>
    <row r="2045" spans="1:27" ht="15" customHeight="1">
      <c r="A2045" s="61">
        <v>2044</v>
      </c>
      <c r="B2045" s="327" t="s">
        <v>52</v>
      </c>
      <c r="C2045" s="327" t="s">
        <v>10</v>
      </c>
      <c r="D2045" s="292" t="s">
        <v>3904</v>
      </c>
      <c r="H2045" s="292" t="s">
        <v>4164</v>
      </c>
      <c r="I2045" s="301">
        <v>0</v>
      </c>
      <c r="J2045" s="301">
        <v>400</v>
      </c>
      <c r="K2045" s="231">
        <f t="shared" si="42"/>
        <v>10</v>
      </c>
      <c r="L2045" s="299"/>
      <c r="M2045" s="299" t="s">
        <v>15</v>
      </c>
      <c r="N2045" s="61"/>
      <c r="O2045" s="231">
        <v>2025</v>
      </c>
      <c r="P2045" s="303">
        <v>45856</v>
      </c>
      <c r="Q2045" s="90" t="s">
        <v>4227</v>
      </c>
      <c r="S2045" s="241" t="s">
        <v>453</v>
      </c>
    </row>
    <row r="2046" spans="1:27" ht="15" customHeight="1">
      <c r="A2046" s="61">
        <v>2045</v>
      </c>
      <c r="B2046" s="327" t="s">
        <v>52</v>
      </c>
      <c r="C2046" s="327" t="s">
        <v>10</v>
      </c>
      <c r="D2046" s="292" t="s">
        <v>3905</v>
      </c>
      <c r="H2046" s="292" t="s">
        <v>4128</v>
      </c>
      <c r="I2046" s="301">
        <v>0</v>
      </c>
      <c r="J2046" s="301">
        <v>427</v>
      </c>
      <c r="K2046" s="231" t="b">
        <f t="shared" si="42"/>
        <v>0</v>
      </c>
      <c r="L2046" s="299"/>
      <c r="M2046" s="299" t="s">
        <v>4224</v>
      </c>
      <c r="N2046" s="61"/>
      <c r="O2046" s="231">
        <v>2025</v>
      </c>
      <c r="P2046" s="303">
        <v>45853</v>
      </c>
      <c r="Q2046" s="90" t="s">
        <v>4227</v>
      </c>
      <c r="S2046" s="241" t="s">
        <v>453</v>
      </c>
    </row>
    <row r="2047" spans="1:27" ht="15" customHeight="1">
      <c r="A2047" s="61">
        <v>2046</v>
      </c>
      <c r="B2047" s="327" t="s">
        <v>52</v>
      </c>
      <c r="C2047" s="327" t="s">
        <v>10</v>
      </c>
      <c r="D2047" s="292" t="s">
        <v>3906</v>
      </c>
      <c r="H2047" s="292" t="s">
        <v>3330</v>
      </c>
      <c r="I2047" s="301">
        <v>107</v>
      </c>
      <c r="J2047" s="301">
        <v>0</v>
      </c>
      <c r="K2047" s="231" t="b">
        <f t="shared" si="42"/>
        <v>0</v>
      </c>
      <c r="L2047" s="299"/>
      <c r="M2047" s="299" t="s">
        <v>4224</v>
      </c>
      <c r="N2047" s="61"/>
      <c r="O2047" s="231">
        <v>2025</v>
      </c>
      <c r="P2047" s="303">
        <v>45854</v>
      </c>
      <c r="Q2047" s="90" t="s">
        <v>4227</v>
      </c>
      <c r="S2047" s="241" t="s">
        <v>453</v>
      </c>
    </row>
    <row r="2048" spans="1:27" ht="15" customHeight="1">
      <c r="A2048" s="61">
        <v>2047</v>
      </c>
      <c r="B2048" s="327" t="s">
        <v>52</v>
      </c>
      <c r="C2048" s="327" t="s">
        <v>10</v>
      </c>
      <c r="D2048" s="292" t="s">
        <v>4700</v>
      </c>
      <c r="H2048" s="292" t="s">
        <v>4128</v>
      </c>
      <c r="I2048" s="301">
        <v>0</v>
      </c>
      <c r="J2048" s="301">
        <v>1400</v>
      </c>
      <c r="K2048" s="231" t="b">
        <f t="shared" si="42"/>
        <v>0</v>
      </c>
      <c r="L2048" s="299"/>
      <c r="M2048" s="299" t="s">
        <v>4224</v>
      </c>
      <c r="N2048" s="61"/>
      <c r="O2048" s="231">
        <v>2025</v>
      </c>
      <c r="P2048" s="303">
        <v>45854</v>
      </c>
      <c r="Q2048" s="90" t="s">
        <v>4228</v>
      </c>
      <c r="S2048" s="241" t="s">
        <v>453</v>
      </c>
    </row>
    <row r="2049" spans="1:19" ht="15" customHeight="1">
      <c r="A2049" s="61">
        <v>2048</v>
      </c>
      <c r="B2049" s="327" t="s">
        <v>52</v>
      </c>
      <c r="C2049" s="327" t="s">
        <v>10</v>
      </c>
      <c r="D2049" s="292" t="s">
        <v>3908</v>
      </c>
      <c r="H2049" s="292" t="s">
        <v>4165</v>
      </c>
      <c r="I2049" s="301">
        <v>160</v>
      </c>
      <c r="J2049" s="301">
        <v>0</v>
      </c>
      <c r="K2049" s="231" t="b">
        <f t="shared" si="42"/>
        <v>0</v>
      </c>
      <c r="L2049" s="299"/>
      <c r="M2049" s="299" t="s">
        <v>3437</v>
      </c>
      <c r="N2049" s="61"/>
      <c r="O2049" s="231">
        <v>2025</v>
      </c>
      <c r="P2049" s="303">
        <v>45856</v>
      </c>
      <c r="Q2049" s="90" t="s">
        <v>4227</v>
      </c>
      <c r="S2049" s="241" t="s">
        <v>453</v>
      </c>
    </row>
    <row r="2050" spans="1:19" ht="15" customHeight="1">
      <c r="A2050" s="61">
        <v>2049</v>
      </c>
      <c r="B2050" s="327" t="s">
        <v>52</v>
      </c>
      <c r="C2050" s="327" t="s">
        <v>10</v>
      </c>
      <c r="D2050" s="292" t="s">
        <v>3909</v>
      </c>
      <c r="H2050" s="292" t="s">
        <v>4160</v>
      </c>
      <c r="I2050" s="301">
        <v>259</v>
      </c>
      <c r="J2050" s="301">
        <v>0</v>
      </c>
      <c r="K2050" s="231" t="b">
        <f t="shared" si="42"/>
        <v>0</v>
      </c>
      <c r="L2050" s="299"/>
      <c r="M2050" s="299" t="s">
        <v>3437</v>
      </c>
      <c r="N2050" s="61"/>
      <c r="O2050" s="231">
        <v>2025</v>
      </c>
      <c r="P2050" s="303">
        <v>45857</v>
      </c>
      <c r="Q2050" s="90" t="s">
        <v>4227</v>
      </c>
      <c r="S2050" s="241" t="s">
        <v>453</v>
      </c>
    </row>
    <row r="2051" spans="1:19" ht="15" customHeight="1">
      <c r="A2051" s="61">
        <v>2050</v>
      </c>
      <c r="B2051" s="327" t="s">
        <v>50</v>
      </c>
      <c r="C2051" s="327" t="s">
        <v>10</v>
      </c>
      <c r="D2051" s="292" t="s">
        <v>3910</v>
      </c>
      <c r="H2051" s="292" t="s">
        <v>4163</v>
      </c>
      <c r="I2051" s="301">
        <v>0</v>
      </c>
      <c r="J2051" s="301">
        <v>2500</v>
      </c>
      <c r="K2051" s="231">
        <f t="shared" si="42"/>
        <v>10</v>
      </c>
      <c r="L2051" s="299"/>
      <c r="M2051" s="299" t="s">
        <v>15</v>
      </c>
      <c r="N2051" s="61"/>
      <c r="O2051" s="231">
        <v>2025</v>
      </c>
      <c r="P2051" s="303">
        <v>45859</v>
      </c>
      <c r="Q2051" s="90" t="s">
        <v>4227</v>
      </c>
      <c r="S2051" s="241" t="s">
        <v>453</v>
      </c>
    </row>
    <row r="2052" spans="1:19" ht="15" customHeight="1">
      <c r="A2052" s="61">
        <v>2051</v>
      </c>
      <c r="B2052" s="327" t="s">
        <v>49</v>
      </c>
      <c r="C2052" s="327" t="s">
        <v>10</v>
      </c>
      <c r="D2052" s="292" t="s">
        <v>3911</v>
      </c>
      <c r="H2052" s="292" t="s">
        <v>4166</v>
      </c>
      <c r="I2052" s="301">
        <v>240</v>
      </c>
      <c r="J2052" s="301">
        <v>0</v>
      </c>
      <c r="K2052" s="231" t="b">
        <f t="shared" ref="K2052:K2115" si="43">IF(M2052="ONT",20,IF(M2052="N/A","N/A",IF(M2052="MIKROTIK",IF(J2052&lt;3000,10,IF(3000&lt;J2052&gt;10000,20,IF(10000&lt;J2052&gt;20000,40,IF(20000&lt;J2052&gt;40000,60,IF(J2052&gt;40000,80,IF(J2052&lt;300,3,)))))))))</f>
        <v>0</v>
      </c>
      <c r="L2052" s="299"/>
      <c r="M2052" s="299" t="s">
        <v>4224</v>
      </c>
      <c r="N2052" s="61"/>
      <c r="O2052" s="231">
        <v>2025</v>
      </c>
      <c r="P2052" s="303">
        <v>45860</v>
      </c>
      <c r="Q2052" s="90" t="s">
        <v>4227</v>
      </c>
      <c r="S2052" s="241" t="s">
        <v>453</v>
      </c>
    </row>
    <row r="2053" spans="1:19" ht="15" customHeight="1">
      <c r="A2053" s="61">
        <v>2052</v>
      </c>
      <c r="B2053" s="327" t="s">
        <v>52</v>
      </c>
      <c r="C2053" s="327" t="s">
        <v>10</v>
      </c>
      <c r="D2053" s="292" t="s">
        <v>3912</v>
      </c>
      <c r="H2053" s="292" t="s">
        <v>3363</v>
      </c>
      <c r="I2053" s="301">
        <v>300</v>
      </c>
      <c r="J2053" s="301">
        <v>0</v>
      </c>
      <c r="K2053" s="231" t="b">
        <f t="shared" si="43"/>
        <v>0</v>
      </c>
      <c r="L2053" s="299"/>
      <c r="M2053" s="299" t="s">
        <v>4224</v>
      </c>
      <c r="N2053" s="61"/>
      <c r="O2053" s="231">
        <v>2025</v>
      </c>
      <c r="P2053" s="303">
        <v>45860</v>
      </c>
      <c r="Q2053" s="90" t="s">
        <v>4227</v>
      </c>
      <c r="S2053" s="241" t="s">
        <v>453</v>
      </c>
    </row>
    <row r="2054" spans="1:19" ht="15" customHeight="1">
      <c r="A2054" s="61">
        <v>2053</v>
      </c>
      <c r="B2054" s="327" t="s">
        <v>52</v>
      </c>
      <c r="C2054" s="327" t="s">
        <v>10</v>
      </c>
      <c r="D2054" s="292" t="s">
        <v>3913</v>
      </c>
      <c r="H2054" s="292" t="s">
        <v>4153</v>
      </c>
      <c r="I2054" s="301">
        <v>322</v>
      </c>
      <c r="J2054" s="301">
        <v>0</v>
      </c>
      <c r="K2054" s="231" t="b">
        <f t="shared" si="43"/>
        <v>0</v>
      </c>
      <c r="L2054" s="299"/>
      <c r="M2054" s="299" t="s">
        <v>4224</v>
      </c>
      <c r="N2054" s="61"/>
      <c r="O2054" s="231">
        <v>2025</v>
      </c>
      <c r="P2054" s="303">
        <v>45860</v>
      </c>
      <c r="Q2054" s="90" t="s">
        <v>4227</v>
      </c>
      <c r="S2054" s="241" t="s">
        <v>453</v>
      </c>
    </row>
    <row r="2055" spans="1:19" ht="15" customHeight="1">
      <c r="A2055" s="61">
        <v>2054</v>
      </c>
      <c r="B2055" s="327" t="s">
        <v>52</v>
      </c>
      <c r="C2055" s="327" t="s">
        <v>10</v>
      </c>
      <c r="D2055" s="292" t="s">
        <v>3914</v>
      </c>
      <c r="H2055" s="292" t="s">
        <v>4167</v>
      </c>
      <c r="I2055" s="301">
        <v>206</v>
      </c>
      <c r="J2055" s="301">
        <v>0</v>
      </c>
      <c r="K2055" s="231" t="b">
        <f t="shared" si="43"/>
        <v>0</v>
      </c>
      <c r="L2055" s="299"/>
      <c r="M2055" s="299" t="s">
        <v>4224</v>
      </c>
      <c r="N2055" s="61"/>
      <c r="O2055" s="231">
        <v>2025</v>
      </c>
      <c r="P2055" s="303">
        <v>45860</v>
      </c>
      <c r="Q2055" s="90" t="s">
        <v>4227</v>
      </c>
      <c r="S2055" s="241" t="s">
        <v>453</v>
      </c>
    </row>
    <row r="2056" spans="1:19" ht="15" customHeight="1">
      <c r="A2056" s="61">
        <v>2055</v>
      </c>
      <c r="B2056" s="327" t="s">
        <v>52</v>
      </c>
      <c r="C2056" s="327" t="s">
        <v>10</v>
      </c>
      <c r="D2056" s="292" t="s">
        <v>3915</v>
      </c>
      <c r="H2056" s="292" t="s">
        <v>4168</v>
      </c>
      <c r="I2056" s="301">
        <v>300</v>
      </c>
      <c r="J2056" s="301">
        <v>0</v>
      </c>
      <c r="K2056" s="231" t="b">
        <f t="shared" si="43"/>
        <v>0</v>
      </c>
      <c r="L2056" s="299"/>
      <c r="M2056" s="299" t="s">
        <v>4224</v>
      </c>
      <c r="N2056" s="61"/>
      <c r="O2056" s="231">
        <v>2025</v>
      </c>
      <c r="P2056" s="303">
        <v>45861</v>
      </c>
      <c r="Q2056" s="90" t="s">
        <v>4227</v>
      </c>
      <c r="S2056" s="241" t="s">
        <v>453</v>
      </c>
    </row>
    <row r="2057" spans="1:19" ht="15" customHeight="1">
      <c r="A2057" s="61">
        <v>2056</v>
      </c>
      <c r="B2057" s="327" t="s">
        <v>52</v>
      </c>
      <c r="C2057" s="327" t="s">
        <v>10</v>
      </c>
      <c r="D2057" s="292" t="s">
        <v>3916</v>
      </c>
      <c r="H2057" s="292" t="s">
        <v>3750</v>
      </c>
      <c r="I2057" s="301">
        <v>324</v>
      </c>
      <c r="J2057" s="301">
        <v>0</v>
      </c>
      <c r="K2057" s="231" t="b">
        <f t="shared" si="43"/>
        <v>0</v>
      </c>
      <c r="L2057" s="299"/>
      <c r="M2057" s="299" t="s">
        <v>4224</v>
      </c>
      <c r="N2057" s="61"/>
      <c r="O2057" s="231">
        <v>2025</v>
      </c>
      <c r="P2057" s="303">
        <v>45861</v>
      </c>
      <c r="Q2057" s="90" t="s">
        <v>4227</v>
      </c>
      <c r="S2057" s="241" t="s">
        <v>453</v>
      </c>
    </row>
    <row r="2058" spans="1:19" ht="15" customHeight="1">
      <c r="A2058" s="61">
        <v>2057</v>
      </c>
      <c r="B2058" s="327" t="s">
        <v>52</v>
      </c>
      <c r="C2058" s="327" t="s">
        <v>10</v>
      </c>
      <c r="D2058" s="292" t="s">
        <v>3917</v>
      </c>
      <c r="H2058" s="292" t="s">
        <v>4169</v>
      </c>
      <c r="I2058" s="301">
        <v>470</v>
      </c>
      <c r="J2058" s="301">
        <v>0</v>
      </c>
      <c r="K2058" s="231" t="b">
        <f t="shared" si="43"/>
        <v>0</v>
      </c>
      <c r="L2058" s="299"/>
      <c r="M2058" s="299" t="s">
        <v>3437</v>
      </c>
      <c r="N2058" s="61"/>
      <c r="O2058" s="231">
        <v>2025</v>
      </c>
      <c r="P2058" s="303">
        <v>45861</v>
      </c>
      <c r="Q2058" s="90" t="s">
        <v>4227</v>
      </c>
      <c r="S2058" s="241" t="s">
        <v>453</v>
      </c>
    </row>
    <row r="2059" spans="1:19" ht="15" customHeight="1">
      <c r="A2059" s="61">
        <v>2058</v>
      </c>
      <c r="B2059" s="327" t="s">
        <v>52</v>
      </c>
      <c r="C2059" s="327" t="s">
        <v>10</v>
      </c>
      <c r="D2059" s="292" t="s">
        <v>3918</v>
      </c>
      <c r="H2059" s="292" t="s">
        <v>4170</v>
      </c>
      <c r="I2059" s="301">
        <v>200</v>
      </c>
      <c r="J2059" s="301">
        <v>1000</v>
      </c>
      <c r="K2059" s="231" t="b">
        <f t="shared" si="43"/>
        <v>0</v>
      </c>
      <c r="L2059" s="299"/>
      <c r="M2059" s="299" t="s">
        <v>4224</v>
      </c>
      <c r="N2059" s="61"/>
      <c r="O2059" s="231">
        <v>2025</v>
      </c>
      <c r="P2059" s="303">
        <v>45863</v>
      </c>
      <c r="Q2059" s="90" t="s">
        <v>4227</v>
      </c>
      <c r="S2059" s="241" t="s">
        <v>453</v>
      </c>
    </row>
    <row r="2060" spans="1:19" ht="15" customHeight="1">
      <c r="A2060" s="61">
        <v>2059</v>
      </c>
      <c r="B2060" s="327" t="s">
        <v>52</v>
      </c>
      <c r="C2060" s="327" t="s">
        <v>10</v>
      </c>
      <c r="D2060" s="292" t="s">
        <v>3919</v>
      </c>
      <c r="H2060" s="292" t="s">
        <v>4171</v>
      </c>
      <c r="I2060" s="301">
        <v>100</v>
      </c>
      <c r="J2060" s="301">
        <v>0</v>
      </c>
      <c r="K2060" s="231" t="b">
        <f t="shared" si="43"/>
        <v>0</v>
      </c>
      <c r="L2060" s="299"/>
      <c r="M2060" s="323" t="s">
        <v>4224</v>
      </c>
      <c r="N2060" s="61"/>
      <c r="O2060" s="231">
        <v>2025</v>
      </c>
      <c r="P2060" s="303">
        <v>45862</v>
      </c>
      <c r="Q2060" s="90" t="s">
        <v>4229</v>
      </c>
      <c r="S2060" s="241" t="s">
        <v>453</v>
      </c>
    </row>
    <row r="2061" spans="1:19" ht="15" customHeight="1">
      <c r="A2061" s="61">
        <v>2060</v>
      </c>
      <c r="B2061" s="327" t="s">
        <v>59</v>
      </c>
      <c r="C2061" s="327" t="s">
        <v>10</v>
      </c>
      <c r="D2061" s="292" t="s">
        <v>3920</v>
      </c>
      <c r="H2061" s="292" t="s">
        <v>3659</v>
      </c>
      <c r="I2061" s="301">
        <v>0</v>
      </c>
      <c r="J2061" s="301">
        <v>177</v>
      </c>
      <c r="K2061" s="231" t="b">
        <f t="shared" si="43"/>
        <v>0</v>
      </c>
      <c r="L2061" s="299"/>
      <c r="M2061" s="323" t="s">
        <v>4224</v>
      </c>
      <c r="N2061" s="61"/>
      <c r="O2061" s="231">
        <v>2025</v>
      </c>
      <c r="P2061" s="303">
        <v>45862</v>
      </c>
      <c r="Q2061" s="90" t="s">
        <v>4227</v>
      </c>
      <c r="S2061" s="241" t="s">
        <v>453</v>
      </c>
    </row>
    <row r="2062" spans="1:19" ht="15" customHeight="1">
      <c r="A2062" s="61">
        <v>2061</v>
      </c>
      <c r="B2062" s="327" t="s">
        <v>59</v>
      </c>
      <c r="C2062" s="327" t="s">
        <v>10</v>
      </c>
      <c r="D2062" s="292" t="s">
        <v>3921</v>
      </c>
      <c r="H2062" s="292" t="s">
        <v>3659</v>
      </c>
      <c r="I2062" s="301">
        <v>0</v>
      </c>
      <c r="J2062" s="301">
        <v>66</v>
      </c>
      <c r="K2062" s="231" t="b">
        <f t="shared" si="43"/>
        <v>0</v>
      </c>
      <c r="L2062" s="299"/>
      <c r="M2062" s="323" t="s">
        <v>4224</v>
      </c>
      <c r="N2062" s="61"/>
      <c r="O2062" s="231">
        <v>2025</v>
      </c>
      <c r="P2062" s="303">
        <v>45862</v>
      </c>
      <c r="Q2062" s="90" t="s">
        <v>4227</v>
      </c>
      <c r="S2062" s="241" t="s">
        <v>453</v>
      </c>
    </row>
    <row r="2063" spans="1:19" ht="15" customHeight="1">
      <c r="A2063" s="61">
        <v>2062</v>
      </c>
      <c r="B2063" s="327" t="s">
        <v>52</v>
      </c>
      <c r="C2063" s="327" t="s">
        <v>10</v>
      </c>
      <c r="D2063" s="292" t="s">
        <v>3922</v>
      </c>
      <c r="H2063" s="292" t="s">
        <v>4172</v>
      </c>
      <c r="I2063" s="301">
        <v>0</v>
      </c>
      <c r="J2063" s="301">
        <v>208</v>
      </c>
      <c r="K2063" s="231" t="b">
        <f t="shared" si="43"/>
        <v>0</v>
      </c>
      <c r="L2063" s="299"/>
      <c r="M2063" s="323" t="s">
        <v>4224</v>
      </c>
      <c r="N2063" s="61"/>
      <c r="O2063" s="231">
        <v>2025</v>
      </c>
      <c r="P2063" s="303">
        <v>45863</v>
      </c>
      <c r="Q2063" s="90" t="s">
        <v>4229</v>
      </c>
      <c r="S2063" s="241" t="s">
        <v>453</v>
      </c>
    </row>
    <row r="2064" spans="1:19" ht="15" customHeight="1">
      <c r="A2064" s="61">
        <v>2063</v>
      </c>
      <c r="B2064" s="327" t="s">
        <v>52</v>
      </c>
      <c r="C2064" s="327" t="s">
        <v>10</v>
      </c>
      <c r="D2064" s="292" t="s">
        <v>3923</v>
      </c>
      <c r="H2064" s="292" t="s">
        <v>4153</v>
      </c>
      <c r="I2064" s="301">
        <v>673</v>
      </c>
      <c r="J2064" s="301">
        <v>0</v>
      </c>
      <c r="K2064" s="231" t="b">
        <f t="shared" si="43"/>
        <v>0</v>
      </c>
      <c r="L2064" s="299"/>
      <c r="M2064" s="323" t="s">
        <v>4224</v>
      </c>
      <c r="N2064" s="61"/>
      <c r="O2064" s="231">
        <v>2025</v>
      </c>
      <c r="P2064" s="303">
        <v>45863</v>
      </c>
      <c r="Q2064" s="90" t="s">
        <v>4229</v>
      </c>
      <c r="S2064" s="241" t="s">
        <v>453</v>
      </c>
    </row>
    <row r="2065" spans="1:19" ht="15" customHeight="1">
      <c r="A2065" s="61">
        <v>2064</v>
      </c>
      <c r="B2065" s="327" t="s">
        <v>52</v>
      </c>
      <c r="C2065" s="327" t="s">
        <v>10</v>
      </c>
      <c r="D2065" s="292" t="s">
        <v>3924</v>
      </c>
      <c r="H2065" s="292" t="s">
        <v>4173</v>
      </c>
      <c r="I2065" s="301">
        <v>338</v>
      </c>
      <c r="J2065" s="301">
        <v>0</v>
      </c>
      <c r="K2065" s="231" t="b">
        <f t="shared" si="43"/>
        <v>0</v>
      </c>
      <c r="L2065" s="299"/>
      <c r="M2065" s="323" t="s">
        <v>4224</v>
      </c>
      <c r="N2065" s="61"/>
      <c r="O2065" s="231">
        <v>2025</v>
      </c>
      <c r="P2065" s="303">
        <v>45863</v>
      </c>
      <c r="Q2065" s="90" t="s">
        <v>4229</v>
      </c>
      <c r="S2065" s="241" t="s">
        <v>453</v>
      </c>
    </row>
    <row r="2066" spans="1:19" ht="15" customHeight="1">
      <c r="A2066" s="61">
        <v>2065</v>
      </c>
      <c r="B2066" s="327" t="s">
        <v>52</v>
      </c>
      <c r="C2066" s="327" t="s">
        <v>10</v>
      </c>
      <c r="D2066" s="292" t="s">
        <v>3925</v>
      </c>
      <c r="H2066" s="292" t="s">
        <v>4128</v>
      </c>
      <c r="I2066" s="301">
        <v>0</v>
      </c>
      <c r="J2066" s="301">
        <v>0</v>
      </c>
      <c r="K2066" s="231" t="b">
        <f t="shared" si="43"/>
        <v>0</v>
      </c>
      <c r="L2066" s="299"/>
      <c r="M2066" s="299" t="s">
        <v>3437</v>
      </c>
      <c r="N2066" s="61"/>
      <c r="O2066" s="231">
        <v>2025</v>
      </c>
      <c r="P2066" s="303">
        <v>45925</v>
      </c>
      <c r="Q2066" s="90" t="s">
        <v>4229</v>
      </c>
      <c r="S2066" s="241" t="s">
        <v>453</v>
      </c>
    </row>
    <row r="2067" spans="1:19" ht="15" customHeight="1">
      <c r="A2067" s="61">
        <v>2066</v>
      </c>
      <c r="B2067" s="327" t="s">
        <v>55</v>
      </c>
      <c r="C2067" s="327" t="s">
        <v>10</v>
      </c>
      <c r="D2067" s="292" t="s">
        <v>3926</v>
      </c>
      <c r="H2067" s="292" t="s">
        <v>4174</v>
      </c>
      <c r="I2067" s="301">
        <v>150</v>
      </c>
      <c r="J2067" s="301">
        <v>0</v>
      </c>
      <c r="K2067" s="231" t="b">
        <f t="shared" si="43"/>
        <v>0</v>
      </c>
      <c r="L2067" s="299"/>
      <c r="M2067" s="323" t="s">
        <v>4224</v>
      </c>
      <c r="N2067" s="61"/>
      <c r="O2067" s="231">
        <v>2025</v>
      </c>
      <c r="P2067" s="303">
        <v>45866</v>
      </c>
      <c r="Q2067" s="90" t="s">
        <v>4229</v>
      </c>
      <c r="S2067" s="241" t="s">
        <v>453</v>
      </c>
    </row>
    <row r="2068" spans="1:19" ht="15" customHeight="1">
      <c r="A2068" s="61">
        <v>2067</v>
      </c>
      <c r="B2068" s="327" t="s">
        <v>52</v>
      </c>
      <c r="C2068" s="327" t="s">
        <v>10</v>
      </c>
      <c r="D2068" s="292" t="s">
        <v>3927</v>
      </c>
      <c r="H2068" s="292" t="s">
        <v>3752</v>
      </c>
      <c r="I2068" s="301">
        <v>208</v>
      </c>
      <c r="J2068" s="301">
        <v>0</v>
      </c>
      <c r="K2068" s="231" t="b">
        <f t="shared" si="43"/>
        <v>0</v>
      </c>
      <c r="L2068" s="299"/>
      <c r="M2068" s="323" t="s">
        <v>4224</v>
      </c>
      <c r="N2068" s="61"/>
      <c r="O2068" s="231">
        <v>2025</v>
      </c>
      <c r="P2068" s="303">
        <v>45866</v>
      </c>
      <c r="Q2068" s="90" t="s">
        <v>4229</v>
      </c>
      <c r="S2068" s="241" t="s">
        <v>453</v>
      </c>
    </row>
    <row r="2069" spans="1:19" ht="15" customHeight="1">
      <c r="A2069" s="61">
        <v>2068</v>
      </c>
      <c r="B2069" s="327" t="s">
        <v>50</v>
      </c>
      <c r="C2069" s="327" t="s">
        <v>10</v>
      </c>
      <c r="D2069" s="292" t="s">
        <v>3928</v>
      </c>
      <c r="H2069" s="292" t="s">
        <v>4163</v>
      </c>
      <c r="I2069" s="301">
        <v>0</v>
      </c>
      <c r="J2069" s="301">
        <v>981</v>
      </c>
      <c r="K2069" s="231">
        <f t="shared" si="43"/>
        <v>10</v>
      </c>
      <c r="L2069" s="299"/>
      <c r="M2069" s="299" t="s">
        <v>15</v>
      </c>
      <c r="N2069" s="61"/>
      <c r="O2069" s="231">
        <v>2025</v>
      </c>
      <c r="P2069" s="303">
        <v>45866</v>
      </c>
      <c r="Q2069" s="90" t="s">
        <v>4229</v>
      </c>
      <c r="S2069" s="241" t="s">
        <v>453</v>
      </c>
    </row>
    <row r="2070" spans="1:19" ht="15" customHeight="1">
      <c r="A2070" s="61">
        <v>2069</v>
      </c>
      <c r="B2070" s="327" t="s">
        <v>55</v>
      </c>
      <c r="C2070" s="327" t="s">
        <v>10</v>
      </c>
      <c r="D2070" s="292" t="s">
        <v>3929</v>
      </c>
      <c r="H2070" s="292" t="s">
        <v>3411</v>
      </c>
      <c r="I2070" s="301">
        <v>0</v>
      </c>
      <c r="J2070" s="301">
        <v>632</v>
      </c>
      <c r="K2070" s="231" t="b">
        <f t="shared" si="43"/>
        <v>0</v>
      </c>
      <c r="L2070" s="299"/>
      <c r="M2070" s="299" t="s">
        <v>4224</v>
      </c>
      <c r="N2070" s="61"/>
      <c r="O2070" s="231">
        <v>2025</v>
      </c>
      <c r="P2070" s="303">
        <v>45867</v>
      </c>
      <c r="Q2070" s="90" t="s">
        <v>4229</v>
      </c>
      <c r="S2070" s="241" t="s">
        <v>453</v>
      </c>
    </row>
    <row r="2071" spans="1:19" ht="15" customHeight="1">
      <c r="A2071" s="61">
        <v>2070</v>
      </c>
      <c r="B2071" s="327" t="s">
        <v>52</v>
      </c>
      <c r="C2071" s="327" t="s">
        <v>10</v>
      </c>
      <c r="D2071" s="292" t="s">
        <v>3930</v>
      </c>
      <c r="H2071" s="292" t="s">
        <v>4175</v>
      </c>
      <c r="I2071" s="301">
        <v>0</v>
      </c>
      <c r="J2071" s="301">
        <v>821</v>
      </c>
      <c r="K2071" s="231" t="b">
        <f t="shared" si="43"/>
        <v>0</v>
      </c>
      <c r="L2071" s="299"/>
      <c r="M2071" s="299" t="s">
        <v>3437</v>
      </c>
      <c r="N2071" s="61"/>
      <c r="O2071" s="231">
        <v>2025</v>
      </c>
      <c r="P2071" s="303">
        <v>45879</v>
      </c>
      <c r="Q2071" s="90" t="s">
        <v>4229</v>
      </c>
      <c r="S2071" s="241" t="s">
        <v>453</v>
      </c>
    </row>
    <row r="2072" spans="1:19" ht="15" customHeight="1">
      <c r="A2072" s="61">
        <v>2071</v>
      </c>
      <c r="B2072" s="327" t="s">
        <v>52</v>
      </c>
      <c r="C2072" s="327" t="s">
        <v>10</v>
      </c>
      <c r="D2072" s="292" t="s">
        <v>3931</v>
      </c>
      <c r="H2072" s="292" t="s">
        <v>3485</v>
      </c>
      <c r="I2072" s="301">
        <v>0</v>
      </c>
      <c r="J2072" s="301">
        <v>0</v>
      </c>
      <c r="K2072" s="231" t="b">
        <f t="shared" si="43"/>
        <v>0</v>
      </c>
      <c r="L2072" s="299"/>
      <c r="M2072" s="299" t="s">
        <v>3437</v>
      </c>
      <c r="N2072" s="61"/>
      <c r="O2072" s="231">
        <v>2025</v>
      </c>
      <c r="P2072" s="303">
        <v>45925</v>
      </c>
      <c r="Q2072" s="90" t="s">
        <v>4229</v>
      </c>
      <c r="S2072" s="241" t="s">
        <v>453</v>
      </c>
    </row>
    <row r="2073" spans="1:19" ht="15" customHeight="1">
      <c r="A2073" s="61">
        <v>2072</v>
      </c>
      <c r="B2073" s="327" t="s">
        <v>53</v>
      </c>
      <c r="C2073" s="327" t="s">
        <v>10</v>
      </c>
      <c r="D2073" s="292" t="s">
        <v>3932</v>
      </c>
      <c r="H2073" s="292" t="s">
        <v>3666</v>
      </c>
      <c r="I2073" s="301">
        <v>271</v>
      </c>
      <c r="J2073" s="301">
        <v>0</v>
      </c>
      <c r="K2073" s="231">
        <f t="shared" si="43"/>
        <v>10</v>
      </c>
      <c r="L2073" s="299"/>
      <c r="M2073" s="299" t="s">
        <v>15</v>
      </c>
      <c r="N2073" s="61"/>
      <c r="O2073" s="231">
        <v>2025</v>
      </c>
      <c r="P2073" s="303">
        <v>45869</v>
      </c>
      <c r="Q2073" s="90" t="s">
        <v>4229</v>
      </c>
      <c r="S2073" s="241" t="s">
        <v>453</v>
      </c>
    </row>
    <row r="2074" spans="1:19" ht="15" customHeight="1">
      <c r="A2074" s="61">
        <v>2073</v>
      </c>
      <c r="B2074" s="327" t="s">
        <v>52</v>
      </c>
      <c r="C2074" s="327" t="s">
        <v>10</v>
      </c>
      <c r="D2074" s="292" t="s">
        <v>3933</v>
      </c>
      <c r="H2074" s="292" t="s">
        <v>4176</v>
      </c>
      <c r="I2074" s="301">
        <v>350</v>
      </c>
      <c r="J2074" s="301">
        <v>650</v>
      </c>
      <c r="K2074" s="231" t="b">
        <f t="shared" si="43"/>
        <v>0</v>
      </c>
      <c r="L2074" s="299"/>
      <c r="M2074" s="299" t="s">
        <v>3276</v>
      </c>
      <c r="N2074" s="61"/>
      <c r="O2074" s="231">
        <v>2025</v>
      </c>
      <c r="P2074" s="303">
        <v>45870</v>
      </c>
      <c r="Q2074" s="90" t="s">
        <v>4229</v>
      </c>
      <c r="S2074" s="241" t="s">
        <v>453</v>
      </c>
    </row>
    <row r="2075" spans="1:19" ht="15" customHeight="1">
      <c r="A2075" s="61">
        <v>2074</v>
      </c>
      <c r="B2075" s="327" t="s">
        <v>52</v>
      </c>
      <c r="C2075" s="327" t="s">
        <v>10</v>
      </c>
      <c r="D2075" s="292" t="s">
        <v>3934</v>
      </c>
      <c r="H2075" s="292" t="s">
        <v>4169</v>
      </c>
      <c r="I2075" s="301">
        <v>400</v>
      </c>
      <c r="J2075" s="301">
        <v>0</v>
      </c>
      <c r="K2075" s="231" t="b">
        <f t="shared" si="43"/>
        <v>0</v>
      </c>
      <c r="L2075" s="299"/>
      <c r="M2075" s="299" t="s">
        <v>3276</v>
      </c>
      <c r="N2075" s="61"/>
      <c r="O2075" s="231">
        <v>2025</v>
      </c>
      <c r="P2075" s="303">
        <v>45881</v>
      </c>
      <c r="Q2075" s="90" t="s">
        <v>4229</v>
      </c>
      <c r="S2075" s="241" t="s">
        <v>453</v>
      </c>
    </row>
    <row r="2076" spans="1:19" ht="15" customHeight="1">
      <c r="A2076" s="61">
        <v>2075</v>
      </c>
      <c r="B2076" s="327" t="s">
        <v>52</v>
      </c>
      <c r="C2076" s="327" t="s">
        <v>10</v>
      </c>
      <c r="D2076" s="292" t="s">
        <v>3935</v>
      </c>
      <c r="H2076" s="292" t="s">
        <v>3739</v>
      </c>
      <c r="I2076" s="301">
        <v>400</v>
      </c>
      <c r="J2076" s="301">
        <v>0</v>
      </c>
      <c r="K2076" s="231" t="b">
        <f t="shared" si="43"/>
        <v>0</v>
      </c>
      <c r="L2076" s="299"/>
      <c r="M2076" s="299" t="s">
        <v>3276</v>
      </c>
      <c r="N2076" s="61"/>
      <c r="O2076" s="231">
        <v>2025</v>
      </c>
      <c r="P2076" s="303">
        <v>45870</v>
      </c>
      <c r="Q2076" s="90" t="s">
        <v>4229</v>
      </c>
      <c r="S2076" s="241" t="s">
        <v>453</v>
      </c>
    </row>
    <row r="2077" spans="1:19" ht="15" customHeight="1">
      <c r="A2077" s="61">
        <v>2076</v>
      </c>
      <c r="B2077" s="327" t="s">
        <v>52</v>
      </c>
      <c r="C2077" s="327" t="s">
        <v>10</v>
      </c>
      <c r="D2077" s="292" t="s">
        <v>3936</v>
      </c>
      <c r="H2077" s="292" t="s">
        <v>4177</v>
      </c>
      <c r="I2077" s="301">
        <v>152</v>
      </c>
      <c r="J2077" s="301">
        <v>1000</v>
      </c>
      <c r="K2077" s="231" t="b">
        <f t="shared" si="43"/>
        <v>0</v>
      </c>
      <c r="L2077" s="299"/>
      <c r="M2077" s="299" t="s">
        <v>3437</v>
      </c>
      <c r="N2077" s="61"/>
      <c r="O2077" s="231">
        <v>2025</v>
      </c>
      <c r="P2077" s="303">
        <v>45870</v>
      </c>
      <c r="Q2077" s="90" t="s">
        <v>4229</v>
      </c>
      <c r="S2077" s="241" t="s">
        <v>453</v>
      </c>
    </row>
    <row r="2078" spans="1:19" ht="15" customHeight="1">
      <c r="A2078" s="61">
        <v>2077</v>
      </c>
      <c r="B2078" s="327" t="s">
        <v>52</v>
      </c>
      <c r="C2078" s="327" t="s">
        <v>10</v>
      </c>
      <c r="D2078" s="292" t="s">
        <v>3938</v>
      </c>
      <c r="H2078" s="292" t="s">
        <v>3669</v>
      </c>
      <c r="I2078" s="301">
        <v>101</v>
      </c>
      <c r="J2078" s="301">
        <v>0</v>
      </c>
      <c r="K2078" s="231" t="b">
        <f t="shared" si="43"/>
        <v>0</v>
      </c>
      <c r="L2078" s="299"/>
      <c r="M2078" s="299" t="s">
        <v>3437</v>
      </c>
      <c r="N2078" s="61"/>
      <c r="O2078" s="231">
        <v>2025</v>
      </c>
      <c r="P2078" s="303">
        <v>45871</v>
      </c>
      <c r="Q2078" s="90" t="s">
        <v>4229</v>
      </c>
      <c r="S2078" s="241" t="s">
        <v>453</v>
      </c>
    </row>
    <row r="2079" spans="1:19" ht="15" customHeight="1">
      <c r="A2079" s="61">
        <v>2078</v>
      </c>
      <c r="B2079" s="327" t="s">
        <v>49</v>
      </c>
      <c r="C2079" s="327" t="s">
        <v>10</v>
      </c>
      <c r="D2079" s="292" t="s">
        <v>3939</v>
      </c>
      <c r="H2079" s="292" t="s">
        <v>4178</v>
      </c>
      <c r="I2079" s="301">
        <v>458</v>
      </c>
      <c r="J2079" s="301">
        <v>0</v>
      </c>
      <c r="K2079" s="231" t="b">
        <f t="shared" si="43"/>
        <v>0</v>
      </c>
      <c r="L2079" s="299"/>
      <c r="M2079" s="299" t="s">
        <v>3276</v>
      </c>
      <c r="N2079" s="61"/>
      <c r="O2079" s="231">
        <v>2025</v>
      </c>
      <c r="P2079" s="303">
        <v>45874</v>
      </c>
      <c r="Q2079" s="90" t="s">
        <v>4229</v>
      </c>
      <c r="S2079" s="241" t="s">
        <v>453</v>
      </c>
    </row>
    <row r="2080" spans="1:19" ht="15" customHeight="1">
      <c r="A2080" s="61">
        <v>2079</v>
      </c>
      <c r="B2080" s="327" t="s">
        <v>52</v>
      </c>
      <c r="C2080" s="327" t="s">
        <v>10</v>
      </c>
      <c r="D2080" s="292" t="s">
        <v>3940</v>
      </c>
      <c r="H2080" s="292" t="s">
        <v>4161</v>
      </c>
      <c r="I2080" s="301">
        <v>128</v>
      </c>
      <c r="J2080" s="301">
        <v>0</v>
      </c>
      <c r="K2080" s="231" t="b">
        <f t="shared" si="43"/>
        <v>0</v>
      </c>
      <c r="L2080" s="299"/>
      <c r="M2080" s="299" t="s">
        <v>3437</v>
      </c>
      <c r="N2080" s="61"/>
      <c r="O2080" s="231">
        <v>2025</v>
      </c>
      <c r="P2080" s="303">
        <v>45874</v>
      </c>
      <c r="Q2080" s="90" t="s">
        <v>4229</v>
      </c>
      <c r="S2080" s="241" t="s">
        <v>453</v>
      </c>
    </row>
    <row r="2081" spans="1:24" ht="15" customHeight="1">
      <c r="A2081" s="61">
        <v>2080</v>
      </c>
      <c r="B2081" s="327" t="s">
        <v>52</v>
      </c>
      <c r="C2081" s="327" t="s">
        <v>10</v>
      </c>
      <c r="D2081" s="292" t="s">
        <v>3941</v>
      </c>
      <c r="H2081" s="292" t="s">
        <v>4179</v>
      </c>
      <c r="I2081" s="301">
        <v>17</v>
      </c>
      <c r="J2081" s="301">
        <v>0</v>
      </c>
      <c r="K2081" s="231" t="b">
        <f t="shared" si="43"/>
        <v>0</v>
      </c>
      <c r="L2081" s="299"/>
      <c r="M2081" s="299" t="s">
        <v>3437</v>
      </c>
      <c r="N2081" s="61"/>
      <c r="O2081" s="231">
        <v>2025</v>
      </c>
      <c r="P2081" s="303">
        <v>45874</v>
      </c>
      <c r="Q2081" s="90" t="s">
        <v>4229</v>
      </c>
      <c r="S2081" s="241" t="s">
        <v>453</v>
      </c>
    </row>
    <row r="2082" spans="1:24" ht="15" customHeight="1">
      <c r="A2082" s="61">
        <v>2081</v>
      </c>
      <c r="B2082" s="327" t="s">
        <v>52</v>
      </c>
      <c r="C2082" s="327" t="s">
        <v>10</v>
      </c>
      <c r="D2082" s="292" t="s">
        <v>3942</v>
      </c>
      <c r="H2082" s="292" t="s">
        <v>4179</v>
      </c>
      <c r="I2082" s="301">
        <v>60</v>
      </c>
      <c r="J2082" s="301">
        <v>723</v>
      </c>
      <c r="K2082" s="231" t="b">
        <f t="shared" si="43"/>
        <v>0</v>
      </c>
      <c r="L2082" s="299"/>
      <c r="M2082" s="299" t="s">
        <v>3437</v>
      </c>
      <c r="N2082" s="61"/>
      <c r="O2082" s="231">
        <v>2025</v>
      </c>
      <c r="P2082" s="303">
        <v>45875</v>
      </c>
      <c r="Q2082" s="90" t="s">
        <v>4229</v>
      </c>
      <c r="S2082" s="241" t="s">
        <v>453</v>
      </c>
    </row>
    <row r="2083" spans="1:24" ht="15" customHeight="1">
      <c r="A2083" s="61">
        <v>2082</v>
      </c>
      <c r="B2083" s="327" t="s">
        <v>52</v>
      </c>
      <c r="C2083" s="327" t="s">
        <v>10</v>
      </c>
      <c r="D2083" s="292" t="s">
        <v>3943</v>
      </c>
      <c r="H2083" s="292" t="s">
        <v>4180</v>
      </c>
      <c r="I2083" s="301">
        <v>0</v>
      </c>
      <c r="J2083" s="301">
        <v>821</v>
      </c>
      <c r="K2083" s="231" t="b">
        <f t="shared" si="43"/>
        <v>0</v>
      </c>
      <c r="L2083" s="299"/>
      <c r="M2083" s="299" t="s">
        <v>3437</v>
      </c>
      <c r="N2083" s="61"/>
      <c r="O2083" s="231">
        <v>2025</v>
      </c>
      <c r="P2083" s="303">
        <v>45877</v>
      </c>
      <c r="Q2083" s="90" t="s">
        <v>4229</v>
      </c>
      <c r="S2083" s="241" t="s">
        <v>453</v>
      </c>
    </row>
    <row r="2084" spans="1:24" ht="15" customHeight="1">
      <c r="A2084" s="61">
        <v>2083</v>
      </c>
      <c r="B2084" s="327" t="s">
        <v>52</v>
      </c>
      <c r="C2084" s="327" t="s">
        <v>10</v>
      </c>
      <c r="D2084" s="292" t="s">
        <v>3944</v>
      </c>
      <c r="H2084" s="292" t="s">
        <v>4168</v>
      </c>
      <c r="I2084" s="301">
        <v>95</v>
      </c>
      <c r="J2084" s="301">
        <v>0</v>
      </c>
      <c r="K2084" s="231" t="b">
        <f t="shared" si="43"/>
        <v>0</v>
      </c>
      <c r="L2084" s="299"/>
      <c r="M2084" s="299" t="s">
        <v>3276</v>
      </c>
      <c r="N2084" s="61"/>
      <c r="O2084" s="231">
        <v>2025</v>
      </c>
      <c r="P2084" s="303">
        <v>45876</v>
      </c>
      <c r="Q2084" s="90" t="s">
        <v>4229</v>
      </c>
      <c r="S2084" s="241" t="s">
        <v>453</v>
      </c>
    </row>
    <row r="2085" spans="1:24" ht="15" customHeight="1">
      <c r="A2085" s="61">
        <v>2084</v>
      </c>
      <c r="B2085" s="327" t="s">
        <v>52</v>
      </c>
      <c r="C2085" s="327" t="s">
        <v>10</v>
      </c>
      <c r="D2085" s="292" t="s">
        <v>3945</v>
      </c>
      <c r="H2085" s="292" t="s">
        <v>4181</v>
      </c>
      <c r="I2085" s="301">
        <v>900</v>
      </c>
      <c r="J2085" s="301">
        <v>0</v>
      </c>
      <c r="K2085" s="231" t="b">
        <f t="shared" si="43"/>
        <v>0</v>
      </c>
      <c r="L2085" s="299"/>
      <c r="M2085" s="299" t="s">
        <v>3276</v>
      </c>
      <c r="N2085" s="61"/>
      <c r="O2085" s="231">
        <v>2025</v>
      </c>
      <c r="P2085" s="303">
        <v>45876</v>
      </c>
      <c r="Q2085" s="90" t="s">
        <v>4229</v>
      </c>
      <c r="S2085" s="241" t="s">
        <v>453</v>
      </c>
      <c r="U2085" s="90">
        <v>1</v>
      </c>
      <c r="V2085" s="90">
        <v>1</v>
      </c>
      <c r="W2085" s="90">
        <v>0</v>
      </c>
      <c r="X2085" s="90" t="s">
        <v>4524</v>
      </c>
    </row>
    <row r="2086" spans="1:24" ht="15" customHeight="1">
      <c r="A2086" s="61">
        <v>2085</v>
      </c>
      <c r="B2086" s="327" t="s">
        <v>52</v>
      </c>
      <c r="C2086" s="327" t="s">
        <v>10</v>
      </c>
      <c r="D2086" s="292" t="s">
        <v>3946</v>
      </c>
      <c r="H2086" s="292" t="s">
        <v>3312</v>
      </c>
      <c r="I2086" s="301">
        <v>686</v>
      </c>
      <c r="J2086" s="301">
        <v>0</v>
      </c>
      <c r="K2086" s="231" t="b">
        <f t="shared" si="43"/>
        <v>0</v>
      </c>
      <c r="L2086" s="299"/>
      <c r="M2086" s="299" t="s">
        <v>3437</v>
      </c>
      <c r="N2086" s="61"/>
      <c r="O2086" s="231">
        <v>2025</v>
      </c>
      <c r="P2086" s="303">
        <v>45877</v>
      </c>
      <c r="Q2086" s="90" t="s">
        <v>4229</v>
      </c>
      <c r="S2086" s="241" t="s">
        <v>453</v>
      </c>
      <c r="U2086" s="90">
        <v>1</v>
      </c>
      <c r="V2086" s="90">
        <v>1</v>
      </c>
      <c r="W2086" s="90">
        <v>0</v>
      </c>
      <c r="X2086" s="90" t="s">
        <v>4526</v>
      </c>
    </row>
    <row r="2087" spans="1:24" ht="15" customHeight="1">
      <c r="A2087" s="61">
        <v>2086</v>
      </c>
      <c r="B2087" s="327" t="s">
        <v>52</v>
      </c>
      <c r="C2087" s="327" t="s">
        <v>10</v>
      </c>
      <c r="D2087" s="292" t="s">
        <v>3947</v>
      </c>
      <c r="H2087" s="292" t="s">
        <v>3722</v>
      </c>
      <c r="I2087" s="301">
        <v>250</v>
      </c>
      <c r="J2087" s="301">
        <v>0</v>
      </c>
      <c r="K2087" s="231" t="b">
        <f t="shared" si="43"/>
        <v>0</v>
      </c>
      <c r="L2087" s="299"/>
      <c r="M2087" s="299" t="s">
        <v>3276</v>
      </c>
      <c r="N2087" s="61"/>
      <c r="O2087" s="231">
        <v>2025</v>
      </c>
      <c r="P2087" s="303">
        <v>45880</v>
      </c>
      <c r="Q2087" s="90" t="s">
        <v>4229</v>
      </c>
      <c r="S2087" s="241" t="s">
        <v>453</v>
      </c>
    </row>
    <row r="2088" spans="1:24" ht="15" customHeight="1">
      <c r="A2088" s="61">
        <v>2087</v>
      </c>
      <c r="B2088" s="327" t="s">
        <v>52</v>
      </c>
      <c r="C2088" s="327" t="s">
        <v>10</v>
      </c>
      <c r="D2088" s="292" t="s">
        <v>3948</v>
      </c>
      <c r="H2088" s="292" t="s">
        <v>4145</v>
      </c>
      <c r="I2088" s="301">
        <v>0</v>
      </c>
      <c r="J2088" s="301">
        <v>750</v>
      </c>
      <c r="K2088" s="231" t="b">
        <f t="shared" si="43"/>
        <v>0</v>
      </c>
      <c r="L2088" s="299"/>
      <c r="M2088" s="299" t="s">
        <v>3276</v>
      </c>
      <c r="N2088" s="61"/>
      <c r="O2088" s="231">
        <v>2025</v>
      </c>
      <c r="P2088" s="303">
        <v>45880</v>
      </c>
      <c r="Q2088" s="90" t="s">
        <v>4229</v>
      </c>
      <c r="S2088" s="241" t="s">
        <v>453</v>
      </c>
    </row>
    <row r="2089" spans="1:24" ht="15" customHeight="1">
      <c r="A2089" s="61">
        <v>2088</v>
      </c>
      <c r="B2089" s="327" t="s">
        <v>49</v>
      </c>
      <c r="C2089" s="327" t="s">
        <v>10</v>
      </c>
      <c r="D2089" s="292" t="s">
        <v>3949</v>
      </c>
      <c r="H2089" s="292" t="s">
        <v>4182</v>
      </c>
      <c r="I2089" s="301">
        <v>173</v>
      </c>
      <c r="J2089" s="301">
        <v>757</v>
      </c>
      <c r="K2089" s="231" t="b">
        <f t="shared" si="43"/>
        <v>0</v>
      </c>
      <c r="L2089" s="299"/>
      <c r="M2089" s="299" t="s">
        <v>3276</v>
      </c>
      <c r="N2089" s="61"/>
      <c r="O2089" s="231">
        <v>2025</v>
      </c>
      <c r="P2089" s="303">
        <v>45889</v>
      </c>
      <c r="Q2089" s="90" t="s">
        <v>4229</v>
      </c>
      <c r="S2089" s="241" t="s">
        <v>453</v>
      </c>
      <c r="U2089" s="90">
        <v>1</v>
      </c>
      <c r="V2089" s="90">
        <v>1</v>
      </c>
      <c r="W2089" s="90">
        <v>0</v>
      </c>
      <c r="X2089" s="90" t="s">
        <v>4525</v>
      </c>
    </row>
    <row r="2090" spans="1:24" ht="15" customHeight="1">
      <c r="A2090" s="61">
        <v>2089</v>
      </c>
      <c r="B2090" s="327" t="s">
        <v>52</v>
      </c>
      <c r="C2090" s="327" t="s">
        <v>10</v>
      </c>
      <c r="D2090" s="292" t="s">
        <v>3950</v>
      </c>
      <c r="H2090" s="292" t="s">
        <v>3485</v>
      </c>
      <c r="I2090" s="301">
        <v>100</v>
      </c>
      <c r="J2090" s="301">
        <v>1000</v>
      </c>
      <c r="K2090" s="231" t="b">
        <f t="shared" si="43"/>
        <v>0</v>
      </c>
      <c r="L2090" s="299"/>
      <c r="M2090" s="299" t="s">
        <v>3437</v>
      </c>
      <c r="N2090" s="61"/>
      <c r="O2090" s="231">
        <v>2025</v>
      </c>
      <c r="P2090" s="303">
        <v>45882</v>
      </c>
      <c r="Q2090" s="90" t="s">
        <v>4229</v>
      </c>
      <c r="S2090" s="241" t="s">
        <v>453</v>
      </c>
    </row>
    <row r="2091" spans="1:24" ht="15" customHeight="1">
      <c r="A2091" s="61">
        <v>2090</v>
      </c>
      <c r="B2091" s="327" t="s">
        <v>52</v>
      </c>
      <c r="C2091" s="327" t="s">
        <v>10</v>
      </c>
      <c r="D2091" s="292" t="s">
        <v>3951</v>
      </c>
      <c r="H2091" s="292" t="s">
        <v>4128</v>
      </c>
      <c r="I2091" s="301">
        <v>200</v>
      </c>
      <c r="J2091" s="301">
        <v>1000</v>
      </c>
      <c r="K2091" s="231" t="b">
        <f t="shared" si="43"/>
        <v>0</v>
      </c>
      <c r="L2091" s="299"/>
      <c r="M2091" s="299" t="s">
        <v>3276</v>
      </c>
      <c r="N2091" s="61"/>
      <c r="O2091" s="231">
        <v>2025</v>
      </c>
      <c r="P2091" s="303">
        <v>45882</v>
      </c>
      <c r="Q2091" s="90" t="s">
        <v>4229</v>
      </c>
      <c r="S2091" s="241" t="s">
        <v>453</v>
      </c>
    </row>
    <row r="2092" spans="1:24" ht="15" customHeight="1">
      <c r="A2092" s="61">
        <v>2091</v>
      </c>
      <c r="B2092" s="327" t="s">
        <v>52</v>
      </c>
      <c r="C2092" s="327" t="s">
        <v>10</v>
      </c>
      <c r="D2092" s="292" t="s">
        <v>3952</v>
      </c>
      <c r="H2092" s="292" t="s">
        <v>3722</v>
      </c>
      <c r="I2092" s="301">
        <v>75</v>
      </c>
      <c r="J2092" s="301">
        <v>0</v>
      </c>
      <c r="K2092" s="231" t="b">
        <f t="shared" si="43"/>
        <v>0</v>
      </c>
      <c r="L2092" s="299"/>
      <c r="M2092" s="299" t="s">
        <v>3276</v>
      </c>
      <c r="N2092" s="61"/>
      <c r="O2092" s="231">
        <v>2025</v>
      </c>
      <c r="P2092" s="303">
        <v>45884</v>
      </c>
      <c r="Q2092" s="90" t="s">
        <v>4229</v>
      </c>
      <c r="S2092" s="241" t="s">
        <v>453</v>
      </c>
    </row>
    <row r="2093" spans="1:24" ht="15" customHeight="1">
      <c r="A2093" s="61">
        <v>2092</v>
      </c>
      <c r="B2093" s="327" t="s">
        <v>52</v>
      </c>
      <c r="C2093" s="327" t="s">
        <v>10</v>
      </c>
      <c r="D2093" s="292" t="s">
        <v>3953</v>
      </c>
      <c r="H2093" s="292" t="s">
        <v>4168</v>
      </c>
      <c r="I2093" s="301">
        <v>100</v>
      </c>
      <c r="J2093" s="301">
        <v>850</v>
      </c>
      <c r="K2093" s="231" t="b">
        <f t="shared" si="43"/>
        <v>0</v>
      </c>
      <c r="L2093" s="299"/>
      <c r="M2093" s="299" t="s">
        <v>3437</v>
      </c>
      <c r="N2093" s="61"/>
      <c r="O2093" s="231">
        <v>2025</v>
      </c>
      <c r="P2093" s="303">
        <v>45884</v>
      </c>
      <c r="Q2093" s="90" t="s">
        <v>4229</v>
      </c>
      <c r="S2093" s="241" t="s">
        <v>453</v>
      </c>
    </row>
    <row r="2094" spans="1:24" ht="15" customHeight="1">
      <c r="A2094" s="61">
        <v>2093</v>
      </c>
      <c r="B2094" s="327" t="s">
        <v>52</v>
      </c>
      <c r="C2094" s="327" t="s">
        <v>10</v>
      </c>
      <c r="D2094" s="292" t="s">
        <v>3954</v>
      </c>
      <c r="H2094" s="292" t="s">
        <v>3732</v>
      </c>
      <c r="I2094" s="301">
        <v>0</v>
      </c>
      <c r="J2094" s="301">
        <v>736</v>
      </c>
      <c r="K2094" s="231" t="b">
        <f t="shared" si="43"/>
        <v>0</v>
      </c>
      <c r="L2094" s="299"/>
      <c r="M2094" s="299" t="s">
        <v>3276</v>
      </c>
      <c r="N2094" s="61"/>
      <c r="O2094" s="231">
        <v>2025</v>
      </c>
      <c r="P2094" s="303">
        <v>45884</v>
      </c>
      <c r="Q2094" s="90" t="s">
        <v>4229</v>
      </c>
      <c r="S2094" s="241" t="s">
        <v>453</v>
      </c>
    </row>
    <row r="2095" spans="1:24" ht="15" customHeight="1">
      <c r="A2095" s="61">
        <v>2094</v>
      </c>
      <c r="B2095" s="327" t="s">
        <v>52</v>
      </c>
      <c r="C2095" s="327" t="s">
        <v>10</v>
      </c>
      <c r="D2095" s="292" t="s">
        <v>3955</v>
      </c>
      <c r="H2095" s="292" t="s">
        <v>4183</v>
      </c>
      <c r="I2095" s="301">
        <v>162</v>
      </c>
      <c r="J2095" s="301">
        <v>0</v>
      </c>
      <c r="K2095" s="231" t="b">
        <f t="shared" si="43"/>
        <v>0</v>
      </c>
      <c r="L2095" s="299"/>
      <c r="M2095" s="299" t="s">
        <v>3437</v>
      </c>
      <c r="N2095" s="61"/>
      <c r="O2095" s="231">
        <v>2025</v>
      </c>
      <c r="P2095" s="303">
        <v>45886</v>
      </c>
      <c r="Q2095" s="90" t="s">
        <v>4229</v>
      </c>
      <c r="S2095" s="241" t="s">
        <v>453</v>
      </c>
    </row>
    <row r="2096" spans="1:24" ht="15" customHeight="1">
      <c r="A2096" s="61">
        <v>2095</v>
      </c>
      <c r="B2096" s="327" t="s">
        <v>52</v>
      </c>
      <c r="C2096" s="327" t="s">
        <v>10</v>
      </c>
      <c r="D2096" s="292" t="s">
        <v>3956</v>
      </c>
      <c r="H2096" s="292" t="s">
        <v>4183</v>
      </c>
      <c r="I2096" s="301">
        <v>238</v>
      </c>
      <c r="J2096" s="301">
        <v>0</v>
      </c>
      <c r="K2096" s="231" t="b">
        <f t="shared" si="43"/>
        <v>0</v>
      </c>
      <c r="L2096" s="299"/>
      <c r="M2096" s="299" t="s">
        <v>3437</v>
      </c>
      <c r="N2096" s="61"/>
      <c r="O2096" s="231">
        <v>2025</v>
      </c>
      <c r="P2096" s="303">
        <v>45886</v>
      </c>
      <c r="Q2096" s="90" t="s">
        <v>4229</v>
      </c>
      <c r="S2096" s="241" t="s">
        <v>453</v>
      </c>
    </row>
    <row r="2097" spans="1:27" ht="15" customHeight="1">
      <c r="A2097" s="61">
        <v>2096</v>
      </c>
      <c r="B2097" s="327" t="s">
        <v>52</v>
      </c>
      <c r="C2097" s="327" t="s">
        <v>10</v>
      </c>
      <c r="D2097" s="292" t="s">
        <v>3957</v>
      </c>
      <c r="H2097" s="292" t="s">
        <v>4183</v>
      </c>
      <c r="I2097" s="301">
        <v>252</v>
      </c>
      <c r="J2097" s="301">
        <v>0</v>
      </c>
      <c r="K2097" s="231" t="b">
        <f t="shared" si="43"/>
        <v>0</v>
      </c>
      <c r="L2097" s="299"/>
      <c r="M2097" s="299" t="s">
        <v>3437</v>
      </c>
      <c r="N2097" s="61"/>
      <c r="O2097" s="231">
        <v>2025</v>
      </c>
      <c r="P2097" s="303">
        <v>45886</v>
      </c>
      <c r="Q2097" s="90" t="s">
        <v>4229</v>
      </c>
      <c r="S2097" s="241" t="s">
        <v>453</v>
      </c>
    </row>
    <row r="2098" spans="1:27" ht="15" customHeight="1">
      <c r="A2098" s="61">
        <v>2097</v>
      </c>
      <c r="B2098" s="327" t="s">
        <v>52</v>
      </c>
      <c r="C2098" s="327" t="s">
        <v>10</v>
      </c>
      <c r="D2098" s="292" t="s">
        <v>3958</v>
      </c>
      <c r="H2098" s="292" t="s">
        <v>4165</v>
      </c>
      <c r="I2098" s="301">
        <v>0</v>
      </c>
      <c r="J2098" s="301">
        <v>155</v>
      </c>
      <c r="K2098" s="231" t="b">
        <f t="shared" si="43"/>
        <v>0</v>
      </c>
      <c r="L2098" s="299"/>
      <c r="M2098" s="299" t="s">
        <v>3437</v>
      </c>
      <c r="N2098" s="61"/>
      <c r="O2098" s="231">
        <v>2025</v>
      </c>
      <c r="P2098" s="303">
        <v>45884</v>
      </c>
      <c r="Q2098" s="90" t="s">
        <v>4229</v>
      </c>
      <c r="S2098" s="241" t="s">
        <v>453</v>
      </c>
    </row>
    <row r="2099" spans="1:27" ht="15" customHeight="1">
      <c r="A2099" s="61">
        <v>2098</v>
      </c>
      <c r="B2099" s="327" t="s">
        <v>52</v>
      </c>
      <c r="C2099" s="327" t="s">
        <v>10</v>
      </c>
      <c r="D2099" s="292" t="s">
        <v>3959</v>
      </c>
      <c r="H2099" s="292" t="s">
        <v>3330</v>
      </c>
      <c r="I2099" s="301">
        <v>233</v>
      </c>
      <c r="J2099" s="301">
        <v>347</v>
      </c>
      <c r="K2099" s="231" t="b">
        <f t="shared" si="43"/>
        <v>0</v>
      </c>
      <c r="L2099" s="299"/>
      <c r="M2099" s="299" t="s">
        <v>3437</v>
      </c>
      <c r="N2099" s="61"/>
      <c r="O2099" s="231">
        <v>2025</v>
      </c>
      <c r="P2099" s="303">
        <v>45893</v>
      </c>
      <c r="Q2099" s="90" t="s">
        <v>4229</v>
      </c>
      <c r="S2099" s="241" t="s">
        <v>453</v>
      </c>
    </row>
    <row r="2100" spans="1:27" ht="15" customHeight="1">
      <c r="A2100" s="61">
        <v>2099</v>
      </c>
      <c r="B2100" s="327" t="s">
        <v>52</v>
      </c>
      <c r="C2100" s="327" t="s">
        <v>10</v>
      </c>
      <c r="D2100" s="292" t="s">
        <v>3960</v>
      </c>
      <c r="H2100" s="292" t="s">
        <v>4156</v>
      </c>
      <c r="I2100" s="301">
        <v>0</v>
      </c>
      <c r="J2100" s="301">
        <v>349</v>
      </c>
      <c r="K2100" s="231" t="b">
        <f t="shared" si="43"/>
        <v>0</v>
      </c>
      <c r="L2100" s="299"/>
      <c r="M2100" s="299" t="s">
        <v>3276</v>
      </c>
      <c r="N2100" s="61"/>
      <c r="O2100" s="231">
        <v>2025</v>
      </c>
      <c r="P2100" s="303">
        <v>45887</v>
      </c>
      <c r="Q2100" s="90" t="s">
        <v>4229</v>
      </c>
      <c r="S2100" s="241" t="s">
        <v>453</v>
      </c>
    </row>
    <row r="2101" spans="1:27" ht="15" customHeight="1">
      <c r="A2101" s="61">
        <v>2100</v>
      </c>
      <c r="B2101" s="327" t="s">
        <v>52</v>
      </c>
      <c r="C2101" s="327" t="s">
        <v>10</v>
      </c>
      <c r="D2101" s="292" t="s">
        <v>3961</v>
      </c>
      <c r="H2101" s="292" t="s">
        <v>3750</v>
      </c>
      <c r="I2101" s="301">
        <v>24</v>
      </c>
      <c r="J2101" s="301">
        <v>200</v>
      </c>
      <c r="K2101" s="231" t="b">
        <f t="shared" si="43"/>
        <v>0</v>
      </c>
      <c r="L2101" s="299"/>
      <c r="M2101" s="299" t="s">
        <v>3437</v>
      </c>
      <c r="N2101" s="61"/>
      <c r="O2101" s="231">
        <v>2025</v>
      </c>
      <c r="P2101" s="303">
        <v>45887</v>
      </c>
      <c r="Q2101" s="90" t="s">
        <v>4229</v>
      </c>
      <c r="S2101" s="241" t="s">
        <v>453</v>
      </c>
    </row>
    <row r="2102" spans="1:27" ht="15" customHeight="1">
      <c r="A2102" s="61">
        <v>2101</v>
      </c>
      <c r="B2102" s="327" t="s">
        <v>49</v>
      </c>
      <c r="C2102" s="327" t="s">
        <v>10</v>
      </c>
      <c r="D2102" s="292" t="s">
        <v>3962</v>
      </c>
      <c r="H2102" s="292" t="s">
        <v>4184</v>
      </c>
      <c r="I2102" s="301">
        <v>100</v>
      </c>
      <c r="J2102" s="302">
        <v>700</v>
      </c>
      <c r="K2102" s="231">
        <f t="shared" si="43"/>
        <v>10</v>
      </c>
      <c r="L2102" s="299"/>
      <c r="M2102" s="299" t="s">
        <v>15</v>
      </c>
      <c r="N2102" s="61"/>
      <c r="O2102" s="231">
        <v>2025</v>
      </c>
      <c r="P2102" s="303">
        <v>45889.635416666664</v>
      </c>
      <c r="Q2102" s="90" t="s">
        <v>4229</v>
      </c>
      <c r="S2102" s="241" t="s">
        <v>453</v>
      </c>
    </row>
    <row r="2103" spans="1:27" ht="15" customHeight="1">
      <c r="A2103" s="61">
        <v>2102</v>
      </c>
      <c r="B2103" s="327" t="s">
        <v>52</v>
      </c>
      <c r="C2103" s="327" t="s">
        <v>10</v>
      </c>
      <c r="D2103" s="292" t="s">
        <v>3963</v>
      </c>
      <c r="H2103" s="292" t="s">
        <v>3669</v>
      </c>
      <c r="I2103" s="301">
        <v>0</v>
      </c>
      <c r="J2103" s="301">
        <v>0</v>
      </c>
      <c r="K2103" s="231" t="b">
        <f t="shared" si="43"/>
        <v>0</v>
      </c>
      <c r="L2103" s="299"/>
      <c r="M2103" s="299" t="s">
        <v>3437</v>
      </c>
      <c r="N2103" s="61"/>
      <c r="O2103" s="231">
        <v>2025</v>
      </c>
      <c r="P2103" s="303">
        <v>45888</v>
      </c>
      <c r="Q2103" s="90" t="s">
        <v>4229</v>
      </c>
      <c r="S2103" s="241" t="s">
        <v>453</v>
      </c>
    </row>
    <row r="2104" spans="1:27" ht="15" customHeight="1">
      <c r="A2104" s="61">
        <v>2103</v>
      </c>
      <c r="B2104" s="327" t="s">
        <v>52</v>
      </c>
      <c r="C2104" s="327" t="s">
        <v>10</v>
      </c>
      <c r="D2104" s="292" t="s">
        <v>3964</v>
      </c>
      <c r="H2104" s="292" t="s">
        <v>3732</v>
      </c>
      <c r="I2104" s="301">
        <v>477</v>
      </c>
      <c r="J2104" s="301">
        <v>0</v>
      </c>
      <c r="K2104" s="231" t="b">
        <f t="shared" si="43"/>
        <v>0</v>
      </c>
      <c r="L2104" s="299"/>
      <c r="M2104" s="299" t="s">
        <v>3276</v>
      </c>
      <c r="N2104" s="61"/>
      <c r="O2104" s="231">
        <v>2025</v>
      </c>
      <c r="P2104" s="303">
        <v>45889</v>
      </c>
      <c r="Q2104" s="90" t="s">
        <v>4229</v>
      </c>
      <c r="S2104" s="241" t="s">
        <v>453</v>
      </c>
    </row>
    <row r="2105" spans="1:27" ht="15" customHeight="1">
      <c r="A2105" s="61">
        <v>2104</v>
      </c>
      <c r="B2105" s="327" t="s">
        <v>52</v>
      </c>
      <c r="C2105" s="327" t="s">
        <v>10</v>
      </c>
      <c r="D2105" s="292" t="s">
        <v>3965</v>
      </c>
      <c r="H2105" s="292" t="s">
        <v>4134</v>
      </c>
      <c r="I2105" s="301">
        <v>370</v>
      </c>
      <c r="J2105" s="301">
        <v>0</v>
      </c>
      <c r="K2105" s="231" t="b">
        <f t="shared" si="43"/>
        <v>0</v>
      </c>
      <c r="L2105" s="299"/>
      <c r="M2105" s="299" t="s">
        <v>3276</v>
      </c>
      <c r="N2105" s="61"/>
      <c r="O2105" s="231">
        <v>2025</v>
      </c>
      <c r="P2105" s="303">
        <v>45889</v>
      </c>
      <c r="Q2105" s="90" t="s">
        <v>4229</v>
      </c>
      <c r="S2105" s="241" t="s">
        <v>453</v>
      </c>
    </row>
    <row r="2106" spans="1:27" ht="15" customHeight="1">
      <c r="A2106" s="61">
        <v>2105</v>
      </c>
      <c r="B2106" s="327" t="s">
        <v>52</v>
      </c>
      <c r="C2106" s="327" t="s">
        <v>10</v>
      </c>
      <c r="D2106" s="292" t="s">
        <v>3966</v>
      </c>
      <c r="H2106" s="292" t="s">
        <v>3485</v>
      </c>
      <c r="I2106" s="301">
        <v>173</v>
      </c>
      <c r="J2106" s="301">
        <v>756</v>
      </c>
      <c r="K2106" s="231" t="b">
        <f t="shared" si="43"/>
        <v>0</v>
      </c>
      <c r="L2106" s="299"/>
      <c r="M2106" s="299" t="s">
        <v>3437</v>
      </c>
      <c r="N2106" s="61"/>
      <c r="O2106" s="231">
        <v>2025</v>
      </c>
      <c r="P2106" s="303">
        <v>45889</v>
      </c>
      <c r="Q2106" s="90" t="s">
        <v>4229</v>
      </c>
      <c r="S2106" s="241" t="s">
        <v>453</v>
      </c>
    </row>
    <row r="2107" spans="1:27" ht="15" customHeight="1">
      <c r="A2107" s="61">
        <v>2106</v>
      </c>
      <c r="B2107" s="327" t="s">
        <v>52</v>
      </c>
      <c r="C2107" s="327" t="s">
        <v>10</v>
      </c>
      <c r="D2107" s="292" t="s">
        <v>3967</v>
      </c>
      <c r="H2107" s="292" t="s">
        <v>4156</v>
      </c>
      <c r="I2107" s="301">
        <v>40</v>
      </c>
      <c r="J2107" s="301">
        <v>0</v>
      </c>
      <c r="K2107" s="231" t="b">
        <f t="shared" si="43"/>
        <v>0</v>
      </c>
      <c r="L2107" s="299"/>
      <c r="M2107" s="299" t="s">
        <v>3276</v>
      </c>
      <c r="N2107" s="61"/>
      <c r="O2107" s="231">
        <v>2025</v>
      </c>
      <c r="P2107" s="303">
        <v>45891</v>
      </c>
      <c r="Q2107" s="90" t="s">
        <v>4228</v>
      </c>
      <c r="S2107" s="241" t="s">
        <v>453</v>
      </c>
    </row>
    <row r="2108" spans="1:27" ht="15" customHeight="1">
      <c r="A2108" s="61">
        <v>2107</v>
      </c>
      <c r="B2108" s="327" t="s">
        <v>52</v>
      </c>
      <c r="C2108" s="327" t="s">
        <v>10</v>
      </c>
      <c r="D2108" s="292" t="s">
        <v>3968</v>
      </c>
      <c r="H2108" s="292" t="s">
        <v>4185</v>
      </c>
      <c r="I2108" s="301">
        <v>114</v>
      </c>
      <c r="J2108" s="301">
        <v>0</v>
      </c>
      <c r="K2108" s="231" t="b">
        <f t="shared" si="43"/>
        <v>0</v>
      </c>
      <c r="L2108" s="299"/>
      <c r="M2108" s="299" t="s">
        <v>3437</v>
      </c>
      <c r="N2108" s="61"/>
      <c r="O2108" s="231">
        <v>2025</v>
      </c>
      <c r="P2108" s="303">
        <v>45891</v>
      </c>
      <c r="Q2108" s="90" t="s">
        <v>4229</v>
      </c>
      <c r="S2108" s="241" t="s">
        <v>453</v>
      </c>
    </row>
    <row r="2109" spans="1:27" ht="15" customHeight="1">
      <c r="A2109" s="61">
        <v>2108</v>
      </c>
      <c r="B2109" s="327" t="s">
        <v>52</v>
      </c>
      <c r="C2109" s="327" t="s">
        <v>10</v>
      </c>
      <c r="D2109" s="292" t="s">
        <v>3969</v>
      </c>
      <c r="H2109" s="292" t="s">
        <v>3330</v>
      </c>
      <c r="I2109" s="301">
        <v>17</v>
      </c>
      <c r="J2109" s="301">
        <v>0</v>
      </c>
      <c r="K2109" s="231" t="b">
        <f t="shared" si="43"/>
        <v>0</v>
      </c>
      <c r="L2109" s="299"/>
      <c r="M2109" s="299" t="s">
        <v>3437</v>
      </c>
      <c r="N2109" s="61"/>
      <c r="O2109" s="231">
        <v>2025</v>
      </c>
      <c r="P2109" s="303">
        <v>45893</v>
      </c>
      <c r="Q2109" s="90" t="s">
        <v>4229</v>
      </c>
      <c r="S2109" s="241" t="s">
        <v>453</v>
      </c>
    </row>
    <row r="2110" spans="1:27" ht="15" customHeight="1">
      <c r="A2110" s="61">
        <v>2109</v>
      </c>
      <c r="B2110" s="327" t="s">
        <v>52</v>
      </c>
      <c r="C2110" s="327" t="s">
        <v>10</v>
      </c>
      <c r="D2110" s="292" t="s">
        <v>3970</v>
      </c>
      <c r="H2110" s="292" t="s">
        <v>4183</v>
      </c>
      <c r="I2110" s="301">
        <v>0</v>
      </c>
      <c r="J2110" s="301">
        <v>0</v>
      </c>
      <c r="K2110" s="231" t="b">
        <f t="shared" si="43"/>
        <v>0</v>
      </c>
      <c r="L2110" s="299"/>
      <c r="M2110" s="299" t="s">
        <v>3437</v>
      </c>
      <c r="N2110" s="61"/>
      <c r="O2110" s="231">
        <v>2025</v>
      </c>
      <c r="P2110" s="303">
        <v>45894</v>
      </c>
      <c r="Q2110" s="90" t="s">
        <v>4229</v>
      </c>
      <c r="S2110" s="241" t="s">
        <v>453</v>
      </c>
      <c r="U2110" s="90">
        <v>4</v>
      </c>
      <c r="V2110" s="90">
        <v>1</v>
      </c>
      <c r="W2110" s="90">
        <v>3</v>
      </c>
      <c r="X2110" s="90" t="s">
        <v>4527</v>
      </c>
      <c r="Y2110" s="90" t="s">
        <v>4528</v>
      </c>
      <c r="Z2110" s="90" t="s">
        <v>4529</v>
      </c>
      <c r="AA2110" s="90" t="s">
        <v>4530</v>
      </c>
    </row>
    <row r="2111" spans="1:27" ht="15" customHeight="1">
      <c r="A2111" s="61">
        <v>2110</v>
      </c>
      <c r="B2111" s="327" t="s">
        <v>53</v>
      </c>
      <c r="C2111" s="327" t="s">
        <v>10</v>
      </c>
      <c r="D2111" s="292" t="s">
        <v>3971</v>
      </c>
      <c r="H2111" s="292" t="s">
        <v>4186</v>
      </c>
      <c r="I2111" s="301">
        <v>0</v>
      </c>
      <c r="J2111" s="301">
        <v>368</v>
      </c>
      <c r="K2111" s="231">
        <f t="shared" si="43"/>
        <v>10</v>
      </c>
      <c r="L2111" s="299"/>
      <c r="M2111" s="299" t="s">
        <v>15</v>
      </c>
      <c r="N2111" s="61"/>
      <c r="O2111" s="231">
        <v>2025</v>
      </c>
      <c r="P2111" s="303">
        <v>45894</v>
      </c>
      <c r="Q2111" s="90" t="s">
        <v>4229</v>
      </c>
      <c r="S2111" s="241" t="s">
        <v>453</v>
      </c>
    </row>
    <row r="2112" spans="1:27" ht="15" customHeight="1">
      <c r="A2112" s="61">
        <v>2111</v>
      </c>
      <c r="B2112" s="327" t="s">
        <v>49</v>
      </c>
      <c r="C2112" s="327" t="s">
        <v>10</v>
      </c>
      <c r="D2112" s="292" t="s">
        <v>3972</v>
      </c>
      <c r="H2112" s="292" t="s">
        <v>3496</v>
      </c>
      <c r="I2112" s="301">
        <v>0</v>
      </c>
      <c r="J2112" s="301">
        <v>0</v>
      </c>
      <c r="K2112" s="231" t="b">
        <f t="shared" si="43"/>
        <v>0</v>
      </c>
      <c r="L2112" s="299"/>
      <c r="M2112" s="299" t="s">
        <v>3437</v>
      </c>
      <c r="N2112" s="61"/>
      <c r="O2112" s="231">
        <v>2025</v>
      </c>
      <c r="P2112" s="303">
        <v>45895</v>
      </c>
      <c r="Q2112" s="90" t="s">
        <v>4230</v>
      </c>
      <c r="S2112" s="241" t="s">
        <v>453</v>
      </c>
    </row>
    <row r="2113" spans="1:19" ht="15" customHeight="1">
      <c r="A2113" s="61">
        <v>2112</v>
      </c>
      <c r="B2113" s="327" t="s">
        <v>52</v>
      </c>
      <c r="C2113" s="327" t="s">
        <v>10</v>
      </c>
      <c r="D2113" s="292" t="s">
        <v>3973</v>
      </c>
      <c r="H2113" s="292" t="s">
        <v>4187</v>
      </c>
      <c r="I2113" s="301">
        <v>0</v>
      </c>
      <c r="J2113" s="301">
        <v>1500</v>
      </c>
      <c r="K2113" s="231">
        <f t="shared" si="43"/>
        <v>10</v>
      </c>
      <c r="L2113" s="299"/>
      <c r="M2113" s="299" t="s">
        <v>15</v>
      </c>
      <c r="N2113" s="61"/>
      <c r="O2113" s="231">
        <v>2025</v>
      </c>
      <c r="P2113" s="303">
        <v>45896</v>
      </c>
      <c r="Q2113" s="90" t="s">
        <v>4228</v>
      </c>
      <c r="S2113" s="241" t="s">
        <v>453</v>
      </c>
    </row>
    <row r="2114" spans="1:19" ht="15" customHeight="1">
      <c r="A2114" s="61">
        <v>2113</v>
      </c>
      <c r="B2114" s="327" t="s">
        <v>53</v>
      </c>
      <c r="C2114" s="327" t="s">
        <v>10</v>
      </c>
      <c r="D2114" s="292" t="s">
        <v>3974</v>
      </c>
      <c r="H2114" s="292" t="s">
        <v>3666</v>
      </c>
      <c r="I2114" s="301">
        <v>150</v>
      </c>
      <c r="J2114" s="301">
        <v>0</v>
      </c>
      <c r="K2114" s="231">
        <f t="shared" si="43"/>
        <v>10</v>
      </c>
      <c r="L2114" s="299"/>
      <c r="M2114" s="299" t="s">
        <v>15</v>
      </c>
      <c r="N2114" s="61"/>
      <c r="O2114" s="231">
        <v>2025</v>
      </c>
      <c r="P2114" s="303">
        <v>45896</v>
      </c>
      <c r="Q2114" s="90" t="s">
        <v>4229</v>
      </c>
      <c r="S2114" s="241" t="s">
        <v>453</v>
      </c>
    </row>
    <row r="2115" spans="1:19" ht="15" customHeight="1">
      <c r="A2115" s="61">
        <v>2114</v>
      </c>
      <c r="B2115" s="327" t="s">
        <v>52</v>
      </c>
      <c r="C2115" s="327" t="s">
        <v>10</v>
      </c>
      <c r="D2115" s="292" t="s">
        <v>3975</v>
      </c>
      <c r="H2115" s="292" t="s">
        <v>4151</v>
      </c>
      <c r="I2115" s="301">
        <v>0</v>
      </c>
      <c r="J2115" s="301">
        <v>253</v>
      </c>
      <c r="K2115" s="231" t="b">
        <f t="shared" si="43"/>
        <v>0</v>
      </c>
      <c r="L2115" s="299"/>
      <c r="M2115" s="299" t="s">
        <v>3437</v>
      </c>
      <c r="N2115" s="61"/>
      <c r="O2115" s="231">
        <v>2025</v>
      </c>
      <c r="P2115" s="303">
        <v>45897</v>
      </c>
      <c r="Q2115" s="90" t="s">
        <v>4230</v>
      </c>
      <c r="S2115" s="241" t="s">
        <v>453</v>
      </c>
    </row>
    <row r="2116" spans="1:19" ht="15" customHeight="1">
      <c r="A2116" s="61">
        <v>2115</v>
      </c>
      <c r="B2116" s="327" t="s">
        <v>52</v>
      </c>
      <c r="C2116" s="327" t="s">
        <v>10</v>
      </c>
      <c r="D2116" s="292" t="s">
        <v>3976</v>
      </c>
      <c r="H2116" s="292" t="s">
        <v>4145</v>
      </c>
      <c r="I2116" s="301">
        <v>40</v>
      </c>
      <c r="J2116" s="301">
        <v>0</v>
      </c>
      <c r="K2116" s="231" t="b">
        <f t="shared" ref="K2116:K2179" si="44">IF(M2116="ONT",20,IF(M2116="N/A","N/A",IF(M2116="MIKROTIK",IF(J2116&lt;3000,10,IF(3000&lt;J2116&gt;10000,20,IF(10000&lt;J2116&gt;20000,40,IF(20000&lt;J2116&gt;40000,60,IF(J2116&gt;40000,80,IF(J2116&lt;300,3,)))))))))</f>
        <v>0</v>
      </c>
      <c r="L2116" s="299"/>
      <c r="M2116" s="299" t="s">
        <v>3437</v>
      </c>
      <c r="N2116" s="61"/>
      <c r="O2116" s="231">
        <v>2025</v>
      </c>
      <c r="P2116" s="303">
        <v>45901</v>
      </c>
      <c r="Q2116" s="90" t="s">
        <v>4230</v>
      </c>
      <c r="S2116" s="241" t="s">
        <v>453</v>
      </c>
    </row>
    <row r="2117" spans="1:19" ht="15" customHeight="1">
      <c r="A2117" s="61">
        <v>2116</v>
      </c>
      <c r="B2117" s="327" t="s">
        <v>49</v>
      </c>
      <c r="C2117" s="327" t="s">
        <v>10</v>
      </c>
      <c r="D2117" s="292" t="s">
        <v>3979</v>
      </c>
      <c r="H2117" s="292" t="s">
        <v>4189</v>
      </c>
      <c r="I2117" s="301">
        <v>200</v>
      </c>
      <c r="J2117" s="301">
        <v>964</v>
      </c>
      <c r="K2117" s="231" t="b">
        <f t="shared" si="44"/>
        <v>0</v>
      </c>
      <c r="L2117" s="299"/>
      <c r="M2117" s="299" t="s">
        <v>3276</v>
      </c>
      <c r="N2117" s="61"/>
      <c r="O2117" s="231">
        <v>2025</v>
      </c>
      <c r="P2117" s="303">
        <v>45902.25</v>
      </c>
      <c r="Q2117" s="90" t="s">
        <v>4230</v>
      </c>
      <c r="S2117" s="241" t="s">
        <v>453</v>
      </c>
    </row>
    <row r="2118" spans="1:19" ht="15" customHeight="1">
      <c r="A2118" s="61">
        <v>2117</v>
      </c>
      <c r="B2118" s="327" t="s">
        <v>52</v>
      </c>
      <c r="C2118" s="327" t="s">
        <v>10</v>
      </c>
      <c r="D2118" s="292" t="s">
        <v>3980</v>
      </c>
      <c r="H2118" s="292" t="s">
        <v>3641</v>
      </c>
      <c r="I2118" s="301">
        <v>235</v>
      </c>
      <c r="J2118" s="301">
        <v>0</v>
      </c>
      <c r="K2118" s="231" t="b">
        <f t="shared" si="44"/>
        <v>0</v>
      </c>
      <c r="L2118" s="299"/>
      <c r="M2118" s="299" t="s">
        <v>3437</v>
      </c>
      <c r="N2118" s="61"/>
      <c r="O2118" s="231">
        <v>2025</v>
      </c>
      <c r="P2118" s="303">
        <v>45903</v>
      </c>
      <c r="Q2118" s="90" t="s">
        <v>4230</v>
      </c>
      <c r="S2118" s="241" t="s">
        <v>453</v>
      </c>
    </row>
    <row r="2119" spans="1:19" ht="15" customHeight="1">
      <c r="A2119" s="61">
        <v>2118</v>
      </c>
      <c r="B2119" s="327" t="s">
        <v>52</v>
      </c>
      <c r="C2119" s="327" t="s">
        <v>10</v>
      </c>
      <c r="D2119" s="292" t="s">
        <v>3981</v>
      </c>
      <c r="H2119" s="292" t="s">
        <v>4152</v>
      </c>
      <c r="I2119" s="301">
        <v>74</v>
      </c>
      <c r="J2119" s="301">
        <v>0</v>
      </c>
      <c r="K2119" s="231" t="b">
        <f t="shared" si="44"/>
        <v>0</v>
      </c>
      <c r="L2119" s="299"/>
      <c r="M2119" s="299" t="s">
        <v>3437</v>
      </c>
      <c r="N2119" s="61"/>
      <c r="O2119" s="231">
        <v>2025</v>
      </c>
      <c r="P2119" s="303">
        <v>45903</v>
      </c>
      <c r="Q2119" s="90" t="s">
        <v>4230</v>
      </c>
      <c r="S2119" s="241" t="s">
        <v>453</v>
      </c>
    </row>
    <row r="2120" spans="1:19" ht="15" customHeight="1">
      <c r="A2120" s="61">
        <v>2119</v>
      </c>
      <c r="B2120" s="327" t="s">
        <v>52</v>
      </c>
      <c r="C2120" s="327" t="s">
        <v>10</v>
      </c>
      <c r="D2120" s="292" t="s">
        <v>3982</v>
      </c>
      <c r="H2120" s="292" t="s">
        <v>4190</v>
      </c>
      <c r="I2120" s="301">
        <v>161</v>
      </c>
      <c r="J2120" s="301">
        <v>600</v>
      </c>
      <c r="K2120" s="231" t="b">
        <f t="shared" si="44"/>
        <v>0</v>
      </c>
      <c r="L2120" s="299"/>
      <c r="M2120" s="299" t="s">
        <v>3276</v>
      </c>
      <c r="N2120" s="61"/>
      <c r="O2120" s="231">
        <v>2025</v>
      </c>
      <c r="P2120" s="303">
        <v>45904</v>
      </c>
      <c r="Q2120" s="90" t="s">
        <v>4230</v>
      </c>
      <c r="S2120" s="241" t="s">
        <v>453</v>
      </c>
    </row>
    <row r="2121" spans="1:19" ht="15" customHeight="1">
      <c r="A2121" s="61">
        <v>2120</v>
      </c>
      <c r="B2121" s="327" t="s">
        <v>52</v>
      </c>
      <c r="C2121" s="327" t="s">
        <v>10</v>
      </c>
      <c r="D2121" s="292" t="s">
        <v>3983</v>
      </c>
      <c r="H2121" s="292" t="s">
        <v>3641</v>
      </c>
      <c r="I2121" s="301">
        <v>150</v>
      </c>
      <c r="J2121" s="301">
        <v>348</v>
      </c>
      <c r="K2121" s="231" t="b">
        <f t="shared" si="44"/>
        <v>0</v>
      </c>
      <c r="L2121" s="299"/>
      <c r="M2121" s="299" t="s">
        <v>3437</v>
      </c>
      <c r="N2121" s="61"/>
      <c r="O2121" s="231">
        <v>2025</v>
      </c>
      <c r="P2121" s="303">
        <v>45904</v>
      </c>
      <c r="Q2121" s="90" t="s">
        <v>4230</v>
      </c>
      <c r="S2121" s="241" t="s">
        <v>453</v>
      </c>
    </row>
    <row r="2122" spans="1:19" ht="15" customHeight="1">
      <c r="A2122" s="61">
        <v>2121</v>
      </c>
      <c r="B2122" s="327" t="s">
        <v>52</v>
      </c>
      <c r="C2122" s="327" t="s">
        <v>10</v>
      </c>
      <c r="D2122" s="292" t="s">
        <v>3984</v>
      </c>
      <c r="H2122" s="292" t="s">
        <v>4152</v>
      </c>
      <c r="I2122" s="301">
        <v>478</v>
      </c>
      <c r="J2122" s="301">
        <v>0</v>
      </c>
      <c r="K2122" s="231" t="b">
        <f t="shared" si="44"/>
        <v>0</v>
      </c>
      <c r="L2122" s="299"/>
      <c r="M2122" s="299" t="s">
        <v>3437</v>
      </c>
      <c r="N2122" s="61"/>
      <c r="O2122" s="231">
        <v>2025</v>
      </c>
      <c r="P2122" s="303">
        <v>45904</v>
      </c>
      <c r="Q2122" s="90" t="s">
        <v>4230</v>
      </c>
      <c r="S2122" s="241" t="s">
        <v>453</v>
      </c>
    </row>
    <row r="2123" spans="1:19" ht="15" customHeight="1">
      <c r="A2123" s="61">
        <v>2122</v>
      </c>
      <c r="B2123" s="327" t="s">
        <v>52</v>
      </c>
      <c r="C2123" s="327" t="s">
        <v>10</v>
      </c>
      <c r="D2123" s="292" t="s">
        <v>3985</v>
      </c>
      <c r="H2123" s="292" t="s">
        <v>4153</v>
      </c>
      <c r="I2123" s="301">
        <v>197</v>
      </c>
      <c r="J2123" s="301">
        <v>0</v>
      </c>
      <c r="K2123" s="231" t="b">
        <f t="shared" si="44"/>
        <v>0</v>
      </c>
      <c r="L2123" s="299"/>
      <c r="M2123" s="299" t="s">
        <v>3437</v>
      </c>
      <c r="N2123" s="61"/>
      <c r="O2123" s="231">
        <v>2025</v>
      </c>
      <c r="P2123" s="303">
        <v>45905</v>
      </c>
      <c r="Q2123" s="90" t="s">
        <v>4230</v>
      </c>
      <c r="S2123" s="241" t="s">
        <v>453</v>
      </c>
    </row>
    <row r="2124" spans="1:19" ht="15" customHeight="1">
      <c r="A2124" s="61">
        <v>2123</v>
      </c>
      <c r="B2124" s="327" t="s">
        <v>52</v>
      </c>
      <c r="C2124" s="327" t="s">
        <v>10</v>
      </c>
      <c r="D2124" s="292" t="s">
        <v>3986</v>
      </c>
      <c r="H2124" s="292" t="s">
        <v>4151</v>
      </c>
      <c r="I2124" s="301">
        <v>51</v>
      </c>
      <c r="J2124" s="301">
        <v>0</v>
      </c>
      <c r="K2124" s="231" t="b">
        <f t="shared" si="44"/>
        <v>0</v>
      </c>
      <c r="L2124" s="299"/>
      <c r="M2124" s="299" t="s">
        <v>3437</v>
      </c>
      <c r="N2124" s="61"/>
      <c r="O2124" s="231">
        <v>2025</v>
      </c>
      <c r="P2124" s="303">
        <v>45908</v>
      </c>
      <c r="Q2124" s="90" t="s">
        <v>4230</v>
      </c>
      <c r="S2124" s="241" t="s">
        <v>453</v>
      </c>
    </row>
    <row r="2125" spans="1:19" ht="15" customHeight="1">
      <c r="A2125" s="61">
        <v>2124</v>
      </c>
      <c r="B2125" s="327" t="s">
        <v>52</v>
      </c>
      <c r="C2125" s="327" t="s">
        <v>10</v>
      </c>
      <c r="D2125" s="292" t="s">
        <v>3987</v>
      </c>
      <c r="H2125" s="292" t="s">
        <v>4137</v>
      </c>
      <c r="I2125" s="301">
        <v>348</v>
      </c>
      <c r="J2125" s="301">
        <v>0</v>
      </c>
      <c r="K2125" s="231" t="b">
        <f t="shared" si="44"/>
        <v>0</v>
      </c>
      <c r="L2125" s="299"/>
      <c r="M2125" s="299" t="s">
        <v>3276</v>
      </c>
      <c r="N2125" s="61"/>
      <c r="O2125" s="231">
        <v>2025</v>
      </c>
      <c r="P2125" s="303">
        <v>45908</v>
      </c>
      <c r="Q2125" s="90" t="s">
        <v>4230</v>
      </c>
      <c r="S2125" s="241" t="s">
        <v>453</v>
      </c>
    </row>
    <row r="2126" spans="1:19" ht="15" customHeight="1">
      <c r="A2126" s="61">
        <v>2125</v>
      </c>
      <c r="B2126" s="327" t="s">
        <v>52</v>
      </c>
      <c r="C2126" s="327" t="s">
        <v>10</v>
      </c>
      <c r="D2126" s="292" t="s">
        <v>3989</v>
      </c>
      <c r="H2126" s="292" t="s">
        <v>4192</v>
      </c>
      <c r="I2126" s="301">
        <v>0</v>
      </c>
      <c r="J2126" s="301">
        <v>331</v>
      </c>
      <c r="K2126" s="231" t="b">
        <f t="shared" si="44"/>
        <v>0</v>
      </c>
      <c r="L2126" s="299"/>
      <c r="M2126" s="299" t="s">
        <v>3276</v>
      </c>
      <c r="N2126" s="61"/>
      <c r="O2126" s="231">
        <v>2025</v>
      </c>
      <c r="P2126" s="303">
        <v>45911</v>
      </c>
      <c r="Q2126" s="90" t="s">
        <v>4230</v>
      </c>
      <c r="S2126" s="241" t="s">
        <v>453</v>
      </c>
    </row>
    <row r="2127" spans="1:19" ht="15" customHeight="1">
      <c r="A2127" s="61">
        <v>2126</v>
      </c>
      <c r="B2127" s="327" t="s">
        <v>52</v>
      </c>
      <c r="C2127" s="327" t="s">
        <v>10</v>
      </c>
      <c r="D2127" s="292" t="s">
        <v>3990</v>
      </c>
      <c r="H2127" s="292" t="s">
        <v>3363</v>
      </c>
      <c r="I2127" s="301">
        <v>250</v>
      </c>
      <c r="J2127" s="301">
        <v>2500</v>
      </c>
      <c r="K2127" s="231" t="b">
        <f t="shared" si="44"/>
        <v>0</v>
      </c>
      <c r="L2127" s="299"/>
      <c r="M2127" s="299" t="s">
        <v>3276</v>
      </c>
      <c r="N2127" s="61"/>
      <c r="O2127" s="231">
        <v>2025</v>
      </c>
      <c r="P2127" s="303">
        <v>45911</v>
      </c>
      <c r="Q2127" s="90" t="s">
        <v>4230</v>
      </c>
      <c r="S2127" s="241" t="s">
        <v>453</v>
      </c>
    </row>
    <row r="2128" spans="1:19" ht="15" customHeight="1">
      <c r="A2128" s="61">
        <v>2127</v>
      </c>
      <c r="B2128" s="327" t="s">
        <v>52</v>
      </c>
      <c r="C2128" s="327" t="s">
        <v>10</v>
      </c>
      <c r="D2128" s="292" t="s">
        <v>3991</v>
      </c>
      <c r="H2128" s="292" t="s">
        <v>4193</v>
      </c>
      <c r="I2128" s="301">
        <v>550</v>
      </c>
      <c r="J2128" s="301">
        <v>0</v>
      </c>
      <c r="K2128" s="231" t="b">
        <f t="shared" si="44"/>
        <v>0</v>
      </c>
      <c r="L2128" s="299"/>
      <c r="M2128" s="299" t="s">
        <v>3437</v>
      </c>
      <c r="N2128" s="61"/>
      <c r="O2128" s="231">
        <v>2025</v>
      </c>
      <c r="P2128" s="303">
        <v>45911</v>
      </c>
      <c r="Q2128" s="90" t="s">
        <v>4230</v>
      </c>
      <c r="S2128" s="241" t="s">
        <v>453</v>
      </c>
    </row>
    <row r="2129" spans="1:19" ht="15" customHeight="1">
      <c r="A2129" s="61">
        <v>2128</v>
      </c>
      <c r="B2129" s="327" t="s">
        <v>52</v>
      </c>
      <c r="C2129" s="327" t="s">
        <v>10</v>
      </c>
      <c r="D2129" s="292" t="s">
        <v>3992</v>
      </c>
      <c r="H2129" s="292" t="s">
        <v>3338</v>
      </c>
      <c r="I2129" s="301">
        <v>0</v>
      </c>
      <c r="J2129" s="301">
        <v>0</v>
      </c>
      <c r="K2129" s="231" t="b">
        <f t="shared" si="44"/>
        <v>0</v>
      </c>
      <c r="L2129" s="299"/>
      <c r="M2129" s="299" t="s">
        <v>3437</v>
      </c>
      <c r="N2129" s="61"/>
      <c r="O2129" s="231">
        <v>2025</v>
      </c>
      <c r="P2129" s="303">
        <v>45915.25</v>
      </c>
      <c r="Q2129" s="90" t="s">
        <v>4230</v>
      </c>
      <c r="S2129" s="241" t="s">
        <v>453</v>
      </c>
    </row>
    <row r="2130" spans="1:19" ht="15" customHeight="1">
      <c r="A2130" s="61">
        <v>2129</v>
      </c>
      <c r="B2130" s="327" t="s">
        <v>52</v>
      </c>
      <c r="C2130" s="327" t="s">
        <v>10</v>
      </c>
      <c r="D2130" s="292" t="s">
        <v>3993</v>
      </c>
      <c r="H2130" s="292" t="s">
        <v>4161</v>
      </c>
      <c r="I2130" s="301">
        <v>666</v>
      </c>
      <c r="J2130" s="301">
        <v>0</v>
      </c>
      <c r="K2130" s="231" t="b">
        <f t="shared" si="44"/>
        <v>0</v>
      </c>
      <c r="L2130" s="299"/>
      <c r="M2130" s="299" t="s">
        <v>3437</v>
      </c>
      <c r="N2130" s="61"/>
      <c r="O2130" s="231">
        <v>2025</v>
      </c>
      <c r="P2130" s="303">
        <v>45916.25</v>
      </c>
      <c r="Q2130" s="90" t="s">
        <v>4230</v>
      </c>
      <c r="S2130" s="241" t="s">
        <v>453</v>
      </c>
    </row>
    <row r="2131" spans="1:19" ht="15" customHeight="1">
      <c r="A2131" s="61">
        <v>2130</v>
      </c>
      <c r="B2131" s="327" t="s">
        <v>52</v>
      </c>
      <c r="C2131" s="327" t="s">
        <v>10</v>
      </c>
      <c r="D2131" s="292" t="s">
        <v>3994</v>
      </c>
      <c r="H2131" s="292" t="s">
        <v>4194</v>
      </c>
      <c r="I2131" s="301">
        <v>0</v>
      </c>
      <c r="J2131" s="301">
        <v>200</v>
      </c>
      <c r="K2131" s="231" t="b">
        <f t="shared" si="44"/>
        <v>0</v>
      </c>
      <c r="L2131" s="299"/>
      <c r="M2131" s="299" t="s">
        <v>3276</v>
      </c>
      <c r="N2131" s="61"/>
      <c r="O2131" s="231">
        <v>2025</v>
      </c>
      <c r="P2131" s="303">
        <v>45916</v>
      </c>
      <c r="Q2131" s="90" t="s">
        <v>4230</v>
      </c>
      <c r="S2131" s="241" t="s">
        <v>453</v>
      </c>
    </row>
    <row r="2132" spans="1:19" ht="15" customHeight="1">
      <c r="A2132" s="61">
        <v>2131</v>
      </c>
      <c r="B2132" s="327" t="s">
        <v>52</v>
      </c>
      <c r="C2132" s="327" t="s">
        <v>10</v>
      </c>
      <c r="D2132" s="292" t="s">
        <v>3995</v>
      </c>
      <c r="H2132" s="292" t="s">
        <v>3363</v>
      </c>
      <c r="I2132" s="301">
        <v>437</v>
      </c>
      <c r="J2132" s="301">
        <v>0</v>
      </c>
      <c r="K2132" s="231" t="b">
        <f t="shared" si="44"/>
        <v>0</v>
      </c>
      <c r="L2132" s="299"/>
      <c r="M2132" s="299" t="s">
        <v>3437</v>
      </c>
      <c r="N2132" s="61"/>
      <c r="O2132" s="231">
        <v>2025</v>
      </c>
      <c r="P2132" s="303">
        <v>45916</v>
      </c>
      <c r="Q2132" s="90" t="s">
        <v>4230</v>
      </c>
      <c r="S2132" s="241" t="s">
        <v>453</v>
      </c>
    </row>
    <row r="2133" spans="1:19" ht="15" customHeight="1">
      <c r="A2133" s="61">
        <v>2132</v>
      </c>
      <c r="B2133" s="327" t="s">
        <v>52</v>
      </c>
      <c r="C2133" s="327" t="s">
        <v>10</v>
      </c>
      <c r="D2133" s="292" t="s">
        <v>3996</v>
      </c>
      <c r="H2133" s="292" t="s">
        <v>3424</v>
      </c>
      <c r="I2133" s="301">
        <v>245</v>
      </c>
      <c r="J2133" s="301">
        <v>0</v>
      </c>
      <c r="K2133" s="231" t="b">
        <f t="shared" si="44"/>
        <v>0</v>
      </c>
      <c r="L2133" s="299"/>
      <c r="M2133" s="299" t="s">
        <v>3437</v>
      </c>
      <c r="N2133" s="61"/>
      <c r="O2133" s="231">
        <v>2025</v>
      </c>
      <c r="P2133" s="303">
        <v>45917</v>
      </c>
      <c r="Q2133" s="90" t="s">
        <v>4230</v>
      </c>
      <c r="S2133" s="241" t="s">
        <v>453</v>
      </c>
    </row>
    <row r="2134" spans="1:19" ht="15" customHeight="1">
      <c r="A2134" s="61">
        <v>2133</v>
      </c>
      <c r="B2134" s="327" t="s">
        <v>52</v>
      </c>
      <c r="C2134" s="327" t="s">
        <v>10</v>
      </c>
      <c r="D2134" s="292" t="s">
        <v>3997</v>
      </c>
      <c r="H2134" s="292" t="s">
        <v>4159</v>
      </c>
      <c r="I2134" s="301">
        <v>86</v>
      </c>
      <c r="J2134" s="301">
        <v>0</v>
      </c>
      <c r="K2134" s="231" t="b">
        <f t="shared" si="44"/>
        <v>0</v>
      </c>
      <c r="L2134" s="299"/>
      <c r="M2134" s="299" t="s">
        <v>3437</v>
      </c>
      <c r="N2134" s="61"/>
      <c r="O2134" s="231">
        <v>2025</v>
      </c>
      <c r="P2134" s="303">
        <v>45917</v>
      </c>
      <c r="Q2134" s="90" t="s">
        <v>4230</v>
      </c>
      <c r="S2134" s="241" t="s">
        <v>453</v>
      </c>
    </row>
    <row r="2135" spans="1:19" ht="15" customHeight="1">
      <c r="A2135" s="61">
        <v>2134</v>
      </c>
      <c r="B2135" s="327" t="s">
        <v>52</v>
      </c>
      <c r="C2135" s="327" t="s">
        <v>10</v>
      </c>
      <c r="D2135" s="292" t="s">
        <v>3998</v>
      </c>
      <c r="H2135" s="292" t="s">
        <v>4236</v>
      </c>
      <c r="I2135" s="301">
        <v>0</v>
      </c>
      <c r="J2135" s="301">
        <v>200</v>
      </c>
      <c r="K2135" s="231">
        <f t="shared" si="44"/>
        <v>10</v>
      </c>
      <c r="L2135" s="299"/>
      <c r="M2135" s="299" t="s">
        <v>15</v>
      </c>
      <c r="N2135" s="61"/>
      <c r="O2135" s="231">
        <v>2025</v>
      </c>
      <c r="P2135" s="303">
        <v>45917</v>
      </c>
      <c r="Q2135" s="90" t="s">
        <v>4230</v>
      </c>
      <c r="S2135" s="241" t="s">
        <v>453</v>
      </c>
    </row>
    <row r="2136" spans="1:19" ht="15" customHeight="1">
      <c r="A2136" s="61">
        <v>2135</v>
      </c>
      <c r="B2136" s="327" t="s">
        <v>52</v>
      </c>
      <c r="C2136" s="327" t="s">
        <v>10</v>
      </c>
      <c r="D2136" s="292" t="s">
        <v>3999</v>
      </c>
      <c r="H2136" s="292" t="s">
        <v>4159</v>
      </c>
      <c r="I2136" s="301">
        <v>597</v>
      </c>
      <c r="J2136" s="301">
        <v>0</v>
      </c>
      <c r="K2136" s="231" t="b">
        <f t="shared" si="44"/>
        <v>0</v>
      </c>
      <c r="L2136" s="299"/>
      <c r="M2136" s="299" t="s">
        <v>3437</v>
      </c>
      <c r="N2136" s="61"/>
      <c r="O2136" s="231">
        <v>2025</v>
      </c>
      <c r="P2136" s="303">
        <v>45917</v>
      </c>
      <c r="Q2136" s="90" t="s">
        <v>4230</v>
      </c>
      <c r="S2136" s="241" t="s">
        <v>453</v>
      </c>
    </row>
    <row r="2137" spans="1:19" ht="15" customHeight="1">
      <c r="A2137" s="61">
        <v>2136</v>
      </c>
      <c r="B2137" s="327" t="s">
        <v>52</v>
      </c>
      <c r="C2137" s="327" t="s">
        <v>10</v>
      </c>
      <c r="D2137" s="292" t="s">
        <v>4000</v>
      </c>
      <c r="H2137" s="292" t="s">
        <v>4165</v>
      </c>
      <c r="I2137" s="301">
        <v>308</v>
      </c>
      <c r="J2137" s="301">
        <v>0</v>
      </c>
      <c r="K2137" s="231" t="b">
        <f t="shared" si="44"/>
        <v>0</v>
      </c>
      <c r="L2137" s="299"/>
      <c r="M2137" s="299" t="s">
        <v>3437</v>
      </c>
      <c r="N2137" s="61"/>
      <c r="O2137" s="231">
        <v>2025</v>
      </c>
      <c r="P2137" s="303">
        <v>45919</v>
      </c>
      <c r="Q2137" s="90" t="s">
        <v>4230</v>
      </c>
      <c r="S2137" s="241" t="s">
        <v>453</v>
      </c>
    </row>
    <row r="2138" spans="1:19" ht="15" customHeight="1">
      <c r="A2138" s="61">
        <v>2137</v>
      </c>
      <c r="B2138" s="327" t="s">
        <v>52</v>
      </c>
      <c r="C2138" s="327" t="s">
        <v>10</v>
      </c>
      <c r="D2138" s="292" t="s">
        <v>4001</v>
      </c>
      <c r="H2138" s="292" t="s">
        <v>4193</v>
      </c>
      <c r="I2138" s="301">
        <v>271</v>
      </c>
      <c r="J2138" s="301">
        <v>723</v>
      </c>
      <c r="K2138" s="231" t="b">
        <f t="shared" si="44"/>
        <v>0</v>
      </c>
      <c r="L2138" s="299"/>
      <c r="M2138" s="299" t="s">
        <v>3437</v>
      </c>
      <c r="N2138" s="61"/>
      <c r="O2138" s="231">
        <v>2025</v>
      </c>
      <c r="P2138" s="303">
        <v>45919</v>
      </c>
      <c r="Q2138" s="90" t="s">
        <v>4230</v>
      </c>
      <c r="S2138" s="241" t="s">
        <v>453</v>
      </c>
    </row>
    <row r="2139" spans="1:19" ht="15" customHeight="1">
      <c r="A2139" s="61">
        <v>2138</v>
      </c>
      <c r="B2139" s="327" t="s">
        <v>55</v>
      </c>
      <c r="C2139" s="327" t="s">
        <v>10</v>
      </c>
      <c r="D2139" s="292" t="s">
        <v>4002</v>
      </c>
      <c r="H2139" s="292" t="s">
        <v>4195</v>
      </c>
      <c r="I2139" s="301">
        <v>0</v>
      </c>
      <c r="J2139" s="301">
        <v>12000</v>
      </c>
      <c r="K2139" s="231">
        <f t="shared" si="44"/>
        <v>20</v>
      </c>
      <c r="L2139" s="299"/>
      <c r="M2139" s="299" t="s">
        <v>15</v>
      </c>
      <c r="N2139" s="61"/>
      <c r="O2139" s="231">
        <v>2025</v>
      </c>
      <c r="P2139" s="303">
        <v>45921</v>
      </c>
      <c r="Q2139" s="90" t="s">
        <v>4230</v>
      </c>
      <c r="S2139" s="241" t="s">
        <v>453</v>
      </c>
    </row>
    <row r="2140" spans="1:19" ht="15" customHeight="1">
      <c r="A2140" s="61">
        <v>2139</v>
      </c>
      <c r="B2140" s="327" t="s">
        <v>49</v>
      </c>
      <c r="C2140" s="327" t="s">
        <v>10</v>
      </c>
      <c r="D2140" s="292" t="s">
        <v>4003</v>
      </c>
      <c r="H2140" s="292" t="s">
        <v>4196</v>
      </c>
      <c r="I2140" s="301">
        <v>150</v>
      </c>
      <c r="J2140" s="301">
        <v>0</v>
      </c>
      <c r="K2140" s="231" t="b">
        <f t="shared" si="44"/>
        <v>0</v>
      </c>
      <c r="L2140" s="299"/>
      <c r="M2140" s="299" t="s">
        <v>3276</v>
      </c>
      <c r="N2140" s="61"/>
      <c r="O2140" s="231">
        <v>2025</v>
      </c>
      <c r="P2140" s="303">
        <v>45922</v>
      </c>
      <c r="Q2140" s="90" t="s">
        <v>4230</v>
      </c>
      <c r="S2140" s="241" t="s">
        <v>453</v>
      </c>
    </row>
    <row r="2141" spans="1:19" ht="15" customHeight="1">
      <c r="A2141" s="61">
        <v>2140</v>
      </c>
      <c r="B2141" s="327" t="s">
        <v>52</v>
      </c>
      <c r="C2141" s="327" t="s">
        <v>10</v>
      </c>
      <c r="D2141" s="292" t="s">
        <v>4004</v>
      </c>
      <c r="H2141" s="292" t="s">
        <v>4143</v>
      </c>
      <c r="I2141" s="301">
        <v>453</v>
      </c>
      <c r="J2141" s="301">
        <v>0</v>
      </c>
      <c r="K2141" s="231" t="b">
        <f t="shared" si="44"/>
        <v>0</v>
      </c>
      <c r="L2141" s="299"/>
      <c r="M2141" s="299" t="s">
        <v>3437</v>
      </c>
      <c r="N2141" s="61"/>
      <c r="O2141" s="231">
        <v>2025</v>
      </c>
      <c r="P2141" s="303">
        <v>45922</v>
      </c>
      <c r="Q2141" s="90" t="s">
        <v>4230</v>
      </c>
      <c r="S2141" s="241" t="s">
        <v>453</v>
      </c>
    </row>
    <row r="2142" spans="1:19" ht="15" customHeight="1">
      <c r="A2142" s="61">
        <v>2141</v>
      </c>
      <c r="B2142" s="327" t="s">
        <v>52</v>
      </c>
      <c r="C2142" s="327" t="s">
        <v>10</v>
      </c>
      <c r="D2142" s="292" t="s">
        <v>4005</v>
      </c>
      <c r="H2142" s="292" t="s">
        <v>4143</v>
      </c>
      <c r="I2142" s="301">
        <v>281</v>
      </c>
      <c r="J2142" s="301">
        <v>0</v>
      </c>
      <c r="K2142" s="231" t="b">
        <f t="shared" si="44"/>
        <v>0</v>
      </c>
      <c r="L2142" s="299"/>
      <c r="M2142" s="299" t="s">
        <v>3437</v>
      </c>
      <c r="N2142" s="61"/>
      <c r="O2142" s="231">
        <v>2025</v>
      </c>
      <c r="P2142" s="303">
        <v>45922</v>
      </c>
      <c r="Q2142" s="90" t="s">
        <v>4230</v>
      </c>
      <c r="S2142" s="241" t="s">
        <v>453</v>
      </c>
    </row>
    <row r="2143" spans="1:19" ht="15" customHeight="1">
      <c r="A2143" s="61">
        <v>2142</v>
      </c>
      <c r="B2143" s="327" t="s">
        <v>52</v>
      </c>
      <c r="C2143" s="327" t="s">
        <v>10</v>
      </c>
      <c r="D2143" s="292" t="s">
        <v>4006</v>
      </c>
      <c r="H2143" s="292" t="s">
        <v>4183</v>
      </c>
      <c r="I2143" s="301">
        <v>109</v>
      </c>
      <c r="J2143" s="301">
        <v>0</v>
      </c>
      <c r="K2143" s="231" t="b">
        <f t="shared" si="44"/>
        <v>0</v>
      </c>
      <c r="L2143" s="299"/>
      <c r="M2143" s="299" t="s">
        <v>3437</v>
      </c>
      <c r="N2143" s="61"/>
      <c r="O2143" s="231">
        <v>2025</v>
      </c>
      <c r="P2143" s="303">
        <v>45925</v>
      </c>
      <c r="Q2143" s="90" t="s">
        <v>4230</v>
      </c>
      <c r="S2143" s="241" t="s">
        <v>453</v>
      </c>
    </row>
    <row r="2144" spans="1:19" ht="15" customHeight="1">
      <c r="A2144" s="61">
        <v>2143</v>
      </c>
      <c r="B2144" s="327" t="s">
        <v>53</v>
      </c>
      <c r="C2144" s="327" t="s">
        <v>10</v>
      </c>
      <c r="D2144" s="292" t="s">
        <v>4007</v>
      </c>
      <c r="H2144" s="292" t="s">
        <v>3493</v>
      </c>
      <c r="I2144" s="301">
        <v>328</v>
      </c>
      <c r="J2144" s="301">
        <v>0</v>
      </c>
      <c r="K2144" s="231">
        <f t="shared" si="44"/>
        <v>10</v>
      </c>
      <c r="L2144" s="299"/>
      <c r="M2144" s="299" t="s">
        <v>15</v>
      </c>
      <c r="N2144" s="61"/>
      <c r="O2144" s="231">
        <v>2025</v>
      </c>
      <c r="P2144" s="303">
        <v>45924</v>
      </c>
      <c r="Q2144" s="90" t="s">
        <v>4230</v>
      </c>
      <c r="S2144" s="241" t="s">
        <v>453</v>
      </c>
    </row>
    <row r="2145" spans="1:19" ht="15" customHeight="1">
      <c r="A2145" s="61">
        <v>2144</v>
      </c>
      <c r="B2145" s="327" t="s">
        <v>52</v>
      </c>
      <c r="C2145" s="327" t="s">
        <v>10</v>
      </c>
      <c r="D2145" s="292" t="s">
        <v>4008</v>
      </c>
      <c r="H2145" s="292" t="s">
        <v>4151</v>
      </c>
      <c r="I2145" s="301">
        <v>245</v>
      </c>
      <c r="J2145" s="301">
        <v>500</v>
      </c>
      <c r="K2145" s="231" t="b">
        <f t="shared" si="44"/>
        <v>0</v>
      </c>
      <c r="L2145" s="299"/>
      <c r="M2145" s="299" t="s">
        <v>3437</v>
      </c>
      <c r="N2145" s="61"/>
      <c r="O2145" s="231">
        <v>2025</v>
      </c>
      <c r="P2145" s="303">
        <v>45924</v>
      </c>
      <c r="Q2145" s="90" t="s">
        <v>4230</v>
      </c>
      <c r="S2145" s="241" t="s">
        <v>453</v>
      </c>
    </row>
    <row r="2146" spans="1:19" ht="15" customHeight="1">
      <c r="A2146" s="61">
        <v>2145</v>
      </c>
      <c r="B2146" s="327" t="s">
        <v>52</v>
      </c>
      <c r="C2146" s="327" t="s">
        <v>10</v>
      </c>
      <c r="D2146" s="292" t="s">
        <v>4009</v>
      </c>
      <c r="H2146" s="292" t="s">
        <v>4237</v>
      </c>
      <c r="I2146" s="301">
        <v>34</v>
      </c>
      <c r="J2146" s="301">
        <v>0</v>
      </c>
      <c r="K2146" s="231" t="b">
        <f t="shared" si="44"/>
        <v>0</v>
      </c>
      <c r="L2146" s="299"/>
      <c r="M2146" s="299" t="s">
        <v>3437</v>
      </c>
      <c r="N2146" s="61"/>
      <c r="O2146" s="231">
        <v>2025</v>
      </c>
      <c r="P2146" s="303">
        <v>45926</v>
      </c>
      <c r="Q2146" s="90" t="s">
        <v>4230</v>
      </c>
      <c r="S2146" s="241" t="s">
        <v>453</v>
      </c>
    </row>
    <row r="2147" spans="1:19" ht="15" customHeight="1">
      <c r="A2147" s="61">
        <v>2146</v>
      </c>
      <c r="B2147" s="327" t="s">
        <v>52</v>
      </c>
      <c r="C2147" s="327" t="s">
        <v>10</v>
      </c>
      <c r="D2147" s="292" t="s">
        <v>4010</v>
      </c>
      <c r="H2147" s="292" t="s">
        <v>4237</v>
      </c>
      <c r="I2147" s="301">
        <v>50</v>
      </c>
      <c r="J2147" s="301">
        <v>0</v>
      </c>
      <c r="K2147" s="231" t="b">
        <f t="shared" si="44"/>
        <v>0</v>
      </c>
      <c r="L2147" s="299"/>
      <c r="M2147" s="299" t="s">
        <v>3437</v>
      </c>
      <c r="N2147" s="61"/>
      <c r="O2147" s="231">
        <v>2025</v>
      </c>
      <c r="P2147" s="303">
        <v>45926</v>
      </c>
      <c r="Q2147" s="90" t="s">
        <v>4230</v>
      </c>
      <c r="S2147" s="241" t="s">
        <v>453</v>
      </c>
    </row>
    <row r="2148" spans="1:19" ht="15" customHeight="1">
      <c r="A2148" s="61">
        <v>2147</v>
      </c>
      <c r="B2148" s="327" t="s">
        <v>52</v>
      </c>
      <c r="C2148" s="327" t="s">
        <v>10</v>
      </c>
      <c r="D2148" s="292" t="s">
        <v>4011</v>
      </c>
      <c r="H2148" s="292" t="s">
        <v>4192</v>
      </c>
      <c r="I2148" s="301">
        <v>351</v>
      </c>
      <c r="J2148" s="301">
        <v>450</v>
      </c>
      <c r="K2148" s="231" t="b">
        <f t="shared" si="44"/>
        <v>0</v>
      </c>
      <c r="L2148" s="299"/>
      <c r="M2148" s="299" t="s">
        <v>3437</v>
      </c>
      <c r="N2148" s="61"/>
      <c r="O2148" s="231">
        <v>2025</v>
      </c>
      <c r="P2148" s="303">
        <v>45926</v>
      </c>
      <c r="Q2148" s="90" t="s">
        <v>4230</v>
      </c>
      <c r="S2148" s="241" t="s">
        <v>453</v>
      </c>
    </row>
    <row r="2149" spans="1:19" ht="15" customHeight="1">
      <c r="A2149" s="61">
        <v>2148</v>
      </c>
      <c r="B2149" s="327" t="s">
        <v>52</v>
      </c>
      <c r="C2149" s="327" t="s">
        <v>10</v>
      </c>
      <c r="D2149" s="292" t="s">
        <v>4012</v>
      </c>
      <c r="H2149" s="292" t="s">
        <v>3739</v>
      </c>
      <c r="I2149" s="301">
        <v>266</v>
      </c>
      <c r="J2149" s="301">
        <v>0</v>
      </c>
      <c r="K2149" s="231" t="b">
        <f t="shared" si="44"/>
        <v>0</v>
      </c>
      <c r="L2149" s="299"/>
      <c r="M2149" s="299" t="s">
        <v>3437</v>
      </c>
      <c r="N2149" s="61"/>
      <c r="O2149" s="231">
        <v>2025</v>
      </c>
      <c r="P2149" s="303">
        <v>45929</v>
      </c>
      <c r="Q2149" s="90" t="s">
        <v>4230</v>
      </c>
      <c r="S2149" s="241" t="s">
        <v>453</v>
      </c>
    </row>
    <row r="2150" spans="1:19" ht="15" customHeight="1">
      <c r="A2150" s="61">
        <v>2149</v>
      </c>
      <c r="B2150" s="327" t="s">
        <v>49</v>
      </c>
      <c r="C2150" s="327" t="s">
        <v>10</v>
      </c>
      <c r="D2150" s="292" t="s">
        <v>4013</v>
      </c>
      <c r="H2150" s="292" t="s">
        <v>4197</v>
      </c>
      <c r="I2150" s="301">
        <v>0</v>
      </c>
      <c r="J2150" s="301">
        <v>439</v>
      </c>
      <c r="K2150" s="231" t="b">
        <f t="shared" si="44"/>
        <v>0</v>
      </c>
      <c r="L2150" s="299"/>
      <c r="M2150" s="299" t="s">
        <v>3276</v>
      </c>
      <c r="N2150" s="61"/>
      <c r="O2150" s="231">
        <v>2025</v>
      </c>
      <c r="P2150" s="303">
        <v>45930</v>
      </c>
      <c r="Q2150" s="90" t="s">
        <v>4230</v>
      </c>
      <c r="S2150" s="241" t="s">
        <v>453</v>
      </c>
    </row>
    <row r="2151" spans="1:19" ht="15" customHeight="1">
      <c r="A2151" s="61">
        <v>2150</v>
      </c>
      <c r="B2151" s="327" t="s">
        <v>52</v>
      </c>
      <c r="C2151" s="327" t="s">
        <v>10</v>
      </c>
      <c r="D2151" s="292" t="s">
        <v>4014</v>
      </c>
      <c r="H2151" s="292" t="s">
        <v>3416</v>
      </c>
      <c r="I2151" s="301">
        <v>0</v>
      </c>
      <c r="J2151" s="301">
        <v>272</v>
      </c>
      <c r="K2151" s="231" t="b">
        <f t="shared" si="44"/>
        <v>0</v>
      </c>
      <c r="L2151" s="299"/>
      <c r="M2151" s="299" t="s">
        <v>3276</v>
      </c>
      <c r="N2151" s="61"/>
      <c r="O2151" s="231">
        <v>2025</v>
      </c>
      <c r="P2151" s="303">
        <v>45931</v>
      </c>
      <c r="Q2151" s="90" t="s">
        <v>4230</v>
      </c>
      <c r="S2151" s="241" t="s">
        <v>453</v>
      </c>
    </row>
    <row r="2152" spans="1:19" ht="15" customHeight="1">
      <c r="A2152" s="61">
        <v>2151</v>
      </c>
      <c r="B2152" s="327" t="s">
        <v>52</v>
      </c>
      <c r="C2152" s="327" t="s">
        <v>10</v>
      </c>
      <c r="D2152" s="292" t="s">
        <v>4015</v>
      </c>
      <c r="H2152" s="292" t="s">
        <v>4198</v>
      </c>
      <c r="I2152" s="301">
        <v>321</v>
      </c>
      <c r="J2152" s="301">
        <v>0</v>
      </c>
      <c r="K2152" s="231" t="b">
        <f t="shared" si="44"/>
        <v>0</v>
      </c>
      <c r="L2152" s="299"/>
      <c r="M2152" s="299" t="s">
        <v>3437</v>
      </c>
      <c r="N2152" s="61"/>
      <c r="O2152" s="231">
        <v>2025</v>
      </c>
      <c r="P2152" s="303">
        <v>45932</v>
      </c>
      <c r="Q2152" s="90" t="s">
        <v>4230</v>
      </c>
      <c r="S2152" s="241" t="s">
        <v>453</v>
      </c>
    </row>
    <row r="2153" spans="1:19" ht="15" customHeight="1">
      <c r="A2153" s="61">
        <v>2152</v>
      </c>
      <c r="B2153" s="327" t="s">
        <v>52</v>
      </c>
      <c r="C2153" s="327" t="s">
        <v>10</v>
      </c>
      <c r="D2153" s="292" t="s">
        <v>4016</v>
      </c>
      <c r="H2153" s="292" t="s">
        <v>4199</v>
      </c>
      <c r="I2153" s="301">
        <v>242</v>
      </c>
      <c r="J2153" s="301">
        <v>0</v>
      </c>
      <c r="K2153" s="231" t="b">
        <f t="shared" si="44"/>
        <v>0</v>
      </c>
      <c r="L2153" s="299"/>
      <c r="M2153" s="299" t="s">
        <v>3437</v>
      </c>
      <c r="N2153" s="61"/>
      <c r="O2153" s="231">
        <v>2025</v>
      </c>
      <c r="P2153" s="303">
        <v>45933</v>
      </c>
      <c r="Q2153" s="90" t="s">
        <v>4230</v>
      </c>
      <c r="S2153" s="241" t="s">
        <v>453</v>
      </c>
    </row>
    <row r="2154" spans="1:19" ht="15" customHeight="1">
      <c r="A2154" s="61">
        <v>2153</v>
      </c>
      <c r="B2154" s="327" t="s">
        <v>52</v>
      </c>
      <c r="C2154" s="327" t="s">
        <v>10</v>
      </c>
      <c r="D2154" s="292" t="s">
        <v>4017</v>
      </c>
      <c r="H2154" s="292" t="s">
        <v>4200</v>
      </c>
      <c r="I2154" s="301">
        <v>319</v>
      </c>
      <c r="J2154" s="301">
        <v>0</v>
      </c>
      <c r="K2154" s="231" t="b">
        <f t="shared" si="44"/>
        <v>0</v>
      </c>
      <c r="L2154" s="299"/>
      <c r="M2154" s="299" t="s">
        <v>3437</v>
      </c>
      <c r="N2154" s="61"/>
      <c r="O2154" s="231">
        <v>2025</v>
      </c>
      <c r="P2154" s="303">
        <v>45936</v>
      </c>
      <c r="Q2154" s="90" t="s">
        <v>4230</v>
      </c>
      <c r="S2154" s="241" t="s">
        <v>453</v>
      </c>
    </row>
    <row r="2155" spans="1:19" ht="15" customHeight="1">
      <c r="A2155" s="61">
        <v>2154</v>
      </c>
      <c r="B2155" s="327" t="s">
        <v>52</v>
      </c>
      <c r="C2155" s="327" t="s">
        <v>10</v>
      </c>
      <c r="D2155" s="292" t="s">
        <v>4018</v>
      </c>
      <c r="H2155" s="292" t="s">
        <v>4237</v>
      </c>
      <c r="I2155" s="301">
        <v>100</v>
      </c>
      <c r="J2155" s="301">
        <v>0</v>
      </c>
      <c r="K2155" s="231" t="b">
        <f t="shared" si="44"/>
        <v>0</v>
      </c>
      <c r="L2155" s="299"/>
      <c r="M2155" s="299" t="s">
        <v>3437</v>
      </c>
      <c r="N2155" s="61"/>
      <c r="O2155" s="231">
        <v>2025</v>
      </c>
      <c r="P2155" s="303">
        <v>45933</v>
      </c>
      <c r="Q2155" s="90" t="s">
        <v>4230</v>
      </c>
      <c r="S2155" s="241" t="s">
        <v>453</v>
      </c>
    </row>
    <row r="2156" spans="1:19" ht="15" customHeight="1">
      <c r="A2156" s="61">
        <v>2155</v>
      </c>
      <c r="B2156" s="327" t="s">
        <v>52</v>
      </c>
      <c r="C2156" s="327" t="s">
        <v>10</v>
      </c>
      <c r="D2156" s="292" t="s">
        <v>4019</v>
      </c>
      <c r="H2156" s="292" t="s">
        <v>4237</v>
      </c>
      <c r="I2156" s="301">
        <v>80</v>
      </c>
      <c r="J2156" s="301">
        <v>0</v>
      </c>
      <c r="K2156" s="231" t="b">
        <f t="shared" si="44"/>
        <v>0</v>
      </c>
      <c r="L2156" s="299"/>
      <c r="M2156" s="299" t="s">
        <v>3437</v>
      </c>
      <c r="N2156" s="61"/>
      <c r="O2156" s="231">
        <v>2025</v>
      </c>
      <c r="P2156" s="303">
        <v>45933</v>
      </c>
      <c r="Q2156" s="90" t="s">
        <v>4230</v>
      </c>
      <c r="S2156" s="241" t="s">
        <v>453</v>
      </c>
    </row>
    <row r="2157" spans="1:19" ht="15" customHeight="1">
      <c r="A2157" s="61">
        <v>2156</v>
      </c>
      <c r="B2157" s="327" t="s">
        <v>52</v>
      </c>
      <c r="C2157" s="327" t="s">
        <v>10</v>
      </c>
      <c r="D2157" s="292" t="s">
        <v>4020</v>
      </c>
      <c r="H2157" s="292" t="s">
        <v>4171</v>
      </c>
      <c r="I2157" s="301">
        <v>255</v>
      </c>
      <c r="J2157" s="301">
        <v>545</v>
      </c>
      <c r="K2157" s="231" t="b">
        <f t="shared" si="44"/>
        <v>0</v>
      </c>
      <c r="L2157" s="299"/>
      <c r="M2157" s="299" t="s">
        <v>3437</v>
      </c>
      <c r="N2157" s="61"/>
      <c r="O2157" s="231">
        <v>2025</v>
      </c>
      <c r="P2157" s="303">
        <v>45937</v>
      </c>
      <c r="Q2157" s="90" t="s">
        <v>4230</v>
      </c>
      <c r="S2157" s="241" t="s">
        <v>453</v>
      </c>
    </row>
    <row r="2158" spans="1:19" ht="15" customHeight="1">
      <c r="A2158" s="61">
        <v>2157</v>
      </c>
      <c r="B2158" s="327" t="s">
        <v>49</v>
      </c>
      <c r="C2158" s="327" t="s">
        <v>10</v>
      </c>
      <c r="D2158" s="292" t="s">
        <v>4021</v>
      </c>
      <c r="H2158" s="292" t="s">
        <v>4201</v>
      </c>
      <c r="I2158" s="301">
        <v>0</v>
      </c>
      <c r="J2158" s="301">
        <v>1754</v>
      </c>
      <c r="K2158" s="231">
        <f t="shared" si="44"/>
        <v>10</v>
      </c>
      <c r="L2158" s="299"/>
      <c r="M2158" s="299" t="s">
        <v>15</v>
      </c>
      <c r="N2158" s="61"/>
      <c r="O2158" s="231">
        <v>2025</v>
      </c>
      <c r="P2158" s="303">
        <v>45940</v>
      </c>
      <c r="Q2158" s="90" t="s">
        <v>4228</v>
      </c>
      <c r="S2158" s="241" t="s">
        <v>453</v>
      </c>
    </row>
    <row r="2159" spans="1:19" ht="15" customHeight="1">
      <c r="A2159" s="61">
        <v>2158</v>
      </c>
      <c r="B2159" s="327" t="s">
        <v>52</v>
      </c>
      <c r="C2159" s="327" t="s">
        <v>10</v>
      </c>
      <c r="D2159" s="292" t="s">
        <v>4023</v>
      </c>
      <c r="H2159" s="292" t="s">
        <v>4202</v>
      </c>
      <c r="I2159" s="301">
        <v>59</v>
      </c>
      <c r="J2159" s="301">
        <v>948</v>
      </c>
      <c r="K2159" s="231" t="b">
        <f t="shared" si="44"/>
        <v>0</v>
      </c>
      <c r="L2159" s="299"/>
      <c r="M2159" s="299" t="s">
        <v>3437</v>
      </c>
      <c r="N2159" s="61"/>
      <c r="O2159" s="231">
        <v>2025</v>
      </c>
      <c r="P2159" s="303">
        <v>45938.25</v>
      </c>
      <c r="Q2159" s="90" t="s">
        <v>4228</v>
      </c>
      <c r="S2159" s="241" t="s">
        <v>453</v>
      </c>
    </row>
    <row r="2160" spans="1:19" ht="15" customHeight="1">
      <c r="A2160" s="61">
        <v>2159</v>
      </c>
      <c r="B2160" s="327" t="s">
        <v>52</v>
      </c>
      <c r="C2160" s="327" t="s">
        <v>10</v>
      </c>
      <c r="D2160" s="292" t="s">
        <v>4024</v>
      </c>
      <c r="H2160" s="292" t="s">
        <v>4202</v>
      </c>
      <c r="I2160" s="301">
        <v>121</v>
      </c>
      <c r="J2160" s="301">
        <v>0</v>
      </c>
      <c r="K2160" s="231" t="b">
        <f t="shared" si="44"/>
        <v>0</v>
      </c>
      <c r="L2160" s="299"/>
      <c r="M2160" s="299" t="s">
        <v>3437</v>
      </c>
      <c r="N2160" s="61"/>
      <c r="O2160" s="231">
        <v>2025</v>
      </c>
      <c r="P2160" s="303">
        <v>45938.25</v>
      </c>
      <c r="Q2160" s="90" t="s">
        <v>4228</v>
      </c>
      <c r="S2160" s="241" t="s">
        <v>453</v>
      </c>
    </row>
    <row r="2161" spans="1:24" ht="15" customHeight="1">
      <c r="A2161" s="61">
        <v>2160</v>
      </c>
      <c r="B2161" s="327" t="s">
        <v>52</v>
      </c>
      <c r="C2161" s="327" t="s">
        <v>10</v>
      </c>
      <c r="D2161" s="292" t="s">
        <v>4025</v>
      </c>
      <c r="H2161" s="292" t="s">
        <v>4198</v>
      </c>
      <c r="I2161" s="301">
        <v>195</v>
      </c>
      <c r="J2161" s="301">
        <v>0</v>
      </c>
      <c r="K2161" s="231" t="b">
        <f t="shared" si="44"/>
        <v>0</v>
      </c>
      <c r="L2161" s="299"/>
      <c r="M2161" s="299" t="s">
        <v>3276</v>
      </c>
      <c r="N2161" s="61"/>
      <c r="O2161" s="231">
        <v>2025</v>
      </c>
      <c r="P2161" s="303">
        <v>45939</v>
      </c>
      <c r="Q2161" s="90" t="s">
        <v>4228</v>
      </c>
      <c r="S2161" s="241" t="s">
        <v>453</v>
      </c>
    </row>
    <row r="2162" spans="1:24" ht="15" customHeight="1">
      <c r="A2162" s="61">
        <v>2161</v>
      </c>
      <c r="B2162" s="327" t="s">
        <v>52</v>
      </c>
      <c r="C2162" s="327" t="s">
        <v>10</v>
      </c>
      <c r="D2162" s="292" t="s">
        <v>3907</v>
      </c>
      <c r="H2162" s="292" t="s">
        <v>3363</v>
      </c>
      <c r="I2162" s="301">
        <v>319</v>
      </c>
      <c r="J2162" s="301">
        <v>0</v>
      </c>
      <c r="K2162" s="231" t="b">
        <f t="shared" si="44"/>
        <v>0</v>
      </c>
      <c r="L2162" s="299"/>
      <c r="M2162" s="299" t="s">
        <v>3276</v>
      </c>
      <c r="N2162" s="61"/>
      <c r="O2162" s="231">
        <v>2025</v>
      </c>
      <c r="P2162" s="303">
        <v>45939</v>
      </c>
      <c r="Q2162" s="90" t="s">
        <v>4228</v>
      </c>
      <c r="S2162" s="241" t="s">
        <v>453</v>
      </c>
    </row>
    <row r="2163" spans="1:24" ht="15" customHeight="1">
      <c r="A2163" s="61">
        <v>2162</v>
      </c>
      <c r="B2163" s="327" t="s">
        <v>52</v>
      </c>
      <c r="C2163" s="327" t="s">
        <v>10</v>
      </c>
      <c r="D2163" s="292" t="s">
        <v>4026</v>
      </c>
      <c r="H2163" s="292" t="s">
        <v>4202</v>
      </c>
      <c r="I2163" s="301">
        <v>505</v>
      </c>
      <c r="J2163" s="301">
        <v>0</v>
      </c>
      <c r="K2163" s="231" t="b">
        <f t="shared" si="44"/>
        <v>0</v>
      </c>
      <c r="L2163" s="299"/>
      <c r="M2163" s="299" t="s">
        <v>3437</v>
      </c>
      <c r="N2163" s="61"/>
      <c r="O2163" s="231">
        <v>2025</v>
      </c>
      <c r="P2163" s="303">
        <v>45939</v>
      </c>
      <c r="Q2163" s="90" t="s">
        <v>4228</v>
      </c>
      <c r="S2163" s="241" t="s">
        <v>453</v>
      </c>
    </row>
    <row r="2164" spans="1:24" ht="15" customHeight="1">
      <c r="A2164" s="61">
        <v>2163</v>
      </c>
      <c r="B2164" s="327" t="s">
        <v>52</v>
      </c>
      <c r="C2164" s="327" t="s">
        <v>10</v>
      </c>
      <c r="D2164" s="292" t="s">
        <v>4027</v>
      </c>
      <c r="H2164" s="292" t="s">
        <v>3739</v>
      </c>
      <c r="I2164" s="301">
        <v>365</v>
      </c>
      <c r="J2164" s="301">
        <v>0</v>
      </c>
      <c r="K2164" s="231" t="b">
        <f t="shared" si="44"/>
        <v>0</v>
      </c>
      <c r="L2164" s="299"/>
      <c r="M2164" s="299" t="s">
        <v>3437</v>
      </c>
      <c r="N2164" s="61"/>
      <c r="O2164" s="231">
        <v>2025</v>
      </c>
      <c r="P2164" s="303">
        <v>45940</v>
      </c>
      <c r="Q2164" s="90" t="s">
        <v>4228</v>
      </c>
      <c r="S2164" s="241" t="s">
        <v>453</v>
      </c>
    </row>
    <row r="2165" spans="1:24" ht="15" customHeight="1">
      <c r="A2165" s="61">
        <v>2164</v>
      </c>
      <c r="B2165" s="327" t="s">
        <v>52</v>
      </c>
      <c r="C2165" s="327" t="s">
        <v>10</v>
      </c>
      <c r="D2165" s="292" t="s">
        <v>4028</v>
      </c>
      <c r="H2165" s="292" t="s">
        <v>4143</v>
      </c>
      <c r="I2165" s="301">
        <v>473</v>
      </c>
      <c r="J2165" s="301">
        <v>0</v>
      </c>
      <c r="K2165" s="231" t="b">
        <f t="shared" si="44"/>
        <v>0</v>
      </c>
      <c r="L2165" s="299"/>
      <c r="M2165" s="299" t="s">
        <v>3437</v>
      </c>
      <c r="N2165" s="61"/>
      <c r="O2165" s="231">
        <v>2025</v>
      </c>
      <c r="P2165" s="303">
        <v>45940</v>
      </c>
      <c r="Q2165" s="90" t="s">
        <v>4228</v>
      </c>
      <c r="S2165" s="241" t="s">
        <v>453</v>
      </c>
    </row>
    <row r="2166" spans="1:24" ht="15" customHeight="1">
      <c r="A2166" s="61">
        <v>2165</v>
      </c>
      <c r="B2166" s="327" t="s">
        <v>49</v>
      </c>
      <c r="C2166" s="327" t="s">
        <v>10</v>
      </c>
      <c r="D2166" s="292" t="s">
        <v>4029</v>
      </c>
      <c r="H2166" s="292" t="s">
        <v>4203</v>
      </c>
      <c r="I2166" s="301">
        <v>308</v>
      </c>
      <c r="J2166" s="301">
        <v>0</v>
      </c>
      <c r="K2166" s="231" t="b">
        <f t="shared" si="44"/>
        <v>0</v>
      </c>
      <c r="L2166" s="299"/>
      <c r="M2166" s="299" t="s">
        <v>3276</v>
      </c>
      <c r="N2166" s="61"/>
      <c r="O2166" s="231">
        <v>2025</v>
      </c>
      <c r="P2166" s="303">
        <v>45940</v>
      </c>
      <c r="Q2166" s="90" t="s">
        <v>4228</v>
      </c>
      <c r="S2166" s="241" t="s">
        <v>453</v>
      </c>
    </row>
    <row r="2167" spans="1:24" ht="15" customHeight="1">
      <c r="A2167" s="61">
        <v>2166</v>
      </c>
      <c r="B2167" s="327" t="s">
        <v>52</v>
      </c>
      <c r="C2167" s="327" t="s">
        <v>10</v>
      </c>
      <c r="D2167" s="292" t="s">
        <v>4030</v>
      </c>
      <c r="H2167" s="292" t="s">
        <v>4145</v>
      </c>
      <c r="I2167" s="301">
        <v>0</v>
      </c>
      <c r="J2167" s="301">
        <v>200</v>
      </c>
      <c r="K2167" s="231" t="b">
        <f t="shared" si="44"/>
        <v>0</v>
      </c>
      <c r="L2167" s="299"/>
      <c r="M2167" s="299" t="s">
        <v>3276</v>
      </c>
      <c r="N2167" s="61"/>
      <c r="O2167" s="231">
        <v>2025</v>
      </c>
      <c r="P2167" s="303">
        <v>45943</v>
      </c>
      <c r="Q2167" s="90" t="s">
        <v>4228</v>
      </c>
      <c r="S2167" s="241" t="s">
        <v>453</v>
      </c>
    </row>
    <row r="2168" spans="1:24" ht="15" customHeight="1">
      <c r="A2168" s="61">
        <v>2167</v>
      </c>
      <c r="B2168" s="327" t="s">
        <v>52</v>
      </c>
      <c r="C2168" s="327" t="s">
        <v>10</v>
      </c>
      <c r="D2168" s="292" t="s">
        <v>4031</v>
      </c>
      <c r="H2168" s="292" t="s">
        <v>3732</v>
      </c>
      <c r="I2168" s="301">
        <v>0</v>
      </c>
      <c r="J2168" s="301">
        <v>858</v>
      </c>
      <c r="K2168" s="231" t="b">
        <f t="shared" si="44"/>
        <v>0</v>
      </c>
      <c r="L2168" s="299"/>
      <c r="M2168" s="299" t="s">
        <v>3276</v>
      </c>
      <c r="N2168" s="61"/>
      <c r="O2168" s="231">
        <v>2025</v>
      </c>
      <c r="P2168" s="303">
        <v>45951</v>
      </c>
      <c r="Q2168" s="90" t="s">
        <v>4228</v>
      </c>
      <c r="S2168" s="241" t="s">
        <v>453</v>
      </c>
    </row>
    <row r="2169" spans="1:24" ht="15" customHeight="1">
      <c r="A2169" s="61">
        <v>2168</v>
      </c>
      <c r="B2169" s="327" t="s">
        <v>52</v>
      </c>
      <c r="C2169" s="327" t="s">
        <v>10</v>
      </c>
      <c r="D2169" s="292" t="s">
        <v>4032</v>
      </c>
      <c r="H2169" s="292" t="s">
        <v>4204</v>
      </c>
      <c r="I2169" s="301">
        <v>0</v>
      </c>
      <c r="J2169" s="301">
        <v>3142</v>
      </c>
      <c r="K2169" s="231" t="b">
        <f t="shared" si="44"/>
        <v>0</v>
      </c>
      <c r="L2169" s="299"/>
      <c r="M2169" s="299" t="s">
        <v>3276</v>
      </c>
      <c r="N2169" s="61"/>
      <c r="O2169" s="231">
        <v>2025</v>
      </c>
      <c r="P2169" s="303">
        <v>45968</v>
      </c>
      <c r="Q2169" s="90" t="s">
        <v>4228</v>
      </c>
      <c r="S2169" s="241" t="s">
        <v>453</v>
      </c>
    </row>
    <row r="2170" spans="1:24" ht="15" customHeight="1">
      <c r="A2170" s="61">
        <v>2169</v>
      </c>
      <c r="B2170" s="327" t="s">
        <v>52</v>
      </c>
      <c r="C2170" s="327" t="s">
        <v>10</v>
      </c>
      <c r="D2170" s="292" t="s">
        <v>4033</v>
      </c>
      <c r="H2170" s="292" t="s">
        <v>4173</v>
      </c>
      <c r="I2170" s="301">
        <v>0</v>
      </c>
      <c r="J2170" s="301">
        <v>0</v>
      </c>
      <c r="K2170" s="231" t="b">
        <f t="shared" si="44"/>
        <v>0</v>
      </c>
      <c r="L2170" s="299"/>
      <c r="M2170" s="299" t="s">
        <v>3437</v>
      </c>
      <c r="N2170" s="61"/>
      <c r="O2170" s="231">
        <v>2025</v>
      </c>
      <c r="P2170" s="303">
        <v>45945</v>
      </c>
      <c r="Q2170" s="90" t="s">
        <v>4228</v>
      </c>
      <c r="S2170" s="241" t="s">
        <v>453</v>
      </c>
    </row>
    <row r="2171" spans="1:24" ht="15" customHeight="1">
      <c r="A2171" s="61">
        <v>2170</v>
      </c>
      <c r="B2171" s="327" t="s">
        <v>52</v>
      </c>
      <c r="C2171" s="327" t="s">
        <v>10</v>
      </c>
      <c r="D2171" s="292" t="s">
        <v>4034</v>
      </c>
      <c r="H2171" s="292" t="s">
        <v>4138</v>
      </c>
      <c r="I2171" s="301">
        <v>90</v>
      </c>
      <c r="J2171" s="301">
        <v>0</v>
      </c>
      <c r="K2171" s="231" t="b">
        <f t="shared" si="44"/>
        <v>0</v>
      </c>
      <c r="L2171" s="299"/>
      <c r="M2171" s="299" t="s">
        <v>3276</v>
      </c>
      <c r="N2171" s="61"/>
      <c r="O2171" s="231">
        <v>2025</v>
      </c>
      <c r="P2171" s="303">
        <v>45946</v>
      </c>
      <c r="Q2171" s="90" t="s">
        <v>4228</v>
      </c>
      <c r="S2171" s="241" t="s">
        <v>453</v>
      </c>
    </row>
    <row r="2172" spans="1:24" ht="15" customHeight="1">
      <c r="A2172" s="61">
        <v>2171</v>
      </c>
      <c r="B2172" s="327" t="s">
        <v>49</v>
      </c>
      <c r="C2172" s="327" t="s">
        <v>10</v>
      </c>
      <c r="D2172" s="292" t="s">
        <v>4035</v>
      </c>
      <c r="H2172" s="292" t="s">
        <v>3496</v>
      </c>
      <c r="I2172" s="301">
        <v>150</v>
      </c>
      <c r="J2172" s="301">
        <v>2535</v>
      </c>
      <c r="K2172" s="231" t="b">
        <f t="shared" si="44"/>
        <v>0</v>
      </c>
      <c r="L2172" s="299"/>
      <c r="M2172" s="299" t="s">
        <v>3276</v>
      </c>
      <c r="N2172" s="61"/>
      <c r="O2172" s="231">
        <v>2025</v>
      </c>
      <c r="P2172" s="303">
        <v>45946</v>
      </c>
      <c r="Q2172" s="90" t="s">
        <v>4228</v>
      </c>
      <c r="S2172" s="241" t="s">
        <v>453</v>
      </c>
      <c r="U2172" s="90">
        <v>1</v>
      </c>
      <c r="V2172" s="90">
        <v>1</v>
      </c>
      <c r="W2172" s="90">
        <v>0</v>
      </c>
      <c r="X2172" s="90" t="s">
        <v>4531</v>
      </c>
    </row>
    <row r="2173" spans="1:24" ht="15" customHeight="1">
      <c r="A2173" s="61">
        <v>2172</v>
      </c>
      <c r="B2173" s="327" t="s">
        <v>52</v>
      </c>
      <c r="C2173" s="327" t="s">
        <v>10</v>
      </c>
      <c r="D2173" s="292" t="s">
        <v>4037</v>
      </c>
      <c r="H2173" s="292" t="s">
        <v>4159</v>
      </c>
      <c r="I2173" s="301">
        <v>621</v>
      </c>
      <c r="J2173" s="301">
        <v>0</v>
      </c>
      <c r="K2173" s="231" t="b">
        <f t="shared" si="44"/>
        <v>0</v>
      </c>
      <c r="L2173" s="299"/>
      <c r="M2173" s="299" t="s">
        <v>3437</v>
      </c>
      <c r="N2173" s="61"/>
      <c r="O2173" s="231">
        <v>2025</v>
      </c>
      <c r="P2173" s="303">
        <v>45946</v>
      </c>
      <c r="Q2173" s="90" t="s">
        <v>4228</v>
      </c>
      <c r="S2173" s="241" t="s">
        <v>453</v>
      </c>
    </row>
    <row r="2174" spans="1:24" ht="15" customHeight="1">
      <c r="A2174" s="61">
        <v>2173</v>
      </c>
      <c r="B2174" s="327" t="s">
        <v>52</v>
      </c>
      <c r="C2174" s="327" t="s">
        <v>10</v>
      </c>
      <c r="D2174" s="292" t="s">
        <v>4038</v>
      </c>
      <c r="H2174" s="292" t="s">
        <v>4159</v>
      </c>
      <c r="I2174" s="301">
        <v>73</v>
      </c>
      <c r="J2174" s="301">
        <v>0</v>
      </c>
      <c r="K2174" s="231" t="b">
        <f t="shared" si="44"/>
        <v>0</v>
      </c>
      <c r="L2174" s="299"/>
      <c r="M2174" s="299" t="s">
        <v>3437</v>
      </c>
      <c r="N2174" s="61"/>
      <c r="O2174" s="231">
        <v>2025</v>
      </c>
      <c r="P2174" s="303">
        <v>45946</v>
      </c>
      <c r="Q2174" s="90" t="s">
        <v>4228</v>
      </c>
      <c r="S2174" s="241" t="s">
        <v>453</v>
      </c>
    </row>
    <row r="2175" spans="1:24" ht="15" customHeight="1">
      <c r="A2175" s="61">
        <v>2174</v>
      </c>
      <c r="B2175" s="327" t="s">
        <v>52</v>
      </c>
      <c r="C2175" s="327" t="s">
        <v>10</v>
      </c>
      <c r="D2175" s="292" t="s">
        <v>4039</v>
      </c>
      <c r="H2175" s="292" t="s">
        <v>3628</v>
      </c>
      <c r="I2175" s="301">
        <v>80</v>
      </c>
      <c r="J2175" s="301">
        <v>0</v>
      </c>
      <c r="K2175" s="231" t="b">
        <f t="shared" si="44"/>
        <v>0</v>
      </c>
      <c r="L2175" s="299"/>
      <c r="M2175" s="299" t="s">
        <v>3437</v>
      </c>
      <c r="N2175" s="61"/>
      <c r="O2175" s="231">
        <v>2025</v>
      </c>
      <c r="P2175" s="303">
        <v>45947</v>
      </c>
      <c r="Q2175" s="90" t="s">
        <v>4228</v>
      </c>
      <c r="S2175" s="241" t="s">
        <v>453</v>
      </c>
    </row>
    <row r="2176" spans="1:24" ht="15" customHeight="1">
      <c r="A2176" s="61">
        <v>2175</v>
      </c>
      <c r="B2176" s="327" t="s">
        <v>52</v>
      </c>
      <c r="C2176" s="327" t="s">
        <v>10</v>
      </c>
      <c r="D2176" s="292" t="s">
        <v>4040</v>
      </c>
      <c r="H2176" s="292" t="s">
        <v>3328</v>
      </c>
      <c r="I2176" s="301">
        <v>150</v>
      </c>
      <c r="J2176" s="301">
        <v>0</v>
      </c>
      <c r="K2176" s="231" t="b">
        <f t="shared" si="44"/>
        <v>0</v>
      </c>
      <c r="L2176" s="299"/>
      <c r="M2176" s="299" t="s">
        <v>3276</v>
      </c>
      <c r="N2176" s="61"/>
      <c r="O2176" s="231">
        <v>2025</v>
      </c>
      <c r="P2176" s="303">
        <v>45950</v>
      </c>
      <c r="Q2176" s="90" t="s">
        <v>4228</v>
      </c>
      <c r="S2176" s="241" t="s">
        <v>453</v>
      </c>
    </row>
    <row r="2177" spans="1:19" ht="15" customHeight="1">
      <c r="A2177" s="61">
        <v>2176</v>
      </c>
      <c r="B2177" s="327" t="s">
        <v>52</v>
      </c>
      <c r="C2177" s="327" t="s">
        <v>10</v>
      </c>
      <c r="D2177" s="292" t="s">
        <v>4041</v>
      </c>
      <c r="H2177" s="292" t="s">
        <v>4202</v>
      </c>
      <c r="I2177" s="301">
        <v>152</v>
      </c>
      <c r="J2177" s="301">
        <v>0</v>
      </c>
      <c r="K2177" s="231" t="b">
        <f t="shared" si="44"/>
        <v>0</v>
      </c>
      <c r="L2177" s="299"/>
      <c r="M2177" s="299" t="s">
        <v>3437</v>
      </c>
      <c r="N2177" s="61"/>
      <c r="O2177" s="231">
        <v>2025</v>
      </c>
      <c r="P2177" s="303">
        <v>45950</v>
      </c>
      <c r="Q2177" s="90" t="s">
        <v>4228</v>
      </c>
      <c r="S2177" s="241" t="s">
        <v>453</v>
      </c>
    </row>
    <row r="2178" spans="1:19" ht="15" customHeight="1">
      <c r="A2178" s="61">
        <v>2177</v>
      </c>
      <c r="B2178" s="327" t="s">
        <v>52</v>
      </c>
      <c r="C2178" s="327" t="s">
        <v>10</v>
      </c>
      <c r="D2178" s="292" t="s">
        <v>4042</v>
      </c>
      <c r="H2178" s="292" t="s">
        <v>4205</v>
      </c>
      <c r="I2178" s="301">
        <v>0</v>
      </c>
      <c r="J2178" s="301">
        <v>0</v>
      </c>
      <c r="K2178" s="231" t="b">
        <f t="shared" si="44"/>
        <v>0</v>
      </c>
      <c r="L2178" s="299"/>
      <c r="M2178" s="299" t="s">
        <v>3437</v>
      </c>
      <c r="N2178" s="61"/>
      <c r="O2178" s="231">
        <v>2025</v>
      </c>
      <c r="P2178" s="303">
        <v>45950</v>
      </c>
      <c r="Q2178" s="90" t="s">
        <v>4228</v>
      </c>
      <c r="S2178" s="241" t="s">
        <v>453</v>
      </c>
    </row>
    <row r="2179" spans="1:19" ht="15" customHeight="1">
      <c r="A2179" s="61">
        <v>2178</v>
      </c>
      <c r="B2179" s="327" t="s">
        <v>52</v>
      </c>
      <c r="C2179" s="327" t="s">
        <v>10</v>
      </c>
      <c r="D2179" s="292" t="s">
        <v>4043</v>
      </c>
      <c r="H2179" s="292" t="s">
        <v>4143</v>
      </c>
      <c r="I2179" s="301">
        <v>408</v>
      </c>
      <c r="J2179" s="301">
        <v>0</v>
      </c>
      <c r="K2179" s="231" t="b">
        <f t="shared" si="44"/>
        <v>0</v>
      </c>
      <c r="L2179" s="299"/>
      <c r="M2179" s="299" t="s">
        <v>3437</v>
      </c>
      <c r="N2179" s="61"/>
      <c r="O2179" s="231">
        <v>2025</v>
      </c>
      <c r="P2179" s="303">
        <v>45951</v>
      </c>
      <c r="Q2179" s="90" t="s">
        <v>4228</v>
      </c>
      <c r="S2179" s="241" t="s">
        <v>453</v>
      </c>
    </row>
    <row r="2180" spans="1:19" ht="15" customHeight="1">
      <c r="A2180" s="61">
        <v>2179</v>
      </c>
      <c r="B2180" s="327" t="s">
        <v>52</v>
      </c>
      <c r="C2180" s="327" t="s">
        <v>10</v>
      </c>
      <c r="D2180" s="292" t="s">
        <v>4044</v>
      </c>
      <c r="H2180" s="292" t="s">
        <v>3330</v>
      </c>
      <c r="I2180" s="301">
        <v>0</v>
      </c>
      <c r="J2180" s="301">
        <v>214</v>
      </c>
      <c r="K2180" s="231">
        <v>10</v>
      </c>
      <c r="L2180" s="299"/>
      <c r="M2180" s="299" t="s">
        <v>15</v>
      </c>
      <c r="N2180" s="61"/>
      <c r="O2180" s="231">
        <v>2025</v>
      </c>
      <c r="P2180" s="303">
        <v>45951</v>
      </c>
      <c r="Q2180" s="90" t="s">
        <v>4228</v>
      </c>
      <c r="S2180" s="241" t="s">
        <v>453</v>
      </c>
    </row>
    <row r="2181" spans="1:19" ht="15" customHeight="1">
      <c r="A2181" s="61">
        <v>2180</v>
      </c>
      <c r="B2181" s="327" t="s">
        <v>52</v>
      </c>
      <c r="C2181" s="327" t="s">
        <v>10</v>
      </c>
      <c r="D2181" s="292" t="s">
        <v>4045</v>
      </c>
      <c r="H2181" s="292" t="s">
        <v>4206</v>
      </c>
      <c r="I2181" s="301">
        <v>0</v>
      </c>
      <c r="J2181" s="301">
        <v>0</v>
      </c>
      <c r="K2181" s="231" t="b">
        <f t="shared" ref="K2181:K2193" si="45">IF(M2181="ONT",20,IF(M2181="N/A","N/A",IF(M2181="MIKROTIK",IF(J2181&lt;3000,10,IF(3000&lt;J2181&gt;10000,20,IF(10000&lt;J2181&gt;20000,40,IF(20000&lt;J2181&gt;40000,60,IF(J2181&gt;40000,80,IF(J2181&lt;300,3,)))))))))</f>
        <v>0</v>
      </c>
      <c r="L2181" s="299"/>
      <c r="M2181" s="299" t="s">
        <v>3437</v>
      </c>
      <c r="N2181" s="61"/>
      <c r="O2181" s="231">
        <v>2025</v>
      </c>
      <c r="P2181" s="303">
        <v>45951</v>
      </c>
      <c r="Q2181" s="90" t="s">
        <v>4228</v>
      </c>
      <c r="S2181" s="241" t="s">
        <v>453</v>
      </c>
    </row>
    <row r="2182" spans="1:19" ht="15" customHeight="1">
      <c r="A2182" s="61">
        <v>2181</v>
      </c>
      <c r="B2182" s="327" t="s">
        <v>52</v>
      </c>
      <c r="C2182" s="327" t="s">
        <v>10</v>
      </c>
      <c r="D2182" s="292" t="s">
        <v>4046</v>
      </c>
      <c r="H2182" s="292" t="s">
        <v>3628</v>
      </c>
      <c r="I2182" s="301">
        <v>82</v>
      </c>
      <c r="J2182" s="301">
        <v>0</v>
      </c>
      <c r="K2182" s="231" t="b">
        <f t="shared" si="45"/>
        <v>0</v>
      </c>
      <c r="L2182" s="299"/>
      <c r="M2182" s="299" t="s">
        <v>3437</v>
      </c>
      <c r="N2182" s="61"/>
      <c r="O2182" s="231">
        <v>2025</v>
      </c>
      <c r="P2182" s="303">
        <v>45952</v>
      </c>
      <c r="Q2182" s="90" t="s">
        <v>4228</v>
      </c>
      <c r="S2182" s="241" t="s">
        <v>453</v>
      </c>
    </row>
    <row r="2183" spans="1:19" ht="15" customHeight="1">
      <c r="A2183" s="61">
        <v>2182</v>
      </c>
      <c r="B2183" s="327" t="s">
        <v>52</v>
      </c>
      <c r="C2183" s="327" t="s">
        <v>10</v>
      </c>
      <c r="D2183" s="292" t="s">
        <v>4047</v>
      </c>
      <c r="H2183" s="292" t="s">
        <v>4157</v>
      </c>
      <c r="I2183" s="301">
        <v>99</v>
      </c>
      <c r="J2183" s="301">
        <v>0</v>
      </c>
      <c r="K2183" s="231" t="b">
        <f t="shared" si="45"/>
        <v>0</v>
      </c>
      <c r="L2183" s="299"/>
      <c r="M2183" s="299" t="s">
        <v>3437</v>
      </c>
      <c r="N2183" s="61"/>
      <c r="O2183" s="231">
        <v>2025</v>
      </c>
      <c r="P2183" s="303">
        <v>45953</v>
      </c>
      <c r="Q2183" s="90" t="s">
        <v>4228</v>
      </c>
      <c r="S2183" s="241" t="s">
        <v>453</v>
      </c>
    </row>
    <row r="2184" spans="1:19" ht="15" customHeight="1">
      <c r="A2184" s="61">
        <v>2183</v>
      </c>
      <c r="B2184" s="327" t="s">
        <v>52</v>
      </c>
      <c r="C2184" s="327" t="s">
        <v>10</v>
      </c>
      <c r="D2184" s="292" t="s">
        <v>4048</v>
      </c>
      <c r="H2184" s="292" t="s">
        <v>4202</v>
      </c>
      <c r="I2184" s="301">
        <v>103</v>
      </c>
      <c r="J2184" s="301">
        <v>0</v>
      </c>
      <c r="K2184" s="231" t="b">
        <f t="shared" si="45"/>
        <v>0</v>
      </c>
      <c r="L2184" s="299"/>
      <c r="M2184" s="299" t="s">
        <v>3437</v>
      </c>
      <c r="N2184" s="61"/>
      <c r="O2184" s="231">
        <v>2025</v>
      </c>
      <c r="P2184" s="303">
        <v>45960.25</v>
      </c>
      <c r="Q2184" s="90" t="s">
        <v>4228</v>
      </c>
      <c r="S2184" s="241" t="s">
        <v>453</v>
      </c>
    </row>
    <row r="2185" spans="1:19" ht="15" customHeight="1">
      <c r="A2185" s="61">
        <v>2184</v>
      </c>
      <c r="B2185" s="327" t="s">
        <v>52</v>
      </c>
      <c r="C2185" s="327" t="s">
        <v>10</v>
      </c>
      <c r="D2185" s="292" t="s">
        <v>4049</v>
      </c>
      <c r="H2185" s="292" t="s">
        <v>4202</v>
      </c>
      <c r="I2185" s="301">
        <v>212</v>
      </c>
      <c r="J2185" s="301">
        <v>0</v>
      </c>
      <c r="K2185" s="231" t="b">
        <f t="shared" si="45"/>
        <v>0</v>
      </c>
      <c r="L2185" s="299"/>
      <c r="M2185" s="299" t="s">
        <v>3437</v>
      </c>
      <c r="N2185" s="61"/>
      <c r="O2185" s="231">
        <v>2025</v>
      </c>
      <c r="P2185" s="303">
        <v>45960.25</v>
      </c>
      <c r="Q2185" s="90" t="s">
        <v>4228</v>
      </c>
      <c r="S2185" s="241" t="s">
        <v>453</v>
      </c>
    </row>
    <row r="2186" spans="1:19" ht="15" customHeight="1">
      <c r="A2186" s="61">
        <v>2185</v>
      </c>
      <c r="B2186" s="327" t="s">
        <v>52</v>
      </c>
      <c r="C2186" s="327" t="s">
        <v>10</v>
      </c>
      <c r="D2186" s="292" t="s">
        <v>4050</v>
      </c>
      <c r="H2186" s="292" t="s">
        <v>3722</v>
      </c>
      <c r="I2186" s="301">
        <v>89</v>
      </c>
      <c r="J2186" s="301">
        <v>0</v>
      </c>
      <c r="K2186" s="231" t="b">
        <f t="shared" si="45"/>
        <v>0</v>
      </c>
      <c r="L2186" s="299"/>
      <c r="M2186" s="299" t="s">
        <v>3276</v>
      </c>
      <c r="N2186" s="61"/>
      <c r="O2186" s="231">
        <v>2025</v>
      </c>
      <c r="P2186" s="303">
        <v>45958.25</v>
      </c>
      <c r="Q2186" s="90" t="s">
        <v>4228</v>
      </c>
      <c r="S2186" s="241" t="s">
        <v>453</v>
      </c>
    </row>
    <row r="2187" spans="1:19" ht="15" customHeight="1">
      <c r="A2187" s="61">
        <v>2186</v>
      </c>
      <c r="B2187" s="327" t="s">
        <v>52</v>
      </c>
      <c r="C2187" s="327" t="s">
        <v>10</v>
      </c>
      <c r="D2187" s="292" t="s">
        <v>4051</v>
      </c>
      <c r="H2187" s="292" t="s">
        <v>3363</v>
      </c>
      <c r="I2187" s="301">
        <v>0</v>
      </c>
      <c r="J2187" s="301">
        <v>1215</v>
      </c>
      <c r="K2187" s="231" t="b">
        <f t="shared" si="45"/>
        <v>0</v>
      </c>
      <c r="L2187" s="299"/>
      <c r="M2187" s="299" t="s">
        <v>3437</v>
      </c>
      <c r="N2187" s="61"/>
      <c r="O2187" s="231">
        <v>2025</v>
      </c>
      <c r="P2187" s="303">
        <v>45959.25</v>
      </c>
      <c r="Q2187" s="90" t="s">
        <v>4228</v>
      </c>
      <c r="S2187" s="241" t="s">
        <v>453</v>
      </c>
    </row>
    <row r="2188" spans="1:19" ht="15" customHeight="1">
      <c r="A2188" s="61">
        <v>2187</v>
      </c>
      <c r="B2188" s="327" t="s">
        <v>52</v>
      </c>
      <c r="C2188" s="327" t="s">
        <v>10</v>
      </c>
      <c r="D2188" s="292" t="s">
        <v>4052</v>
      </c>
      <c r="H2188" s="292" t="s">
        <v>3363</v>
      </c>
      <c r="I2188" s="301">
        <v>59</v>
      </c>
      <c r="J2188" s="301">
        <v>0</v>
      </c>
      <c r="K2188" s="231" t="b">
        <f t="shared" si="45"/>
        <v>0</v>
      </c>
      <c r="L2188" s="299"/>
      <c r="M2188" s="299" t="s">
        <v>3437</v>
      </c>
      <c r="N2188" s="61"/>
      <c r="O2188" s="231">
        <v>2025</v>
      </c>
      <c r="P2188" s="303">
        <v>45960.25</v>
      </c>
      <c r="Q2188" s="90" t="s">
        <v>4228</v>
      </c>
      <c r="S2188" s="241" t="s">
        <v>453</v>
      </c>
    </row>
    <row r="2189" spans="1:19" ht="15" customHeight="1">
      <c r="A2189" s="61">
        <v>2188</v>
      </c>
      <c r="B2189" s="327" t="s">
        <v>52</v>
      </c>
      <c r="C2189" s="327" t="s">
        <v>10</v>
      </c>
      <c r="D2189" s="292" t="s">
        <v>4053</v>
      </c>
      <c r="H2189" s="292" t="s">
        <v>3628</v>
      </c>
      <c r="I2189" s="301">
        <v>800</v>
      </c>
      <c r="J2189" s="301">
        <v>0</v>
      </c>
      <c r="K2189" s="231" t="b">
        <f t="shared" si="45"/>
        <v>0</v>
      </c>
      <c r="L2189" s="299"/>
      <c r="M2189" s="299" t="s">
        <v>3437</v>
      </c>
      <c r="N2189" s="61"/>
      <c r="O2189" s="231">
        <v>2025</v>
      </c>
      <c r="P2189" s="303">
        <v>45961.25</v>
      </c>
      <c r="Q2189" s="90" t="s">
        <v>4228</v>
      </c>
      <c r="S2189" s="241" t="s">
        <v>453</v>
      </c>
    </row>
    <row r="2190" spans="1:19" ht="15" customHeight="1">
      <c r="A2190" s="61">
        <v>2189</v>
      </c>
      <c r="B2190" s="327" t="s">
        <v>52</v>
      </c>
      <c r="C2190" s="327" t="s">
        <v>10</v>
      </c>
      <c r="D2190" s="292" t="s">
        <v>4054</v>
      </c>
      <c r="H2190" s="292" t="s">
        <v>3739</v>
      </c>
      <c r="I2190" s="301">
        <v>348</v>
      </c>
      <c r="J2190" s="301">
        <v>0</v>
      </c>
      <c r="K2190" s="231" t="b">
        <f t="shared" si="45"/>
        <v>0</v>
      </c>
      <c r="L2190" s="299"/>
      <c r="M2190" s="299" t="s">
        <v>3437</v>
      </c>
      <c r="N2190" s="61"/>
      <c r="O2190" s="231">
        <v>2025</v>
      </c>
      <c r="P2190" s="303">
        <v>45962</v>
      </c>
      <c r="Q2190" s="90" t="s">
        <v>4228</v>
      </c>
      <c r="S2190" s="241" t="s">
        <v>453</v>
      </c>
    </row>
    <row r="2191" spans="1:19" ht="15" customHeight="1">
      <c r="A2191" s="61">
        <v>2190</v>
      </c>
      <c r="B2191" s="327" t="s">
        <v>52</v>
      </c>
      <c r="C2191" s="327" t="s">
        <v>10</v>
      </c>
      <c r="D2191" s="292" t="s">
        <v>4055</v>
      </c>
      <c r="H2191" s="292" t="s">
        <v>4192</v>
      </c>
      <c r="I2191" s="301">
        <v>100</v>
      </c>
      <c r="J2191" s="301">
        <v>0</v>
      </c>
      <c r="K2191" s="231" t="b">
        <f t="shared" si="45"/>
        <v>0</v>
      </c>
      <c r="L2191" s="299"/>
      <c r="M2191" s="299" t="s">
        <v>3437</v>
      </c>
      <c r="N2191" s="61"/>
      <c r="O2191" s="231">
        <v>2025</v>
      </c>
      <c r="P2191" s="303">
        <v>45964</v>
      </c>
      <c r="Q2191" s="90" t="s">
        <v>4228</v>
      </c>
      <c r="S2191" s="241" t="s">
        <v>453</v>
      </c>
    </row>
    <row r="2192" spans="1:19" ht="15" customHeight="1">
      <c r="A2192" s="61">
        <v>2191</v>
      </c>
      <c r="B2192" s="327" t="s">
        <v>52</v>
      </c>
      <c r="C2192" s="327" t="s">
        <v>10</v>
      </c>
      <c r="D2192" s="292" t="s">
        <v>4056</v>
      </c>
      <c r="H2192" s="292" t="s">
        <v>3363</v>
      </c>
      <c r="I2192" s="301">
        <v>157</v>
      </c>
      <c r="J2192" s="301">
        <v>0</v>
      </c>
      <c r="K2192" s="231" t="b">
        <f t="shared" si="45"/>
        <v>0</v>
      </c>
      <c r="L2192" s="299"/>
      <c r="M2192" s="299" t="s">
        <v>3437</v>
      </c>
      <c r="N2192" s="61"/>
      <c r="O2192" s="231">
        <v>2025</v>
      </c>
      <c r="P2192" s="303">
        <v>45965</v>
      </c>
      <c r="Q2192" s="90" t="s">
        <v>4228</v>
      </c>
      <c r="S2192" s="241" t="s">
        <v>453</v>
      </c>
    </row>
    <row r="2193" spans="1:19" ht="15" customHeight="1">
      <c r="A2193" s="61">
        <v>2192</v>
      </c>
      <c r="B2193" s="327" t="s">
        <v>52</v>
      </c>
      <c r="C2193" s="327" t="s">
        <v>10</v>
      </c>
      <c r="D2193" s="292" t="s">
        <v>4057</v>
      </c>
      <c r="H2193" s="292" t="s">
        <v>4144</v>
      </c>
      <c r="I2193" s="301">
        <v>0</v>
      </c>
      <c r="J2193" s="301">
        <v>852</v>
      </c>
      <c r="K2193" s="231" t="b">
        <f t="shared" si="45"/>
        <v>0</v>
      </c>
      <c r="L2193" s="299"/>
      <c r="M2193" s="299" t="s">
        <v>3437</v>
      </c>
      <c r="N2193" s="61"/>
      <c r="O2193" s="231">
        <v>2025</v>
      </c>
      <c r="P2193" s="303">
        <v>45965</v>
      </c>
      <c r="Q2193" s="90" t="s">
        <v>4228</v>
      </c>
      <c r="S2193" s="241" t="s">
        <v>453</v>
      </c>
    </row>
    <row r="2194" spans="1:19" ht="15" customHeight="1">
      <c r="A2194" s="61">
        <v>2193</v>
      </c>
      <c r="B2194" s="327" t="s">
        <v>49</v>
      </c>
      <c r="C2194" s="327" t="s">
        <v>10</v>
      </c>
      <c r="D2194" s="292" t="s">
        <v>4058</v>
      </c>
      <c r="H2194" s="292" t="s">
        <v>3496</v>
      </c>
      <c r="I2194" s="301">
        <v>350</v>
      </c>
      <c r="J2194" s="301">
        <v>0</v>
      </c>
      <c r="K2194" s="301">
        <v>40</v>
      </c>
      <c r="L2194" s="299"/>
      <c r="M2194" s="299" t="s">
        <v>15</v>
      </c>
      <c r="N2194" s="61"/>
      <c r="O2194" s="231">
        <v>2025</v>
      </c>
      <c r="P2194" s="303">
        <v>45966</v>
      </c>
      <c r="Q2194" s="90" t="s">
        <v>4228</v>
      </c>
      <c r="S2194" s="241" t="s">
        <v>453</v>
      </c>
    </row>
    <row r="2195" spans="1:19" ht="15" customHeight="1">
      <c r="A2195" s="61">
        <v>2194</v>
      </c>
      <c r="B2195" s="327" t="s">
        <v>49</v>
      </c>
      <c r="C2195" s="327" t="s">
        <v>10</v>
      </c>
      <c r="D2195" s="292" t="s">
        <v>4059</v>
      </c>
      <c r="H2195" s="292" t="s">
        <v>3496</v>
      </c>
      <c r="I2195" s="301">
        <v>250</v>
      </c>
      <c r="J2195" s="301">
        <v>0</v>
      </c>
      <c r="K2195" s="231" t="b">
        <f t="shared" ref="K2195:K2198" si="46">IF(M2195="ONT",20,IF(M2195="N/A","N/A",IF(M2195="MIKROTIK",IF(J2195&lt;3000,10,IF(3000&lt;J2195&gt;10000,20,IF(10000&lt;J2195&gt;20000,40,IF(20000&lt;J2195&gt;40000,60,IF(J2195&gt;40000,80,IF(J2195&lt;300,3,)))))))))</f>
        <v>0</v>
      </c>
      <c r="L2195" s="299"/>
      <c r="M2195" s="299" t="s">
        <v>3276</v>
      </c>
      <c r="N2195" s="61"/>
      <c r="O2195" s="231">
        <v>2025</v>
      </c>
      <c r="P2195" s="303">
        <v>46006</v>
      </c>
      <c r="Q2195" s="90" t="s">
        <v>4228</v>
      </c>
      <c r="S2195" s="241" t="s">
        <v>453</v>
      </c>
    </row>
    <row r="2196" spans="1:19" ht="15" customHeight="1">
      <c r="A2196" s="61">
        <v>2195</v>
      </c>
      <c r="B2196" s="327" t="s">
        <v>52</v>
      </c>
      <c r="C2196" s="327" t="s">
        <v>10</v>
      </c>
      <c r="D2196" s="292" t="s">
        <v>4060</v>
      </c>
      <c r="H2196" s="292" t="s">
        <v>4207</v>
      </c>
      <c r="I2196" s="301">
        <v>0</v>
      </c>
      <c r="J2196" s="301">
        <v>0</v>
      </c>
      <c r="K2196" s="231" t="b">
        <f t="shared" si="46"/>
        <v>0</v>
      </c>
      <c r="L2196" s="299"/>
      <c r="M2196" s="299" t="s">
        <v>3437</v>
      </c>
      <c r="N2196" s="61"/>
      <c r="O2196" s="231">
        <v>2025</v>
      </c>
      <c r="P2196" s="303">
        <v>45966</v>
      </c>
      <c r="Q2196" s="90" t="s">
        <v>4231</v>
      </c>
      <c r="S2196" s="241" t="s">
        <v>453</v>
      </c>
    </row>
    <row r="2197" spans="1:19" ht="15" customHeight="1">
      <c r="A2197" s="61">
        <v>2196</v>
      </c>
      <c r="B2197" s="327" t="s">
        <v>52</v>
      </c>
      <c r="C2197" s="327" t="s">
        <v>10</v>
      </c>
      <c r="D2197" s="292" t="s">
        <v>4061</v>
      </c>
      <c r="H2197" s="292" t="s">
        <v>4173</v>
      </c>
      <c r="I2197" s="301">
        <v>0</v>
      </c>
      <c r="J2197" s="301">
        <v>0</v>
      </c>
      <c r="K2197" s="231" t="b">
        <f t="shared" si="46"/>
        <v>0</v>
      </c>
      <c r="L2197" s="299"/>
      <c r="M2197" s="299" t="s">
        <v>3437</v>
      </c>
      <c r="N2197" s="61"/>
      <c r="O2197" s="231">
        <v>2025</v>
      </c>
      <c r="P2197" s="303">
        <v>45966</v>
      </c>
      <c r="Q2197" s="90" t="s">
        <v>4231</v>
      </c>
      <c r="S2197" s="241" t="s">
        <v>453</v>
      </c>
    </row>
    <row r="2198" spans="1:19" ht="15" customHeight="1">
      <c r="A2198" s="61">
        <v>2197</v>
      </c>
      <c r="B2198" s="327" t="s">
        <v>52</v>
      </c>
      <c r="C2198" s="327" t="s">
        <v>10</v>
      </c>
      <c r="D2198" s="292" t="s">
        <v>4062</v>
      </c>
      <c r="H2198" s="292" t="s">
        <v>4208</v>
      </c>
      <c r="I2198" s="301">
        <v>0</v>
      </c>
      <c r="J2198" s="301">
        <v>684</v>
      </c>
      <c r="K2198" s="231" t="b">
        <f t="shared" si="46"/>
        <v>0</v>
      </c>
      <c r="L2198" s="299"/>
      <c r="M2198" s="299" t="s">
        <v>3437</v>
      </c>
      <c r="N2198" s="61"/>
      <c r="O2198" s="231">
        <v>2025</v>
      </c>
      <c r="P2198" s="303">
        <v>45966</v>
      </c>
      <c r="Q2198" s="90" t="s">
        <v>4231</v>
      </c>
      <c r="S2198" s="241" t="s">
        <v>453</v>
      </c>
    </row>
    <row r="2199" spans="1:19" ht="15" customHeight="1">
      <c r="A2199" s="61">
        <v>2198</v>
      </c>
      <c r="B2199" s="327" t="s">
        <v>53</v>
      </c>
      <c r="C2199" s="327" t="s">
        <v>10</v>
      </c>
      <c r="D2199" s="292" t="s">
        <v>4063</v>
      </c>
      <c r="H2199" s="292" t="s">
        <v>3493</v>
      </c>
      <c r="I2199" s="301">
        <v>577</v>
      </c>
      <c r="J2199" s="301">
        <v>0</v>
      </c>
      <c r="K2199" s="301">
        <v>20</v>
      </c>
      <c r="L2199" s="299"/>
      <c r="M2199" s="299" t="s">
        <v>15</v>
      </c>
      <c r="N2199" s="61"/>
      <c r="O2199" s="231">
        <v>2025</v>
      </c>
      <c r="P2199" s="303">
        <v>45974</v>
      </c>
      <c r="Q2199" s="90" t="s">
        <v>4231</v>
      </c>
      <c r="S2199" s="241" t="s">
        <v>453</v>
      </c>
    </row>
    <row r="2200" spans="1:19" ht="15" customHeight="1">
      <c r="A2200" s="61">
        <v>2199</v>
      </c>
      <c r="B2200" s="327" t="s">
        <v>52</v>
      </c>
      <c r="C2200" s="327" t="s">
        <v>10</v>
      </c>
      <c r="D2200" s="292" t="s">
        <v>4065</v>
      </c>
      <c r="H2200" s="292" t="s">
        <v>4128</v>
      </c>
      <c r="I2200" s="301">
        <v>0</v>
      </c>
      <c r="J2200" s="301">
        <v>681</v>
      </c>
      <c r="K2200" s="231" t="b">
        <f t="shared" ref="K2200" si="47">IF(M2200="ONT",20,IF(M2200="N/A","N/A",IF(M2200="MIKROTIK",IF(J2200&lt;3000,10,IF(3000&lt;J2200&gt;10000,20,IF(10000&lt;J2200&gt;20000,40,IF(20000&lt;J2200&gt;40000,60,IF(J2200&gt;40000,80,IF(J2200&lt;300,3,)))))))))</f>
        <v>0</v>
      </c>
      <c r="L2200" s="299"/>
      <c r="M2200" s="299" t="s">
        <v>3276</v>
      </c>
      <c r="N2200" s="61"/>
      <c r="O2200" s="231">
        <v>2025</v>
      </c>
      <c r="P2200" s="303">
        <v>45975.25</v>
      </c>
      <c r="Q2200" s="90" t="s">
        <v>4231</v>
      </c>
      <c r="S2200" s="241" t="s">
        <v>453</v>
      </c>
    </row>
    <row r="2201" spans="1:19" ht="15" customHeight="1">
      <c r="A2201" s="61">
        <v>2200</v>
      </c>
      <c r="B2201" s="327" t="s">
        <v>52</v>
      </c>
      <c r="C2201" s="327" t="s">
        <v>10</v>
      </c>
      <c r="D2201" s="292" t="s">
        <v>4066</v>
      </c>
      <c r="H2201" s="292" t="s">
        <v>4210</v>
      </c>
      <c r="I2201" s="301">
        <v>0</v>
      </c>
      <c r="J2201" s="301">
        <v>1942</v>
      </c>
      <c r="K2201" s="301">
        <v>20</v>
      </c>
      <c r="L2201" s="299"/>
      <c r="M2201" s="299" t="s">
        <v>15</v>
      </c>
      <c r="N2201" s="61"/>
      <c r="O2201" s="231">
        <v>2025</v>
      </c>
      <c r="P2201" s="303">
        <v>45978.25</v>
      </c>
      <c r="Q2201" s="90" t="s">
        <v>4231</v>
      </c>
      <c r="S2201" s="241" t="s">
        <v>453</v>
      </c>
    </row>
    <row r="2202" spans="1:19" ht="15" customHeight="1">
      <c r="A2202" s="61">
        <v>2201</v>
      </c>
      <c r="B2202" s="327" t="s">
        <v>52</v>
      </c>
      <c r="C2202" s="327" t="s">
        <v>10</v>
      </c>
      <c r="D2202" s="292" t="s">
        <v>4068</v>
      </c>
      <c r="H2202" s="292" t="s">
        <v>4181</v>
      </c>
      <c r="I2202" s="301">
        <v>166</v>
      </c>
      <c r="J2202" s="301">
        <v>0</v>
      </c>
      <c r="K2202" s="231" t="b">
        <f t="shared" ref="K2202:K2211" si="48">IF(M2202="ONT",20,IF(M2202="N/A","N/A",IF(M2202="MIKROTIK",IF(J2202&lt;3000,10,IF(3000&lt;J2202&gt;10000,20,IF(10000&lt;J2202&gt;20000,40,IF(20000&lt;J2202&gt;40000,60,IF(J2202&gt;40000,80,IF(J2202&lt;300,3,)))))))))</f>
        <v>0</v>
      </c>
      <c r="L2202" s="299"/>
      <c r="M2202" s="299" t="s">
        <v>3437</v>
      </c>
      <c r="N2202" s="61"/>
      <c r="O2202" s="231">
        <v>2025</v>
      </c>
      <c r="P2202" s="303">
        <v>45978</v>
      </c>
      <c r="Q2202" s="90" t="s">
        <v>4231</v>
      </c>
      <c r="S2202" s="241" t="s">
        <v>453</v>
      </c>
    </row>
    <row r="2203" spans="1:19" ht="15" customHeight="1">
      <c r="A2203" s="61">
        <v>2202</v>
      </c>
      <c r="B2203" s="327" t="s">
        <v>52</v>
      </c>
      <c r="C2203" s="327" t="s">
        <v>10</v>
      </c>
      <c r="D2203" s="292" t="s">
        <v>4069</v>
      </c>
      <c r="H2203" s="292" t="s">
        <v>4211</v>
      </c>
      <c r="I2203" s="301">
        <v>0</v>
      </c>
      <c r="J2203" s="301">
        <v>498</v>
      </c>
      <c r="K2203" s="231">
        <f t="shared" si="48"/>
        <v>10</v>
      </c>
      <c r="L2203" s="299"/>
      <c r="M2203" s="299" t="s">
        <v>15</v>
      </c>
      <c r="N2203" s="61"/>
      <c r="O2203" s="231">
        <v>2025</v>
      </c>
      <c r="P2203" s="303">
        <v>45978</v>
      </c>
      <c r="Q2203" s="90" t="s">
        <v>4231</v>
      </c>
      <c r="S2203" s="241" t="s">
        <v>453</v>
      </c>
    </row>
    <row r="2204" spans="1:19" ht="15" customHeight="1">
      <c r="A2204" s="61">
        <v>2203</v>
      </c>
      <c r="B2204" s="327" t="s">
        <v>55</v>
      </c>
      <c r="C2204" s="327" t="s">
        <v>10</v>
      </c>
      <c r="D2204" s="292" t="s">
        <v>4070</v>
      </c>
      <c r="H2204" s="292" t="s">
        <v>3411</v>
      </c>
      <c r="I2204" s="301">
        <v>0</v>
      </c>
      <c r="J2204" s="301">
        <v>745</v>
      </c>
      <c r="K2204" s="231" t="b">
        <f t="shared" si="48"/>
        <v>0</v>
      </c>
      <c r="L2204" s="299"/>
      <c r="M2204" s="299" t="s">
        <v>3276</v>
      </c>
      <c r="N2204" s="61"/>
      <c r="O2204" s="231">
        <v>2025</v>
      </c>
      <c r="P2204" s="303">
        <v>45979</v>
      </c>
      <c r="Q2204" s="90" t="s">
        <v>4231</v>
      </c>
      <c r="S2204" s="241" t="s">
        <v>453</v>
      </c>
    </row>
    <row r="2205" spans="1:19" ht="15" customHeight="1">
      <c r="A2205" s="61">
        <v>2204</v>
      </c>
      <c r="B2205" s="327" t="s">
        <v>52</v>
      </c>
      <c r="C2205" s="327" t="s">
        <v>10</v>
      </c>
      <c r="D2205" s="292" t="s">
        <v>4071</v>
      </c>
      <c r="H2205" s="292" t="s">
        <v>4159</v>
      </c>
      <c r="I2205" s="301">
        <v>200</v>
      </c>
      <c r="J2205" s="301">
        <v>0</v>
      </c>
      <c r="K2205" s="231" t="b">
        <f t="shared" si="48"/>
        <v>0</v>
      </c>
      <c r="L2205" s="299"/>
      <c r="M2205" s="299" t="s">
        <v>3276</v>
      </c>
      <c r="N2205" s="61"/>
      <c r="O2205" s="231">
        <v>2025</v>
      </c>
      <c r="P2205" s="303">
        <v>45979</v>
      </c>
      <c r="Q2205" s="90" t="s">
        <v>4231</v>
      </c>
      <c r="S2205" s="241" t="s">
        <v>453</v>
      </c>
    </row>
    <row r="2206" spans="1:19" ht="15" customHeight="1">
      <c r="A2206" s="61">
        <v>2205</v>
      </c>
      <c r="B2206" s="327" t="s">
        <v>52</v>
      </c>
      <c r="C2206" s="327" t="s">
        <v>10</v>
      </c>
      <c r="D2206" s="292" t="s">
        <v>4072</v>
      </c>
      <c r="H2206" s="292" t="s">
        <v>4161</v>
      </c>
      <c r="I2206" s="301">
        <v>166</v>
      </c>
      <c r="J2206" s="301">
        <v>0</v>
      </c>
      <c r="K2206" s="231" t="b">
        <f t="shared" si="48"/>
        <v>0</v>
      </c>
      <c r="L2206" s="299"/>
      <c r="M2206" s="299" t="s">
        <v>3437</v>
      </c>
      <c r="N2206" s="61"/>
      <c r="O2206" s="231">
        <v>2025</v>
      </c>
      <c r="P2206" s="303">
        <v>45980</v>
      </c>
      <c r="Q2206" s="90" t="s">
        <v>4231</v>
      </c>
      <c r="S2206" s="241" t="s">
        <v>453</v>
      </c>
    </row>
    <row r="2207" spans="1:19" ht="15" customHeight="1">
      <c r="A2207" s="61">
        <v>2206</v>
      </c>
      <c r="B2207" s="327" t="s">
        <v>52</v>
      </c>
      <c r="C2207" s="327" t="s">
        <v>10</v>
      </c>
      <c r="D2207" s="292" t="s">
        <v>4073</v>
      </c>
      <c r="H2207" s="292" t="s">
        <v>4202</v>
      </c>
      <c r="I2207" s="301">
        <v>135</v>
      </c>
      <c r="J2207" s="301">
        <v>0</v>
      </c>
      <c r="K2207" s="231" t="b">
        <f t="shared" si="48"/>
        <v>0</v>
      </c>
      <c r="L2207" s="299"/>
      <c r="M2207" s="299" t="s">
        <v>3437</v>
      </c>
      <c r="N2207" s="61"/>
      <c r="O2207" s="231">
        <v>2025</v>
      </c>
      <c r="P2207" s="303">
        <v>45980</v>
      </c>
      <c r="Q2207" s="90" t="s">
        <v>4231</v>
      </c>
      <c r="S2207" s="241" t="s">
        <v>453</v>
      </c>
    </row>
    <row r="2208" spans="1:19" ht="15" customHeight="1">
      <c r="A2208" s="61">
        <v>2207</v>
      </c>
      <c r="B2208" s="327" t="s">
        <v>52</v>
      </c>
      <c r="C2208" s="327" t="s">
        <v>10</v>
      </c>
      <c r="D2208" s="292" t="s">
        <v>4074</v>
      </c>
      <c r="H2208" s="292" t="s">
        <v>4171</v>
      </c>
      <c r="I2208" s="301">
        <v>45</v>
      </c>
      <c r="J2208" s="301">
        <v>350</v>
      </c>
      <c r="K2208" s="231" t="b">
        <f t="shared" si="48"/>
        <v>0</v>
      </c>
      <c r="L2208" s="299"/>
      <c r="M2208" s="299" t="s">
        <v>3276</v>
      </c>
      <c r="N2208" s="61"/>
      <c r="O2208" s="231">
        <v>2025</v>
      </c>
      <c r="P2208" s="303">
        <v>45980</v>
      </c>
      <c r="Q2208" s="90" t="s">
        <v>4231</v>
      </c>
      <c r="S2208" s="241" t="s">
        <v>453</v>
      </c>
    </row>
    <row r="2209" spans="1:19" ht="15" customHeight="1">
      <c r="A2209" s="61">
        <v>2208</v>
      </c>
      <c r="B2209" s="327" t="s">
        <v>52</v>
      </c>
      <c r="C2209" s="327" t="s">
        <v>10</v>
      </c>
      <c r="D2209" s="292" t="s">
        <v>4075</v>
      </c>
      <c r="H2209" s="292" t="s">
        <v>4171</v>
      </c>
      <c r="I2209" s="301">
        <v>90</v>
      </c>
      <c r="J2209" s="301">
        <v>0</v>
      </c>
      <c r="K2209" s="231" t="b">
        <f t="shared" si="48"/>
        <v>0</v>
      </c>
      <c r="L2209" s="299"/>
      <c r="M2209" s="299" t="s">
        <v>3276</v>
      </c>
      <c r="N2209" s="61"/>
      <c r="O2209" s="231">
        <v>2025</v>
      </c>
      <c r="P2209" s="303">
        <v>45980</v>
      </c>
      <c r="Q2209" s="90" t="s">
        <v>4231</v>
      </c>
      <c r="S2209" s="241" t="s">
        <v>453</v>
      </c>
    </row>
    <row r="2210" spans="1:19" ht="15" customHeight="1">
      <c r="A2210" s="61">
        <v>2209</v>
      </c>
      <c r="B2210" s="327" t="s">
        <v>52</v>
      </c>
      <c r="C2210" s="327" t="s">
        <v>10</v>
      </c>
      <c r="D2210" s="292" t="s">
        <v>4076</v>
      </c>
      <c r="H2210" s="292" t="s">
        <v>4171</v>
      </c>
      <c r="I2210" s="301">
        <v>135</v>
      </c>
      <c r="J2210" s="301">
        <v>0</v>
      </c>
      <c r="K2210" s="231" t="b">
        <f t="shared" si="48"/>
        <v>0</v>
      </c>
      <c r="L2210" s="299"/>
      <c r="M2210" s="299" t="s">
        <v>3276</v>
      </c>
      <c r="N2210" s="61"/>
      <c r="O2210" s="231">
        <v>2025</v>
      </c>
      <c r="P2210" s="303">
        <v>45980</v>
      </c>
      <c r="Q2210" s="90" t="s">
        <v>4231</v>
      </c>
      <c r="S2210" s="241" t="s">
        <v>453</v>
      </c>
    </row>
    <row r="2211" spans="1:19" ht="15" customHeight="1">
      <c r="A2211" s="61">
        <v>2210</v>
      </c>
      <c r="B2211" s="327" t="s">
        <v>52</v>
      </c>
      <c r="C2211" s="327" t="s">
        <v>10</v>
      </c>
      <c r="D2211" s="292" t="s">
        <v>4077</v>
      </c>
      <c r="H2211" s="292" t="s">
        <v>4171</v>
      </c>
      <c r="I2211" s="301">
        <v>180</v>
      </c>
      <c r="J2211" s="301">
        <v>0</v>
      </c>
      <c r="K2211" s="231" t="b">
        <f t="shared" si="48"/>
        <v>0</v>
      </c>
      <c r="L2211" s="299"/>
      <c r="M2211" s="299" t="s">
        <v>3276</v>
      </c>
      <c r="N2211" s="61"/>
      <c r="O2211" s="231">
        <v>2025</v>
      </c>
      <c r="P2211" s="303">
        <v>45980</v>
      </c>
      <c r="Q2211" s="90" t="s">
        <v>4231</v>
      </c>
      <c r="S2211" s="241" t="s">
        <v>453</v>
      </c>
    </row>
    <row r="2212" spans="1:19" ht="15" customHeight="1">
      <c r="A2212" s="61">
        <v>2211</v>
      </c>
      <c r="B2212" s="327" t="s">
        <v>49</v>
      </c>
      <c r="C2212" s="327" t="s">
        <v>10</v>
      </c>
      <c r="D2212" s="292" t="s">
        <v>4079</v>
      </c>
      <c r="H2212" s="292" t="s">
        <v>4212</v>
      </c>
      <c r="I2212" s="301">
        <v>504</v>
      </c>
      <c r="J2212" s="301">
        <v>4500</v>
      </c>
      <c r="K2212" s="301">
        <v>20</v>
      </c>
      <c r="L2212" s="299"/>
      <c r="M2212" s="299" t="s">
        <v>15</v>
      </c>
      <c r="N2212" s="61"/>
      <c r="O2212" s="231">
        <v>2025</v>
      </c>
      <c r="P2212" s="303">
        <v>45980</v>
      </c>
      <c r="Q2212" s="90" t="s">
        <v>4231</v>
      </c>
      <c r="S2212" s="241" t="s">
        <v>453</v>
      </c>
    </row>
    <row r="2213" spans="1:19" ht="15" customHeight="1">
      <c r="A2213" s="61">
        <v>2212</v>
      </c>
      <c r="B2213" s="327" t="s">
        <v>52</v>
      </c>
      <c r="C2213" s="327" t="s">
        <v>10</v>
      </c>
      <c r="D2213" s="292" t="s">
        <v>4080</v>
      </c>
      <c r="H2213" s="292" t="s">
        <v>4161</v>
      </c>
      <c r="I2213" s="301">
        <v>100</v>
      </c>
      <c r="J2213" s="301">
        <v>0</v>
      </c>
      <c r="K2213" s="231" t="b">
        <f t="shared" ref="K2213:K2226" si="49">IF(M2213="ONT",20,IF(M2213="N/A","N/A",IF(M2213="MIKROTIK",IF(J2213&lt;3000,10,IF(3000&lt;J2213&gt;10000,20,IF(10000&lt;J2213&gt;20000,40,IF(20000&lt;J2213&gt;40000,60,IF(J2213&gt;40000,80,IF(J2213&lt;300,3,)))))))))</f>
        <v>0</v>
      </c>
      <c r="L2213" s="292"/>
      <c r="M2213" s="299" t="s">
        <v>3437</v>
      </c>
      <c r="N2213" s="61"/>
      <c r="O2213" s="231">
        <v>2025</v>
      </c>
      <c r="P2213" s="303">
        <v>45980</v>
      </c>
      <c r="Q2213" s="90" t="s">
        <v>4231</v>
      </c>
      <c r="S2213" s="241" t="s">
        <v>453</v>
      </c>
    </row>
    <row r="2214" spans="1:19" ht="15" customHeight="1">
      <c r="A2214" s="61">
        <v>2213</v>
      </c>
      <c r="B2214" s="327" t="s">
        <v>55</v>
      </c>
      <c r="C2214" s="327" t="s">
        <v>10</v>
      </c>
      <c r="D2214" s="292" t="s">
        <v>4081</v>
      </c>
      <c r="H2214" s="292" t="s">
        <v>3664</v>
      </c>
      <c r="I2214" s="301">
        <v>0</v>
      </c>
      <c r="J2214" s="301">
        <v>550</v>
      </c>
      <c r="K2214" s="231">
        <f t="shared" si="49"/>
        <v>10</v>
      </c>
      <c r="L2214" s="299"/>
      <c r="M2214" s="299" t="s">
        <v>15</v>
      </c>
      <c r="N2214" s="61"/>
      <c r="O2214" s="231">
        <v>2025</v>
      </c>
      <c r="P2214" s="303">
        <v>45981</v>
      </c>
      <c r="Q2214" s="90" t="s">
        <v>4231</v>
      </c>
      <c r="S2214" s="241" t="s">
        <v>453</v>
      </c>
    </row>
    <row r="2215" spans="1:19" ht="15" customHeight="1">
      <c r="A2215" s="61">
        <v>2214</v>
      </c>
      <c r="B2215" s="327" t="s">
        <v>52</v>
      </c>
      <c r="C2215" s="327" t="s">
        <v>10</v>
      </c>
      <c r="D2215" s="292" t="s">
        <v>4082</v>
      </c>
      <c r="H2215" s="292" t="s">
        <v>3651</v>
      </c>
      <c r="I2215" s="301">
        <v>51</v>
      </c>
      <c r="J2215" s="301">
        <v>0</v>
      </c>
      <c r="K2215" s="231" t="b">
        <f t="shared" si="49"/>
        <v>0</v>
      </c>
      <c r="L2215" s="300"/>
      <c r="M2215" s="299" t="s">
        <v>3276</v>
      </c>
      <c r="N2215" s="61"/>
      <c r="O2215" s="231">
        <v>2025</v>
      </c>
      <c r="P2215" s="303">
        <v>45981</v>
      </c>
      <c r="Q2215" s="90" t="s">
        <v>4232</v>
      </c>
      <c r="S2215" s="241" t="s">
        <v>453</v>
      </c>
    </row>
    <row r="2216" spans="1:19" ht="15" customHeight="1">
      <c r="A2216" s="61">
        <v>2215</v>
      </c>
      <c r="B2216" s="327" t="s">
        <v>52</v>
      </c>
      <c r="C2216" s="327" t="s">
        <v>10</v>
      </c>
      <c r="D2216" s="292" t="s">
        <v>4083</v>
      </c>
      <c r="H2216" s="292" t="s">
        <v>4213</v>
      </c>
      <c r="I2216" s="301">
        <v>241</v>
      </c>
      <c r="J2216" s="301">
        <v>0</v>
      </c>
      <c r="K2216" s="231" t="b">
        <f t="shared" si="49"/>
        <v>0</v>
      </c>
      <c r="L2216" s="299"/>
      <c r="M2216" s="299" t="s">
        <v>3276</v>
      </c>
      <c r="N2216" s="61"/>
      <c r="O2216" s="231">
        <v>2025</v>
      </c>
      <c r="P2216" s="303">
        <v>46001</v>
      </c>
      <c r="Q2216" s="90" t="s">
        <v>4231</v>
      </c>
      <c r="S2216" s="241" t="s">
        <v>453</v>
      </c>
    </row>
    <row r="2217" spans="1:19" ht="15" customHeight="1">
      <c r="A2217" s="61">
        <v>2216</v>
      </c>
      <c r="B2217" s="327" t="s">
        <v>52</v>
      </c>
      <c r="C2217" s="327" t="s">
        <v>10</v>
      </c>
      <c r="D2217" s="292" t="s">
        <v>4084</v>
      </c>
      <c r="H2217" s="292" t="s">
        <v>4171</v>
      </c>
      <c r="I2217" s="301">
        <v>200</v>
      </c>
      <c r="J2217" s="301">
        <v>0</v>
      </c>
      <c r="K2217" s="231" t="b">
        <f t="shared" si="49"/>
        <v>0</v>
      </c>
      <c r="L2217" s="299"/>
      <c r="M2217" s="299" t="s">
        <v>3276</v>
      </c>
      <c r="N2217" s="61"/>
      <c r="O2217" s="231">
        <v>2025</v>
      </c>
      <c r="P2217" s="303">
        <v>45982</v>
      </c>
      <c r="Q2217" s="90" t="s">
        <v>4231</v>
      </c>
      <c r="S2217" s="241" t="s">
        <v>453</v>
      </c>
    </row>
    <row r="2218" spans="1:19" ht="15" customHeight="1">
      <c r="A2218" s="61">
        <v>2217</v>
      </c>
      <c r="B2218" s="327" t="s">
        <v>52</v>
      </c>
      <c r="C2218" s="327" t="s">
        <v>10</v>
      </c>
      <c r="D2218" s="292" t="s">
        <v>4085</v>
      </c>
      <c r="H2218" s="292" t="s">
        <v>4214</v>
      </c>
      <c r="I2218" s="301">
        <v>372</v>
      </c>
      <c r="J2218" s="301">
        <v>1800</v>
      </c>
      <c r="K2218" s="231" t="b">
        <f t="shared" si="49"/>
        <v>0</v>
      </c>
      <c r="L2218" s="299"/>
      <c r="M2218" s="299" t="s">
        <v>3276</v>
      </c>
      <c r="N2218" s="61"/>
      <c r="O2218" s="231">
        <v>2025</v>
      </c>
      <c r="P2218" s="303">
        <v>45982</v>
      </c>
      <c r="Q2218" s="90" t="s">
        <v>4231</v>
      </c>
      <c r="S2218" s="241" t="s">
        <v>453</v>
      </c>
    </row>
    <row r="2219" spans="1:19" ht="15" customHeight="1">
      <c r="A2219" s="61">
        <v>2218</v>
      </c>
      <c r="B2219" s="327" t="s">
        <v>52</v>
      </c>
      <c r="C2219" s="327" t="s">
        <v>10</v>
      </c>
      <c r="D2219" s="292" t="s">
        <v>4086</v>
      </c>
      <c r="H2219" s="292" t="s">
        <v>4134</v>
      </c>
      <c r="I2219" s="301">
        <v>311</v>
      </c>
      <c r="J2219" s="301">
        <v>0</v>
      </c>
      <c r="K2219" s="231" t="b">
        <f t="shared" si="49"/>
        <v>0</v>
      </c>
      <c r="L2219" s="299"/>
      <c r="M2219" s="299" t="s">
        <v>3276</v>
      </c>
      <c r="N2219" s="61"/>
      <c r="O2219" s="231">
        <v>2025</v>
      </c>
      <c r="P2219" s="303">
        <v>45982</v>
      </c>
      <c r="Q2219" s="90" t="s">
        <v>4231</v>
      </c>
      <c r="S2219" s="241" t="s">
        <v>453</v>
      </c>
    </row>
    <row r="2220" spans="1:19" ht="15" customHeight="1">
      <c r="A2220" s="61">
        <v>2219</v>
      </c>
      <c r="B2220" s="327" t="s">
        <v>52</v>
      </c>
      <c r="C2220" s="327" t="s">
        <v>10</v>
      </c>
      <c r="D2220" s="292" t="s">
        <v>4087</v>
      </c>
      <c r="H2220" s="292" t="s">
        <v>3360</v>
      </c>
      <c r="I2220" s="301">
        <v>0</v>
      </c>
      <c r="J2220" s="301">
        <v>0</v>
      </c>
      <c r="K2220" s="231" t="b">
        <f t="shared" si="49"/>
        <v>0</v>
      </c>
      <c r="L2220" s="299"/>
      <c r="M2220" s="299" t="s">
        <v>3437</v>
      </c>
      <c r="N2220" s="61"/>
      <c r="O2220" s="231">
        <v>2025</v>
      </c>
      <c r="P2220" s="303">
        <v>45983</v>
      </c>
      <c r="Q2220" s="90" t="s">
        <v>4231</v>
      </c>
      <c r="S2220" s="241" t="s">
        <v>453</v>
      </c>
    </row>
    <row r="2221" spans="1:19" ht="15" customHeight="1">
      <c r="A2221" s="61">
        <v>2220</v>
      </c>
      <c r="B2221" s="327" t="s">
        <v>52</v>
      </c>
      <c r="C2221" s="327" t="s">
        <v>10</v>
      </c>
      <c r="D2221" s="292" t="s">
        <v>4088</v>
      </c>
      <c r="H2221" s="292" t="s">
        <v>4215</v>
      </c>
      <c r="I2221" s="301">
        <v>0</v>
      </c>
      <c r="J2221" s="301">
        <v>879</v>
      </c>
      <c r="K2221" s="231" t="b">
        <f t="shared" si="49"/>
        <v>0</v>
      </c>
      <c r="L2221" s="299"/>
      <c r="M2221" s="299" t="s">
        <v>3437</v>
      </c>
      <c r="N2221" s="61"/>
      <c r="O2221" s="231">
        <v>2025</v>
      </c>
      <c r="P2221" s="303">
        <v>45983</v>
      </c>
      <c r="Q2221" s="90" t="s">
        <v>4231</v>
      </c>
      <c r="S2221" s="241" t="s">
        <v>453</v>
      </c>
    </row>
    <row r="2222" spans="1:19" ht="15" customHeight="1">
      <c r="A2222" s="61">
        <v>2221</v>
      </c>
      <c r="B2222" s="327" t="s">
        <v>52</v>
      </c>
      <c r="C2222" s="327" t="s">
        <v>10</v>
      </c>
      <c r="D2222" s="292" t="s">
        <v>4089</v>
      </c>
      <c r="H2222" s="292" t="s">
        <v>3732</v>
      </c>
      <c r="I2222" s="301">
        <v>90</v>
      </c>
      <c r="J2222" s="301">
        <v>511</v>
      </c>
      <c r="K2222" s="231" t="b">
        <f t="shared" si="49"/>
        <v>0</v>
      </c>
      <c r="L2222" s="299"/>
      <c r="M2222" s="299" t="s">
        <v>3437</v>
      </c>
      <c r="N2222" s="61"/>
      <c r="O2222" s="231">
        <v>2025</v>
      </c>
      <c r="P2222" s="303">
        <v>45985</v>
      </c>
      <c r="Q2222" s="90" t="s">
        <v>4231</v>
      </c>
      <c r="S2222" s="241" t="s">
        <v>453</v>
      </c>
    </row>
    <row r="2223" spans="1:19" ht="15" customHeight="1">
      <c r="A2223" s="61">
        <v>2222</v>
      </c>
      <c r="B2223" s="327" t="s">
        <v>52</v>
      </c>
      <c r="C2223" s="327" t="s">
        <v>10</v>
      </c>
      <c r="D2223" s="292" t="s">
        <v>4090</v>
      </c>
      <c r="H2223" s="292" t="s">
        <v>4152</v>
      </c>
      <c r="I2223" s="301">
        <v>250</v>
      </c>
      <c r="J2223" s="301">
        <v>1866</v>
      </c>
      <c r="K2223" s="231" t="b">
        <f t="shared" si="49"/>
        <v>0</v>
      </c>
      <c r="L2223" s="299"/>
      <c r="M2223" s="299" t="s">
        <v>4224</v>
      </c>
      <c r="N2223" s="61"/>
      <c r="O2223" s="231">
        <v>2025</v>
      </c>
      <c r="P2223" s="303">
        <v>45988</v>
      </c>
      <c r="Q2223" s="90" t="s">
        <v>4231</v>
      </c>
      <c r="S2223" s="241" t="s">
        <v>453</v>
      </c>
    </row>
    <row r="2224" spans="1:19" ht="15" customHeight="1">
      <c r="A2224" s="61">
        <v>2223</v>
      </c>
      <c r="B2224" s="327" t="s">
        <v>51</v>
      </c>
      <c r="C2224" s="327" t="s">
        <v>10</v>
      </c>
      <c r="D2224" s="292" t="s">
        <v>4091</v>
      </c>
      <c r="H2224" s="292" t="s">
        <v>4216</v>
      </c>
      <c r="I2224" s="301">
        <v>0</v>
      </c>
      <c r="J2224" s="301">
        <v>800</v>
      </c>
      <c r="K2224" s="231" t="b">
        <f t="shared" si="49"/>
        <v>0</v>
      </c>
      <c r="L2224" s="299"/>
      <c r="M2224" s="299" t="s">
        <v>4224</v>
      </c>
      <c r="N2224" s="61"/>
      <c r="O2224" s="231">
        <v>2025</v>
      </c>
      <c r="P2224" s="303">
        <v>45988</v>
      </c>
      <c r="Q2224" s="90" t="s">
        <v>4231</v>
      </c>
      <c r="S2224" s="241" t="s">
        <v>453</v>
      </c>
    </row>
    <row r="2225" spans="1:19" ht="15" customHeight="1">
      <c r="A2225" s="61">
        <v>2224</v>
      </c>
      <c r="B2225" s="327" t="s">
        <v>52</v>
      </c>
      <c r="C2225" s="327" t="s">
        <v>10</v>
      </c>
      <c r="D2225" s="292" t="s">
        <v>4092</v>
      </c>
      <c r="H2225" s="292" t="s">
        <v>4217</v>
      </c>
      <c r="I2225" s="301">
        <v>0</v>
      </c>
      <c r="J2225" s="301">
        <v>600</v>
      </c>
      <c r="K2225" s="231" t="b">
        <f t="shared" si="49"/>
        <v>0</v>
      </c>
      <c r="L2225" s="299"/>
      <c r="M2225" s="299" t="s">
        <v>4224</v>
      </c>
      <c r="N2225" s="61"/>
      <c r="O2225" s="231">
        <v>2025</v>
      </c>
      <c r="P2225" s="303">
        <v>45988</v>
      </c>
      <c r="Q2225" s="90" t="s">
        <v>4231</v>
      </c>
      <c r="S2225" s="241" t="s">
        <v>453</v>
      </c>
    </row>
    <row r="2226" spans="1:19" ht="15" customHeight="1">
      <c r="A2226" s="61">
        <v>2225</v>
      </c>
      <c r="B2226" s="327" t="s">
        <v>52</v>
      </c>
      <c r="C2226" s="327" t="s">
        <v>10</v>
      </c>
      <c r="D2226" s="292" t="s">
        <v>4093</v>
      </c>
      <c r="H2226" s="292" t="s">
        <v>4218</v>
      </c>
      <c r="I2226" s="301">
        <v>250</v>
      </c>
      <c r="J2226" s="301">
        <v>0</v>
      </c>
      <c r="K2226" s="231" t="b">
        <f t="shared" si="49"/>
        <v>0</v>
      </c>
      <c r="L2226" s="299"/>
      <c r="M2226" s="299" t="s">
        <v>4224</v>
      </c>
      <c r="N2226" s="61"/>
      <c r="O2226" s="231">
        <v>2025</v>
      </c>
      <c r="P2226" s="303">
        <v>45988</v>
      </c>
      <c r="Q2226" s="90" t="s">
        <v>4231</v>
      </c>
      <c r="S2226" s="241" t="s">
        <v>453</v>
      </c>
    </row>
    <row r="2227" spans="1:19" ht="15" customHeight="1">
      <c r="A2227" s="61">
        <v>2226</v>
      </c>
      <c r="B2227" s="327" t="s">
        <v>55</v>
      </c>
      <c r="C2227" s="327" t="s">
        <v>10</v>
      </c>
      <c r="D2227" s="292" t="s">
        <v>4094</v>
      </c>
      <c r="H2227" s="292" t="s">
        <v>3664</v>
      </c>
      <c r="I2227" s="301">
        <v>0</v>
      </c>
      <c r="J2227" s="301">
        <v>250</v>
      </c>
      <c r="K2227" s="301">
        <v>20</v>
      </c>
      <c r="L2227" s="299"/>
      <c r="M2227" s="299" t="s">
        <v>15</v>
      </c>
      <c r="N2227" s="61"/>
      <c r="O2227" s="231">
        <v>2025</v>
      </c>
      <c r="P2227" s="303">
        <v>45988</v>
      </c>
      <c r="Q2227" s="90" t="s">
        <v>4231</v>
      </c>
      <c r="S2227" s="241" t="s">
        <v>453</v>
      </c>
    </row>
    <row r="2228" spans="1:19" ht="15" customHeight="1">
      <c r="A2228" s="61">
        <v>2227</v>
      </c>
      <c r="B2228" s="327" t="s">
        <v>53</v>
      </c>
      <c r="C2228" s="327" t="s">
        <v>10</v>
      </c>
      <c r="D2228" s="292" t="s">
        <v>4095</v>
      </c>
      <c r="H2228" s="292" t="s">
        <v>4219</v>
      </c>
      <c r="I2228" s="301">
        <v>375</v>
      </c>
      <c r="J2228" s="301">
        <v>0</v>
      </c>
      <c r="K2228" s="301">
        <v>3</v>
      </c>
      <c r="L2228" s="299"/>
      <c r="M2228" s="299" t="s">
        <v>15</v>
      </c>
      <c r="N2228" s="61"/>
      <c r="O2228" s="231">
        <v>2025</v>
      </c>
      <c r="P2228" s="303">
        <v>45988</v>
      </c>
      <c r="Q2228" s="90" t="s">
        <v>4231</v>
      </c>
      <c r="S2228" s="241" t="s">
        <v>453</v>
      </c>
    </row>
    <row r="2229" spans="1:19" ht="15" customHeight="1">
      <c r="A2229" s="61">
        <v>2228</v>
      </c>
      <c r="B2229" s="327" t="s">
        <v>52</v>
      </c>
      <c r="C2229" s="327" t="s">
        <v>10</v>
      </c>
      <c r="D2229" s="292" t="s">
        <v>4096</v>
      </c>
      <c r="H2229" s="292" t="s">
        <v>4152</v>
      </c>
      <c r="I2229" s="301">
        <v>0</v>
      </c>
      <c r="J2229" s="301">
        <v>885</v>
      </c>
      <c r="K2229" s="231" t="b">
        <f t="shared" ref="K2229:K2239" si="50">IF(M2229="ONT",20,IF(M2229="N/A","N/A",IF(M2229="MIKROTIK",IF(J2229&lt;3000,10,IF(3000&lt;J2229&gt;10000,20,IF(10000&lt;J2229&gt;20000,40,IF(20000&lt;J2229&gt;40000,60,IF(J2229&gt;40000,80,IF(J2229&lt;300,3,)))))))))</f>
        <v>0</v>
      </c>
      <c r="L2229" s="299"/>
      <c r="M2229" s="299" t="s">
        <v>4224</v>
      </c>
      <c r="N2229" s="61"/>
      <c r="O2229" s="231">
        <v>2025</v>
      </c>
      <c r="P2229" s="303">
        <v>46001</v>
      </c>
      <c r="Q2229" s="90" t="s">
        <v>4231</v>
      </c>
      <c r="S2229" s="241" t="s">
        <v>453</v>
      </c>
    </row>
    <row r="2230" spans="1:19" ht="15" customHeight="1">
      <c r="A2230" s="61">
        <v>2229</v>
      </c>
      <c r="B2230" s="327" t="s">
        <v>52</v>
      </c>
      <c r="C2230" s="327" t="s">
        <v>10</v>
      </c>
      <c r="D2230" s="292" t="s">
        <v>4097</v>
      </c>
      <c r="H2230" s="292" t="s">
        <v>3421</v>
      </c>
      <c r="I2230" s="301">
        <v>0</v>
      </c>
      <c r="J2230" s="301">
        <v>605</v>
      </c>
      <c r="K2230" s="231" t="b">
        <f t="shared" si="50"/>
        <v>0</v>
      </c>
      <c r="L2230" s="299"/>
      <c r="M2230" s="299" t="s">
        <v>4224</v>
      </c>
      <c r="N2230" s="61"/>
      <c r="O2230" s="231">
        <v>2025</v>
      </c>
      <c r="P2230" s="303">
        <v>46001</v>
      </c>
      <c r="Q2230" s="90" t="s">
        <v>4231</v>
      </c>
      <c r="S2230" s="241" t="s">
        <v>453</v>
      </c>
    </row>
    <row r="2231" spans="1:19" ht="15" customHeight="1">
      <c r="A2231" s="61">
        <v>2230</v>
      </c>
      <c r="B2231" s="327" t="s">
        <v>52</v>
      </c>
      <c r="C2231" s="327" t="s">
        <v>10</v>
      </c>
      <c r="D2231" s="292" t="s">
        <v>4098</v>
      </c>
      <c r="H2231" s="292" t="s">
        <v>4220</v>
      </c>
      <c r="I2231" s="301">
        <v>559</v>
      </c>
      <c r="J2231" s="301">
        <v>0</v>
      </c>
      <c r="K2231" s="231" t="b">
        <f t="shared" si="50"/>
        <v>0</v>
      </c>
      <c r="L2231" s="299"/>
      <c r="M2231" s="299" t="s">
        <v>4224</v>
      </c>
      <c r="N2231" s="61"/>
      <c r="O2231" s="231">
        <v>2025</v>
      </c>
      <c r="P2231" s="303">
        <v>45992</v>
      </c>
      <c r="Q2231" s="90" t="s">
        <v>4231</v>
      </c>
      <c r="S2231" s="241" t="s">
        <v>453</v>
      </c>
    </row>
    <row r="2232" spans="1:19" ht="15" customHeight="1">
      <c r="A2232" s="61">
        <v>2231</v>
      </c>
      <c r="B2232" s="327" t="s">
        <v>52</v>
      </c>
      <c r="C2232" s="327" t="s">
        <v>10</v>
      </c>
      <c r="D2232" s="292" t="s">
        <v>4099</v>
      </c>
      <c r="H2232" s="292" t="s">
        <v>4218</v>
      </c>
      <c r="I2232" s="301">
        <v>200</v>
      </c>
      <c r="J2232" s="301">
        <v>0</v>
      </c>
      <c r="K2232" s="231" t="b">
        <f t="shared" si="50"/>
        <v>0</v>
      </c>
      <c r="L2232" s="299"/>
      <c r="M2232" s="299" t="s">
        <v>4224</v>
      </c>
      <c r="N2232" s="61"/>
      <c r="O2232" s="231">
        <v>2025</v>
      </c>
      <c r="P2232" s="303">
        <v>46000</v>
      </c>
      <c r="Q2232" s="90" t="s">
        <v>4231</v>
      </c>
      <c r="S2232" s="241" t="s">
        <v>453</v>
      </c>
    </row>
    <row r="2233" spans="1:19" ht="15" customHeight="1">
      <c r="A2233" s="61">
        <v>2232</v>
      </c>
      <c r="B2233" s="327" t="s">
        <v>52</v>
      </c>
      <c r="C2233" s="327" t="s">
        <v>10</v>
      </c>
      <c r="D2233" s="292" t="s">
        <v>4100</v>
      </c>
      <c r="H2233" s="292" t="s">
        <v>4143</v>
      </c>
      <c r="I2233" s="301">
        <v>0</v>
      </c>
      <c r="J2233" s="301">
        <v>1225</v>
      </c>
      <c r="K2233" s="231" t="b">
        <f t="shared" si="50"/>
        <v>0</v>
      </c>
      <c r="L2233" s="299"/>
      <c r="M2233" s="299" t="s">
        <v>3437</v>
      </c>
      <c r="N2233" s="61"/>
      <c r="O2233" s="231">
        <v>2025</v>
      </c>
      <c r="P2233" s="303">
        <v>45990.25</v>
      </c>
      <c r="Q2233" s="90" t="s">
        <v>4231</v>
      </c>
      <c r="S2233" s="241" t="s">
        <v>453</v>
      </c>
    </row>
    <row r="2234" spans="1:19" ht="15" customHeight="1">
      <c r="A2234" s="61">
        <v>2233</v>
      </c>
      <c r="B2234" s="327" t="s">
        <v>52</v>
      </c>
      <c r="C2234" s="327" t="s">
        <v>10</v>
      </c>
      <c r="D2234" s="292" t="s">
        <v>4101</v>
      </c>
      <c r="H2234" s="292" t="s">
        <v>4213</v>
      </c>
      <c r="I2234" s="301">
        <v>119</v>
      </c>
      <c r="J2234" s="301">
        <v>0</v>
      </c>
      <c r="K2234" s="231" t="b">
        <f t="shared" si="50"/>
        <v>0</v>
      </c>
      <c r="L2234" s="299"/>
      <c r="M2234" s="292" t="s">
        <v>3437</v>
      </c>
      <c r="N2234" s="61"/>
      <c r="O2234" s="231">
        <v>2025</v>
      </c>
      <c r="P2234" s="303">
        <v>45992</v>
      </c>
      <c r="Q2234" s="90" t="s">
        <v>4231</v>
      </c>
      <c r="S2234" s="241" t="s">
        <v>453</v>
      </c>
    </row>
    <row r="2235" spans="1:19" ht="15" customHeight="1">
      <c r="A2235" s="61">
        <v>2234</v>
      </c>
      <c r="B2235" s="327" t="s">
        <v>52</v>
      </c>
      <c r="C2235" s="327" t="s">
        <v>10</v>
      </c>
      <c r="D2235" s="292" t="s">
        <v>4102</v>
      </c>
      <c r="H2235" s="292" t="s">
        <v>3363</v>
      </c>
      <c r="I2235" s="301">
        <v>157</v>
      </c>
      <c r="J2235" s="301">
        <v>0</v>
      </c>
      <c r="K2235" s="231" t="b">
        <f t="shared" si="50"/>
        <v>0</v>
      </c>
      <c r="L2235" s="299"/>
      <c r="M2235" s="299" t="s">
        <v>3437</v>
      </c>
      <c r="N2235" s="61"/>
      <c r="O2235" s="231">
        <v>2025</v>
      </c>
      <c r="P2235" s="303">
        <v>45993</v>
      </c>
      <c r="Q2235" s="90" t="s">
        <v>4231</v>
      </c>
      <c r="S2235" s="241" t="s">
        <v>453</v>
      </c>
    </row>
    <row r="2236" spans="1:19" ht="15" customHeight="1">
      <c r="A2236" s="61">
        <v>2235</v>
      </c>
      <c r="B2236" s="327" t="s">
        <v>52</v>
      </c>
      <c r="C2236" s="327" t="s">
        <v>10</v>
      </c>
      <c r="D2236" s="292" t="s">
        <v>4103</v>
      </c>
      <c r="H2236" s="292" t="s">
        <v>4192</v>
      </c>
      <c r="I2236" s="301">
        <v>69</v>
      </c>
      <c r="J2236" s="301">
        <v>0</v>
      </c>
      <c r="K2236" s="231" t="b">
        <f t="shared" si="50"/>
        <v>0</v>
      </c>
      <c r="L2236" s="299"/>
      <c r="M2236" s="299" t="s">
        <v>3437</v>
      </c>
      <c r="N2236" s="61"/>
      <c r="O2236" s="231">
        <v>2025</v>
      </c>
      <c r="P2236" s="303">
        <v>45993</v>
      </c>
      <c r="Q2236" s="90" t="s">
        <v>4231</v>
      </c>
      <c r="S2236" s="241" t="s">
        <v>453</v>
      </c>
    </row>
    <row r="2237" spans="1:19" ht="15" customHeight="1">
      <c r="A2237" s="61">
        <v>2236</v>
      </c>
      <c r="B2237" s="327" t="s">
        <v>52</v>
      </c>
      <c r="C2237" s="327" t="s">
        <v>10</v>
      </c>
      <c r="D2237" s="292" t="s">
        <v>4104</v>
      </c>
      <c r="H2237" s="292" t="s">
        <v>3416</v>
      </c>
      <c r="I2237" s="301">
        <v>280</v>
      </c>
      <c r="J2237" s="301">
        <v>0</v>
      </c>
      <c r="K2237" s="231" t="b">
        <f t="shared" si="50"/>
        <v>0</v>
      </c>
      <c r="L2237" s="299"/>
      <c r="M2237" s="299" t="s">
        <v>3437</v>
      </c>
      <c r="N2237" s="61"/>
      <c r="O2237" s="231">
        <v>2025</v>
      </c>
      <c r="P2237" s="303">
        <v>45994.25</v>
      </c>
      <c r="Q2237" s="90" t="s">
        <v>4232</v>
      </c>
      <c r="S2237" s="241" t="s">
        <v>453</v>
      </c>
    </row>
    <row r="2238" spans="1:19" ht="15" customHeight="1">
      <c r="A2238" s="61">
        <v>2237</v>
      </c>
      <c r="B2238" s="327" t="s">
        <v>52</v>
      </c>
      <c r="C2238" s="327" t="s">
        <v>10</v>
      </c>
      <c r="D2238" s="292" t="s">
        <v>4105</v>
      </c>
      <c r="H2238" s="292" t="s">
        <v>3439</v>
      </c>
      <c r="I2238" s="301">
        <v>540</v>
      </c>
      <c r="J2238" s="301">
        <v>45</v>
      </c>
      <c r="K2238" s="231" t="b">
        <f t="shared" si="50"/>
        <v>0</v>
      </c>
      <c r="L2238" s="300"/>
      <c r="M2238" s="299" t="s">
        <v>3437</v>
      </c>
      <c r="N2238" s="61"/>
      <c r="O2238" s="231">
        <v>2025</v>
      </c>
      <c r="P2238" s="303">
        <v>45995.25</v>
      </c>
      <c r="Q2238" s="90" t="s">
        <v>4232</v>
      </c>
      <c r="S2238" s="241" t="s">
        <v>453</v>
      </c>
    </row>
    <row r="2239" spans="1:19" ht="15" customHeight="1">
      <c r="A2239" s="61">
        <v>2238</v>
      </c>
      <c r="B2239" s="327" t="s">
        <v>52</v>
      </c>
      <c r="C2239" s="327" t="s">
        <v>10</v>
      </c>
      <c r="D2239" s="292" t="s">
        <v>4106</v>
      </c>
      <c r="H2239" s="292" t="s">
        <v>4143</v>
      </c>
      <c r="I2239" s="301">
        <v>292</v>
      </c>
      <c r="J2239" s="301">
        <v>0</v>
      </c>
      <c r="K2239" s="231" t="b">
        <f t="shared" si="50"/>
        <v>0</v>
      </c>
      <c r="L2239" s="300"/>
      <c r="M2239" s="299" t="s">
        <v>3437</v>
      </c>
      <c r="N2239" s="61"/>
      <c r="O2239" s="231">
        <v>2025</v>
      </c>
      <c r="P2239" s="303">
        <v>45996.25</v>
      </c>
      <c r="Q2239" s="90" t="s">
        <v>4232</v>
      </c>
      <c r="S2239" s="241" t="s">
        <v>453</v>
      </c>
    </row>
    <row r="2240" spans="1:19" ht="15" customHeight="1">
      <c r="A2240" s="61">
        <v>2239</v>
      </c>
      <c r="B2240" s="327" t="s">
        <v>53</v>
      </c>
      <c r="C2240" s="327" t="s">
        <v>10</v>
      </c>
      <c r="D2240" s="292" t="s">
        <v>4107</v>
      </c>
      <c r="H2240" s="292" t="s">
        <v>3666</v>
      </c>
      <c r="I2240" s="301">
        <v>0</v>
      </c>
      <c r="J2240" s="301">
        <v>1700</v>
      </c>
      <c r="K2240" s="301">
        <v>20</v>
      </c>
      <c r="L2240" s="300"/>
      <c r="M2240" s="299" t="s">
        <v>15</v>
      </c>
      <c r="N2240" s="61"/>
      <c r="O2240" s="231">
        <v>2025</v>
      </c>
      <c r="P2240" s="303">
        <v>46002</v>
      </c>
      <c r="Q2240" s="90" t="s">
        <v>4232</v>
      </c>
      <c r="S2240" s="241" t="s">
        <v>453</v>
      </c>
    </row>
    <row r="2241" spans="1:19" ht="15" customHeight="1">
      <c r="A2241" s="61">
        <v>2240</v>
      </c>
      <c r="B2241" s="327" t="s">
        <v>52</v>
      </c>
      <c r="C2241" s="327" t="s">
        <v>10</v>
      </c>
      <c r="D2241" s="292" t="s">
        <v>4108</v>
      </c>
      <c r="H2241" s="292" t="s">
        <v>4221</v>
      </c>
      <c r="I2241" s="301">
        <v>211</v>
      </c>
      <c r="J2241" s="301">
        <v>0</v>
      </c>
      <c r="K2241" s="231" t="b">
        <f t="shared" ref="K2241:K2245" si="51">IF(M2241="ONT",20,IF(M2241="N/A","N/A",IF(M2241="MIKROTIK",IF(J2241&lt;3000,10,IF(3000&lt;J2241&gt;10000,20,IF(10000&lt;J2241&gt;20000,40,IF(20000&lt;J2241&gt;40000,60,IF(J2241&gt;40000,80,IF(J2241&lt;300,3,)))))))))</f>
        <v>0</v>
      </c>
      <c r="L2241" s="300"/>
      <c r="M2241" s="299" t="s">
        <v>3437</v>
      </c>
      <c r="N2241" s="61"/>
      <c r="O2241" s="231">
        <v>2025</v>
      </c>
      <c r="P2241" s="303">
        <v>46002</v>
      </c>
      <c r="Q2241" s="90" t="s">
        <v>4232</v>
      </c>
      <c r="S2241" s="241" t="s">
        <v>453</v>
      </c>
    </row>
    <row r="2242" spans="1:19" ht="15" customHeight="1">
      <c r="A2242" s="61">
        <v>2241</v>
      </c>
      <c r="B2242" s="327" t="s">
        <v>52</v>
      </c>
      <c r="C2242" s="327" t="s">
        <v>10</v>
      </c>
      <c r="D2242" s="292" t="s">
        <v>4109</v>
      </c>
      <c r="H2242" s="292" t="s">
        <v>3722</v>
      </c>
      <c r="I2242" s="301">
        <v>355</v>
      </c>
      <c r="J2242" s="301">
        <v>0</v>
      </c>
      <c r="K2242" s="231" t="b">
        <f t="shared" si="51"/>
        <v>0</v>
      </c>
      <c r="L2242" s="300"/>
      <c r="M2242" s="299" t="s">
        <v>3437</v>
      </c>
      <c r="N2242" s="61"/>
      <c r="O2242" s="231">
        <v>2025</v>
      </c>
      <c r="P2242" s="303">
        <v>46002</v>
      </c>
      <c r="Q2242" s="90" t="s">
        <v>4233</v>
      </c>
      <c r="S2242" s="241" t="s">
        <v>453</v>
      </c>
    </row>
    <row r="2243" spans="1:19" ht="15" customHeight="1">
      <c r="A2243" s="61">
        <v>2242</v>
      </c>
      <c r="B2243" s="327" t="s">
        <v>49</v>
      </c>
      <c r="C2243" s="327" t="s">
        <v>10</v>
      </c>
      <c r="D2243" s="292" t="s">
        <v>4110</v>
      </c>
      <c r="H2243" s="292" t="s">
        <v>4178</v>
      </c>
      <c r="I2243" s="301">
        <v>290</v>
      </c>
      <c r="J2243" s="301">
        <v>0</v>
      </c>
      <c r="K2243" s="231" t="b">
        <f t="shared" si="51"/>
        <v>0</v>
      </c>
      <c r="L2243" s="300"/>
      <c r="M2243" s="299" t="s">
        <v>3276</v>
      </c>
      <c r="N2243" s="61"/>
      <c r="O2243" s="231">
        <v>2025</v>
      </c>
      <c r="P2243" s="303">
        <v>46003</v>
      </c>
      <c r="Q2243" s="90" t="s">
        <v>4232</v>
      </c>
      <c r="S2243" s="241" t="s">
        <v>453</v>
      </c>
    </row>
    <row r="2244" spans="1:19" ht="15" customHeight="1">
      <c r="A2244" s="61">
        <v>2243</v>
      </c>
      <c r="B2244" s="327" t="s">
        <v>52</v>
      </c>
      <c r="C2244" s="327" t="s">
        <v>10</v>
      </c>
      <c r="D2244" s="292" t="s">
        <v>4111</v>
      </c>
      <c r="H2244" s="292" t="s">
        <v>4145</v>
      </c>
      <c r="I2244" s="301">
        <v>0</v>
      </c>
      <c r="J2244" s="301">
        <v>636</v>
      </c>
      <c r="K2244" s="231" t="b">
        <f t="shared" si="51"/>
        <v>0</v>
      </c>
      <c r="L2244" s="300"/>
      <c r="M2244" s="299" t="s">
        <v>4226</v>
      </c>
      <c r="N2244" s="61"/>
      <c r="O2244" s="231">
        <v>2025</v>
      </c>
      <c r="P2244" s="303">
        <v>46003</v>
      </c>
      <c r="Q2244" s="90" t="s">
        <v>4232</v>
      </c>
      <c r="S2244" s="241" t="s">
        <v>453</v>
      </c>
    </row>
    <row r="2245" spans="1:19" ht="15" customHeight="1">
      <c r="A2245" s="61">
        <v>2244</v>
      </c>
      <c r="B2245" s="327" t="s">
        <v>52</v>
      </c>
      <c r="C2245" s="327" t="s">
        <v>10</v>
      </c>
      <c r="D2245" s="292" t="s">
        <v>4114</v>
      </c>
      <c r="H2245" s="292" t="s">
        <v>4222</v>
      </c>
      <c r="I2245" s="301">
        <v>0</v>
      </c>
      <c r="J2245" s="301">
        <v>605</v>
      </c>
      <c r="K2245" s="231" t="b">
        <f t="shared" si="51"/>
        <v>0</v>
      </c>
      <c r="L2245" s="300"/>
      <c r="M2245" s="299" t="s">
        <v>3276</v>
      </c>
      <c r="N2245" s="61"/>
      <c r="O2245" s="231">
        <v>2025</v>
      </c>
      <c r="P2245" s="303">
        <v>46004</v>
      </c>
      <c r="Q2245" s="90" t="s">
        <v>4232</v>
      </c>
      <c r="S2245" s="241" t="s">
        <v>453</v>
      </c>
    </row>
    <row r="2246" spans="1:19" ht="15" customHeight="1">
      <c r="A2246" s="61">
        <v>2245</v>
      </c>
      <c r="B2246" s="327" t="s">
        <v>52</v>
      </c>
      <c r="C2246" s="327" t="s">
        <v>10</v>
      </c>
      <c r="D2246" s="292" t="s">
        <v>4115</v>
      </c>
      <c r="H2246" s="292" t="s">
        <v>4146</v>
      </c>
      <c r="I2246" s="301">
        <v>0</v>
      </c>
      <c r="J2246" s="301">
        <v>0</v>
      </c>
      <c r="K2246" s="301">
        <v>40</v>
      </c>
      <c r="L2246" s="300"/>
      <c r="M2246" s="299" t="s">
        <v>15</v>
      </c>
      <c r="N2246" s="61"/>
      <c r="O2246" s="231">
        <v>2025</v>
      </c>
      <c r="P2246" s="303">
        <v>46008</v>
      </c>
      <c r="Q2246" s="90" t="s">
        <v>4232</v>
      </c>
      <c r="S2246" s="241" t="s">
        <v>453</v>
      </c>
    </row>
    <row r="2247" spans="1:19" ht="15" customHeight="1">
      <c r="A2247" s="61">
        <v>2246</v>
      </c>
      <c r="B2247" s="327" t="s">
        <v>52</v>
      </c>
      <c r="C2247" s="327" t="s">
        <v>10</v>
      </c>
      <c r="D2247" s="292" t="s">
        <v>4116</v>
      </c>
      <c r="H2247" s="292" t="s">
        <v>3739</v>
      </c>
      <c r="I2247" s="301">
        <v>0</v>
      </c>
      <c r="J2247" s="301">
        <v>900</v>
      </c>
      <c r="K2247" s="301">
        <v>40</v>
      </c>
      <c r="L2247" s="300"/>
      <c r="M2247" s="299" t="s">
        <v>15</v>
      </c>
      <c r="N2247" s="61"/>
      <c r="O2247" s="231">
        <v>2025</v>
      </c>
      <c r="P2247" s="303">
        <v>46008</v>
      </c>
      <c r="Q2247" s="90" t="s">
        <v>4232</v>
      </c>
      <c r="S2247" s="241" t="s">
        <v>453</v>
      </c>
    </row>
    <row r="2248" spans="1:19" ht="15" customHeight="1">
      <c r="A2248" s="61">
        <v>2247</v>
      </c>
      <c r="B2248" s="327" t="s">
        <v>52</v>
      </c>
      <c r="C2248" s="327" t="s">
        <v>10</v>
      </c>
      <c r="D2248" s="292" t="s">
        <v>4117</v>
      </c>
      <c r="H2248" s="292" t="s">
        <v>3628</v>
      </c>
      <c r="I2248" s="301">
        <v>165</v>
      </c>
      <c r="J2248" s="301">
        <v>0</v>
      </c>
      <c r="K2248" s="231" t="b">
        <f t="shared" ref="K2248:K2252" si="52">IF(M2248="ONT",20,IF(M2248="N/A","N/A",IF(M2248="MIKROTIK",IF(J2248&lt;3000,10,IF(3000&lt;J2248&gt;10000,20,IF(10000&lt;J2248&gt;20000,40,IF(20000&lt;J2248&gt;40000,60,IF(J2248&gt;40000,80,IF(J2248&lt;300,3,)))))))))</f>
        <v>0</v>
      </c>
      <c r="L2248" s="300"/>
      <c r="M2248" s="299" t="s">
        <v>3437</v>
      </c>
      <c r="N2248" s="61"/>
      <c r="O2248" s="231">
        <v>2025</v>
      </c>
      <c r="P2248" s="303">
        <v>46006</v>
      </c>
      <c r="Q2248" s="90" t="s">
        <v>4232</v>
      </c>
      <c r="S2248" s="241" t="s">
        <v>453</v>
      </c>
    </row>
    <row r="2249" spans="1:19" ht="15" customHeight="1">
      <c r="A2249" s="61">
        <v>2248</v>
      </c>
      <c r="B2249" s="327" t="s">
        <v>52</v>
      </c>
      <c r="C2249" s="327" t="s">
        <v>10</v>
      </c>
      <c r="D2249" s="292" t="s">
        <v>4118</v>
      </c>
      <c r="H2249" s="292" t="s">
        <v>4192</v>
      </c>
      <c r="I2249" s="301">
        <v>579</v>
      </c>
      <c r="J2249" s="301">
        <v>0</v>
      </c>
      <c r="K2249" s="231" t="b">
        <f t="shared" si="52"/>
        <v>0</v>
      </c>
      <c r="L2249" s="300"/>
      <c r="M2249" s="299" t="s">
        <v>3437</v>
      </c>
      <c r="N2249" s="61"/>
      <c r="O2249" s="231">
        <v>2025</v>
      </c>
      <c r="P2249" s="303">
        <v>46007</v>
      </c>
      <c r="Q2249" s="90" t="s">
        <v>4232</v>
      </c>
      <c r="S2249" s="241" t="s">
        <v>453</v>
      </c>
    </row>
    <row r="2250" spans="1:19" ht="15" customHeight="1">
      <c r="A2250" s="61">
        <v>2249</v>
      </c>
      <c r="B2250" s="327" t="s">
        <v>52</v>
      </c>
      <c r="C2250" s="327" t="s">
        <v>10</v>
      </c>
      <c r="D2250" s="292" t="s">
        <v>4119</v>
      </c>
      <c r="H2250" s="292" t="s">
        <v>3360</v>
      </c>
      <c r="I2250" s="301">
        <v>250</v>
      </c>
      <c r="J2250" s="301">
        <v>0</v>
      </c>
      <c r="K2250" s="231" t="b">
        <f t="shared" si="52"/>
        <v>0</v>
      </c>
      <c r="L2250" s="300"/>
      <c r="M2250" s="299" t="s">
        <v>3437</v>
      </c>
      <c r="N2250" s="61"/>
      <c r="O2250" s="231">
        <v>2025</v>
      </c>
      <c r="P2250" s="303">
        <v>46007</v>
      </c>
      <c r="Q2250" s="90" t="s">
        <v>4232</v>
      </c>
      <c r="S2250" s="241" t="s">
        <v>453</v>
      </c>
    </row>
    <row r="2251" spans="1:19" ht="15" customHeight="1">
      <c r="A2251" s="61">
        <v>2250</v>
      </c>
      <c r="B2251" s="327" t="s">
        <v>52</v>
      </c>
      <c r="C2251" s="327" t="s">
        <v>10</v>
      </c>
      <c r="D2251" s="292" t="s">
        <v>4120</v>
      </c>
      <c r="H2251" s="292" t="s">
        <v>3732</v>
      </c>
      <c r="I2251" s="301">
        <v>150</v>
      </c>
      <c r="J2251" s="301">
        <v>0</v>
      </c>
      <c r="K2251" s="231" t="b">
        <f t="shared" si="52"/>
        <v>0</v>
      </c>
      <c r="L2251" s="300"/>
      <c r="M2251" s="299" t="s">
        <v>3437</v>
      </c>
      <c r="N2251" s="61"/>
      <c r="O2251" s="231">
        <v>2025</v>
      </c>
      <c r="P2251" s="303">
        <v>46009.25</v>
      </c>
      <c r="Q2251" s="90" t="s">
        <v>4232</v>
      </c>
      <c r="S2251" s="241" t="s">
        <v>453</v>
      </c>
    </row>
    <row r="2252" spans="1:19" ht="15" customHeight="1">
      <c r="A2252" s="61">
        <v>2251</v>
      </c>
      <c r="B2252" s="327" t="s">
        <v>52</v>
      </c>
      <c r="C2252" s="327" t="s">
        <v>10</v>
      </c>
      <c r="D2252" s="292" t="s">
        <v>4121</v>
      </c>
      <c r="H2252" s="292" t="s">
        <v>3439</v>
      </c>
      <c r="I2252" s="301">
        <v>590</v>
      </c>
      <c r="J2252" s="301">
        <v>0</v>
      </c>
      <c r="K2252" s="231" t="b">
        <f t="shared" si="52"/>
        <v>0</v>
      </c>
      <c r="L2252" s="300"/>
      <c r="M2252" s="299" t="s">
        <v>3437</v>
      </c>
      <c r="N2252" s="61"/>
      <c r="O2252" s="231">
        <v>2025</v>
      </c>
      <c r="P2252" s="303">
        <v>46011</v>
      </c>
      <c r="Q2252" s="90" t="s">
        <v>4232</v>
      </c>
      <c r="S2252" s="241" t="s">
        <v>453</v>
      </c>
    </row>
    <row r="2253" spans="1:19" ht="15" customHeight="1">
      <c r="A2253" s="61">
        <v>2252</v>
      </c>
      <c r="B2253" s="327" t="s">
        <v>55</v>
      </c>
      <c r="C2253" s="327" t="s">
        <v>10</v>
      </c>
      <c r="D2253" s="292" t="s">
        <v>4122</v>
      </c>
      <c r="H2253" s="292" t="s">
        <v>3411</v>
      </c>
      <c r="I2253" s="301">
        <v>0</v>
      </c>
      <c r="J2253" s="301">
        <v>1500</v>
      </c>
      <c r="K2253" s="301">
        <v>40</v>
      </c>
      <c r="L2253" s="300"/>
      <c r="M2253" s="299" t="s">
        <v>15</v>
      </c>
      <c r="N2253" s="61"/>
      <c r="O2253" s="231">
        <v>2025</v>
      </c>
      <c r="P2253" s="303">
        <v>46011</v>
      </c>
      <c r="Q2253" s="90" t="s">
        <v>4232</v>
      </c>
      <c r="S2253" s="241" t="s">
        <v>453</v>
      </c>
    </row>
    <row r="2254" spans="1:19" ht="15" customHeight="1">
      <c r="A2254" s="61">
        <v>2253</v>
      </c>
      <c r="B2254" s="327" t="s">
        <v>52</v>
      </c>
      <c r="C2254" s="327" t="s">
        <v>10</v>
      </c>
      <c r="D2254" s="292" t="s">
        <v>4123</v>
      </c>
      <c r="H2254" s="292" t="s">
        <v>3338</v>
      </c>
      <c r="I2254" s="301">
        <v>161</v>
      </c>
      <c r="J2254" s="301">
        <v>0</v>
      </c>
      <c r="K2254" s="231" t="b">
        <f t="shared" ref="K2254" si="53">IF(M2254="ONT",20,IF(M2254="N/A","N/A",IF(M2254="MIKROTIK",IF(J2254&lt;3000,10,IF(3000&lt;J2254&gt;10000,20,IF(10000&lt;J2254&gt;20000,40,IF(20000&lt;J2254&gt;40000,60,IF(J2254&gt;40000,80,IF(J2254&lt;300,3,)))))))))</f>
        <v>0</v>
      </c>
      <c r="L2254" s="300"/>
      <c r="M2254" s="299" t="s">
        <v>3437</v>
      </c>
      <c r="N2254" s="61"/>
      <c r="O2254" s="231">
        <v>2025</v>
      </c>
      <c r="P2254" s="303">
        <v>46014</v>
      </c>
      <c r="Q2254" s="90" t="s">
        <v>4232</v>
      </c>
      <c r="S2254" s="241" t="s">
        <v>453</v>
      </c>
    </row>
    <row r="2255" spans="1:19" ht="15" customHeight="1">
      <c r="A2255" s="61">
        <v>2254</v>
      </c>
      <c r="B2255" s="327" t="s">
        <v>51</v>
      </c>
      <c r="C2255" s="327" t="s">
        <v>10</v>
      </c>
      <c r="D2255" s="292" t="s">
        <v>4124</v>
      </c>
      <c r="H2255" s="292" t="s">
        <v>4223</v>
      </c>
      <c r="I2255" s="301">
        <v>0</v>
      </c>
      <c r="J2255" s="301">
        <v>2500</v>
      </c>
      <c r="K2255" s="231">
        <v>40</v>
      </c>
      <c r="L2255" s="300"/>
      <c r="M2255" s="299" t="s">
        <v>15</v>
      </c>
      <c r="N2255" s="61"/>
      <c r="O2255" s="231">
        <v>2025</v>
      </c>
      <c r="P2255" s="303">
        <v>46015</v>
      </c>
      <c r="Q2255" s="90" t="s">
        <v>4232</v>
      </c>
      <c r="S2255" s="241" t="s">
        <v>453</v>
      </c>
    </row>
    <row r="2256" spans="1:19" ht="15" customHeight="1">
      <c r="A2256" s="61">
        <v>2255</v>
      </c>
      <c r="B2256" s="327" t="s">
        <v>49</v>
      </c>
      <c r="C2256" s="327" t="s">
        <v>10</v>
      </c>
      <c r="D2256" s="292" t="s">
        <v>4724</v>
      </c>
      <c r="H2256" s="292" t="s">
        <v>3496</v>
      </c>
      <c r="I2256" s="301">
        <v>0</v>
      </c>
      <c r="J2256" s="301">
        <v>2600</v>
      </c>
      <c r="K2256" s="231" t="b">
        <f t="shared" ref="K2256:K2321" si="54">IF(M2256="ONT",20,IF(M2256="N/A","N/A",IF(M2256="MIKROTIK",IF(J2256&lt;3000,10,IF(3000&lt;J2256&gt;10000,20,IF(10000&lt;J2256&gt;20000,40,IF(20000&lt;J2256&gt;40000,60,IF(J2256&gt;40000,80,IF(J2256&lt;300,3,)))))))))</f>
        <v>0</v>
      </c>
      <c r="L2256" s="300"/>
      <c r="M2256" s="299" t="s">
        <v>3276</v>
      </c>
      <c r="N2256" s="61"/>
      <c r="O2256" s="231">
        <v>2025</v>
      </c>
      <c r="P2256" s="303">
        <v>46029</v>
      </c>
      <c r="Q2256" s="90" t="s">
        <v>4232</v>
      </c>
      <c r="S2256" s="241" t="s">
        <v>453</v>
      </c>
    </row>
    <row r="2257" spans="1:19" ht="15" customHeight="1">
      <c r="A2257" s="61">
        <v>2256</v>
      </c>
      <c r="B2257" s="327" t="s">
        <v>52</v>
      </c>
      <c r="C2257" s="327" t="s">
        <v>10</v>
      </c>
      <c r="D2257" s="292" t="s">
        <v>4725</v>
      </c>
      <c r="H2257" s="292" t="s">
        <v>3330</v>
      </c>
      <c r="I2257" s="301">
        <v>0</v>
      </c>
      <c r="J2257" s="301">
        <v>700</v>
      </c>
      <c r="K2257" s="231" t="b">
        <f t="shared" si="54"/>
        <v>0</v>
      </c>
      <c r="L2257" s="300"/>
      <c r="M2257" s="299" t="s">
        <v>3276</v>
      </c>
      <c r="N2257" s="61"/>
      <c r="O2257" s="231">
        <v>2025</v>
      </c>
      <c r="P2257" s="303">
        <v>46029</v>
      </c>
      <c r="Q2257" s="90" t="s">
        <v>4232</v>
      </c>
      <c r="S2257" s="241" t="s">
        <v>453</v>
      </c>
    </row>
    <row r="2258" spans="1:19" ht="15" customHeight="1">
      <c r="A2258" s="61">
        <v>2257</v>
      </c>
      <c r="B2258" s="327" t="s">
        <v>52</v>
      </c>
      <c r="C2258" s="327" t="s">
        <v>10</v>
      </c>
      <c r="D2258" s="292" t="s">
        <v>4726</v>
      </c>
      <c r="H2258" s="292" t="s">
        <v>3773</v>
      </c>
      <c r="I2258" s="301">
        <v>0</v>
      </c>
      <c r="J2258" s="301">
        <v>1000</v>
      </c>
      <c r="K2258" s="231" t="b">
        <f t="shared" si="54"/>
        <v>0</v>
      </c>
      <c r="L2258" s="300"/>
      <c r="M2258" s="299" t="s">
        <v>3276</v>
      </c>
      <c r="N2258" s="61"/>
      <c r="O2258" s="231">
        <v>2025</v>
      </c>
      <c r="P2258" s="303">
        <v>46051</v>
      </c>
      <c r="Q2258" s="90" t="s">
        <v>4232</v>
      </c>
      <c r="S2258" s="241" t="s">
        <v>453</v>
      </c>
    </row>
    <row r="2259" spans="1:19" ht="15" customHeight="1">
      <c r="A2259" s="61">
        <v>2258</v>
      </c>
      <c r="B2259" s="327" t="s">
        <v>53</v>
      </c>
      <c r="C2259" s="327" t="s">
        <v>10</v>
      </c>
      <c r="D2259" s="292" t="s">
        <v>4727</v>
      </c>
      <c r="H2259" s="292" t="s">
        <v>4797</v>
      </c>
      <c r="I2259" s="301">
        <v>0</v>
      </c>
      <c r="J2259" s="301">
        <v>0</v>
      </c>
      <c r="K2259" s="231" t="b">
        <f t="shared" si="54"/>
        <v>0</v>
      </c>
      <c r="L2259" s="300"/>
      <c r="M2259" s="299" t="s">
        <v>3276</v>
      </c>
      <c r="N2259" s="61"/>
      <c r="O2259" s="231">
        <v>2025</v>
      </c>
      <c r="P2259" s="303">
        <v>46052</v>
      </c>
      <c r="Q2259" s="90" t="s">
        <v>4232</v>
      </c>
      <c r="S2259" s="241" t="s">
        <v>453</v>
      </c>
    </row>
    <row r="2260" spans="1:19" ht="15" customHeight="1">
      <c r="A2260" s="61">
        <v>2259</v>
      </c>
      <c r="B2260" s="327" t="s">
        <v>52</v>
      </c>
      <c r="C2260" s="327" t="s">
        <v>10</v>
      </c>
      <c r="D2260" s="292" t="s">
        <v>4728</v>
      </c>
      <c r="H2260" s="292" t="s">
        <v>3483</v>
      </c>
      <c r="I2260" s="301">
        <v>0</v>
      </c>
      <c r="J2260" s="301">
        <v>424</v>
      </c>
      <c r="K2260" s="231" t="b">
        <f t="shared" si="54"/>
        <v>0</v>
      </c>
      <c r="L2260" s="300"/>
      <c r="M2260" s="299" t="s">
        <v>3276</v>
      </c>
      <c r="N2260" s="61"/>
      <c r="O2260" s="231">
        <v>2025</v>
      </c>
      <c r="P2260" s="303">
        <v>46051</v>
      </c>
      <c r="Q2260" s="90" t="s">
        <v>4232</v>
      </c>
      <c r="S2260" s="241" t="s">
        <v>453</v>
      </c>
    </row>
    <row r="2261" spans="1:19" ht="15" customHeight="1">
      <c r="A2261" s="61">
        <v>2260</v>
      </c>
      <c r="B2261" s="327" t="s">
        <v>52</v>
      </c>
      <c r="C2261" s="327" t="s">
        <v>10</v>
      </c>
      <c r="D2261" s="292" t="s">
        <v>4729</v>
      </c>
      <c r="H2261" s="292" t="s">
        <v>3360</v>
      </c>
      <c r="I2261" s="301">
        <v>0</v>
      </c>
      <c r="J2261" s="301">
        <v>1900</v>
      </c>
      <c r="K2261" s="231" t="b">
        <f t="shared" si="54"/>
        <v>0</v>
      </c>
      <c r="L2261" s="299"/>
      <c r="M2261" s="299" t="s">
        <v>3276</v>
      </c>
      <c r="N2261" s="61"/>
      <c r="O2261" s="231">
        <v>2025</v>
      </c>
      <c r="P2261" s="303">
        <v>46038</v>
      </c>
      <c r="Q2261" s="90" t="s">
        <v>4232</v>
      </c>
      <c r="S2261" s="241" t="s">
        <v>453</v>
      </c>
    </row>
    <row r="2262" spans="1:19" ht="15" customHeight="1">
      <c r="A2262" s="61">
        <v>2261</v>
      </c>
      <c r="B2262" s="327" t="s">
        <v>52</v>
      </c>
      <c r="C2262" s="327" t="s">
        <v>10</v>
      </c>
      <c r="D2262" s="292" t="s">
        <v>4730</v>
      </c>
      <c r="H2262" s="292" t="s">
        <v>3732</v>
      </c>
      <c r="I2262" s="301">
        <v>0</v>
      </c>
      <c r="J2262" s="301">
        <v>350</v>
      </c>
      <c r="K2262" s="231" t="b">
        <f t="shared" si="54"/>
        <v>0</v>
      </c>
      <c r="L2262" s="300"/>
      <c r="M2262" s="299" t="s">
        <v>3276</v>
      </c>
      <c r="N2262" s="61"/>
      <c r="O2262" s="231">
        <v>2025</v>
      </c>
      <c r="P2262" s="303">
        <v>46048</v>
      </c>
      <c r="Q2262" s="90" t="s">
        <v>4232</v>
      </c>
      <c r="S2262" s="241" t="s">
        <v>453</v>
      </c>
    </row>
    <row r="2263" spans="1:19" ht="15" customHeight="1">
      <c r="A2263" s="61">
        <v>2262</v>
      </c>
      <c r="B2263" s="327" t="s">
        <v>53</v>
      </c>
      <c r="C2263" s="327" t="s">
        <v>10</v>
      </c>
      <c r="D2263" s="333" t="s">
        <v>4731</v>
      </c>
      <c r="H2263" s="292" t="s">
        <v>4798</v>
      </c>
      <c r="I2263" s="301">
        <v>0</v>
      </c>
      <c r="J2263" s="301">
        <v>250</v>
      </c>
      <c r="K2263" s="231">
        <v>60</v>
      </c>
      <c r="L2263" s="300"/>
      <c r="M2263" s="299" t="s">
        <v>4812</v>
      </c>
      <c r="N2263" s="61"/>
      <c r="O2263" s="231">
        <v>2025</v>
      </c>
      <c r="P2263" s="303">
        <v>46035</v>
      </c>
      <c r="Q2263" s="90" t="s">
        <v>4232</v>
      </c>
      <c r="S2263" s="241" t="s">
        <v>453</v>
      </c>
    </row>
    <row r="2264" spans="1:19" ht="15" customHeight="1">
      <c r="A2264" s="61">
        <v>2263</v>
      </c>
      <c r="B2264" s="327" t="s">
        <v>52</v>
      </c>
      <c r="C2264" s="327" t="s">
        <v>10</v>
      </c>
      <c r="D2264" s="292" t="s">
        <v>4732</v>
      </c>
      <c r="H2264" s="292" t="s">
        <v>4799</v>
      </c>
      <c r="I2264" s="301">
        <v>454</v>
      </c>
      <c r="J2264" s="301">
        <v>0</v>
      </c>
      <c r="K2264" s="231" t="b">
        <f t="shared" si="54"/>
        <v>0</v>
      </c>
      <c r="L2264" s="300"/>
      <c r="M2264" s="299" t="s">
        <v>3437</v>
      </c>
      <c r="N2264" s="61"/>
      <c r="O2264" s="231">
        <v>2025</v>
      </c>
      <c r="P2264" s="303">
        <v>46027</v>
      </c>
      <c r="Q2264" s="90" t="s">
        <v>4232</v>
      </c>
      <c r="S2264" s="241" t="s">
        <v>453</v>
      </c>
    </row>
    <row r="2265" spans="1:19" ht="15" customHeight="1">
      <c r="A2265" s="61">
        <v>2264</v>
      </c>
      <c r="B2265" s="327" t="s">
        <v>52</v>
      </c>
      <c r="C2265" s="327" t="s">
        <v>10</v>
      </c>
      <c r="D2265" s="292" t="s">
        <v>4733</v>
      </c>
      <c r="H2265" s="292" t="s">
        <v>3483</v>
      </c>
      <c r="I2265" s="301">
        <v>232</v>
      </c>
      <c r="J2265" s="301">
        <v>0</v>
      </c>
      <c r="K2265" s="231" t="b">
        <f t="shared" si="54"/>
        <v>0</v>
      </c>
      <c r="L2265" s="300"/>
      <c r="M2265" s="299" t="s">
        <v>3437</v>
      </c>
      <c r="N2265" s="61"/>
      <c r="O2265" s="231">
        <v>2025</v>
      </c>
      <c r="P2265" s="303">
        <v>46028</v>
      </c>
      <c r="Q2265" s="90" t="s">
        <v>4232</v>
      </c>
      <c r="S2265" s="241" t="s">
        <v>453</v>
      </c>
    </row>
    <row r="2266" spans="1:19" ht="15" customHeight="1">
      <c r="A2266" s="61">
        <v>2265</v>
      </c>
      <c r="B2266" s="327" t="s">
        <v>52</v>
      </c>
      <c r="C2266" s="327" t="s">
        <v>10</v>
      </c>
      <c r="D2266" s="292" t="s">
        <v>4734</v>
      </c>
      <c r="H2266" s="292" t="s">
        <v>4800</v>
      </c>
      <c r="I2266" s="301">
        <v>214</v>
      </c>
      <c r="J2266" s="301">
        <v>0</v>
      </c>
      <c r="K2266" s="231" t="b">
        <f t="shared" si="54"/>
        <v>0</v>
      </c>
      <c r="L2266" s="299"/>
      <c r="M2266" s="299" t="s">
        <v>3437</v>
      </c>
      <c r="N2266" s="61"/>
      <c r="O2266" s="231">
        <v>2025</v>
      </c>
      <c r="P2266" s="303">
        <v>46028</v>
      </c>
      <c r="Q2266" s="90" t="s">
        <v>4233</v>
      </c>
      <c r="S2266" s="241" t="s">
        <v>453</v>
      </c>
    </row>
    <row r="2267" spans="1:19" ht="15" customHeight="1">
      <c r="A2267" s="61">
        <v>2266</v>
      </c>
      <c r="B2267" s="327" t="s">
        <v>52</v>
      </c>
      <c r="C2267" s="327" t="s">
        <v>10</v>
      </c>
      <c r="D2267" s="292" t="s">
        <v>4735</v>
      </c>
      <c r="H2267" s="292" t="s">
        <v>4801</v>
      </c>
      <c r="I2267" s="301">
        <v>123</v>
      </c>
      <c r="J2267" s="301">
        <v>0</v>
      </c>
      <c r="K2267" s="231" t="b">
        <f t="shared" si="54"/>
        <v>0</v>
      </c>
      <c r="L2267" s="300"/>
      <c r="M2267" s="299" t="s">
        <v>3437</v>
      </c>
      <c r="N2267" s="61"/>
      <c r="O2267" s="231">
        <v>2025</v>
      </c>
      <c r="P2267" s="303">
        <v>46030</v>
      </c>
      <c r="Q2267" s="90" t="s">
        <v>4232</v>
      </c>
      <c r="S2267" s="241" t="s">
        <v>453</v>
      </c>
    </row>
    <row r="2268" spans="1:19" ht="15" customHeight="1">
      <c r="A2268" s="61">
        <v>2267</v>
      </c>
      <c r="B2268" s="327" t="s">
        <v>52</v>
      </c>
      <c r="C2268" s="327" t="s">
        <v>10</v>
      </c>
      <c r="D2268" s="292" t="s">
        <v>4736</v>
      </c>
      <c r="H2268" s="292" t="s">
        <v>3330</v>
      </c>
      <c r="I2268" s="301">
        <v>0</v>
      </c>
      <c r="J2268" s="301">
        <v>0</v>
      </c>
      <c r="K2268" s="231" t="b">
        <f t="shared" si="54"/>
        <v>0</v>
      </c>
      <c r="L2268" s="300"/>
      <c r="M2268" s="299" t="s">
        <v>3437</v>
      </c>
      <c r="N2268" s="61"/>
      <c r="O2268" s="231">
        <v>2025</v>
      </c>
      <c r="P2268" s="303">
        <v>46031</v>
      </c>
      <c r="Q2268" s="90" t="s">
        <v>4232</v>
      </c>
      <c r="S2268" s="241" t="s">
        <v>453</v>
      </c>
    </row>
    <row r="2269" spans="1:19" ht="15" customHeight="1">
      <c r="A2269" s="61">
        <v>2268</v>
      </c>
      <c r="B2269" s="327" t="s">
        <v>52</v>
      </c>
      <c r="C2269" s="327" t="s">
        <v>10</v>
      </c>
      <c r="D2269" s="292" t="s">
        <v>4737</v>
      </c>
      <c r="H2269" s="292" t="s">
        <v>4802</v>
      </c>
      <c r="I2269" s="301">
        <v>256</v>
      </c>
      <c r="J2269" s="301">
        <v>0</v>
      </c>
      <c r="K2269" s="231" t="b">
        <f t="shared" si="54"/>
        <v>0</v>
      </c>
      <c r="L2269" s="300"/>
      <c r="M2269" s="299" t="s">
        <v>3437</v>
      </c>
      <c r="N2269" s="61"/>
      <c r="O2269" s="231">
        <v>2025</v>
      </c>
      <c r="P2269" s="303">
        <v>46031</v>
      </c>
      <c r="Q2269" s="90" t="s">
        <v>4232</v>
      </c>
      <c r="S2269" s="241" t="s">
        <v>453</v>
      </c>
    </row>
    <row r="2270" spans="1:19" ht="15" customHeight="1">
      <c r="A2270" s="61">
        <v>2269</v>
      </c>
      <c r="B2270" s="327" t="s">
        <v>52</v>
      </c>
      <c r="C2270" s="327" t="s">
        <v>10</v>
      </c>
      <c r="D2270" s="292" t="s">
        <v>4738</v>
      </c>
      <c r="H2270" s="292" t="s">
        <v>3392</v>
      </c>
      <c r="I2270" s="301">
        <v>337</v>
      </c>
      <c r="J2270" s="301">
        <v>0</v>
      </c>
      <c r="K2270" s="231" t="b">
        <f t="shared" si="54"/>
        <v>0</v>
      </c>
      <c r="L2270" s="299"/>
      <c r="M2270" s="299" t="s">
        <v>3437</v>
      </c>
      <c r="N2270" s="61"/>
      <c r="O2270" s="231">
        <v>2025</v>
      </c>
      <c r="P2270" s="303">
        <v>46038</v>
      </c>
      <c r="Q2270" s="90" t="s">
        <v>4232</v>
      </c>
      <c r="S2270" s="241" t="s">
        <v>453</v>
      </c>
    </row>
    <row r="2271" spans="1:19" ht="15" customHeight="1">
      <c r="A2271" s="61">
        <v>2270</v>
      </c>
      <c r="B2271" s="327" t="s">
        <v>52</v>
      </c>
      <c r="C2271" s="327" t="s">
        <v>10</v>
      </c>
      <c r="D2271" s="292" t="s">
        <v>4739</v>
      </c>
      <c r="H2271" s="292" t="s">
        <v>3392</v>
      </c>
      <c r="I2271" s="301">
        <v>58</v>
      </c>
      <c r="J2271" s="301">
        <v>0</v>
      </c>
      <c r="K2271" s="231" t="b">
        <f t="shared" si="54"/>
        <v>0</v>
      </c>
      <c r="L2271" s="299"/>
      <c r="M2271" s="299" t="s">
        <v>3437</v>
      </c>
      <c r="N2271" s="61"/>
      <c r="O2271" s="231">
        <v>2025</v>
      </c>
      <c r="P2271" s="303">
        <v>46034</v>
      </c>
      <c r="Q2271" s="90" t="s">
        <v>4232</v>
      </c>
      <c r="S2271" s="241" t="s">
        <v>453</v>
      </c>
    </row>
    <row r="2272" spans="1:19" ht="15" customHeight="1">
      <c r="A2272" s="61">
        <v>2271</v>
      </c>
      <c r="B2272" s="327" t="s">
        <v>52</v>
      </c>
      <c r="C2272" s="327" t="s">
        <v>10</v>
      </c>
      <c r="D2272" s="292" t="s">
        <v>4740</v>
      </c>
      <c r="H2272" s="292" t="s">
        <v>3669</v>
      </c>
      <c r="I2272" s="301">
        <v>319</v>
      </c>
      <c r="J2272" s="301">
        <v>0</v>
      </c>
      <c r="K2272" s="231" t="b">
        <f t="shared" si="54"/>
        <v>0</v>
      </c>
      <c r="L2272" s="299"/>
      <c r="M2272" s="299" t="s">
        <v>3437</v>
      </c>
      <c r="N2272" s="61"/>
      <c r="O2272" s="231">
        <v>2025</v>
      </c>
      <c r="P2272" s="303">
        <v>46035</v>
      </c>
      <c r="Q2272" s="90" t="s">
        <v>4232</v>
      </c>
      <c r="S2272" s="241" t="s">
        <v>453</v>
      </c>
    </row>
    <row r="2273" spans="1:19" ht="15" customHeight="1">
      <c r="A2273" s="61">
        <v>2272</v>
      </c>
      <c r="B2273" s="327" t="s">
        <v>52</v>
      </c>
      <c r="C2273" s="327" t="s">
        <v>10</v>
      </c>
      <c r="D2273" s="292" t="s">
        <v>4741</v>
      </c>
      <c r="H2273" s="292" t="s">
        <v>3669</v>
      </c>
      <c r="I2273" s="301">
        <v>120</v>
      </c>
      <c r="J2273" s="301">
        <v>0</v>
      </c>
      <c r="K2273" s="231" t="b">
        <f t="shared" si="54"/>
        <v>0</v>
      </c>
      <c r="L2273" s="299"/>
      <c r="M2273" s="299" t="s">
        <v>3437</v>
      </c>
      <c r="N2273" s="61"/>
      <c r="O2273" s="231">
        <v>2025</v>
      </c>
      <c r="P2273" s="303">
        <v>46036</v>
      </c>
      <c r="Q2273" s="90" t="s">
        <v>4232</v>
      </c>
      <c r="S2273" s="241" t="s">
        <v>453</v>
      </c>
    </row>
    <row r="2274" spans="1:19" ht="15" customHeight="1">
      <c r="A2274" s="61">
        <v>2273</v>
      </c>
      <c r="B2274" s="327" t="s">
        <v>52</v>
      </c>
      <c r="C2274" s="327" t="s">
        <v>10</v>
      </c>
      <c r="D2274" s="292" t="s">
        <v>4742</v>
      </c>
      <c r="H2274" s="292" t="s">
        <v>3392</v>
      </c>
      <c r="I2274" s="301">
        <v>313</v>
      </c>
      <c r="J2274" s="301">
        <v>0</v>
      </c>
      <c r="K2274" s="231" t="b">
        <f t="shared" si="54"/>
        <v>0</v>
      </c>
      <c r="L2274" s="299"/>
      <c r="M2274" s="299" t="s">
        <v>3437</v>
      </c>
      <c r="N2274" s="61"/>
      <c r="O2274" s="231">
        <v>2025</v>
      </c>
      <c r="P2274" s="303">
        <v>46037</v>
      </c>
      <c r="Q2274" s="90" t="s">
        <v>4232</v>
      </c>
      <c r="S2274" s="241" t="s">
        <v>453</v>
      </c>
    </row>
    <row r="2275" spans="1:19" ht="15" customHeight="1">
      <c r="A2275" s="61">
        <v>2274</v>
      </c>
      <c r="B2275" s="327" t="s">
        <v>52</v>
      </c>
      <c r="C2275" s="327" t="s">
        <v>10</v>
      </c>
      <c r="D2275" s="292" t="s">
        <v>4743</v>
      </c>
      <c r="H2275" s="292" t="s">
        <v>4143</v>
      </c>
      <c r="I2275" s="301">
        <v>136</v>
      </c>
      <c r="J2275" s="301">
        <v>0</v>
      </c>
      <c r="K2275" s="231" t="b">
        <f t="shared" si="54"/>
        <v>0</v>
      </c>
      <c r="L2275" s="299"/>
      <c r="M2275" s="299" t="s">
        <v>3437</v>
      </c>
      <c r="N2275" s="61"/>
      <c r="O2275" s="231">
        <v>2025</v>
      </c>
      <c r="P2275" s="303">
        <v>46037</v>
      </c>
      <c r="Q2275" s="90" t="s">
        <v>4232</v>
      </c>
      <c r="S2275" s="241" t="s">
        <v>453</v>
      </c>
    </row>
    <row r="2276" spans="1:19" ht="15" customHeight="1">
      <c r="A2276" s="61">
        <v>2275</v>
      </c>
      <c r="B2276" s="327" t="s">
        <v>52</v>
      </c>
      <c r="C2276" s="327" t="s">
        <v>10</v>
      </c>
      <c r="D2276" s="292" t="s">
        <v>4744</v>
      </c>
      <c r="H2276" s="292" t="s">
        <v>4151</v>
      </c>
      <c r="I2276" s="301">
        <v>0</v>
      </c>
      <c r="J2276" s="301">
        <v>295</v>
      </c>
      <c r="K2276" s="231" t="b">
        <f t="shared" si="54"/>
        <v>0</v>
      </c>
      <c r="L2276" s="300"/>
      <c r="M2276" s="299" t="s">
        <v>3437</v>
      </c>
      <c r="N2276" s="61"/>
      <c r="O2276" s="231">
        <v>2025</v>
      </c>
      <c r="P2276" s="303">
        <v>46044</v>
      </c>
      <c r="Q2276" s="90" t="s">
        <v>4232</v>
      </c>
      <c r="S2276" s="241" t="s">
        <v>453</v>
      </c>
    </row>
    <row r="2277" spans="1:19" ht="15" customHeight="1">
      <c r="A2277" s="61">
        <v>2276</v>
      </c>
      <c r="B2277" s="327" t="s">
        <v>52</v>
      </c>
      <c r="C2277" s="327" t="s">
        <v>10</v>
      </c>
      <c r="D2277" s="292" t="s">
        <v>4745</v>
      </c>
      <c r="H2277" s="292" t="s">
        <v>4151</v>
      </c>
      <c r="I2277" s="301">
        <v>313</v>
      </c>
      <c r="J2277" s="301">
        <v>0</v>
      </c>
      <c r="K2277" s="231" t="b">
        <f t="shared" si="54"/>
        <v>0</v>
      </c>
      <c r="L2277" s="300"/>
      <c r="M2277" s="299" t="s">
        <v>3437</v>
      </c>
      <c r="N2277" s="61"/>
      <c r="O2277" s="231">
        <v>2025</v>
      </c>
      <c r="P2277" s="303">
        <v>46036</v>
      </c>
      <c r="Q2277" s="90" t="s">
        <v>4232</v>
      </c>
      <c r="S2277" s="241" t="s">
        <v>453</v>
      </c>
    </row>
    <row r="2278" spans="1:19" ht="15" customHeight="1">
      <c r="A2278" s="61">
        <v>2277</v>
      </c>
      <c r="B2278" s="327" t="s">
        <v>52</v>
      </c>
      <c r="C2278" s="327" t="s">
        <v>10</v>
      </c>
      <c r="D2278" s="292" t="s">
        <v>4746</v>
      </c>
      <c r="H2278" s="292" t="s">
        <v>3628</v>
      </c>
      <c r="I2278" s="301">
        <v>50</v>
      </c>
      <c r="J2278" s="301">
        <v>0</v>
      </c>
      <c r="K2278" s="231" t="b">
        <f t="shared" si="54"/>
        <v>0</v>
      </c>
      <c r="L2278" s="300"/>
      <c r="M2278" s="299" t="s">
        <v>81</v>
      </c>
      <c r="N2278" s="61"/>
      <c r="O2278" s="231">
        <v>2025</v>
      </c>
      <c r="P2278" s="303">
        <v>46024</v>
      </c>
      <c r="Q2278" s="90" t="s">
        <v>4232</v>
      </c>
      <c r="S2278" s="241" t="s">
        <v>453</v>
      </c>
    </row>
    <row r="2279" spans="1:19" ht="15" customHeight="1">
      <c r="A2279" s="61">
        <v>2278</v>
      </c>
      <c r="B2279" s="327" t="s">
        <v>52</v>
      </c>
      <c r="C2279" s="327" t="s">
        <v>10</v>
      </c>
      <c r="D2279" s="292" t="s">
        <v>4747</v>
      </c>
      <c r="H2279" s="292" t="s">
        <v>3360</v>
      </c>
      <c r="I2279" s="301">
        <v>0</v>
      </c>
      <c r="J2279" s="301">
        <v>350</v>
      </c>
      <c r="K2279" s="231" t="b">
        <f t="shared" si="54"/>
        <v>0</v>
      </c>
      <c r="L2279" s="300"/>
      <c r="M2279" s="299" t="s">
        <v>3276</v>
      </c>
      <c r="N2279" s="61"/>
      <c r="O2279" s="231">
        <v>2025</v>
      </c>
      <c r="P2279" s="303">
        <v>46051</v>
      </c>
      <c r="Q2279" s="90" t="s">
        <v>4233</v>
      </c>
      <c r="S2279" s="241" t="s">
        <v>453</v>
      </c>
    </row>
    <row r="2280" spans="1:19" ht="15" customHeight="1">
      <c r="A2280" s="61">
        <v>2279</v>
      </c>
      <c r="B2280" s="327" t="s">
        <v>52</v>
      </c>
      <c r="C2280" s="327" t="s">
        <v>10</v>
      </c>
      <c r="D2280" s="292" t="s">
        <v>4748</v>
      </c>
      <c r="H2280" s="292" t="s">
        <v>3661</v>
      </c>
      <c r="I2280" s="301">
        <v>297</v>
      </c>
      <c r="J2280" s="301">
        <v>0</v>
      </c>
      <c r="K2280" s="231" t="b">
        <f t="shared" si="54"/>
        <v>0</v>
      </c>
      <c r="L2280" s="300"/>
      <c r="M2280" s="299" t="s">
        <v>3437</v>
      </c>
      <c r="N2280" s="61"/>
      <c r="O2280" s="231">
        <v>2025</v>
      </c>
      <c r="P2280" s="303">
        <v>46048</v>
      </c>
      <c r="Q2280" s="90" t="s">
        <v>4233</v>
      </c>
      <c r="S2280" s="241" t="s">
        <v>453</v>
      </c>
    </row>
    <row r="2281" spans="1:19" ht="15" customHeight="1">
      <c r="A2281" s="61">
        <v>2280</v>
      </c>
      <c r="B2281" s="327" t="s">
        <v>52</v>
      </c>
      <c r="C2281" s="327" t="s">
        <v>10</v>
      </c>
      <c r="D2281" s="292" t="s">
        <v>4749</v>
      </c>
      <c r="H2281" s="292" t="s">
        <v>3330</v>
      </c>
      <c r="I2281" s="301">
        <v>173</v>
      </c>
      <c r="J2281" s="301">
        <v>0</v>
      </c>
      <c r="K2281" s="231" t="b">
        <f t="shared" si="54"/>
        <v>0</v>
      </c>
      <c r="L2281" s="300"/>
      <c r="M2281" s="299" t="s">
        <v>3276</v>
      </c>
      <c r="N2281" s="61"/>
      <c r="O2281" s="231">
        <v>2025</v>
      </c>
      <c r="P2281" s="303">
        <v>46035</v>
      </c>
      <c r="Q2281" s="90" t="s">
        <v>4233</v>
      </c>
      <c r="S2281" s="241" t="s">
        <v>453</v>
      </c>
    </row>
    <row r="2282" spans="1:19" ht="15" customHeight="1">
      <c r="A2282" s="61">
        <v>2281</v>
      </c>
      <c r="B2282" s="327" t="s">
        <v>52</v>
      </c>
      <c r="C2282" s="327" t="s">
        <v>10</v>
      </c>
      <c r="D2282" s="292" t="s">
        <v>4750</v>
      </c>
      <c r="H2282" s="292" t="s">
        <v>4203</v>
      </c>
      <c r="I2282" s="301">
        <v>579</v>
      </c>
      <c r="J2282" s="301">
        <v>0</v>
      </c>
      <c r="K2282" s="231" t="b">
        <f t="shared" si="54"/>
        <v>0</v>
      </c>
      <c r="L2282" s="300"/>
      <c r="M2282" s="299" t="s">
        <v>3437</v>
      </c>
      <c r="N2282" s="61"/>
      <c r="O2282" s="231">
        <v>2025</v>
      </c>
      <c r="P2282" s="303">
        <v>46041</v>
      </c>
      <c r="Q2282" s="90" t="s">
        <v>4233</v>
      </c>
      <c r="S2282" s="241" t="s">
        <v>453</v>
      </c>
    </row>
    <row r="2283" spans="1:19" ht="15" customHeight="1">
      <c r="A2283" s="61">
        <v>2282</v>
      </c>
      <c r="B2283" s="327" t="s">
        <v>52</v>
      </c>
      <c r="C2283" s="327" t="s">
        <v>10</v>
      </c>
      <c r="D2283" s="292" t="s">
        <v>4751</v>
      </c>
      <c r="H2283" s="292" t="s">
        <v>4616</v>
      </c>
      <c r="I2283" s="301">
        <v>0</v>
      </c>
      <c r="J2283" s="301">
        <v>562</v>
      </c>
      <c r="K2283" s="231" t="b">
        <f t="shared" si="54"/>
        <v>0</v>
      </c>
      <c r="L2283" s="300"/>
      <c r="M2283" s="299" t="s">
        <v>3437</v>
      </c>
      <c r="N2283" s="61"/>
      <c r="O2283" s="231">
        <v>2025</v>
      </c>
      <c r="P2283" s="303">
        <v>46041</v>
      </c>
      <c r="Q2283" s="90" t="s">
        <v>4232</v>
      </c>
      <c r="S2283" s="241" t="s">
        <v>453</v>
      </c>
    </row>
    <row r="2284" spans="1:19" ht="15" customHeight="1">
      <c r="A2284" s="61">
        <v>2283</v>
      </c>
      <c r="B2284" s="327" t="s">
        <v>52</v>
      </c>
      <c r="C2284" s="327" t="s">
        <v>10</v>
      </c>
      <c r="D2284" s="292" t="s">
        <v>4752</v>
      </c>
      <c r="H2284" s="292" t="s">
        <v>3360</v>
      </c>
      <c r="I2284" s="301">
        <v>0</v>
      </c>
      <c r="J2284" s="301">
        <v>100</v>
      </c>
      <c r="K2284" s="231" t="b">
        <f t="shared" si="54"/>
        <v>0</v>
      </c>
      <c r="L2284" s="292"/>
      <c r="M2284" s="299" t="s">
        <v>3437</v>
      </c>
      <c r="N2284" s="61"/>
      <c r="O2284" s="231">
        <v>2025</v>
      </c>
      <c r="P2284" s="303">
        <v>46043</v>
      </c>
      <c r="Q2284" s="90" t="s">
        <v>4233</v>
      </c>
      <c r="S2284" s="241" t="s">
        <v>453</v>
      </c>
    </row>
    <row r="2285" spans="1:19" ht="15" customHeight="1">
      <c r="A2285" s="61">
        <v>2284</v>
      </c>
      <c r="B2285" s="327" t="s">
        <v>52</v>
      </c>
      <c r="C2285" s="327" t="s">
        <v>10</v>
      </c>
      <c r="D2285" s="292" t="s">
        <v>4753</v>
      </c>
      <c r="H2285" s="292" t="s">
        <v>4185</v>
      </c>
      <c r="I2285" s="301">
        <v>0</v>
      </c>
      <c r="J2285" s="301">
        <v>166</v>
      </c>
      <c r="K2285" s="231" t="b">
        <f t="shared" si="54"/>
        <v>0</v>
      </c>
      <c r="L2285" s="300"/>
      <c r="M2285" s="299" t="s">
        <v>3437</v>
      </c>
      <c r="N2285" s="61"/>
      <c r="O2285" s="231">
        <v>2025</v>
      </c>
      <c r="P2285" s="303">
        <v>46034</v>
      </c>
      <c r="Q2285" s="90" t="s">
        <v>4233</v>
      </c>
      <c r="S2285" s="241" t="s">
        <v>453</v>
      </c>
    </row>
    <row r="2286" spans="1:19" ht="15" customHeight="1">
      <c r="A2286" s="61">
        <v>2285</v>
      </c>
      <c r="B2286" s="327" t="s">
        <v>52</v>
      </c>
      <c r="C2286" s="327" t="s">
        <v>10</v>
      </c>
      <c r="D2286" s="292" t="s">
        <v>4754</v>
      </c>
      <c r="H2286" s="292" t="s">
        <v>3330</v>
      </c>
      <c r="I2286" s="301">
        <v>0</v>
      </c>
      <c r="J2286" s="301">
        <v>100</v>
      </c>
      <c r="K2286" s="231" t="b">
        <f t="shared" si="54"/>
        <v>0</v>
      </c>
      <c r="L2286" s="300"/>
      <c r="M2286" s="299" t="s">
        <v>3437</v>
      </c>
      <c r="N2286" s="61"/>
      <c r="O2286" s="231">
        <v>2025</v>
      </c>
      <c r="P2286" s="303">
        <v>46044</v>
      </c>
      <c r="Q2286" s="90" t="s">
        <v>4233</v>
      </c>
      <c r="S2286" s="241" t="s">
        <v>453</v>
      </c>
    </row>
    <row r="2287" spans="1:19" ht="15" customHeight="1">
      <c r="A2287" s="61">
        <v>2286</v>
      </c>
      <c r="B2287" s="327" t="s">
        <v>52</v>
      </c>
      <c r="C2287" s="327" t="s">
        <v>10</v>
      </c>
      <c r="D2287" s="292" t="s">
        <v>4755</v>
      </c>
      <c r="H2287" s="292" t="s">
        <v>4177</v>
      </c>
      <c r="I2287" s="301">
        <v>0</v>
      </c>
      <c r="J2287" s="301">
        <v>89</v>
      </c>
      <c r="K2287" s="231" t="b">
        <f t="shared" si="54"/>
        <v>0</v>
      </c>
      <c r="L2287" s="300"/>
      <c r="M2287" s="299" t="s">
        <v>3437</v>
      </c>
      <c r="N2287" s="61"/>
      <c r="O2287" s="231">
        <v>2025</v>
      </c>
      <c r="P2287" s="303">
        <v>46044</v>
      </c>
      <c r="Q2287" s="90" t="s">
        <v>4233</v>
      </c>
      <c r="S2287" s="241" t="s">
        <v>453</v>
      </c>
    </row>
    <row r="2288" spans="1:19" ht="15" customHeight="1">
      <c r="A2288" s="334">
        <v>2287</v>
      </c>
      <c r="B2288" s="334" t="s">
        <v>61</v>
      </c>
      <c r="C2288" s="334" t="s">
        <v>11</v>
      </c>
      <c r="D2288" s="292" t="s">
        <v>4871</v>
      </c>
      <c r="H2288" s="292" t="s">
        <v>205</v>
      </c>
      <c r="I2288" s="301">
        <v>0</v>
      </c>
      <c r="J2288" s="301">
        <v>768</v>
      </c>
      <c r="K2288" s="301">
        <v>40</v>
      </c>
      <c r="L2288" s="300"/>
      <c r="M2288" s="299" t="s">
        <v>15</v>
      </c>
      <c r="N2288" s="334"/>
      <c r="O2288" s="231">
        <v>2025</v>
      </c>
      <c r="P2288" s="303">
        <v>46050</v>
      </c>
      <c r="S2288" s="241"/>
    </row>
    <row r="2289" spans="1:19" ht="15" customHeight="1">
      <c r="A2289" s="61">
        <v>2288</v>
      </c>
      <c r="B2289" s="327" t="s">
        <v>52</v>
      </c>
      <c r="C2289" s="327" t="s">
        <v>10</v>
      </c>
      <c r="D2289" s="292" t="s">
        <v>4756</v>
      </c>
      <c r="H2289" s="292" t="s">
        <v>4803</v>
      </c>
      <c r="I2289" s="301">
        <v>0</v>
      </c>
      <c r="J2289" s="301">
        <v>590</v>
      </c>
      <c r="K2289" s="231" t="b">
        <f t="shared" si="54"/>
        <v>0</v>
      </c>
      <c r="L2289" s="300"/>
      <c r="M2289" s="299" t="s">
        <v>3437</v>
      </c>
      <c r="N2289" s="61"/>
      <c r="O2289" s="231">
        <v>2025</v>
      </c>
      <c r="P2289" s="303">
        <v>46051</v>
      </c>
      <c r="Q2289" s="90" t="s">
        <v>4233</v>
      </c>
      <c r="S2289" s="241" t="s">
        <v>453</v>
      </c>
    </row>
    <row r="2290" spans="1:19" ht="15" customHeight="1">
      <c r="A2290" s="61">
        <v>2289</v>
      </c>
      <c r="B2290" s="327" t="s">
        <v>49</v>
      </c>
      <c r="C2290" s="327" t="s">
        <v>10</v>
      </c>
      <c r="D2290" s="292" t="s">
        <v>4757</v>
      </c>
      <c r="H2290" s="292" t="s">
        <v>4804</v>
      </c>
      <c r="I2290" s="301">
        <v>0</v>
      </c>
      <c r="J2290" s="301">
        <v>500</v>
      </c>
      <c r="K2290" s="231" t="b">
        <f t="shared" si="54"/>
        <v>0</v>
      </c>
      <c r="L2290" s="300"/>
      <c r="M2290" s="299" t="s">
        <v>3276</v>
      </c>
      <c r="N2290" s="61"/>
      <c r="O2290" s="231">
        <v>2025</v>
      </c>
      <c r="P2290" s="303">
        <v>46055</v>
      </c>
      <c r="Q2290" s="90" t="s">
        <v>4233</v>
      </c>
      <c r="S2290" s="241" t="s">
        <v>453</v>
      </c>
    </row>
    <row r="2291" spans="1:19" ht="15" customHeight="1">
      <c r="A2291" s="61">
        <v>2290</v>
      </c>
      <c r="B2291" s="327" t="s">
        <v>53</v>
      </c>
      <c r="C2291" s="327" t="s">
        <v>10</v>
      </c>
      <c r="D2291" s="292" t="s">
        <v>4758</v>
      </c>
      <c r="H2291" s="292" t="s">
        <v>4805</v>
      </c>
      <c r="I2291" s="301">
        <v>0</v>
      </c>
      <c r="J2291" s="301">
        <v>300</v>
      </c>
      <c r="K2291" s="231" t="b">
        <f t="shared" si="54"/>
        <v>0</v>
      </c>
      <c r="L2291" s="300"/>
      <c r="M2291" s="299" t="s">
        <v>3276</v>
      </c>
      <c r="N2291" s="61"/>
      <c r="O2291" s="231">
        <v>2025</v>
      </c>
      <c r="P2291" s="303">
        <v>46080</v>
      </c>
      <c r="Q2291" s="90" t="s">
        <v>4233</v>
      </c>
      <c r="S2291" s="241" t="s">
        <v>453</v>
      </c>
    </row>
    <row r="2292" spans="1:19" ht="15" customHeight="1">
      <c r="A2292" s="61">
        <v>2291</v>
      </c>
      <c r="B2292" s="327" t="s">
        <v>55</v>
      </c>
      <c r="C2292" s="327" t="s">
        <v>10</v>
      </c>
      <c r="D2292" s="292" t="s">
        <v>4759</v>
      </c>
      <c r="H2292" s="292" t="s">
        <v>4806</v>
      </c>
      <c r="I2292" s="301">
        <v>300</v>
      </c>
      <c r="J2292" s="301">
        <v>0</v>
      </c>
      <c r="K2292" s="231" t="b">
        <f t="shared" si="54"/>
        <v>0</v>
      </c>
      <c r="L2292" s="300"/>
      <c r="M2292" s="299" t="s">
        <v>3276</v>
      </c>
      <c r="N2292" s="61"/>
      <c r="O2292" s="231">
        <v>2025</v>
      </c>
      <c r="P2292" s="303">
        <v>46066</v>
      </c>
      <c r="Q2292" s="90" t="s">
        <v>4233</v>
      </c>
      <c r="S2292" s="241" t="s">
        <v>453</v>
      </c>
    </row>
    <row r="2293" spans="1:19" ht="15" customHeight="1">
      <c r="A2293" s="61">
        <v>2292</v>
      </c>
      <c r="B2293" s="327" t="s">
        <v>52</v>
      </c>
      <c r="C2293" s="327" t="s">
        <v>10</v>
      </c>
      <c r="D2293" s="292" t="s">
        <v>4760</v>
      </c>
      <c r="H2293" s="292" t="s">
        <v>4152</v>
      </c>
      <c r="I2293" s="301">
        <v>250</v>
      </c>
      <c r="J2293" s="301">
        <v>550</v>
      </c>
      <c r="K2293" s="231">
        <v>40</v>
      </c>
      <c r="L2293" s="300"/>
      <c r="M2293" s="299" t="s">
        <v>4813</v>
      </c>
      <c r="N2293" s="61"/>
      <c r="O2293" s="231">
        <v>2025</v>
      </c>
      <c r="P2293" s="303">
        <v>46059</v>
      </c>
      <c r="Q2293" s="90" t="s">
        <v>4233</v>
      </c>
      <c r="S2293" s="241" t="s">
        <v>453</v>
      </c>
    </row>
    <row r="2294" spans="1:19" ht="15" customHeight="1">
      <c r="A2294" s="61">
        <v>2293</v>
      </c>
      <c r="B2294" s="327" t="s">
        <v>52</v>
      </c>
      <c r="C2294" s="327" t="s">
        <v>10</v>
      </c>
      <c r="D2294" s="292" t="s">
        <v>4761</v>
      </c>
      <c r="H2294" s="292" t="s">
        <v>3330</v>
      </c>
      <c r="I2294" s="301">
        <v>150</v>
      </c>
      <c r="J2294" s="301">
        <v>0</v>
      </c>
      <c r="K2294" s="231" t="b">
        <f t="shared" si="54"/>
        <v>0</v>
      </c>
      <c r="L2294" s="300"/>
      <c r="M2294" s="299" t="s">
        <v>3437</v>
      </c>
      <c r="N2294" s="61"/>
      <c r="O2294" s="231">
        <v>2025</v>
      </c>
      <c r="P2294" s="303">
        <v>46066</v>
      </c>
      <c r="Q2294" s="90" t="s">
        <v>4233</v>
      </c>
      <c r="S2294" s="241" t="s">
        <v>453</v>
      </c>
    </row>
    <row r="2295" spans="1:19" ht="15" customHeight="1">
      <c r="A2295" s="61">
        <v>2294</v>
      </c>
      <c r="B2295" s="327" t="s">
        <v>52</v>
      </c>
      <c r="C2295" s="327" t="s">
        <v>10</v>
      </c>
      <c r="D2295" s="292" t="s">
        <v>4762</v>
      </c>
      <c r="H2295" s="292" t="s">
        <v>2046</v>
      </c>
      <c r="I2295" s="301">
        <v>420</v>
      </c>
      <c r="J2295" s="301">
        <v>0</v>
      </c>
      <c r="K2295" s="231" t="b">
        <f t="shared" si="54"/>
        <v>0</v>
      </c>
      <c r="L2295" s="300"/>
      <c r="M2295" s="299" t="s">
        <v>3276</v>
      </c>
      <c r="N2295" s="61"/>
      <c r="O2295" s="231">
        <v>2025</v>
      </c>
      <c r="P2295" s="303">
        <v>46078</v>
      </c>
      <c r="Q2295" s="90" t="s">
        <v>4233</v>
      </c>
      <c r="S2295" s="241" t="s">
        <v>453</v>
      </c>
    </row>
    <row r="2296" spans="1:19" ht="15" customHeight="1">
      <c r="A2296" s="61">
        <v>2295</v>
      </c>
      <c r="B2296" s="327" t="s">
        <v>52</v>
      </c>
      <c r="C2296" s="327" t="s">
        <v>10</v>
      </c>
      <c r="D2296" s="292" t="s">
        <v>4763</v>
      </c>
      <c r="H2296" s="292" t="s">
        <v>3330</v>
      </c>
      <c r="I2296" s="301">
        <v>0</v>
      </c>
      <c r="J2296" s="301">
        <v>400</v>
      </c>
      <c r="K2296" s="231" t="b">
        <f t="shared" si="54"/>
        <v>0</v>
      </c>
      <c r="L2296" s="300"/>
      <c r="M2296" s="299" t="s">
        <v>3276</v>
      </c>
      <c r="N2296" s="61"/>
      <c r="O2296" s="231">
        <v>2025</v>
      </c>
      <c r="P2296" s="303">
        <v>46056</v>
      </c>
      <c r="Q2296" s="90" t="s">
        <v>4233</v>
      </c>
      <c r="S2296" s="241" t="s">
        <v>453</v>
      </c>
    </row>
    <row r="2297" spans="1:19" ht="15" customHeight="1">
      <c r="A2297" s="61">
        <v>2296</v>
      </c>
      <c r="B2297" s="327" t="s">
        <v>49</v>
      </c>
      <c r="C2297" s="327" t="s">
        <v>10</v>
      </c>
      <c r="D2297" s="292" t="s">
        <v>4764</v>
      </c>
      <c r="H2297" s="292" t="s">
        <v>3496</v>
      </c>
      <c r="I2297" s="301">
        <v>0</v>
      </c>
      <c r="J2297" s="301">
        <v>650</v>
      </c>
      <c r="K2297" s="231" t="b">
        <f t="shared" si="54"/>
        <v>0</v>
      </c>
      <c r="L2297" s="300"/>
      <c r="M2297" s="299" t="s">
        <v>3276</v>
      </c>
      <c r="N2297" s="61"/>
      <c r="O2297" s="231">
        <v>2025</v>
      </c>
      <c r="P2297" s="303">
        <v>46073</v>
      </c>
      <c r="Q2297" s="90" t="s">
        <v>4233</v>
      </c>
      <c r="S2297" s="241" t="s">
        <v>453</v>
      </c>
    </row>
    <row r="2298" spans="1:19" ht="15" customHeight="1">
      <c r="A2298" s="61">
        <v>2297</v>
      </c>
      <c r="B2298" s="327" t="s">
        <v>49</v>
      </c>
      <c r="C2298" s="327" t="s">
        <v>10</v>
      </c>
      <c r="D2298" s="292" t="s">
        <v>4765</v>
      </c>
      <c r="H2298" s="292" t="s">
        <v>3496</v>
      </c>
      <c r="I2298" s="301">
        <v>0</v>
      </c>
      <c r="J2298" s="301">
        <v>0</v>
      </c>
      <c r="K2298" s="231" t="b">
        <f t="shared" si="54"/>
        <v>0</v>
      </c>
      <c r="L2298" s="300"/>
      <c r="M2298" s="299" t="s">
        <v>3437</v>
      </c>
      <c r="N2298" s="61"/>
      <c r="O2298" s="231">
        <v>2025</v>
      </c>
      <c r="P2298" s="303">
        <v>46071</v>
      </c>
      <c r="Q2298" s="90" t="s">
        <v>4233</v>
      </c>
      <c r="S2298" s="241" t="s">
        <v>453</v>
      </c>
    </row>
    <row r="2299" spans="1:19" ht="15" customHeight="1">
      <c r="A2299" s="61">
        <v>2298</v>
      </c>
      <c r="B2299" s="327" t="s">
        <v>53</v>
      </c>
      <c r="C2299" s="327" t="s">
        <v>10</v>
      </c>
      <c r="D2299" s="292" t="s">
        <v>4766</v>
      </c>
      <c r="H2299" s="292" t="s">
        <v>3493</v>
      </c>
      <c r="I2299" s="301">
        <v>0</v>
      </c>
      <c r="J2299" s="301">
        <v>0</v>
      </c>
      <c r="K2299" s="231" t="b">
        <f t="shared" si="54"/>
        <v>0</v>
      </c>
      <c r="L2299" s="300"/>
      <c r="M2299" s="299" t="s">
        <v>3437</v>
      </c>
      <c r="N2299" s="61"/>
      <c r="O2299" s="231">
        <v>2025</v>
      </c>
      <c r="P2299" s="303">
        <v>46071</v>
      </c>
      <c r="Q2299" s="90" t="s">
        <v>4233</v>
      </c>
      <c r="S2299" s="241" t="s">
        <v>453</v>
      </c>
    </row>
    <row r="2300" spans="1:19" ht="15" customHeight="1">
      <c r="A2300" s="61">
        <v>2299</v>
      </c>
      <c r="B2300" s="327" t="s">
        <v>52</v>
      </c>
      <c r="C2300" s="327" t="s">
        <v>10</v>
      </c>
      <c r="D2300" s="292" t="s">
        <v>4767</v>
      </c>
      <c r="H2300" s="292" t="s">
        <v>4128</v>
      </c>
      <c r="I2300" s="301">
        <v>0</v>
      </c>
      <c r="J2300" s="301">
        <v>0</v>
      </c>
      <c r="K2300" s="231" t="b">
        <f t="shared" si="54"/>
        <v>0</v>
      </c>
      <c r="L2300" s="300"/>
      <c r="M2300" s="299" t="s">
        <v>3437</v>
      </c>
      <c r="N2300" s="61"/>
      <c r="O2300" s="231">
        <v>2025</v>
      </c>
      <c r="P2300" s="303">
        <v>46071</v>
      </c>
      <c r="Q2300" s="90" t="s">
        <v>4233</v>
      </c>
      <c r="S2300" s="241" t="s">
        <v>453</v>
      </c>
    </row>
    <row r="2301" spans="1:19" ht="15" customHeight="1">
      <c r="A2301" s="61">
        <v>2300</v>
      </c>
      <c r="B2301" s="327" t="s">
        <v>52</v>
      </c>
      <c r="C2301" s="327" t="s">
        <v>10</v>
      </c>
      <c r="D2301" s="292" t="s">
        <v>4768</v>
      </c>
      <c r="H2301" s="292" t="s">
        <v>3424</v>
      </c>
      <c r="I2301" s="301">
        <v>975</v>
      </c>
      <c r="J2301" s="301">
        <v>0</v>
      </c>
      <c r="K2301" s="231" t="b">
        <f t="shared" si="54"/>
        <v>0</v>
      </c>
      <c r="L2301" s="300"/>
      <c r="M2301" s="299" t="s">
        <v>3437</v>
      </c>
      <c r="N2301" s="61"/>
      <c r="O2301" s="231">
        <v>2025</v>
      </c>
      <c r="P2301" s="303">
        <v>46055</v>
      </c>
      <c r="Q2301" s="90" t="s">
        <v>4233</v>
      </c>
      <c r="S2301" s="241" t="s">
        <v>453</v>
      </c>
    </row>
    <row r="2302" spans="1:19" ht="15" customHeight="1">
      <c r="A2302" s="61">
        <v>2301</v>
      </c>
      <c r="B2302" s="327" t="s">
        <v>52</v>
      </c>
      <c r="C2302" s="327" t="s">
        <v>10</v>
      </c>
      <c r="D2302" s="292" t="s">
        <v>4769</v>
      </c>
      <c r="H2302" s="292" t="s">
        <v>4807</v>
      </c>
      <c r="I2302" s="301">
        <v>290</v>
      </c>
      <c r="J2302" s="301">
        <v>0</v>
      </c>
      <c r="K2302" s="231" t="b">
        <f t="shared" si="54"/>
        <v>0</v>
      </c>
      <c r="L2302" s="300"/>
      <c r="M2302" s="299" t="s">
        <v>3437</v>
      </c>
      <c r="N2302" s="61"/>
      <c r="O2302" s="231">
        <v>2025</v>
      </c>
      <c r="P2302" s="303">
        <v>46055</v>
      </c>
      <c r="Q2302" s="90" t="s">
        <v>4233</v>
      </c>
      <c r="S2302" s="241" t="s">
        <v>453</v>
      </c>
    </row>
    <row r="2303" spans="1:19" ht="15" customHeight="1">
      <c r="A2303" s="61">
        <v>2302</v>
      </c>
      <c r="B2303" s="327" t="s">
        <v>52</v>
      </c>
      <c r="C2303" s="327" t="s">
        <v>10</v>
      </c>
      <c r="D2303" s="292" t="s">
        <v>4770</v>
      </c>
      <c r="H2303" s="292" t="s">
        <v>4808</v>
      </c>
      <c r="I2303" s="301">
        <v>291</v>
      </c>
      <c r="J2303" s="301">
        <v>2447</v>
      </c>
      <c r="K2303" s="231" t="b">
        <f t="shared" si="54"/>
        <v>0</v>
      </c>
      <c r="L2303" s="300"/>
      <c r="M2303" s="299" t="s">
        <v>3437</v>
      </c>
      <c r="N2303" s="61"/>
      <c r="O2303" s="231">
        <v>2025</v>
      </c>
      <c r="P2303" s="303">
        <v>46059</v>
      </c>
      <c r="Q2303" s="90" t="s">
        <v>4233</v>
      </c>
      <c r="S2303" s="241" t="s">
        <v>453</v>
      </c>
    </row>
    <row r="2304" spans="1:19" ht="15" customHeight="1">
      <c r="A2304" s="61">
        <v>2303</v>
      </c>
      <c r="B2304" s="327" t="s">
        <v>53</v>
      </c>
      <c r="C2304" s="327" t="s">
        <v>10</v>
      </c>
      <c r="D2304" s="292" t="s">
        <v>4771</v>
      </c>
      <c r="H2304" s="292" t="s">
        <v>3493</v>
      </c>
      <c r="I2304" s="301">
        <v>0</v>
      </c>
      <c r="J2304" s="301">
        <v>2700</v>
      </c>
      <c r="K2304" s="231">
        <v>40</v>
      </c>
      <c r="L2304" s="300"/>
      <c r="M2304" s="299" t="s">
        <v>4812</v>
      </c>
      <c r="N2304" s="61"/>
      <c r="O2304" s="231">
        <v>2025</v>
      </c>
      <c r="P2304" s="303">
        <v>46060</v>
      </c>
      <c r="Q2304" s="90" t="s">
        <v>4233</v>
      </c>
      <c r="S2304" s="241" t="s">
        <v>453</v>
      </c>
    </row>
    <row r="2305" spans="1:19" ht="15" customHeight="1">
      <c r="A2305" s="61">
        <v>2304</v>
      </c>
      <c r="B2305" s="327" t="s">
        <v>52</v>
      </c>
      <c r="C2305" s="327" t="s">
        <v>10</v>
      </c>
      <c r="D2305" s="292" t="s">
        <v>4772</v>
      </c>
      <c r="H2305" s="292" t="s">
        <v>4809</v>
      </c>
      <c r="I2305" s="301">
        <v>500</v>
      </c>
      <c r="J2305" s="301">
        <v>0</v>
      </c>
      <c r="K2305" s="231" t="b">
        <f t="shared" si="54"/>
        <v>0</v>
      </c>
      <c r="L2305" s="300"/>
      <c r="M2305" s="299" t="s">
        <v>3437</v>
      </c>
      <c r="N2305" s="61"/>
      <c r="O2305" s="231">
        <v>2025</v>
      </c>
      <c r="P2305" s="303">
        <v>46059</v>
      </c>
      <c r="Q2305" s="90" t="s">
        <v>4233</v>
      </c>
      <c r="S2305" s="241" t="s">
        <v>453</v>
      </c>
    </row>
    <row r="2306" spans="1:19" ht="15" customHeight="1">
      <c r="A2306" s="61">
        <v>2305</v>
      </c>
      <c r="B2306" s="327" t="s">
        <v>52</v>
      </c>
      <c r="C2306" s="327" t="s">
        <v>10</v>
      </c>
      <c r="D2306" s="292" t="s">
        <v>4773</v>
      </c>
      <c r="H2306" s="292" t="s">
        <v>3360</v>
      </c>
      <c r="I2306" s="301">
        <v>450</v>
      </c>
      <c r="J2306" s="301">
        <v>0</v>
      </c>
      <c r="K2306" s="231" t="b">
        <f t="shared" si="54"/>
        <v>0</v>
      </c>
      <c r="L2306" s="300"/>
      <c r="M2306" s="299" t="s">
        <v>3437</v>
      </c>
      <c r="N2306" s="61"/>
      <c r="O2306" s="231">
        <v>2025</v>
      </c>
      <c r="P2306" s="303">
        <v>46059</v>
      </c>
      <c r="Q2306" s="90" t="s">
        <v>4233</v>
      </c>
      <c r="S2306" s="241" t="s">
        <v>453</v>
      </c>
    </row>
    <row r="2307" spans="1:19" ht="15" customHeight="1">
      <c r="A2307" s="61">
        <v>2306</v>
      </c>
      <c r="B2307" s="327" t="s">
        <v>52</v>
      </c>
      <c r="C2307" s="327" t="s">
        <v>10</v>
      </c>
      <c r="D2307" s="292" t="s">
        <v>4774</v>
      </c>
      <c r="H2307" s="292" t="s">
        <v>4810</v>
      </c>
      <c r="I2307" s="301">
        <v>0</v>
      </c>
      <c r="J2307" s="301">
        <v>0</v>
      </c>
      <c r="K2307" s="231" t="b">
        <f t="shared" si="54"/>
        <v>0</v>
      </c>
      <c r="L2307" s="300"/>
      <c r="M2307" s="299" t="s">
        <v>3437</v>
      </c>
      <c r="N2307" s="61"/>
      <c r="O2307" s="231">
        <v>2025</v>
      </c>
      <c r="P2307" s="303">
        <v>46059</v>
      </c>
      <c r="Q2307" s="90" t="s">
        <v>4233</v>
      </c>
      <c r="S2307" s="241" t="s">
        <v>453</v>
      </c>
    </row>
    <row r="2308" spans="1:19" ht="15" customHeight="1">
      <c r="A2308" s="61">
        <v>2307</v>
      </c>
      <c r="B2308" s="327" t="s">
        <v>52</v>
      </c>
      <c r="C2308" s="327" t="s">
        <v>10</v>
      </c>
      <c r="D2308" s="292" t="s">
        <v>4775</v>
      </c>
      <c r="H2308" s="292" t="s">
        <v>4193</v>
      </c>
      <c r="I2308" s="301">
        <v>101</v>
      </c>
      <c r="J2308" s="301">
        <v>0</v>
      </c>
      <c r="K2308" s="231" t="b">
        <f t="shared" si="54"/>
        <v>0</v>
      </c>
      <c r="L2308" s="300"/>
      <c r="M2308" s="299" t="s">
        <v>3437</v>
      </c>
      <c r="N2308" s="61"/>
      <c r="O2308" s="231">
        <v>2025</v>
      </c>
      <c r="P2308" s="303">
        <v>46073</v>
      </c>
      <c r="Q2308" s="90" t="s">
        <v>4233</v>
      </c>
      <c r="S2308" s="241" t="s">
        <v>453</v>
      </c>
    </row>
    <row r="2309" spans="1:19" ht="15" customHeight="1">
      <c r="A2309" s="90">
        <v>2308</v>
      </c>
      <c r="B2309" s="327" t="s">
        <v>52</v>
      </c>
      <c r="C2309" s="327" t="s">
        <v>10</v>
      </c>
      <c r="D2309" s="292" t="s">
        <v>4776</v>
      </c>
      <c r="H2309" s="292" t="s">
        <v>4193</v>
      </c>
      <c r="I2309" s="301">
        <v>0</v>
      </c>
      <c r="J2309" s="301">
        <v>0</v>
      </c>
      <c r="K2309" s="231" t="b">
        <f t="shared" si="54"/>
        <v>0</v>
      </c>
      <c r="M2309" s="299" t="s">
        <v>3437</v>
      </c>
      <c r="P2309" s="303">
        <v>46073</v>
      </c>
    </row>
    <row r="2310" spans="1:19" ht="15" customHeight="1">
      <c r="A2310" s="90">
        <v>2309</v>
      </c>
      <c r="B2310" s="327" t="s">
        <v>52</v>
      </c>
      <c r="C2310" s="327" t="s">
        <v>10</v>
      </c>
      <c r="D2310" s="292" t="s">
        <v>4777</v>
      </c>
      <c r="H2310" s="292" t="s">
        <v>3477</v>
      </c>
      <c r="I2310" s="301">
        <v>942</v>
      </c>
      <c r="J2310" s="301">
        <v>0</v>
      </c>
      <c r="K2310" s="231" t="b">
        <f t="shared" si="54"/>
        <v>0</v>
      </c>
      <c r="M2310" s="299" t="s">
        <v>3437</v>
      </c>
      <c r="P2310" s="303">
        <v>46080</v>
      </c>
    </row>
    <row r="2311" spans="1:19" ht="15" customHeight="1">
      <c r="A2311" s="90">
        <v>2310</v>
      </c>
      <c r="B2311" s="327" t="s">
        <v>52</v>
      </c>
      <c r="C2311" s="327" t="s">
        <v>10</v>
      </c>
      <c r="D2311" s="292" t="s">
        <v>4778</v>
      </c>
      <c r="H2311" s="292" t="s">
        <v>3330</v>
      </c>
      <c r="I2311" s="301">
        <v>407</v>
      </c>
      <c r="J2311" s="301">
        <v>0</v>
      </c>
      <c r="K2311" s="231" t="b">
        <f t="shared" si="54"/>
        <v>0</v>
      </c>
      <c r="M2311" s="299" t="s">
        <v>3276</v>
      </c>
      <c r="P2311" s="303">
        <v>46079</v>
      </c>
    </row>
    <row r="2312" spans="1:19" ht="15" customHeight="1">
      <c r="A2312" s="90">
        <v>2311</v>
      </c>
      <c r="B2312" s="327" t="s">
        <v>52</v>
      </c>
      <c r="C2312" s="327" t="s">
        <v>10</v>
      </c>
      <c r="D2312" s="292" t="s">
        <v>4779</v>
      </c>
      <c r="H2312" s="292" t="s">
        <v>3424</v>
      </c>
      <c r="I2312" s="301">
        <v>350</v>
      </c>
      <c r="J2312" s="301">
        <v>625</v>
      </c>
      <c r="K2312" s="231" t="b">
        <f t="shared" si="54"/>
        <v>0</v>
      </c>
      <c r="M2312" s="299" t="s">
        <v>3276</v>
      </c>
      <c r="P2312" s="303">
        <v>46055</v>
      </c>
    </row>
    <row r="2313" spans="1:19" ht="15" customHeight="1">
      <c r="A2313" s="90">
        <v>2312</v>
      </c>
      <c r="B2313" s="327" t="s">
        <v>49</v>
      </c>
      <c r="C2313" s="327" t="s">
        <v>10</v>
      </c>
      <c r="D2313" s="292" t="s">
        <v>4780</v>
      </c>
      <c r="H2313" s="292" t="s">
        <v>4804</v>
      </c>
      <c r="I2313" s="301">
        <v>0</v>
      </c>
      <c r="J2313" s="301">
        <v>500</v>
      </c>
      <c r="K2313" s="231" t="b">
        <f t="shared" si="54"/>
        <v>0</v>
      </c>
      <c r="M2313" s="299" t="s">
        <v>3276</v>
      </c>
      <c r="P2313" s="303">
        <v>46055</v>
      </c>
    </row>
    <row r="2314" spans="1:19" ht="15" customHeight="1">
      <c r="A2314" s="90">
        <v>2313</v>
      </c>
      <c r="B2314" s="327" t="s">
        <v>52</v>
      </c>
      <c r="C2314" s="327" t="s">
        <v>10</v>
      </c>
      <c r="D2314" s="292" t="s">
        <v>4781</v>
      </c>
      <c r="H2314" s="292" t="s">
        <v>3330</v>
      </c>
      <c r="I2314" s="301">
        <v>360</v>
      </c>
      <c r="J2314" s="301">
        <v>0</v>
      </c>
      <c r="K2314" s="231" t="b">
        <f t="shared" si="54"/>
        <v>0</v>
      </c>
      <c r="M2314" s="299" t="s">
        <v>3276</v>
      </c>
      <c r="P2314" s="303">
        <v>46056</v>
      </c>
    </row>
    <row r="2315" spans="1:19" ht="15" customHeight="1">
      <c r="A2315" s="90">
        <v>2314</v>
      </c>
      <c r="B2315" s="327" t="s">
        <v>52</v>
      </c>
      <c r="C2315" s="327" t="s">
        <v>10</v>
      </c>
      <c r="D2315" s="292" t="s">
        <v>4782</v>
      </c>
      <c r="H2315" s="292" t="s">
        <v>3360</v>
      </c>
      <c r="I2315" s="301">
        <v>300</v>
      </c>
      <c r="J2315" s="301">
        <v>0</v>
      </c>
      <c r="K2315" s="231" t="b">
        <f t="shared" si="54"/>
        <v>0</v>
      </c>
      <c r="M2315" s="299" t="s">
        <v>3437</v>
      </c>
      <c r="P2315" s="303">
        <v>46056</v>
      </c>
    </row>
    <row r="2316" spans="1:19" ht="15" customHeight="1">
      <c r="A2316" s="90">
        <v>2315</v>
      </c>
      <c r="B2316" s="327" t="s">
        <v>52</v>
      </c>
      <c r="C2316" s="327" t="s">
        <v>10</v>
      </c>
      <c r="D2316" s="292" t="s">
        <v>4783</v>
      </c>
      <c r="H2316" s="292" t="s">
        <v>2046</v>
      </c>
      <c r="I2316" s="301">
        <v>424</v>
      </c>
      <c r="J2316" s="301">
        <v>0</v>
      </c>
      <c r="K2316" s="231" t="b">
        <f t="shared" si="54"/>
        <v>0</v>
      </c>
      <c r="M2316" s="299" t="s">
        <v>3437</v>
      </c>
      <c r="P2316" s="303">
        <v>46078</v>
      </c>
    </row>
    <row r="2317" spans="1:19" ht="15" customHeight="1">
      <c r="A2317" s="90">
        <v>2316</v>
      </c>
      <c r="B2317" s="327" t="s">
        <v>52</v>
      </c>
      <c r="C2317" s="327" t="s">
        <v>10</v>
      </c>
      <c r="D2317" s="292" t="s">
        <v>4784</v>
      </c>
      <c r="H2317" s="292" t="s">
        <v>4206</v>
      </c>
      <c r="I2317" s="301">
        <v>200</v>
      </c>
      <c r="J2317" s="301">
        <v>0</v>
      </c>
      <c r="K2317" s="231" t="b">
        <f t="shared" si="54"/>
        <v>0</v>
      </c>
      <c r="M2317" s="299" t="s">
        <v>3437</v>
      </c>
      <c r="P2317" s="303">
        <v>46078</v>
      </c>
    </row>
    <row r="2318" spans="1:19" ht="15" customHeight="1">
      <c r="A2318" s="90">
        <v>2317</v>
      </c>
      <c r="B2318" s="327" t="s">
        <v>52</v>
      </c>
      <c r="C2318" s="327" t="s">
        <v>10</v>
      </c>
      <c r="D2318" s="292" t="s">
        <v>4785</v>
      </c>
      <c r="H2318" s="292" t="s">
        <v>4801</v>
      </c>
      <c r="I2318" s="301">
        <v>90</v>
      </c>
      <c r="J2318" s="301">
        <v>0</v>
      </c>
      <c r="K2318" s="231" t="b">
        <f t="shared" si="54"/>
        <v>0</v>
      </c>
      <c r="M2318" s="299" t="s">
        <v>3437</v>
      </c>
      <c r="P2318" s="303">
        <v>46077</v>
      </c>
    </row>
    <row r="2319" spans="1:19" ht="15" customHeight="1">
      <c r="A2319" s="90">
        <v>2318</v>
      </c>
      <c r="B2319" s="327" t="s">
        <v>52</v>
      </c>
      <c r="C2319" s="327" t="s">
        <v>10</v>
      </c>
      <c r="D2319" s="292" t="s">
        <v>4786</v>
      </c>
      <c r="H2319" s="292" t="s">
        <v>3477</v>
      </c>
      <c r="I2319" s="301">
        <v>85</v>
      </c>
      <c r="J2319" s="301">
        <v>0</v>
      </c>
      <c r="K2319" s="231" t="b">
        <f t="shared" si="54"/>
        <v>0</v>
      </c>
      <c r="M2319" s="299" t="s">
        <v>3437</v>
      </c>
      <c r="P2319" s="303">
        <v>46076</v>
      </c>
    </row>
    <row r="2320" spans="1:19" ht="15" customHeight="1">
      <c r="A2320" s="90">
        <v>2319</v>
      </c>
      <c r="B2320" s="327" t="s">
        <v>52</v>
      </c>
      <c r="C2320" s="327" t="s">
        <v>10</v>
      </c>
      <c r="D2320" s="292" t="s">
        <v>4787</v>
      </c>
      <c r="H2320" s="292" t="s">
        <v>3488</v>
      </c>
      <c r="I2320" s="301">
        <v>124</v>
      </c>
      <c r="J2320" s="301">
        <v>0</v>
      </c>
      <c r="K2320" s="231" t="b">
        <f t="shared" si="54"/>
        <v>0</v>
      </c>
      <c r="M2320" s="299" t="s">
        <v>3437</v>
      </c>
      <c r="P2320" s="303">
        <v>46076</v>
      </c>
    </row>
    <row r="2321" spans="1:16" ht="15" customHeight="1">
      <c r="A2321" s="90">
        <v>2320</v>
      </c>
      <c r="B2321" s="327" t="s">
        <v>52</v>
      </c>
      <c r="C2321" s="327" t="s">
        <v>10</v>
      </c>
      <c r="D2321" s="292" t="s">
        <v>4788</v>
      </c>
      <c r="H2321" s="292" t="s">
        <v>3483</v>
      </c>
      <c r="I2321" s="301">
        <v>0</v>
      </c>
      <c r="J2321" s="301">
        <v>0</v>
      </c>
      <c r="K2321" s="231" t="b">
        <f t="shared" si="54"/>
        <v>0</v>
      </c>
      <c r="M2321" s="299" t="s">
        <v>3437</v>
      </c>
      <c r="P2321" s="303">
        <v>46073</v>
      </c>
    </row>
    <row r="2322" spans="1:16" ht="15" customHeight="1">
      <c r="A2322" s="90">
        <v>2321</v>
      </c>
      <c r="B2322" s="327" t="s">
        <v>53</v>
      </c>
      <c r="C2322" s="327" t="s">
        <v>10</v>
      </c>
      <c r="D2322" s="292" t="s">
        <v>4789</v>
      </c>
      <c r="H2322" s="292" t="s">
        <v>4805</v>
      </c>
      <c r="I2322" s="301">
        <v>0</v>
      </c>
      <c r="J2322" s="301">
        <v>236</v>
      </c>
      <c r="K2322" s="231">
        <v>40</v>
      </c>
      <c r="M2322" s="299" t="s">
        <v>4813</v>
      </c>
      <c r="P2322" s="303">
        <v>46073</v>
      </c>
    </row>
    <row r="2323" spans="1:16" ht="15" customHeight="1">
      <c r="A2323" s="90">
        <v>2322</v>
      </c>
      <c r="B2323" s="327" t="s">
        <v>52</v>
      </c>
      <c r="C2323" s="327" t="s">
        <v>10</v>
      </c>
      <c r="D2323" s="292" t="s">
        <v>4792</v>
      </c>
      <c r="H2323" s="292" t="s">
        <v>4801</v>
      </c>
      <c r="I2323" s="301">
        <v>88</v>
      </c>
      <c r="J2323" s="301">
        <v>0</v>
      </c>
      <c r="K2323" s="231" t="b">
        <f t="shared" ref="K2323:K2325" si="55">IF(M2323="ONT",20,IF(M2323="N/A","N/A",IF(M2323="MIKROTIK",IF(J2323&lt;3000,10,IF(3000&lt;J2323&gt;10000,20,IF(10000&lt;J2323&gt;20000,40,IF(20000&lt;J2323&gt;40000,60,IF(J2323&gt;40000,80,IF(J2323&lt;300,3,)))))))))</f>
        <v>0</v>
      </c>
      <c r="L2323" s="300"/>
      <c r="M2323" s="299" t="s">
        <v>3437</v>
      </c>
      <c r="N2323" s="327"/>
      <c r="O2323" s="231"/>
      <c r="P2323" s="303">
        <v>46084</v>
      </c>
    </row>
    <row r="2324" spans="1:16" ht="15" customHeight="1">
      <c r="A2324" s="90">
        <v>2323</v>
      </c>
      <c r="B2324" s="327" t="s">
        <v>52</v>
      </c>
      <c r="C2324" s="327" t="s">
        <v>10</v>
      </c>
      <c r="D2324" s="292" t="s">
        <v>4793</v>
      </c>
      <c r="H2324" s="292" t="s">
        <v>4801</v>
      </c>
      <c r="I2324" s="301">
        <v>90</v>
      </c>
      <c r="J2324" s="301">
        <v>0</v>
      </c>
      <c r="K2324" s="231" t="b">
        <f t="shared" si="55"/>
        <v>0</v>
      </c>
      <c r="L2324" s="300"/>
      <c r="M2324" s="299" t="s">
        <v>3437</v>
      </c>
      <c r="N2324" s="327"/>
      <c r="O2324" s="231"/>
      <c r="P2324" s="303">
        <v>46084</v>
      </c>
    </row>
    <row r="2325" spans="1:16" ht="15" customHeight="1">
      <c r="A2325" s="90">
        <v>2324</v>
      </c>
      <c r="B2325" s="327" t="s">
        <v>51</v>
      </c>
      <c r="C2325" s="327" t="s">
        <v>10</v>
      </c>
      <c r="D2325" s="292" t="s">
        <v>4794</v>
      </c>
      <c r="H2325" s="292" t="s">
        <v>4155</v>
      </c>
      <c r="I2325" s="301">
        <v>495</v>
      </c>
      <c r="J2325" s="301">
        <v>0</v>
      </c>
      <c r="K2325" s="231" t="b">
        <f t="shared" si="55"/>
        <v>0</v>
      </c>
      <c r="L2325" s="300"/>
      <c r="M2325" s="299" t="s">
        <v>4814</v>
      </c>
      <c r="N2325" s="327"/>
      <c r="O2325" s="231"/>
      <c r="P2325" s="303">
        <v>46085</v>
      </c>
    </row>
    <row r="2326" spans="1:16" ht="15" customHeight="1">
      <c r="A2326" s="90">
        <v>2325</v>
      </c>
      <c r="B2326" s="327" t="s">
        <v>52</v>
      </c>
      <c r="C2326" s="327" t="s">
        <v>10</v>
      </c>
      <c r="D2326" s="292" t="s">
        <v>4795</v>
      </c>
      <c r="H2326" s="292" t="s">
        <v>4811</v>
      </c>
      <c r="I2326" s="301">
        <v>300</v>
      </c>
      <c r="J2326" s="301">
        <v>0</v>
      </c>
      <c r="K2326" s="231" t="b">
        <v>0</v>
      </c>
      <c r="L2326" s="300"/>
      <c r="M2326" s="299" t="s">
        <v>3437</v>
      </c>
      <c r="N2326" s="327"/>
      <c r="O2326" s="231"/>
      <c r="P2326" s="303">
        <v>46087</v>
      </c>
    </row>
    <row r="2327" spans="1:16" ht="15" customHeight="1">
      <c r="A2327" s="90">
        <v>2326</v>
      </c>
      <c r="B2327" s="327" t="s">
        <v>52</v>
      </c>
      <c r="C2327" s="327" t="s">
        <v>10</v>
      </c>
      <c r="D2327" s="292" t="s">
        <v>4790</v>
      </c>
      <c r="H2327" s="292" t="s">
        <v>4807</v>
      </c>
      <c r="I2327" s="301">
        <v>235</v>
      </c>
      <c r="J2327" s="301">
        <v>0</v>
      </c>
      <c r="K2327" s="231" t="b">
        <v>0</v>
      </c>
      <c r="L2327" s="300"/>
      <c r="M2327" s="299" t="s">
        <v>3437</v>
      </c>
      <c r="N2327" s="327"/>
      <c r="O2327" s="231"/>
      <c r="P2327" s="303">
        <v>46084</v>
      </c>
    </row>
    <row r="2328" spans="1:16" ht="15" customHeight="1">
      <c r="A2328" s="90">
        <v>2327</v>
      </c>
      <c r="B2328" s="327" t="s">
        <v>52</v>
      </c>
      <c r="C2328" s="327" t="s">
        <v>10</v>
      </c>
      <c r="D2328" s="292" t="s">
        <v>4791</v>
      </c>
      <c r="H2328" s="292" t="s">
        <v>4815</v>
      </c>
      <c r="I2328" s="301">
        <v>73</v>
      </c>
      <c r="J2328" s="301">
        <v>0</v>
      </c>
      <c r="K2328" s="231" t="b">
        <v>0</v>
      </c>
      <c r="L2328" s="300"/>
      <c r="M2328" s="299" t="s">
        <v>3437</v>
      </c>
      <c r="N2328" s="327"/>
      <c r="O2328" s="231"/>
      <c r="P2328" s="303">
        <v>46084</v>
      </c>
    </row>
    <row r="2329" spans="1:16" ht="15" customHeight="1">
      <c r="A2329" s="90">
        <v>2328</v>
      </c>
      <c r="B2329" s="327" t="s">
        <v>52</v>
      </c>
      <c r="C2329" s="327" t="s">
        <v>10</v>
      </c>
      <c r="D2329" s="292" t="s">
        <v>4816</v>
      </c>
      <c r="H2329" s="292" t="s">
        <v>4815</v>
      </c>
      <c r="I2329" s="301">
        <v>88</v>
      </c>
      <c r="J2329" s="301">
        <v>0</v>
      </c>
      <c r="K2329" s="231" t="b">
        <v>0</v>
      </c>
      <c r="L2329" s="300"/>
      <c r="M2329" s="299" t="s">
        <v>3437</v>
      </c>
      <c r="N2329" s="327"/>
      <c r="O2329" s="231"/>
      <c r="P2329" s="303">
        <v>46084</v>
      </c>
    </row>
    <row r="2330" spans="1:16" ht="15" customHeight="1">
      <c r="A2330" s="90">
        <v>2329</v>
      </c>
      <c r="B2330" s="327" t="s">
        <v>52</v>
      </c>
      <c r="C2330" s="327" t="s">
        <v>10</v>
      </c>
      <c r="D2330" s="292" t="s">
        <v>4817</v>
      </c>
      <c r="H2330" s="292" t="s">
        <v>4818</v>
      </c>
      <c r="I2330" s="301">
        <v>495</v>
      </c>
      <c r="J2330" s="301">
        <v>0</v>
      </c>
      <c r="K2330" s="231" t="b">
        <v>0</v>
      </c>
      <c r="L2330" s="300"/>
      <c r="M2330" s="299" t="s">
        <v>3437</v>
      </c>
      <c r="N2330" s="327"/>
      <c r="O2330" s="231"/>
      <c r="P2330" s="303">
        <v>46085</v>
      </c>
    </row>
    <row r="2331" spans="1:16" ht="15" customHeight="1">
      <c r="A2331" s="90">
        <v>2330</v>
      </c>
      <c r="B2331" s="327" t="s">
        <v>52</v>
      </c>
      <c r="C2331" s="327" t="s">
        <v>10</v>
      </c>
      <c r="D2331" s="292" t="s">
        <v>4819</v>
      </c>
      <c r="H2331" s="292" t="s">
        <v>4811</v>
      </c>
      <c r="I2331" s="301">
        <v>300</v>
      </c>
      <c r="J2331" s="301">
        <v>0</v>
      </c>
      <c r="K2331" s="231" t="b">
        <v>0</v>
      </c>
      <c r="L2331" s="300"/>
      <c r="M2331" s="299" t="s">
        <v>3437</v>
      </c>
      <c r="N2331" s="327"/>
      <c r="O2331" s="231"/>
      <c r="P2331" s="303">
        <v>46087</v>
      </c>
    </row>
    <row r="2332" spans="1:16" ht="15" customHeight="1">
      <c r="A2332" s="90">
        <v>2331</v>
      </c>
      <c r="B2332" s="327" t="s">
        <v>52</v>
      </c>
      <c r="C2332" s="327" t="s">
        <v>10</v>
      </c>
      <c r="D2332" s="292" t="s">
        <v>4820</v>
      </c>
      <c r="H2332" s="292" t="s">
        <v>4821</v>
      </c>
      <c r="I2332" s="301">
        <v>106</v>
      </c>
      <c r="J2332" s="301">
        <v>0</v>
      </c>
      <c r="K2332" s="231" t="b">
        <v>0</v>
      </c>
      <c r="L2332" s="300"/>
      <c r="M2332" s="299" t="s">
        <v>3437</v>
      </c>
      <c r="N2332" s="327"/>
      <c r="O2332" s="231"/>
      <c r="P2332" s="303">
        <v>46090</v>
      </c>
    </row>
    <row r="2333" spans="1:16" ht="15" customHeight="1">
      <c r="A2333" s="90">
        <v>2332</v>
      </c>
      <c r="B2333" s="327" t="s">
        <v>52</v>
      </c>
      <c r="C2333" s="327" t="s">
        <v>10</v>
      </c>
      <c r="D2333" s="292" t="s">
        <v>4822</v>
      </c>
      <c r="H2333" s="292" t="s">
        <v>4823</v>
      </c>
      <c r="I2333" s="301">
        <v>459</v>
      </c>
      <c r="J2333" s="301">
        <v>0</v>
      </c>
      <c r="K2333" s="231" t="b">
        <v>0</v>
      </c>
      <c r="L2333" s="300"/>
      <c r="M2333" s="299" t="s">
        <v>3437</v>
      </c>
      <c r="N2333" s="327"/>
      <c r="O2333" s="231"/>
      <c r="P2333" s="303">
        <v>46091</v>
      </c>
    </row>
    <row r="2334" spans="1:16" ht="15" customHeight="1">
      <c r="A2334" s="90">
        <v>2333</v>
      </c>
      <c r="B2334" s="327" t="s">
        <v>52</v>
      </c>
      <c r="C2334" s="327" t="s">
        <v>10</v>
      </c>
      <c r="D2334" s="292" t="s">
        <v>4824</v>
      </c>
      <c r="H2334" s="292" t="s">
        <v>4815</v>
      </c>
      <c r="I2334" s="301">
        <v>155</v>
      </c>
      <c r="J2334" s="301">
        <v>0</v>
      </c>
      <c r="K2334" s="231" t="b">
        <v>0</v>
      </c>
      <c r="L2334" s="300"/>
      <c r="M2334" s="299" t="s">
        <v>3437</v>
      </c>
      <c r="N2334" s="327"/>
      <c r="O2334" s="231"/>
      <c r="P2334" s="303">
        <v>46092</v>
      </c>
    </row>
    <row r="2335" spans="1:16" ht="15" customHeight="1">
      <c r="A2335" s="90">
        <v>2334</v>
      </c>
      <c r="B2335" s="327" t="s">
        <v>52</v>
      </c>
      <c r="C2335" s="327" t="s">
        <v>10</v>
      </c>
      <c r="D2335" s="292" t="s">
        <v>4825</v>
      </c>
      <c r="H2335" s="292" t="s">
        <v>3628</v>
      </c>
      <c r="I2335" s="301">
        <v>257</v>
      </c>
      <c r="J2335" s="301">
        <v>0</v>
      </c>
      <c r="K2335" s="231" t="b">
        <v>0</v>
      </c>
      <c r="L2335" s="300"/>
      <c r="M2335" s="299" t="s">
        <v>3437</v>
      </c>
      <c r="N2335" s="327"/>
      <c r="O2335" s="231"/>
      <c r="P2335" s="303">
        <v>46093</v>
      </c>
    </row>
    <row r="2336" spans="1:16" ht="15" customHeight="1">
      <c r="A2336" s="90">
        <v>2335</v>
      </c>
      <c r="B2336" s="327" t="s">
        <v>52</v>
      </c>
      <c r="C2336" s="327" t="s">
        <v>10</v>
      </c>
      <c r="D2336" s="292" t="s">
        <v>4826</v>
      </c>
      <c r="H2336" s="292" t="s">
        <v>4807</v>
      </c>
      <c r="I2336" s="301">
        <v>329</v>
      </c>
      <c r="J2336" s="301">
        <v>0</v>
      </c>
      <c r="K2336" s="231" t="b">
        <v>0</v>
      </c>
      <c r="L2336" s="300"/>
      <c r="M2336" s="299" t="s">
        <v>3437</v>
      </c>
      <c r="N2336" s="327"/>
      <c r="O2336" s="231"/>
      <c r="P2336" s="303">
        <v>46094</v>
      </c>
    </row>
    <row r="2337" spans="1:16" ht="15" customHeight="1">
      <c r="A2337" s="90">
        <v>2336</v>
      </c>
      <c r="B2337" s="327" t="s">
        <v>52</v>
      </c>
      <c r="C2337" s="327" t="s">
        <v>10</v>
      </c>
      <c r="D2337" s="292" t="s">
        <v>4827</v>
      </c>
      <c r="H2337" s="292" t="s">
        <v>4828</v>
      </c>
      <c r="I2337" s="301">
        <v>350</v>
      </c>
      <c r="J2337" s="301">
        <v>0</v>
      </c>
      <c r="K2337" s="231" t="b">
        <v>0</v>
      </c>
      <c r="L2337" s="300"/>
      <c r="M2337" s="299" t="s">
        <v>3437</v>
      </c>
      <c r="N2337" s="327"/>
      <c r="O2337" s="231"/>
      <c r="P2337" s="303">
        <v>46097</v>
      </c>
    </row>
    <row r="2338" spans="1:16" ht="15" customHeight="1">
      <c r="A2338" s="90">
        <v>2337</v>
      </c>
      <c r="B2338" s="327" t="s">
        <v>52</v>
      </c>
      <c r="C2338" s="327" t="s">
        <v>10</v>
      </c>
      <c r="D2338" s="292" t="s">
        <v>4829</v>
      </c>
      <c r="H2338" s="292" t="s">
        <v>4830</v>
      </c>
      <c r="I2338" s="301">
        <v>248</v>
      </c>
      <c r="J2338" s="301">
        <v>0</v>
      </c>
      <c r="K2338" s="231" t="b">
        <v>0</v>
      </c>
      <c r="L2338" s="300"/>
      <c r="M2338" s="299" t="s">
        <v>3437</v>
      </c>
      <c r="N2338" s="327"/>
      <c r="O2338" s="231"/>
      <c r="P2338" s="303">
        <v>46099</v>
      </c>
    </row>
    <row r="2339" spans="1:16" ht="15" customHeight="1">
      <c r="A2339" s="90">
        <v>2338</v>
      </c>
      <c r="B2339" s="327" t="s">
        <v>52</v>
      </c>
      <c r="C2339" s="327" t="s">
        <v>10</v>
      </c>
      <c r="D2339" s="292" t="s">
        <v>4831</v>
      </c>
      <c r="H2339" s="292" t="s">
        <v>3488</v>
      </c>
      <c r="I2339" s="301">
        <v>79</v>
      </c>
      <c r="J2339" s="301">
        <v>0</v>
      </c>
      <c r="K2339" s="231" t="b">
        <v>0</v>
      </c>
      <c r="L2339" s="300"/>
      <c r="M2339" s="299" t="s">
        <v>3437</v>
      </c>
      <c r="N2339" s="327"/>
      <c r="O2339" s="231"/>
      <c r="P2339" s="303">
        <v>46100</v>
      </c>
    </row>
    <row r="2340" spans="1:16" ht="15" customHeight="1">
      <c r="A2340" s="90">
        <v>2339</v>
      </c>
      <c r="B2340" s="327" t="s">
        <v>52</v>
      </c>
      <c r="C2340" s="327" t="s">
        <v>10</v>
      </c>
      <c r="D2340" s="292" t="s">
        <v>4832</v>
      </c>
      <c r="H2340" s="292" t="s">
        <v>3411</v>
      </c>
      <c r="I2340" s="301">
        <v>0</v>
      </c>
      <c r="J2340" s="301">
        <v>1500</v>
      </c>
      <c r="K2340" s="231" t="b">
        <v>0</v>
      </c>
      <c r="L2340" s="300"/>
      <c r="M2340" s="299" t="s">
        <v>3437</v>
      </c>
      <c r="N2340" s="327"/>
      <c r="O2340" s="231"/>
      <c r="P2340" s="303">
        <v>46098</v>
      </c>
    </row>
    <row r="2341" spans="1:16" ht="15" customHeight="1">
      <c r="A2341" s="90">
        <v>2340</v>
      </c>
      <c r="B2341" s="327" t="s">
        <v>52</v>
      </c>
      <c r="C2341" s="327" t="s">
        <v>10</v>
      </c>
      <c r="D2341" s="292" t="s">
        <v>4833</v>
      </c>
      <c r="H2341" s="292" t="s">
        <v>4834</v>
      </c>
      <c r="I2341" s="301">
        <v>435</v>
      </c>
      <c r="J2341" s="301">
        <v>0</v>
      </c>
      <c r="K2341" s="231" t="b">
        <v>0</v>
      </c>
      <c r="L2341" s="300"/>
      <c r="M2341" s="299" t="s">
        <v>3437</v>
      </c>
      <c r="N2341" s="327"/>
      <c r="O2341" s="231"/>
      <c r="P2341" s="303">
        <v>46099</v>
      </c>
    </row>
    <row r="2342" spans="1:16" ht="15" customHeight="1">
      <c r="A2342" s="90">
        <v>2341</v>
      </c>
      <c r="B2342" s="327" t="s">
        <v>52</v>
      </c>
      <c r="C2342" s="327" t="s">
        <v>10</v>
      </c>
      <c r="D2342" s="292" t="s">
        <v>4835</v>
      </c>
      <c r="H2342" s="292" t="s">
        <v>4836</v>
      </c>
      <c r="I2342" s="301">
        <v>190</v>
      </c>
      <c r="J2342" s="301">
        <v>0</v>
      </c>
      <c r="K2342" s="231" t="b">
        <v>0</v>
      </c>
      <c r="L2342" s="300"/>
      <c r="M2342" s="299" t="s">
        <v>3437</v>
      </c>
      <c r="N2342" s="327"/>
      <c r="O2342" s="231"/>
      <c r="P2342" s="303">
        <v>46106</v>
      </c>
    </row>
    <row r="2343" spans="1:16" ht="15" customHeight="1">
      <c r="A2343" s="90">
        <v>2342</v>
      </c>
      <c r="B2343" s="327" t="s">
        <v>52</v>
      </c>
      <c r="C2343" s="327" t="s">
        <v>10</v>
      </c>
      <c r="D2343" s="292" t="s">
        <v>4837</v>
      </c>
      <c r="H2343" s="292" t="s">
        <v>3732</v>
      </c>
      <c r="I2343" s="301">
        <v>577</v>
      </c>
      <c r="J2343" s="301">
        <v>0</v>
      </c>
      <c r="K2343" s="231" t="b">
        <v>0</v>
      </c>
      <c r="L2343" s="300"/>
      <c r="M2343" s="299" t="s">
        <v>3437</v>
      </c>
      <c r="N2343" s="327"/>
      <c r="O2343" s="231"/>
      <c r="P2343" s="303">
        <v>46106</v>
      </c>
    </row>
    <row r="2344" spans="1:16" ht="15" customHeight="1">
      <c r="A2344" s="90">
        <v>2343</v>
      </c>
      <c r="B2344" s="327" t="s">
        <v>52</v>
      </c>
      <c r="C2344" s="327" t="s">
        <v>10</v>
      </c>
      <c r="D2344" s="292" t="s">
        <v>4838</v>
      </c>
      <c r="H2344" s="292" t="s">
        <v>3739</v>
      </c>
      <c r="I2344" s="301">
        <v>245</v>
      </c>
      <c r="J2344" s="301">
        <v>0</v>
      </c>
      <c r="K2344" s="231" t="b">
        <v>0</v>
      </c>
      <c r="L2344" s="300"/>
      <c r="M2344" s="299" t="s">
        <v>3437</v>
      </c>
      <c r="N2344" s="327"/>
      <c r="O2344" s="231"/>
      <c r="P2344" s="303">
        <v>46108</v>
      </c>
    </row>
    <row r="2345" spans="1:16" ht="15" customHeight="1">
      <c r="A2345" s="90">
        <v>2344</v>
      </c>
      <c r="B2345" s="327" t="s">
        <v>52</v>
      </c>
      <c r="C2345" s="327" t="s">
        <v>10</v>
      </c>
      <c r="D2345" s="292" t="s">
        <v>4839</v>
      </c>
      <c r="H2345" s="292" t="s">
        <v>4840</v>
      </c>
      <c r="I2345" s="301">
        <v>104</v>
      </c>
      <c r="J2345" s="301">
        <v>0</v>
      </c>
      <c r="K2345" s="231" t="b">
        <v>0</v>
      </c>
      <c r="L2345" s="300"/>
      <c r="M2345" s="299" t="s">
        <v>3437</v>
      </c>
      <c r="N2345" s="327"/>
      <c r="O2345" s="231"/>
      <c r="P2345" s="303">
        <v>46108</v>
      </c>
    </row>
    <row r="2346" spans="1:16" ht="15" customHeight="1">
      <c r="A2346" s="90">
        <v>2345</v>
      </c>
      <c r="B2346" s="327" t="s">
        <v>52</v>
      </c>
      <c r="C2346" s="327" t="s">
        <v>10</v>
      </c>
      <c r="D2346" s="292" t="s">
        <v>4841</v>
      </c>
      <c r="H2346" s="292" t="s">
        <v>4202</v>
      </c>
      <c r="I2346" s="301">
        <v>124</v>
      </c>
      <c r="J2346" s="301">
        <v>0</v>
      </c>
      <c r="K2346" s="231" t="b">
        <v>0</v>
      </c>
      <c r="L2346" s="300"/>
      <c r="M2346" s="299" t="s">
        <v>3437</v>
      </c>
      <c r="N2346" s="327"/>
      <c r="O2346" s="231"/>
      <c r="P2346" s="303">
        <v>46111</v>
      </c>
    </row>
    <row r="2347" spans="1:16" ht="15" customHeight="1">
      <c r="A2347" s="90">
        <v>2346</v>
      </c>
      <c r="B2347" s="331" t="s">
        <v>52</v>
      </c>
      <c r="C2347" s="331" t="s">
        <v>10</v>
      </c>
      <c r="D2347" s="333" t="s">
        <v>4842</v>
      </c>
      <c r="H2347" s="337" t="s">
        <v>3439</v>
      </c>
      <c r="I2347" s="335">
        <v>234</v>
      </c>
      <c r="J2347" s="301">
        <v>0</v>
      </c>
      <c r="K2347" s="231" t="b">
        <v>0</v>
      </c>
      <c r="L2347" s="331"/>
      <c r="M2347" s="299" t="s">
        <v>3437</v>
      </c>
      <c r="N2347" s="334"/>
      <c r="O2347" s="231"/>
      <c r="P2347" s="339">
        <v>46114</v>
      </c>
    </row>
    <row r="2348" spans="1:16" ht="15" customHeight="1">
      <c r="A2348" s="90">
        <v>2347</v>
      </c>
      <c r="B2348" s="331" t="s">
        <v>52</v>
      </c>
      <c r="C2348" s="331" t="s">
        <v>10</v>
      </c>
      <c r="D2348" s="333" t="s">
        <v>4843</v>
      </c>
      <c r="H2348" s="337" t="s">
        <v>3439</v>
      </c>
      <c r="I2348" s="335">
        <v>446</v>
      </c>
      <c r="J2348" s="301">
        <v>0</v>
      </c>
      <c r="K2348" s="231" t="b">
        <v>0</v>
      </c>
      <c r="L2348" s="331"/>
      <c r="M2348" s="299" t="s">
        <v>3437</v>
      </c>
      <c r="N2348" s="334"/>
      <c r="O2348" s="231"/>
      <c r="P2348" s="339">
        <v>46119</v>
      </c>
    </row>
    <row r="2349" spans="1:16" ht="15" customHeight="1">
      <c r="A2349" s="90">
        <v>2348</v>
      </c>
      <c r="B2349" s="331" t="s">
        <v>52</v>
      </c>
      <c r="C2349" s="331" t="s">
        <v>10</v>
      </c>
      <c r="D2349" s="333" t="s">
        <v>4844</v>
      </c>
      <c r="H2349" s="337" t="s">
        <v>3431</v>
      </c>
      <c r="I2349" s="301">
        <v>0</v>
      </c>
      <c r="J2349" s="301">
        <v>300</v>
      </c>
      <c r="K2349" s="231" t="b">
        <v>1</v>
      </c>
      <c r="L2349" s="331">
        <v>20</v>
      </c>
      <c r="M2349" s="299" t="s">
        <v>15</v>
      </c>
      <c r="N2349" s="334"/>
      <c r="O2349" s="231"/>
      <c r="P2349" s="339">
        <v>46119</v>
      </c>
    </row>
    <row r="2350" spans="1:16" ht="15" customHeight="1">
      <c r="A2350" s="90">
        <v>2349</v>
      </c>
      <c r="B2350" s="331" t="s">
        <v>52</v>
      </c>
      <c r="C2350" s="331" t="s">
        <v>10</v>
      </c>
      <c r="D2350" s="333" t="s">
        <v>4845</v>
      </c>
      <c r="H2350" s="337" t="s">
        <v>3301</v>
      </c>
      <c r="I2350" s="335">
        <v>358</v>
      </c>
      <c r="J2350" s="301">
        <v>0</v>
      </c>
      <c r="K2350" s="231" t="b">
        <v>0</v>
      </c>
      <c r="L2350" s="331"/>
      <c r="M2350" s="299" t="s">
        <v>3437</v>
      </c>
      <c r="N2350" s="334"/>
      <c r="O2350" s="231"/>
      <c r="P2350" s="339">
        <v>46121</v>
      </c>
    </row>
    <row r="2351" spans="1:16" ht="15" customHeight="1">
      <c r="A2351" s="90">
        <v>2350</v>
      </c>
      <c r="B2351" s="331" t="s">
        <v>52</v>
      </c>
      <c r="C2351" s="331" t="s">
        <v>10</v>
      </c>
      <c r="D2351" s="333" t="s">
        <v>4846</v>
      </c>
      <c r="H2351" s="337" t="s">
        <v>2046</v>
      </c>
      <c r="I2351" s="335">
        <v>208</v>
      </c>
      <c r="J2351" s="301">
        <v>0</v>
      </c>
      <c r="K2351" s="231" t="b">
        <v>1</v>
      </c>
      <c r="L2351" s="331">
        <v>20</v>
      </c>
      <c r="M2351" s="299" t="s">
        <v>15</v>
      </c>
      <c r="N2351" s="334"/>
      <c r="O2351" s="231"/>
      <c r="P2351" s="339">
        <v>46127</v>
      </c>
    </row>
    <row r="2352" spans="1:16" ht="15" customHeight="1">
      <c r="A2352" s="90">
        <v>2351</v>
      </c>
      <c r="B2352" s="331" t="s">
        <v>52</v>
      </c>
      <c r="C2352" s="331" t="s">
        <v>10</v>
      </c>
      <c r="D2352" s="333" t="s">
        <v>4847</v>
      </c>
      <c r="H2352" s="337" t="s">
        <v>4862</v>
      </c>
      <c r="I2352" s="335">
        <v>710</v>
      </c>
      <c r="J2352" s="301">
        <v>0</v>
      </c>
      <c r="K2352" s="231" t="b">
        <v>0</v>
      </c>
      <c r="L2352" s="331"/>
      <c r="M2352" s="299" t="s">
        <v>3437</v>
      </c>
      <c r="N2352" s="334"/>
      <c r="O2352" s="231"/>
      <c r="P2352" s="339">
        <v>46128</v>
      </c>
    </row>
    <row r="2353" spans="1:16" ht="15" customHeight="1">
      <c r="A2353" s="90">
        <v>2352</v>
      </c>
      <c r="B2353" s="331" t="s">
        <v>52</v>
      </c>
      <c r="C2353" s="331" t="s">
        <v>10</v>
      </c>
      <c r="D2353" s="336" t="s">
        <v>4848</v>
      </c>
      <c r="H2353" s="337" t="s">
        <v>4863</v>
      </c>
      <c r="I2353" s="301">
        <v>200</v>
      </c>
      <c r="J2353" s="301">
        <v>0</v>
      </c>
      <c r="K2353" s="231" t="b">
        <v>0</v>
      </c>
      <c r="L2353" s="331"/>
      <c r="M2353" s="299" t="s">
        <v>3437</v>
      </c>
      <c r="N2353" s="334"/>
      <c r="O2353" s="231"/>
      <c r="P2353" s="339">
        <v>46130</v>
      </c>
    </row>
    <row r="2354" spans="1:16" ht="15" customHeight="1">
      <c r="A2354" s="90">
        <v>2353</v>
      </c>
      <c r="B2354" s="331" t="s">
        <v>52</v>
      </c>
      <c r="C2354" s="331" t="s">
        <v>10</v>
      </c>
      <c r="D2354" s="333" t="s">
        <v>4849</v>
      </c>
      <c r="H2354" s="337" t="s">
        <v>4864</v>
      </c>
      <c r="I2354" s="335">
        <v>200</v>
      </c>
      <c r="J2354" s="301">
        <v>0</v>
      </c>
      <c r="K2354" s="231" t="b">
        <v>0</v>
      </c>
      <c r="L2354" s="331"/>
      <c r="M2354" s="299" t="s">
        <v>3276</v>
      </c>
      <c r="N2354" s="334"/>
      <c r="O2354" s="231"/>
      <c r="P2354" s="339">
        <v>46126</v>
      </c>
    </row>
    <row r="2355" spans="1:16" ht="15" customHeight="1">
      <c r="A2355" s="90">
        <v>2354</v>
      </c>
      <c r="B2355" s="331" t="s">
        <v>52</v>
      </c>
      <c r="C2355" s="331" t="s">
        <v>10</v>
      </c>
      <c r="D2355" s="333" t="s">
        <v>4850</v>
      </c>
      <c r="H2355" s="337" t="s">
        <v>4808</v>
      </c>
      <c r="I2355" s="301">
        <v>0</v>
      </c>
      <c r="J2355" s="335">
        <v>3500</v>
      </c>
      <c r="K2355" s="231" t="b">
        <v>0</v>
      </c>
      <c r="L2355" s="331"/>
      <c r="M2355" s="299" t="s">
        <v>15</v>
      </c>
      <c r="N2355" s="334"/>
      <c r="O2355" s="231"/>
      <c r="P2355" s="339">
        <v>46132</v>
      </c>
    </row>
    <row r="2356" spans="1:16" ht="15" customHeight="1">
      <c r="A2356" s="90">
        <v>2355</v>
      </c>
      <c r="B2356" s="331" t="s">
        <v>52</v>
      </c>
      <c r="C2356" s="331" t="s">
        <v>10</v>
      </c>
      <c r="D2356" s="333" t="s">
        <v>4851</v>
      </c>
      <c r="H2356" s="337" t="s">
        <v>3669</v>
      </c>
      <c r="I2356" s="335">
        <v>216</v>
      </c>
      <c r="J2356" s="301">
        <v>0</v>
      </c>
      <c r="K2356" s="231" t="b">
        <v>0</v>
      </c>
      <c r="L2356" s="331"/>
      <c r="M2356" s="299" t="s">
        <v>3437</v>
      </c>
      <c r="N2356" s="334"/>
      <c r="O2356" s="231"/>
      <c r="P2356" s="339">
        <v>46134</v>
      </c>
    </row>
    <row r="2357" spans="1:16" ht="15" customHeight="1">
      <c r="A2357" s="90">
        <v>2356</v>
      </c>
      <c r="B2357" s="331" t="s">
        <v>52</v>
      </c>
      <c r="C2357" s="331" t="s">
        <v>10</v>
      </c>
      <c r="D2357" s="333" t="s">
        <v>4852</v>
      </c>
      <c r="H2357" s="337" t="s">
        <v>3330</v>
      </c>
      <c r="I2357" s="335">
        <v>52</v>
      </c>
      <c r="J2357" s="301">
        <v>0</v>
      </c>
      <c r="K2357" s="231" t="b">
        <v>0</v>
      </c>
      <c r="L2357" s="331"/>
      <c r="M2357" s="299" t="s">
        <v>3437</v>
      </c>
      <c r="N2357" s="334"/>
      <c r="O2357" s="231"/>
      <c r="P2357" s="339">
        <v>46134</v>
      </c>
    </row>
    <row r="2358" spans="1:16" ht="15" customHeight="1">
      <c r="A2358" s="90">
        <v>2357</v>
      </c>
      <c r="B2358" s="331" t="s">
        <v>52</v>
      </c>
      <c r="C2358" s="331" t="s">
        <v>10</v>
      </c>
      <c r="D2358" s="333" t="s">
        <v>4853</v>
      </c>
      <c r="H2358" s="337" t="s">
        <v>4864</v>
      </c>
      <c r="I2358" s="335">
        <v>198</v>
      </c>
      <c r="J2358" s="301">
        <v>0</v>
      </c>
      <c r="K2358" s="231" t="b">
        <v>0</v>
      </c>
      <c r="L2358" s="331"/>
      <c r="M2358" s="299" t="s">
        <v>3437</v>
      </c>
      <c r="N2358" s="334"/>
      <c r="O2358" s="231"/>
      <c r="P2358" s="339">
        <v>46135</v>
      </c>
    </row>
    <row r="2359" spans="1:16" ht="15" customHeight="1">
      <c r="A2359" s="90">
        <v>2358</v>
      </c>
      <c r="B2359" s="331" t="s">
        <v>52</v>
      </c>
      <c r="C2359" s="331" t="s">
        <v>10</v>
      </c>
      <c r="D2359" s="336" t="s">
        <v>4854</v>
      </c>
      <c r="H2359" s="337" t="s">
        <v>3669</v>
      </c>
      <c r="I2359" s="335">
        <v>202</v>
      </c>
      <c r="J2359" s="301">
        <v>0</v>
      </c>
      <c r="K2359" s="231" t="b">
        <v>0</v>
      </c>
      <c r="L2359" s="331"/>
      <c r="M2359" s="299" t="s">
        <v>3437</v>
      </c>
      <c r="N2359" s="334"/>
      <c r="O2359" s="231"/>
      <c r="P2359" s="339">
        <v>46136</v>
      </c>
    </row>
    <row r="2360" spans="1:16" ht="15" customHeight="1">
      <c r="A2360" s="90">
        <v>2359</v>
      </c>
      <c r="B2360" s="331" t="s">
        <v>49</v>
      </c>
      <c r="C2360" s="331" t="s">
        <v>10</v>
      </c>
      <c r="D2360" s="333" t="s">
        <v>4855</v>
      </c>
      <c r="H2360" s="337" t="s">
        <v>4865</v>
      </c>
      <c r="I2360" s="301">
        <v>0</v>
      </c>
      <c r="J2360" s="335">
        <v>900</v>
      </c>
      <c r="K2360" s="231" t="b">
        <v>1</v>
      </c>
      <c r="L2360" s="331">
        <v>40</v>
      </c>
      <c r="M2360" s="299" t="s">
        <v>15</v>
      </c>
      <c r="N2360" s="334"/>
      <c r="O2360" s="231"/>
      <c r="P2360" s="339">
        <v>46137</v>
      </c>
    </row>
    <row r="2361" spans="1:16" ht="15" customHeight="1">
      <c r="A2361" s="90">
        <v>2360</v>
      </c>
      <c r="B2361" s="331" t="s">
        <v>52</v>
      </c>
      <c r="C2361" s="331" t="s">
        <v>10</v>
      </c>
      <c r="D2361" s="333" t="s">
        <v>4856</v>
      </c>
      <c r="H2361" s="337" t="s">
        <v>2046</v>
      </c>
      <c r="I2361" s="335">
        <v>358</v>
      </c>
      <c r="J2361" s="301">
        <v>0</v>
      </c>
      <c r="K2361" s="231" t="b">
        <v>0</v>
      </c>
      <c r="L2361" s="331"/>
      <c r="M2361" s="299" t="s">
        <v>3276</v>
      </c>
      <c r="N2361" s="334"/>
      <c r="O2361" s="231"/>
      <c r="P2361" s="339">
        <v>46135</v>
      </c>
    </row>
    <row r="2362" spans="1:16" ht="15" customHeight="1">
      <c r="A2362" s="90">
        <v>2361</v>
      </c>
      <c r="B2362" s="331" t="s">
        <v>52</v>
      </c>
      <c r="C2362" s="331" t="s">
        <v>10</v>
      </c>
      <c r="D2362" s="333" t="s">
        <v>4857</v>
      </c>
      <c r="H2362" s="337" t="s">
        <v>4866</v>
      </c>
      <c r="I2362" s="301">
        <v>0</v>
      </c>
      <c r="J2362" s="335">
        <v>1100</v>
      </c>
      <c r="K2362" s="231" t="b">
        <v>1</v>
      </c>
      <c r="L2362" s="331">
        <v>40</v>
      </c>
      <c r="M2362" s="299" t="s">
        <v>4867</v>
      </c>
      <c r="N2362" s="334"/>
      <c r="O2362" s="231"/>
      <c r="P2362" s="339">
        <v>46136</v>
      </c>
    </row>
    <row r="2363" spans="1:16" ht="15" customHeight="1">
      <c r="A2363" s="90">
        <v>2362</v>
      </c>
      <c r="B2363" s="331" t="s">
        <v>52</v>
      </c>
      <c r="C2363" s="331" t="s">
        <v>10</v>
      </c>
      <c r="D2363" s="333" t="s">
        <v>4858</v>
      </c>
      <c r="H2363" s="337" t="s">
        <v>3312</v>
      </c>
      <c r="I2363" s="301">
        <v>0</v>
      </c>
      <c r="J2363" s="335">
        <v>108</v>
      </c>
      <c r="K2363" s="231" t="b">
        <v>0</v>
      </c>
      <c r="L2363" s="331"/>
      <c r="M2363" s="299" t="s">
        <v>3276</v>
      </c>
      <c r="N2363" s="334"/>
      <c r="O2363" s="231"/>
      <c r="P2363" s="339">
        <v>46134</v>
      </c>
    </row>
    <row r="2364" spans="1:16" ht="15" customHeight="1">
      <c r="A2364" s="90">
        <v>2363</v>
      </c>
      <c r="B2364" s="331" t="s">
        <v>49</v>
      </c>
      <c r="C2364" s="331" t="s">
        <v>10</v>
      </c>
      <c r="D2364" s="333" t="s">
        <v>4859</v>
      </c>
      <c r="H2364" s="337" t="s">
        <v>3496</v>
      </c>
      <c r="I2364" s="335">
        <v>115</v>
      </c>
      <c r="J2364" s="301">
        <v>0</v>
      </c>
      <c r="K2364" s="231" t="b">
        <v>0</v>
      </c>
      <c r="L2364" s="331"/>
      <c r="M2364" s="299" t="s">
        <v>3276</v>
      </c>
      <c r="N2364" s="334"/>
      <c r="O2364" s="231"/>
      <c r="P2364" s="339">
        <v>46132</v>
      </c>
    </row>
    <row r="2365" spans="1:16" ht="15" customHeight="1">
      <c r="A2365" s="90">
        <v>2364</v>
      </c>
      <c r="B2365" s="331" t="s">
        <v>52</v>
      </c>
      <c r="C2365" s="331" t="s">
        <v>10</v>
      </c>
      <c r="D2365" s="333" t="s">
        <v>4860</v>
      </c>
      <c r="H2365" s="337" t="s">
        <v>3330</v>
      </c>
      <c r="I2365" s="301">
        <v>0</v>
      </c>
      <c r="J2365" s="335">
        <v>712</v>
      </c>
      <c r="K2365" s="231" t="b">
        <v>0</v>
      </c>
      <c r="L2365" s="331"/>
      <c r="M2365" s="299" t="s">
        <v>3437</v>
      </c>
      <c r="N2365" s="334"/>
      <c r="O2365" s="231"/>
      <c r="P2365" s="339">
        <v>46139</v>
      </c>
    </row>
    <row r="2366" spans="1:16" ht="15" customHeight="1">
      <c r="A2366" s="90">
        <v>2365</v>
      </c>
      <c r="B2366" s="331" t="s">
        <v>52</v>
      </c>
      <c r="C2366" s="331" t="s">
        <v>10</v>
      </c>
      <c r="D2366" s="333" t="s">
        <v>4861</v>
      </c>
      <c r="H2366" s="338" t="s">
        <v>3691</v>
      </c>
      <c r="I2366" s="335">
        <v>0</v>
      </c>
      <c r="J2366" s="301">
        <v>797</v>
      </c>
      <c r="K2366" s="231" t="b">
        <v>0</v>
      </c>
      <c r="L2366" s="331"/>
      <c r="M2366" s="299" t="s">
        <v>3437</v>
      </c>
      <c r="N2366" s="334"/>
      <c r="O2366" s="231"/>
      <c r="P2366" s="339">
        <v>46139</v>
      </c>
    </row>
    <row r="2367" spans="1:16" ht="15" customHeight="1">
      <c r="A2367" s="90">
        <v>2366</v>
      </c>
      <c r="B2367" s="334" t="s">
        <v>59</v>
      </c>
      <c r="C2367" s="334" t="s">
        <v>11</v>
      </c>
      <c r="D2367" s="343" t="s">
        <v>4872</v>
      </c>
      <c r="H2367" s="350" t="s">
        <v>4892</v>
      </c>
      <c r="I2367" s="350">
        <v>0</v>
      </c>
      <c r="J2367" s="350">
        <v>1000</v>
      </c>
      <c r="K2367" s="231" t="b">
        <v>0</v>
      </c>
      <c r="L2367" s="334"/>
      <c r="M2367" s="350" t="s">
        <v>3276</v>
      </c>
      <c r="N2367" s="334"/>
      <c r="O2367" s="231"/>
      <c r="P2367" s="366">
        <v>46147</v>
      </c>
    </row>
    <row r="2368" spans="1:16" ht="15" customHeight="1">
      <c r="A2368" s="90">
        <v>2367</v>
      </c>
      <c r="B2368" s="334" t="s">
        <v>52</v>
      </c>
      <c r="C2368" s="334" t="s">
        <v>10</v>
      </c>
      <c r="D2368" s="344" t="s">
        <v>4873</v>
      </c>
      <c r="H2368" s="351" t="s">
        <v>3722</v>
      </c>
      <c r="I2368" s="351">
        <v>0</v>
      </c>
      <c r="J2368" s="351">
        <v>450</v>
      </c>
      <c r="K2368" s="231" t="b">
        <v>1</v>
      </c>
      <c r="L2368" s="334"/>
      <c r="M2368" s="351" t="s">
        <v>4813</v>
      </c>
      <c r="N2368" s="334"/>
      <c r="O2368" s="231"/>
      <c r="P2368" s="367">
        <v>46157</v>
      </c>
    </row>
    <row r="2369" spans="1:16" ht="15" customHeight="1">
      <c r="A2369" s="90">
        <v>2368</v>
      </c>
      <c r="B2369" s="334" t="s">
        <v>52</v>
      </c>
      <c r="C2369" s="334" t="s">
        <v>10</v>
      </c>
      <c r="D2369" s="345" t="s">
        <v>4874</v>
      </c>
      <c r="H2369" s="352" t="s">
        <v>3330</v>
      </c>
      <c r="I2369" s="357">
        <v>0</v>
      </c>
      <c r="J2369" s="358">
        <v>1500</v>
      </c>
      <c r="K2369" s="231" t="b">
        <v>0</v>
      </c>
      <c r="L2369" s="334"/>
      <c r="M2369" s="352" t="s">
        <v>3276</v>
      </c>
      <c r="N2369" s="334"/>
      <c r="O2369" s="231"/>
      <c r="P2369" s="368">
        <v>46171</v>
      </c>
    </row>
    <row r="2370" spans="1:16" ht="15" customHeight="1">
      <c r="A2370" s="90">
        <v>2369</v>
      </c>
      <c r="B2370" s="334" t="s">
        <v>51</v>
      </c>
      <c r="C2370" s="334" t="s">
        <v>10</v>
      </c>
      <c r="D2370" s="344" t="s">
        <v>4875</v>
      </c>
      <c r="H2370" s="351" t="s">
        <v>3633</v>
      </c>
      <c r="I2370" s="359">
        <v>0</v>
      </c>
      <c r="J2370" s="351">
        <v>1800</v>
      </c>
      <c r="K2370" s="231" t="b">
        <v>0</v>
      </c>
      <c r="L2370" s="334"/>
      <c r="M2370" s="351" t="s">
        <v>3276</v>
      </c>
      <c r="N2370" s="334"/>
      <c r="O2370" s="231"/>
      <c r="P2370" s="367">
        <v>46143</v>
      </c>
    </row>
    <row r="2371" spans="1:16" ht="15" customHeight="1">
      <c r="A2371" s="90">
        <v>2370</v>
      </c>
      <c r="B2371" s="334" t="s">
        <v>52</v>
      </c>
      <c r="C2371" s="334" t="s">
        <v>10</v>
      </c>
      <c r="D2371" s="346" t="s">
        <v>4876</v>
      </c>
      <c r="H2371" s="353" t="s">
        <v>4893</v>
      </c>
      <c r="I2371" s="358">
        <v>0</v>
      </c>
      <c r="J2371" s="350">
        <v>550</v>
      </c>
      <c r="K2371" s="231" t="b">
        <v>0</v>
      </c>
      <c r="L2371" s="334"/>
      <c r="M2371" s="352" t="s">
        <v>3276</v>
      </c>
      <c r="N2371" s="334"/>
      <c r="O2371" s="231"/>
      <c r="P2371" s="369">
        <v>46162</v>
      </c>
    </row>
    <row r="2372" spans="1:16" ht="15" customHeight="1">
      <c r="A2372" s="90">
        <v>2371</v>
      </c>
      <c r="B2372" s="334" t="s">
        <v>52</v>
      </c>
      <c r="C2372" s="334" t="s">
        <v>10</v>
      </c>
      <c r="D2372" s="347" t="s">
        <v>4877</v>
      </c>
      <c r="H2372" s="354" t="s">
        <v>4894</v>
      </c>
      <c r="I2372" s="360">
        <v>0</v>
      </c>
      <c r="J2372" s="360">
        <v>450</v>
      </c>
      <c r="K2372" s="231" t="b">
        <v>0</v>
      </c>
      <c r="L2372" s="334"/>
      <c r="M2372" s="355" t="s">
        <v>3276</v>
      </c>
      <c r="N2372" s="334"/>
      <c r="O2372" s="231"/>
      <c r="P2372" s="370">
        <v>46171</v>
      </c>
    </row>
    <row r="2373" spans="1:16" ht="15" customHeight="1">
      <c r="A2373" s="90">
        <v>2372</v>
      </c>
      <c r="B2373" s="334" t="s">
        <v>52</v>
      </c>
      <c r="C2373" s="334" t="s">
        <v>10</v>
      </c>
      <c r="D2373" s="364" t="s">
        <v>4878</v>
      </c>
      <c r="H2373" s="350" t="s">
        <v>4895</v>
      </c>
      <c r="I2373" s="361">
        <v>0</v>
      </c>
      <c r="J2373" s="361">
        <v>0</v>
      </c>
      <c r="K2373" s="231" t="b">
        <v>0</v>
      </c>
      <c r="L2373" s="334"/>
      <c r="M2373" s="350" t="s">
        <v>3535</v>
      </c>
      <c r="N2373" s="334"/>
      <c r="O2373" s="231"/>
      <c r="P2373" s="371">
        <v>46147</v>
      </c>
    </row>
    <row r="2374" spans="1:16" ht="15" customHeight="1">
      <c r="A2374" s="90">
        <v>2373</v>
      </c>
      <c r="B2374" s="334" t="s">
        <v>52</v>
      </c>
      <c r="C2374" s="334" t="s">
        <v>10</v>
      </c>
      <c r="D2374" s="344" t="s">
        <v>4879</v>
      </c>
      <c r="H2374" s="351" t="s">
        <v>3651</v>
      </c>
      <c r="I2374" s="351">
        <v>179</v>
      </c>
      <c r="J2374" s="359">
        <v>0</v>
      </c>
      <c r="K2374" s="231" t="b">
        <v>0</v>
      </c>
      <c r="L2374" s="334"/>
      <c r="M2374" s="351" t="s">
        <v>3437</v>
      </c>
      <c r="N2374" s="334"/>
      <c r="O2374" s="231"/>
      <c r="P2374" s="367">
        <v>46147</v>
      </c>
    </row>
    <row r="2375" spans="1:16" ht="15" customHeight="1">
      <c r="A2375" s="90">
        <v>2374</v>
      </c>
      <c r="B2375" s="334" t="s">
        <v>52</v>
      </c>
      <c r="C2375" s="334" t="s">
        <v>10</v>
      </c>
      <c r="D2375" s="343" t="s">
        <v>973</v>
      </c>
      <c r="H2375" s="350" t="s">
        <v>3330</v>
      </c>
      <c r="I2375" s="350">
        <v>0</v>
      </c>
      <c r="J2375" s="350">
        <v>900</v>
      </c>
      <c r="K2375" s="231" t="b">
        <v>0</v>
      </c>
      <c r="L2375" s="334"/>
      <c r="M2375" s="350" t="s">
        <v>3276</v>
      </c>
      <c r="N2375" s="334"/>
      <c r="O2375" s="231"/>
      <c r="P2375" s="371">
        <v>46149</v>
      </c>
    </row>
    <row r="2376" spans="1:16" ht="15" customHeight="1">
      <c r="A2376" s="90">
        <v>2375</v>
      </c>
      <c r="B2376" s="334" t="s">
        <v>52</v>
      </c>
      <c r="C2376" s="334" t="s">
        <v>10</v>
      </c>
      <c r="D2376" s="365" t="s">
        <v>1915</v>
      </c>
      <c r="H2376" s="351" t="s">
        <v>4137</v>
      </c>
      <c r="I2376" s="351">
        <v>0</v>
      </c>
      <c r="J2376" s="351">
        <v>315</v>
      </c>
      <c r="K2376" s="231" t="b">
        <v>0</v>
      </c>
      <c r="L2376" s="334"/>
      <c r="M2376" s="351" t="s">
        <v>3535</v>
      </c>
      <c r="N2376" s="334"/>
      <c r="O2376" s="231"/>
      <c r="P2376" s="367">
        <v>46150</v>
      </c>
    </row>
    <row r="2377" spans="1:16" ht="15" customHeight="1">
      <c r="A2377" s="90">
        <v>2376</v>
      </c>
      <c r="B2377" s="334" t="s">
        <v>52</v>
      </c>
      <c r="C2377" s="334" t="s">
        <v>10</v>
      </c>
      <c r="D2377" s="364" t="s">
        <v>4880</v>
      </c>
      <c r="H2377" s="350" t="s">
        <v>4896</v>
      </c>
      <c r="I2377" s="361">
        <v>0</v>
      </c>
      <c r="J2377" s="350">
        <v>0</v>
      </c>
      <c r="K2377" s="231" t="b">
        <v>0</v>
      </c>
      <c r="L2377" s="334"/>
      <c r="M2377" s="350" t="s">
        <v>3437</v>
      </c>
      <c r="N2377" s="334"/>
      <c r="O2377" s="231"/>
      <c r="P2377" s="371">
        <v>46147</v>
      </c>
    </row>
    <row r="2378" spans="1:16" ht="15" customHeight="1">
      <c r="A2378" s="90">
        <v>2377</v>
      </c>
      <c r="B2378" s="334" t="s">
        <v>52</v>
      </c>
      <c r="C2378" s="334" t="s">
        <v>10</v>
      </c>
      <c r="D2378" s="344" t="s">
        <v>4881</v>
      </c>
      <c r="H2378" s="351" t="s">
        <v>4897</v>
      </c>
      <c r="I2378" s="359">
        <v>0</v>
      </c>
      <c r="J2378" s="359">
        <v>300</v>
      </c>
      <c r="K2378" s="231" t="b">
        <v>0</v>
      </c>
      <c r="L2378" s="334"/>
      <c r="M2378" s="351" t="s">
        <v>3437</v>
      </c>
      <c r="N2378" s="334"/>
      <c r="O2378" s="231"/>
      <c r="P2378" s="367">
        <v>46149</v>
      </c>
    </row>
    <row r="2379" spans="1:16" ht="15" customHeight="1">
      <c r="A2379" s="90">
        <v>2378</v>
      </c>
      <c r="B2379" s="334" t="s">
        <v>52</v>
      </c>
      <c r="C2379" s="334" t="s">
        <v>10</v>
      </c>
      <c r="D2379" s="343" t="s">
        <v>4882</v>
      </c>
      <c r="H2379" s="350" t="s">
        <v>3392</v>
      </c>
      <c r="I2379" s="361">
        <v>0</v>
      </c>
      <c r="J2379" s="361">
        <v>122</v>
      </c>
      <c r="K2379" s="231" t="b">
        <v>0</v>
      </c>
      <c r="L2379" s="334"/>
      <c r="M2379" s="350" t="s">
        <v>3437</v>
      </c>
      <c r="N2379" s="334"/>
      <c r="O2379" s="231"/>
      <c r="P2379" s="371">
        <v>46151</v>
      </c>
    </row>
    <row r="2380" spans="1:16" ht="15" customHeight="1">
      <c r="A2380" s="90">
        <v>2379</v>
      </c>
      <c r="B2380" s="334" t="s">
        <v>49</v>
      </c>
      <c r="C2380" s="334" t="s">
        <v>10</v>
      </c>
      <c r="D2380" s="348" t="s">
        <v>4883</v>
      </c>
      <c r="H2380" s="355" t="s">
        <v>3496</v>
      </c>
      <c r="I2380" s="359">
        <v>0</v>
      </c>
      <c r="J2380" s="360">
        <v>500</v>
      </c>
      <c r="K2380" s="231" t="b">
        <v>0</v>
      </c>
      <c r="L2380" s="334"/>
      <c r="M2380" s="355" t="s">
        <v>3276</v>
      </c>
      <c r="N2380" s="334"/>
      <c r="O2380" s="231"/>
      <c r="P2380" s="372">
        <v>46171</v>
      </c>
    </row>
    <row r="2381" spans="1:16" ht="15" customHeight="1">
      <c r="A2381" s="90">
        <v>2380</v>
      </c>
      <c r="B2381" s="334" t="s">
        <v>52</v>
      </c>
      <c r="C2381" s="334" t="s">
        <v>10</v>
      </c>
      <c r="D2381" s="343" t="s">
        <v>4884</v>
      </c>
      <c r="H2381" s="350" t="s">
        <v>3424</v>
      </c>
      <c r="I2381" s="361">
        <v>0</v>
      </c>
      <c r="J2381" s="361">
        <v>318</v>
      </c>
      <c r="K2381" s="231" t="b">
        <v>0</v>
      </c>
      <c r="L2381" s="334"/>
      <c r="M2381" s="350" t="s">
        <v>3276</v>
      </c>
      <c r="N2381" s="334"/>
      <c r="O2381" s="231"/>
      <c r="P2381" s="371">
        <v>46156</v>
      </c>
    </row>
    <row r="2382" spans="1:16" ht="15" customHeight="1">
      <c r="A2382" s="90">
        <v>2381</v>
      </c>
      <c r="B2382" s="334" t="s">
        <v>52</v>
      </c>
      <c r="C2382" s="334" t="s">
        <v>10</v>
      </c>
      <c r="D2382" s="344" t="s">
        <v>4885</v>
      </c>
      <c r="H2382" s="351" t="s">
        <v>4144</v>
      </c>
      <c r="I2382" s="359">
        <v>0</v>
      </c>
      <c r="J2382" s="359">
        <v>450</v>
      </c>
      <c r="K2382" s="231" t="b">
        <v>0</v>
      </c>
      <c r="L2382" s="334"/>
      <c r="M2382" s="351" t="s">
        <v>3276</v>
      </c>
      <c r="N2382" s="334"/>
      <c r="O2382" s="231"/>
      <c r="P2382" s="367">
        <v>46156</v>
      </c>
    </row>
    <row r="2383" spans="1:16" ht="15" customHeight="1">
      <c r="A2383" s="90">
        <v>2382</v>
      </c>
      <c r="B2383" s="334" t="s">
        <v>52</v>
      </c>
      <c r="C2383" s="334" t="s">
        <v>10</v>
      </c>
      <c r="D2383" s="343" t="s">
        <v>4886</v>
      </c>
      <c r="H2383" s="350" t="s">
        <v>3439</v>
      </c>
      <c r="I2383" s="361">
        <v>0</v>
      </c>
      <c r="J2383" s="361">
        <v>350</v>
      </c>
      <c r="K2383" s="231" t="b">
        <v>0</v>
      </c>
      <c r="L2383" s="334"/>
      <c r="M2383" s="350" t="s">
        <v>3276</v>
      </c>
      <c r="N2383" s="334"/>
      <c r="O2383" s="231"/>
      <c r="P2383" s="371">
        <v>46156</v>
      </c>
    </row>
    <row r="2384" spans="1:16" ht="15" customHeight="1">
      <c r="A2384" s="90">
        <v>2383</v>
      </c>
      <c r="B2384" s="334" t="s">
        <v>52</v>
      </c>
      <c r="C2384" s="334" t="s">
        <v>10</v>
      </c>
      <c r="D2384" s="344" t="s">
        <v>4887</v>
      </c>
      <c r="H2384" s="351" t="s">
        <v>4898</v>
      </c>
      <c r="I2384" s="359">
        <v>0</v>
      </c>
      <c r="J2384" s="359">
        <v>0</v>
      </c>
      <c r="K2384" s="231" t="b">
        <v>0</v>
      </c>
      <c r="L2384" s="334"/>
      <c r="M2384" s="351" t="s">
        <v>3276</v>
      </c>
      <c r="N2384" s="334"/>
      <c r="O2384" s="231"/>
      <c r="P2384" s="367">
        <v>46157</v>
      </c>
    </row>
    <row r="2385" spans="1:16" ht="15" customHeight="1">
      <c r="A2385" s="90">
        <v>2384</v>
      </c>
      <c r="B2385" s="334" t="s">
        <v>52</v>
      </c>
      <c r="C2385" s="334" t="s">
        <v>10</v>
      </c>
      <c r="D2385" s="343" t="s">
        <v>4888</v>
      </c>
      <c r="H2385" s="350" t="s">
        <v>3439</v>
      </c>
      <c r="I2385" s="361">
        <v>0</v>
      </c>
      <c r="J2385" s="361">
        <v>124</v>
      </c>
      <c r="K2385" s="231" t="b">
        <v>0</v>
      </c>
      <c r="L2385" s="334"/>
      <c r="M2385" s="350" t="s">
        <v>3437</v>
      </c>
      <c r="N2385" s="334"/>
      <c r="O2385" s="231"/>
      <c r="P2385" s="371">
        <v>46153</v>
      </c>
    </row>
    <row r="2386" spans="1:16" ht="15" customHeight="1">
      <c r="A2386" s="90">
        <v>2385</v>
      </c>
      <c r="B2386" s="334" t="s">
        <v>52</v>
      </c>
      <c r="C2386" s="334" t="s">
        <v>10</v>
      </c>
      <c r="D2386" s="344" t="s">
        <v>4889</v>
      </c>
      <c r="H2386" s="351" t="s">
        <v>3739</v>
      </c>
      <c r="I2386" s="359">
        <v>0</v>
      </c>
      <c r="J2386" s="360">
        <v>255</v>
      </c>
      <c r="K2386" s="231" t="b">
        <v>0</v>
      </c>
      <c r="L2386" s="334"/>
      <c r="M2386" s="351" t="s">
        <v>3276</v>
      </c>
      <c r="N2386" s="334"/>
      <c r="O2386" s="231"/>
      <c r="P2386" s="367">
        <v>46162</v>
      </c>
    </row>
    <row r="2387" spans="1:16" ht="15" customHeight="1">
      <c r="A2387" s="90">
        <v>2386</v>
      </c>
      <c r="B2387" s="334" t="s">
        <v>52</v>
      </c>
      <c r="C2387" s="334" t="s">
        <v>10</v>
      </c>
      <c r="D2387" s="364" t="s">
        <v>4890</v>
      </c>
      <c r="H2387" s="350" t="s">
        <v>3330</v>
      </c>
      <c r="I2387" s="361">
        <v>0</v>
      </c>
      <c r="J2387" s="358">
        <v>0</v>
      </c>
      <c r="K2387" s="231" t="b">
        <v>0</v>
      </c>
      <c r="L2387" s="334"/>
      <c r="M2387" s="350" t="s">
        <v>3535</v>
      </c>
      <c r="N2387" s="334"/>
      <c r="O2387" s="231"/>
      <c r="P2387" s="371">
        <v>46164</v>
      </c>
    </row>
    <row r="2388" spans="1:16" ht="15" customHeight="1">
      <c r="A2388" s="90">
        <v>2387</v>
      </c>
      <c r="B2388" s="334" t="s">
        <v>52</v>
      </c>
      <c r="C2388" s="334" t="s">
        <v>10</v>
      </c>
      <c r="D2388" s="349" t="s">
        <v>4891</v>
      </c>
      <c r="H2388" s="356" t="s">
        <v>3439</v>
      </c>
      <c r="I2388" s="362">
        <v>0</v>
      </c>
      <c r="J2388" s="363">
        <v>303</v>
      </c>
      <c r="K2388" s="231" t="b">
        <v>0</v>
      </c>
      <c r="L2388" s="334"/>
      <c r="M2388" s="356" t="s">
        <v>4901</v>
      </c>
      <c r="N2388" s="334"/>
      <c r="O2388" s="231"/>
      <c r="P2388" s="373">
        <v>46163</v>
      </c>
    </row>
    <row r="2389" spans="1:16" ht="15" customHeight="1">
      <c r="A2389" s="90">
        <v>2388</v>
      </c>
      <c r="B2389" s="334" t="s">
        <v>51</v>
      </c>
      <c r="C2389" s="334" t="s">
        <v>10</v>
      </c>
      <c r="D2389" s="150" t="s">
        <v>4899</v>
      </c>
      <c r="H2389" s="90" t="s">
        <v>4898</v>
      </c>
      <c r="I2389" s="283">
        <v>0</v>
      </c>
      <c r="K2389" s="231" t="b">
        <v>1</v>
      </c>
      <c r="L2389" s="334">
        <v>40</v>
      </c>
      <c r="M2389" s="351" t="s">
        <v>4813</v>
      </c>
      <c r="N2389" s="334"/>
      <c r="O2389" s="231"/>
      <c r="P2389" s="371">
        <v>46156</v>
      </c>
    </row>
    <row r="2390" spans="1:16" ht="15" customHeight="1">
      <c r="A2390" s="90">
        <v>2389</v>
      </c>
      <c r="B2390" s="334" t="s">
        <v>52</v>
      </c>
      <c r="C2390" s="334" t="s">
        <v>10</v>
      </c>
      <c r="D2390" s="150" t="s">
        <v>4900</v>
      </c>
      <c r="H2390" s="90" t="s">
        <v>3330</v>
      </c>
      <c r="I2390" s="283">
        <v>0</v>
      </c>
      <c r="K2390" s="231" t="b">
        <v>0</v>
      </c>
      <c r="L2390" s="334"/>
      <c r="M2390" s="351" t="s">
        <v>3276</v>
      </c>
      <c r="N2390" s="334"/>
      <c r="O2390" s="231"/>
      <c r="P2390" s="371">
        <v>46156</v>
      </c>
    </row>
    <row r="2391" spans="1:16" ht="15" customHeight="1">
      <c r="A2391" s="90">
        <v>2390</v>
      </c>
      <c r="B2391" s="283" t="s">
        <v>49</v>
      </c>
      <c r="C2391" s="90" t="s">
        <v>10</v>
      </c>
      <c r="D2391" s="150" t="s">
        <v>4902</v>
      </c>
      <c r="H2391" s="90" t="s">
        <v>3496</v>
      </c>
      <c r="I2391" s="283">
        <v>0</v>
      </c>
      <c r="J2391" s="146">
        <v>500</v>
      </c>
      <c r="K2391" s="231" t="b">
        <v>0</v>
      </c>
      <c r="M2391" s="351" t="s">
        <v>3276</v>
      </c>
      <c r="P2391" s="368">
        <v>46171</v>
      </c>
    </row>
  </sheetData>
  <autoFilter ref="A1:CN2391" xr:uid="{00000000-0001-0000-0500-000000000000}"/>
  <sortState xmlns:xlrd2="http://schemas.microsoft.com/office/spreadsheetml/2017/richdata2" ref="B2:T893">
    <sortCondition ref="B2:B893"/>
  </sortState>
  <phoneticPr fontId="5" type="noConversion"/>
  <conditionalFormatting sqref="D2389:D1048576 D1">
    <cfRule type="duplicateValues" dxfId="170" priority="79"/>
  </conditionalFormatting>
  <conditionalFormatting sqref="D2389:D1048576">
    <cfRule type="duplicateValues" dxfId="169" priority="95"/>
  </conditionalFormatting>
  <conditionalFormatting sqref="D2389:D1048576 D1">
    <cfRule type="duplicateValues" dxfId="168" priority="96"/>
    <cfRule type="duplicateValues" dxfId="167" priority="97"/>
    <cfRule type="duplicateValues" dxfId="166" priority="98"/>
    <cfRule type="duplicateValues" dxfId="165" priority="102"/>
    <cfRule type="duplicateValues" dxfId="164" priority="107"/>
    <cfRule type="duplicateValues" dxfId="163" priority="121"/>
  </conditionalFormatting>
  <conditionalFormatting sqref="D2389:D1048576">
    <cfRule type="duplicateValues" dxfId="162" priority="331"/>
    <cfRule type="duplicateValues" dxfId="161" priority="338"/>
    <cfRule type="duplicateValues" dxfId="160" priority="344"/>
    <cfRule type="duplicateValues" dxfId="159" priority="349"/>
  </conditionalFormatting>
  <conditionalFormatting sqref="E977">
    <cfRule type="duplicateValues" dxfId="158" priority="132"/>
  </conditionalFormatting>
  <conditionalFormatting sqref="F657:F658">
    <cfRule type="duplicateValues" dxfId="157" priority="182"/>
  </conditionalFormatting>
  <conditionalFormatting sqref="D1389:D1396">
    <cfRule type="duplicateValues" dxfId="156" priority="67"/>
  </conditionalFormatting>
  <conditionalFormatting sqref="D1828">
    <cfRule type="duplicateValues" dxfId="155" priority="43"/>
  </conditionalFormatting>
  <conditionalFormatting sqref="D1843">
    <cfRule type="duplicateValues" dxfId="154" priority="42"/>
  </conditionalFormatting>
  <conditionalFormatting sqref="D1890">
    <cfRule type="duplicateValues" dxfId="153" priority="41"/>
  </conditionalFormatting>
  <conditionalFormatting sqref="D1935">
    <cfRule type="duplicateValues" dxfId="152" priority="44"/>
    <cfRule type="duplicateValues" dxfId="151" priority="45"/>
    <cfRule type="duplicateValues" dxfId="150" priority="46"/>
    <cfRule type="duplicateValues" dxfId="149" priority="47"/>
    <cfRule type="duplicateValues" dxfId="148" priority="48"/>
    <cfRule type="duplicateValues" dxfId="147" priority="49"/>
    <cfRule type="duplicateValues" dxfId="146" priority="50"/>
    <cfRule type="duplicateValues" dxfId="145" priority="51"/>
    <cfRule type="duplicateValues" dxfId="144" priority="52"/>
    <cfRule type="duplicateValues" dxfId="143" priority="53"/>
    <cfRule type="duplicateValues" dxfId="142" priority="54"/>
  </conditionalFormatting>
  <conditionalFormatting sqref="D1998">
    <cfRule type="duplicateValues" dxfId="141" priority="40"/>
  </conditionalFormatting>
  <conditionalFormatting sqref="H627">
    <cfRule type="duplicateValues" dxfId="140" priority="29"/>
    <cfRule type="duplicateValues" dxfId="139" priority="30"/>
    <cfRule type="duplicateValues" dxfId="138" priority="31"/>
    <cfRule type="duplicateValues" dxfId="137" priority="32"/>
    <cfRule type="duplicateValues" dxfId="136" priority="33"/>
    <cfRule type="duplicateValues" dxfId="135" priority="34"/>
    <cfRule type="duplicateValues" dxfId="134" priority="35"/>
    <cfRule type="duplicateValues" dxfId="133" priority="36"/>
    <cfRule type="duplicateValues" dxfId="132" priority="37"/>
    <cfRule type="duplicateValues" dxfId="131" priority="38"/>
  </conditionalFormatting>
  <conditionalFormatting sqref="D2324:D2346">
    <cfRule type="duplicateValues" dxfId="130" priority="3"/>
  </conditionalFormatting>
  <conditionalFormatting sqref="D2324:D2346">
    <cfRule type="duplicateValues" dxfId="129" priority="4"/>
  </conditionalFormatting>
  <conditionalFormatting sqref="D2324:D2346">
    <cfRule type="duplicateValues" dxfId="128" priority="15"/>
  </conditionalFormatting>
  <conditionalFormatting sqref="D2324:D2346">
    <cfRule type="duplicateValues" dxfId="127" priority="5"/>
    <cfRule type="duplicateValues" dxfId="126" priority="6"/>
    <cfRule type="duplicateValues" dxfId="125" priority="7"/>
    <cfRule type="duplicateValues" dxfId="124" priority="8"/>
    <cfRule type="duplicateValues" dxfId="123" priority="9"/>
    <cfRule type="duplicateValues" dxfId="122" priority="10"/>
  </conditionalFormatting>
  <conditionalFormatting sqref="D2324:D2346">
    <cfRule type="duplicateValues" dxfId="121" priority="11"/>
    <cfRule type="duplicateValues" dxfId="120" priority="12"/>
    <cfRule type="duplicateValues" dxfId="119" priority="13"/>
    <cfRule type="duplicateValues" dxfId="118" priority="14"/>
  </conditionalFormatting>
  <conditionalFormatting sqref="D2288">
    <cfRule type="duplicateValues" dxfId="117" priority="2"/>
  </conditionalFormatting>
  <conditionalFormatting sqref="D1:D1048576">
    <cfRule type="duplicateValues" dxfId="116" priority="1"/>
  </conditionalFormatting>
  <conditionalFormatting sqref="D2264:D2287 D2:D2262 D2289:D2322">
    <cfRule type="duplicateValues" dxfId="115" priority="2251"/>
  </conditionalFormatting>
  <conditionalFormatting sqref="D2311 D1829:D1842 D1844:D1889 D1891:D1951 D2:D1827 D2316:D2322">
    <cfRule type="duplicateValues" dxfId="114" priority="2254"/>
  </conditionalFormatting>
  <conditionalFormatting sqref="D2311 D1910:D1913 D2:D1351 D2316:D2322">
    <cfRule type="duplicateValues" dxfId="113" priority="2260"/>
  </conditionalFormatting>
  <conditionalFormatting sqref="D2311 D1910:D1913 D2:D1665 D2316:D2322">
    <cfRule type="duplicateValues" dxfId="112" priority="2264"/>
    <cfRule type="duplicateValues" dxfId="111" priority="2265"/>
    <cfRule type="duplicateValues" dxfId="110" priority="2266"/>
    <cfRule type="duplicateValues" dxfId="109" priority="2267"/>
    <cfRule type="duplicateValues" dxfId="108" priority="2268"/>
    <cfRule type="duplicateValues" dxfId="107" priority="2269"/>
  </conditionalFormatting>
  <conditionalFormatting sqref="D2311 D1910:D1913 D2316:D2322">
    <cfRule type="duplicateValues" dxfId="106" priority="2288"/>
    <cfRule type="duplicateValues" dxfId="105" priority="2289"/>
    <cfRule type="duplicateValues" dxfId="104" priority="2290"/>
    <cfRule type="duplicateValues" dxfId="103" priority="2291"/>
  </conditionalFormatting>
  <conditionalFormatting sqref="D2323">
    <cfRule type="duplicateValues" dxfId="102" priority="2322"/>
  </conditionalFormatting>
  <conditionalFormatting sqref="D2323">
    <cfRule type="duplicateValues" dxfId="101" priority="2323"/>
    <cfRule type="duplicateValues" dxfId="100" priority="2324"/>
    <cfRule type="duplicateValues" dxfId="99" priority="2325"/>
    <cfRule type="duplicateValues" dxfId="98" priority="2326"/>
    <cfRule type="duplicateValues" dxfId="97" priority="2327"/>
    <cfRule type="duplicateValues" dxfId="96" priority="2328"/>
  </conditionalFormatting>
  <conditionalFormatting sqref="D2323">
    <cfRule type="duplicateValues" dxfId="95" priority="2329"/>
    <cfRule type="duplicateValues" dxfId="94" priority="2330"/>
    <cfRule type="duplicateValues" dxfId="93" priority="2331"/>
    <cfRule type="duplicateValues" dxfId="92" priority="2332"/>
  </conditionalFormatting>
  <conditionalFormatting sqref="D2:D1351">
    <cfRule type="duplicateValues" dxfId="91" priority="2343"/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EEA43-3ACF-4AC6-99AA-2DDF7A1B6A98}">
  <dimension ref="A2:N30"/>
  <sheetViews>
    <sheetView topLeftCell="B1" workbookViewId="0">
      <selection activeCell="I22" sqref="I22"/>
    </sheetView>
  </sheetViews>
  <sheetFormatPr defaultRowHeight="14.5"/>
  <cols>
    <col min="1" max="1" width="3.453125" bestFit="1" customWidth="1"/>
    <col min="2" max="2" width="15.54296875" bestFit="1" customWidth="1"/>
    <col min="3" max="3" width="9.54296875" bestFit="1" customWidth="1"/>
    <col min="4" max="4" width="14.453125" bestFit="1" customWidth="1"/>
    <col min="5" max="5" width="10.54296875" bestFit="1" customWidth="1"/>
    <col min="6" max="6" width="14.81640625" bestFit="1" customWidth="1"/>
    <col min="7" max="8" width="10.54296875" bestFit="1" customWidth="1"/>
    <col min="9" max="9" width="3.453125" bestFit="1" customWidth="1"/>
    <col min="10" max="10" width="15.54296875" bestFit="1" customWidth="1"/>
    <col min="11" max="11" width="9.81640625" bestFit="1" customWidth="1"/>
    <col min="12" max="12" width="12.1796875" bestFit="1" customWidth="1"/>
    <col min="13" max="13" width="9.54296875" bestFit="1" customWidth="1"/>
    <col min="14" max="14" width="14.54296875" bestFit="1" customWidth="1"/>
  </cols>
  <sheetData>
    <row r="2" spans="1:14">
      <c r="B2" t="s">
        <v>3792</v>
      </c>
      <c r="J2" t="s">
        <v>3793</v>
      </c>
    </row>
    <row r="3" spans="1:14">
      <c r="A3" s="227" t="s">
        <v>0</v>
      </c>
      <c r="B3" s="227" t="s">
        <v>3794</v>
      </c>
      <c r="C3" s="227" t="s">
        <v>3795</v>
      </c>
      <c r="D3" s="227" t="s">
        <v>3796</v>
      </c>
      <c r="E3" s="227" t="s">
        <v>3797</v>
      </c>
      <c r="F3" s="227" t="s">
        <v>3798</v>
      </c>
      <c r="I3" s="227" t="s">
        <v>0</v>
      </c>
      <c r="J3" s="227" t="s">
        <v>3794</v>
      </c>
      <c r="K3" s="227" t="s">
        <v>3795</v>
      </c>
      <c r="L3" s="227" t="s">
        <v>3796</v>
      </c>
      <c r="M3" s="227" t="s">
        <v>3797</v>
      </c>
      <c r="N3" s="227" t="s">
        <v>3798</v>
      </c>
    </row>
    <row r="4" spans="1:14">
      <c r="A4" s="226">
        <v>1</v>
      </c>
      <c r="B4" s="226" t="str">
        <f>'TOTALS(PASSIVE)'!B3</f>
        <v>ASHANTI</v>
      </c>
      <c r="C4" s="226">
        <f>'TOTALS(PASSIVE)'!J3</f>
        <v>445800</v>
      </c>
      <c r="D4" s="226">
        <f>C4/100</f>
        <v>4458</v>
      </c>
      <c r="E4" s="226">
        <v>1408</v>
      </c>
      <c r="F4" s="226">
        <f>D4-E4</f>
        <v>3050</v>
      </c>
      <c r="I4" s="226">
        <v>1</v>
      </c>
      <c r="J4" s="226" t="str">
        <f>'TOTALS(PASSIVE)'!B3</f>
        <v>ASHANTI</v>
      </c>
      <c r="K4" s="226">
        <f>'TOTALS(PASSIVE)'!C3</f>
        <v>210301.29999999996</v>
      </c>
      <c r="L4" s="226">
        <v>17226</v>
      </c>
      <c r="M4" s="226">
        <v>689</v>
      </c>
      <c r="N4" s="226">
        <f>L4-M4</f>
        <v>16537</v>
      </c>
    </row>
    <row r="5" spans="1:14">
      <c r="A5" s="226">
        <v>2</v>
      </c>
      <c r="B5" s="226" t="str">
        <f>'TOTALS(PASSIVE)'!B4</f>
        <v>CENTRAL</v>
      </c>
      <c r="C5" s="226">
        <f>'TOTALS(PASSIVE)'!J4</f>
        <v>520000</v>
      </c>
      <c r="D5" s="226">
        <f>C5/100</f>
        <v>5200</v>
      </c>
      <c r="E5" s="226">
        <v>2080</v>
      </c>
      <c r="F5" s="226">
        <f>D5-E5</f>
        <v>3120</v>
      </c>
      <c r="I5" s="226">
        <v>2</v>
      </c>
      <c r="J5" s="226" t="str">
        <f>'TOTALS(PASSIVE)'!B4</f>
        <v>CENTRAL</v>
      </c>
      <c r="K5" s="226">
        <f>'TOTALS(PASSIVE)'!C4</f>
        <v>119608.00000000001</v>
      </c>
      <c r="L5" s="226">
        <v>1096</v>
      </c>
      <c r="M5" s="226">
        <v>438</v>
      </c>
      <c r="N5" s="226">
        <f t="shared" ref="N5:N19" si="0">L5-M5</f>
        <v>658</v>
      </c>
    </row>
    <row r="6" spans="1:14">
      <c r="A6" s="226">
        <v>3</v>
      </c>
      <c r="B6" s="226" t="str">
        <f>'TOTALS(PASSIVE)'!B5</f>
        <v>EASTERN</v>
      </c>
      <c r="C6" s="226">
        <f>'TOTALS(PASSIVE)'!J5</f>
        <v>521400</v>
      </c>
      <c r="D6" s="226">
        <f>C6/100</f>
        <v>5214</v>
      </c>
      <c r="E6" s="226">
        <v>2085</v>
      </c>
      <c r="F6" s="226">
        <f>D6-E6</f>
        <v>3129</v>
      </c>
      <c r="I6" s="226">
        <v>3</v>
      </c>
      <c r="J6" s="226" t="str">
        <f>'TOTALS(PASSIVE)'!B5</f>
        <v>EASTERN</v>
      </c>
      <c r="K6" s="226">
        <f>'TOTALS(PASSIVE)'!C5</f>
        <v>208681.69999999998</v>
      </c>
      <c r="L6" s="226">
        <v>1776</v>
      </c>
      <c r="M6" s="226">
        <v>710</v>
      </c>
      <c r="N6" s="226">
        <f t="shared" si="0"/>
        <v>1066</v>
      </c>
    </row>
    <row r="7" spans="1:14">
      <c r="A7" s="226">
        <v>4</v>
      </c>
      <c r="B7" s="226" t="str">
        <f>'TOTALS(PASSIVE)'!B6</f>
        <v>GREATER ACCRA</v>
      </c>
      <c r="C7" s="226">
        <f>'TOTALS(PASSIVE)'!J6</f>
        <v>444800</v>
      </c>
      <c r="D7" s="226">
        <f>C7/100</f>
        <v>4448</v>
      </c>
      <c r="E7" s="226">
        <v>1775</v>
      </c>
      <c r="F7" s="226">
        <f>D7-E7</f>
        <v>2673</v>
      </c>
      <c r="I7" s="226">
        <v>4</v>
      </c>
      <c r="J7" s="226" t="str">
        <f>'TOTALS(PASSIVE)'!B6</f>
        <v>GREATER ACCRA</v>
      </c>
      <c r="K7" s="226">
        <f>'TOTALS(PASSIVE)'!C6</f>
        <v>1507321.2499999998</v>
      </c>
      <c r="L7" s="226">
        <v>13245</v>
      </c>
      <c r="M7" s="226">
        <v>529</v>
      </c>
      <c r="N7" s="226">
        <f t="shared" si="0"/>
        <v>12716</v>
      </c>
    </row>
    <row r="8" spans="1:14">
      <c r="A8" s="226">
        <v>5</v>
      </c>
      <c r="B8" s="226" t="str">
        <f>'TOTALS(PASSIVE)'!B7</f>
        <v>VOLTA</v>
      </c>
      <c r="C8">
        <v>299935</v>
      </c>
      <c r="D8">
        <v>2999</v>
      </c>
      <c r="E8" s="226">
        <v>1199</v>
      </c>
      <c r="F8" s="226">
        <f>D8-E8</f>
        <v>1800</v>
      </c>
      <c r="I8" s="226">
        <v>5</v>
      </c>
      <c r="J8" s="226" t="str">
        <f>'TOTALS(PASSIVE)'!B7</f>
        <v>VOLTA</v>
      </c>
      <c r="K8" s="226">
        <f>'TOTALS(PASSIVE)'!C7</f>
        <v>25159</v>
      </c>
      <c r="L8" s="226">
        <f>K8/100</f>
        <v>251.59</v>
      </c>
      <c r="M8" s="226">
        <v>97</v>
      </c>
      <c r="N8" s="226">
        <f t="shared" si="0"/>
        <v>154.59</v>
      </c>
    </row>
    <row r="9" spans="1:14">
      <c r="A9" s="226">
        <v>6</v>
      </c>
      <c r="B9" s="226" t="str">
        <f>'TOTALS(PASSIVE)'!B8</f>
        <v>OTI</v>
      </c>
      <c r="C9" s="226">
        <f>'TOTALS(PASSIVE)'!J8</f>
        <v>0</v>
      </c>
      <c r="D9" s="226">
        <f t="shared" ref="D9:D19" si="1">C9/100</f>
        <v>0</v>
      </c>
      <c r="E9" s="226">
        <f>D9-G9</f>
        <v>0</v>
      </c>
      <c r="F9" s="226">
        <v>0</v>
      </c>
      <c r="I9" s="226">
        <v>6</v>
      </c>
      <c r="J9" s="226" t="str">
        <f>'TOTALS(PASSIVE)'!B8</f>
        <v>OTI</v>
      </c>
      <c r="K9" s="226">
        <f>'TOTALS(PASSIVE)'!C8</f>
        <v>0</v>
      </c>
      <c r="L9" s="226">
        <f>K9/100</f>
        <v>0</v>
      </c>
      <c r="M9" s="226">
        <f>L9/1000*4</f>
        <v>0</v>
      </c>
      <c r="N9" s="226">
        <f t="shared" si="0"/>
        <v>0</v>
      </c>
    </row>
    <row r="10" spans="1:14">
      <c r="A10" s="226">
        <v>7</v>
      </c>
      <c r="B10" s="226" t="str">
        <f>'TOTALS(PASSIVE)'!B9</f>
        <v>WESTERN</v>
      </c>
      <c r="C10" s="226">
        <f>'TOTALS(PASSIVE)'!J9</f>
        <v>483000</v>
      </c>
      <c r="D10" s="226">
        <f t="shared" si="1"/>
        <v>4830</v>
      </c>
      <c r="E10" s="226">
        <v>1932</v>
      </c>
      <c r="F10" s="226">
        <f t="shared" ref="F10:F19" si="2">D10-E10</f>
        <v>2898</v>
      </c>
      <c r="I10" s="226">
        <v>7</v>
      </c>
      <c r="J10" s="226" t="str">
        <f>'TOTALS(PASSIVE)'!B9</f>
        <v>WESTERN</v>
      </c>
      <c r="K10" s="226">
        <f>'TOTALS(PASSIVE)'!C9</f>
        <v>191833.55</v>
      </c>
      <c r="L10" s="226">
        <v>1575</v>
      </c>
      <c r="M10" s="226">
        <v>630</v>
      </c>
      <c r="N10" s="226">
        <f t="shared" si="0"/>
        <v>945</v>
      </c>
    </row>
    <row r="11" spans="1:14">
      <c r="A11" s="226">
        <v>8</v>
      </c>
      <c r="B11" s="226" t="str">
        <f>'TOTALS(PASSIVE)'!B10</f>
        <v>WESTERN NORTH</v>
      </c>
      <c r="C11" s="226">
        <f>'TOTALS(PASSIVE)'!J10</f>
        <v>234000</v>
      </c>
      <c r="D11" s="226">
        <f t="shared" si="1"/>
        <v>2340</v>
      </c>
      <c r="E11" s="226">
        <v>936</v>
      </c>
      <c r="F11" s="226">
        <f t="shared" si="2"/>
        <v>1404</v>
      </c>
      <c r="I11" s="226">
        <v>8</v>
      </c>
      <c r="J11" s="226" t="str">
        <f>'TOTALS(PASSIVE)'!B10</f>
        <v>WESTERN NORTH</v>
      </c>
      <c r="K11" s="226">
        <f>'TOTALS(PASSIVE)'!C10</f>
        <v>0</v>
      </c>
      <c r="L11" s="226">
        <f>K11/100</f>
        <v>0</v>
      </c>
      <c r="M11" s="226">
        <f>L11/1000*4</f>
        <v>0</v>
      </c>
      <c r="N11" s="226">
        <f t="shared" si="0"/>
        <v>0</v>
      </c>
    </row>
    <row r="12" spans="1:14">
      <c r="A12" s="226">
        <v>9</v>
      </c>
      <c r="B12" s="226" t="str">
        <f>'TOTALS(PASSIVE)'!B11</f>
        <v>BONO EAST</v>
      </c>
      <c r="C12" s="226">
        <f>'TOTALS(PASSIVE)'!J11</f>
        <v>82000</v>
      </c>
      <c r="D12" s="226">
        <f t="shared" si="1"/>
        <v>820</v>
      </c>
      <c r="E12" s="226">
        <v>328</v>
      </c>
      <c r="F12" s="226">
        <f t="shared" si="2"/>
        <v>492</v>
      </c>
      <c r="I12" s="226">
        <v>9</v>
      </c>
      <c r="J12" s="226" t="str">
        <f>'TOTALS(PASSIVE)'!B11</f>
        <v>BONO EAST</v>
      </c>
      <c r="K12" s="226">
        <f>'TOTALS(PASSIVE)'!C11</f>
        <v>0</v>
      </c>
      <c r="L12" s="226">
        <f>K12/100</f>
        <v>0</v>
      </c>
      <c r="M12" s="226">
        <f>L12/1000*4</f>
        <v>0</v>
      </c>
      <c r="N12" s="226">
        <f t="shared" si="0"/>
        <v>0</v>
      </c>
    </row>
    <row r="13" spans="1:14">
      <c r="A13" s="226">
        <v>10</v>
      </c>
      <c r="B13" s="226" t="str">
        <f>'TOTALS(PASSIVE)'!B12</f>
        <v>AHAFO</v>
      </c>
      <c r="C13" s="226">
        <f>'TOTALS(PASSIVE)'!J12</f>
        <v>40000</v>
      </c>
      <c r="D13" s="226">
        <f t="shared" si="1"/>
        <v>400</v>
      </c>
      <c r="E13" s="226">
        <v>160</v>
      </c>
      <c r="F13" s="226">
        <f t="shared" si="2"/>
        <v>240</v>
      </c>
      <c r="I13" s="226">
        <v>10</v>
      </c>
      <c r="J13" s="226" t="str">
        <f>'TOTALS(PASSIVE)'!B12</f>
        <v>AHAFO</v>
      </c>
      <c r="K13" s="226">
        <f>'TOTALS(PASSIVE)'!C12</f>
        <v>0</v>
      </c>
      <c r="L13" s="226">
        <f>K13/100</f>
        <v>0</v>
      </c>
      <c r="M13" s="226">
        <f>L13/1000*4</f>
        <v>0</v>
      </c>
      <c r="N13" s="226">
        <f t="shared" si="0"/>
        <v>0</v>
      </c>
    </row>
    <row r="14" spans="1:14">
      <c r="A14" s="226">
        <v>11</v>
      </c>
      <c r="B14" s="226" t="str">
        <f>'TOTALS(PASSIVE)'!B13</f>
        <v>BRONG AHAFO</v>
      </c>
      <c r="C14" s="226">
        <f>'TOTALS(PASSIVE)'!J13</f>
        <v>395601</v>
      </c>
      <c r="D14" s="226">
        <f t="shared" si="1"/>
        <v>3956.01</v>
      </c>
      <c r="E14" s="226">
        <v>1000</v>
      </c>
      <c r="F14" s="226">
        <f t="shared" si="2"/>
        <v>2956.01</v>
      </c>
      <c r="I14" s="226">
        <v>11</v>
      </c>
      <c r="J14" s="226" t="str">
        <f>'TOTALS(PASSIVE)'!B13</f>
        <v>BRONG AHAFO</v>
      </c>
      <c r="K14" s="226">
        <f>'TOTALS(PASSIVE)'!C13</f>
        <v>1948</v>
      </c>
      <c r="L14" s="226">
        <v>55</v>
      </c>
      <c r="M14" s="226">
        <v>22</v>
      </c>
      <c r="N14" s="226">
        <f t="shared" si="0"/>
        <v>33</v>
      </c>
    </row>
    <row r="15" spans="1:14">
      <c r="A15" s="226">
        <v>12</v>
      </c>
      <c r="B15" s="226" t="str">
        <f>'TOTALS(PASSIVE)'!B14</f>
        <v>SAVANNAH</v>
      </c>
      <c r="C15" s="226">
        <f>'TOTALS(PASSIVE)'!J14</f>
        <v>217000</v>
      </c>
      <c r="D15" s="226">
        <f t="shared" si="1"/>
        <v>2170</v>
      </c>
      <c r="E15" s="226">
        <v>868</v>
      </c>
      <c r="F15" s="226">
        <f t="shared" si="2"/>
        <v>1302</v>
      </c>
      <c r="I15" s="226">
        <v>12</v>
      </c>
      <c r="J15" s="226" t="str">
        <f>'TOTALS(PASSIVE)'!B14</f>
        <v>SAVANNAH</v>
      </c>
      <c r="K15" s="226">
        <f>'TOTALS(PASSIVE)'!C14</f>
        <v>0</v>
      </c>
      <c r="L15" s="226">
        <f>K15/100</f>
        <v>0</v>
      </c>
      <c r="M15" s="226">
        <f>L15/1000*4</f>
        <v>0</v>
      </c>
      <c r="N15" s="226">
        <f t="shared" si="0"/>
        <v>0</v>
      </c>
    </row>
    <row r="16" spans="1:14">
      <c r="A16" s="226">
        <v>13</v>
      </c>
      <c r="B16" s="226" t="str">
        <f>'TOTALS(PASSIVE)'!B15</f>
        <v>NORTHERN</v>
      </c>
      <c r="C16" s="226">
        <f>'TOTALS(PASSIVE)'!J15</f>
        <v>350000</v>
      </c>
      <c r="D16" s="226">
        <f t="shared" si="1"/>
        <v>3500</v>
      </c>
      <c r="E16" s="226">
        <v>546</v>
      </c>
      <c r="F16" s="226">
        <f t="shared" si="2"/>
        <v>2954</v>
      </c>
      <c r="I16" s="226">
        <v>13</v>
      </c>
      <c r="J16" s="226" t="str">
        <f>'TOTALS(PASSIVE)'!B15</f>
        <v>NORTHERN</v>
      </c>
      <c r="K16" s="226">
        <f>'TOTALS(PASSIVE)'!C15</f>
        <v>2268</v>
      </c>
      <c r="L16" s="226">
        <f>K16/100</f>
        <v>22.68</v>
      </c>
      <c r="M16" s="226">
        <v>180</v>
      </c>
      <c r="N16" s="226">
        <f t="shared" si="0"/>
        <v>-157.32</v>
      </c>
    </row>
    <row r="17" spans="1:14">
      <c r="A17" s="226">
        <v>14</v>
      </c>
      <c r="B17" s="226" t="str">
        <f>'TOTALS(PASSIVE)'!B16</f>
        <v>NORTH EAST</v>
      </c>
      <c r="C17" s="226">
        <f>'TOTALS(PASSIVE)'!J16</f>
        <v>126000</v>
      </c>
      <c r="D17" s="226">
        <f t="shared" si="1"/>
        <v>1260</v>
      </c>
      <c r="E17" s="226">
        <v>500</v>
      </c>
      <c r="F17" s="226">
        <f t="shared" si="2"/>
        <v>760</v>
      </c>
      <c r="I17" s="226">
        <v>14</v>
      </c>
      <c r="J17" s="226" t="str">
        <f>'TOTALS(PASSIVE)'!B16</f>
        <v>NORTH EAST</v>
      </c>
      <c r="K17" s="226">
        <f>'TOTALS(PASSIVE)'!C16</f>
        <v>0</v>
      </c>
      <c r="L17" s="226">
        <f>K17/100</f>
        <v>0</v>
      </c>
      <c r="M17" s="226">
        <f>L17/1000*4</f>
        <v>0</v>
      </c>
      <c r="N17" s="226">
        <f t="shared" si="0"/>
        <v>0</v>
      </c>
    </row>
    <row r="18" spans="1:14">
      <c r="A18" s="226">
        <v>15</v>
      </c>
      <c r="B18" s="226" t="str">
        <f>'TOTALS(PASSIVE)'!B17</f>
        <v>UPPER EAST</v>
      </c>
      <c r="C18" s="226">
        <f>'TOTALS(PASSIVE)'!J17</f>
        <v>172000</v>
      </c>
      <c r="D18" s="226">
        <f t="shared" si="1"/>
        <v>1720</v>
      </c>
      <c r="E18" s="226">
        <v>688</v>
      </c>
      <c r="F18" s="226">
        <f t="shared" si="2"/>
        <v>1032</v>
      </c>
      <c r="I18" s="226">
        <v>15</v>
      </c>
      <c r="J18" s="226" t="str">
        <f>'TOTALS(PASSIVE)'!B17</f>
        <v>UPPER EAST</v>
      </c>
      <c r="K18" s="226">
        <f>'TOTALS(PASSIVE)'!C17</f>
        <v>0</v>
      </c>
      <c r="L18" s="226">
        <f>K18/100</f>
        <v>0</v>
      </c>
      <c r="M18" s="226">
        <v>10</v>
      </c>
      <c r="N18" s="226">
        <f t="shared" si="0"/>
        <v>-10</v>
      </c>
    </row>
    <row r="19" spans="1:14">
      <c r="A19" s="226">
        <v>16</v>
      </c>
      <c r="B19" s="226" t="str">
        <f>'TOTALS(PASSIVE)'!B18</f>
        <v>UPPER WEST</v>
      </c>
      <c r="C19" s="226">
        <f>'TOTALS(PASSIVE)'!J18</f>
        <v>279000</v>
      </c>
      <c r="D19" s="226">
        <f t="shared" si="1"/>
        <v>2790</v>
      </c>
      <c r="E19" s="226">
        <v>1116</v>
      </c>
      <c r="F19" s="226">
        <f t="shared" si="2"/>
        <v>1674</v>
      </c>
      <c r="I19" s="226">
        <v>16</v>
      </c>
      <c r="J19" s="226" t="str">
        <f>'TOTALS(PASSIVE)'!B18</f>
        <v>UPPER WEST</v>
      </c>
      <c r="K19" s="226">
        <f>'TOTALS(PASSIVE)'!C18</f>
        <v>0</v>
      </c>
      <c r="L19" s="226">
        <f>K19/100</f>
        <v>0</v>
      </c>
      <c r="M19" s="226">
        <f>L19/1000*4</f>
        <v>0</v>
      </c>
      <c r="N19" s="226">
        <f t="shared" si="0"/>
        <v>0</v>
      </c>
    </row>
    <row r="27" spans="1:14">
      <c r="E27" s="228"/>
      <c r="F27" s="228"/>
      <c r="G27" s="228"/>
    </row>
    <row r="28" spans="1:14">
      <c r="E28" s="228">
        <f>SUM(D4:D11)</f>
        <v>29489</v>
      </c>
      <c r="F28" s="228">
        <f>SUM(L4:L11)</f>
        <v>35169.589999999997</v>
      </c>
      <c r="G28" s="228">
        <f>SUM(E28:F28)</f>
        <v>64658.59</v>
      </c>
      <c r="H28" s="230">
        <v>0.25</v>
      </c>
    </row>
    <row r="29" spans="1:14">
      <c r="E29" s="228">
        <f>SUM(F4:F11)</f>
        <v>18074</v>
      </c>
      <c r="F29" s="228">
        <f>SUM(N4:N11)</f>
        <v>32076.59</v>
      </c>
      <c r="G29" s="228">
        <f>SUM(E29:F29)</f>
        <v>50150.59</v>
      </c>
      <c r="H29" s="229">
        <f>G29*H28</f>
        <v>12537.647499999999</v>
      </c>
    </row>
    <row r="30" spans="1:14">
      <c r="H30" s="229">
        <f>G29-H29</f>
        <v>37612.942499999997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69882-E3A4-4F9B-B0E6-E55AFEE8F37C}">
  <dimension ref="A1:L102"/>
  <sheetViews>
    <sheetView workbookViewId="0">
      <selection activeCell="D22" sqref="D22"/>
    </sheetView>
  </sheetViews>
  <sheetFormatPr defaultRowHeight="14.5"/>
  <cols>
    <col min="2" max="2" width="16.54296875" bestFit="1" customWidth="1"/>
    <col min="4" max="4" width="29.81640625" bestFit="1" customWidth="1"/>
  </cols>
  <sheetData>
    <row r="1" spans="1:12" ht="28.5">
      <c r="A1" s="201" t="s">
        <v>0</v>
      </c>
      <c r="B1" s="202" t="s">
        <v>236</v>
      </c>
      <c r="C1" s="202" t="s">
        <v>76</v>
      </c>
      <c r="D1" s="202" t="s">
        <v>237</v>
      </c>
      <c r="E1" s="202" t="s">
        <v>238</v>
      </c>
      <c r="F1" s="202" t="s">
        <v>239</v>
      </c>
      <c r="G1" s="203" t="s">
        <v>240</v>
      </c>
      <c r="H1" s="202" t="s">
        <v>3799</v>
      </c>
      <c r="I1" s="202" t="s">
        <v>244</v>
      </c>
      <c r="J1" s="202" t="s">
        <v>245</v>
      </c>
      <c r="K1" s="202" t="s">
        <v>246</v>
      </c>
      <c r="L1" s="203" t="s">
        <v>247</v>
      </c>
    </row>
    <row r="2" spans="1:12">
      <c r="A2" s="111">
        <v>1</v>
      </c>
      <c r="B2" s="158" t="s">
        <v>58</v>
      </c>
      <c r="C2" s="204" t="s">
        <v>11</v>
      </c>
      <c r="D2" s="111" t="s">
        <v>350</v>
      </c>
      <c r="E2" s="158" t="s">
        <v>349</v>
      </c>
      <c r="F2" s="158" t="s">
        <v>351</v>
      </c>
      <c r="G2" s="158">
        <v>48</v>
      </c>
      <c r="H2" s="206">
        <v>40000</v>
      </c>
      <c r="I2" s="158">
        <v>2023</v>
      </c>
      <c r="J2" s="158" t="s">
        <v>3800</v>
      </c>
      <c r="K2" s="158" t="s">
        <v>3800</v>
      </c>
      <c r="L2" s="207" t="s">
        <v>254</v>
      </c>
    </row>
    <row r="3" spans="1:12">
      <c r="A3" s="111">
        <v>2</v>
      </c>
      <c r="B3" s="158" t="s">
        <v>57</v>
      </c>
      <c r="C3" s="204" t="s">
        <v>11</v>
      </c>
      <c r="D3" s="111" t="s">
        <v>355</v>
      </c>
      <c r="E3" s="208" t="s">
        <v>353</v>
      </c>
      <c r="F3" s="148" t="s">
        <v>356</v>
      </c>
      <c r="G3" s="111">
        <v>48</v>
      </c>
      <c r="H3" s="206">
        <v>77000</v>
      </c>
      <c r="I3" s="158">
        <v>2023</v>
      </c>
      <c r="J3" s="158" t="s">
        <v>3800</v>
      </c>
      <c r="K3" s="158" t="s">
        <v>3800</v>
      </c>
      <c r="L3" s="207" t="s">
        <v>254</v>
      </c>
    </row>
    <row r="4" spans="1:12">
      <c r="A4" s="111">
        <v>3</v>
      </c>
      <c r="B4" s="157" t="s">
        <v>59</v>
      </c>
      <c r="C4" s="204" t="s">
        <v>11</v>
      </c>
      <c r="D4" s="209" t="s">
        <v>387</v>
      </c>
      <c r="E4" s="158" t="s">
        <v>351</v>
      </c>
      <c r="F4" s="158" t="s">
        <v>388</v>
      </c>
      <c r="G4" s="158">
        <v>48</v>
      </c>
      <c r="H4" s="206">
        <v>69000</v>
      </c>
      <c r="I4" s="205">
        <v>2023</v>
      </c>
      <c r="J4" s="158" t="s">
        <v>3800</v>
      </c>
      <c r="K4" s="158" t="s">
        <v>3800</v>
      </c>
      <c r="L4" s="207" t="s">
        <v>254</v>
      </c>
    </row>
    <row r="5" spans="1:12">
      <c r="A5" s="111">
        <v>4</v>
      </c>
      <c r="B5" s="158" t="s">
        <v>59</v>
      </c>
      <c r="C5" s="158" t="s">
        <v>11</v>
      </c>
      <c r="D5" s="158" t="s">
        <v>389</v>
      </c>
      <c r="E5" s="158" t="s">
        <v>388</v>
      </c>
      <c r="F5" s="158" t="s">
        <v>390</v>
      </c>
      <c r="G5" s="158">
        <v>48</v>
      </c>
      <c r="H5" s="210">
        <v>80000</v>
      </c>
      <c r="I5" s="205">
        <v>2023</v>
      </c>
      <c r="J5" s="158" t="s">
        <v>3800</v>
      </c>
      <c r="K5" s="158" t="s">
        <v>3800</v>
      </c>
      <c r="L5" s="207" t="s">
        <v>254</v>
      </c>
    </row>
    <row r="6" spans="1:12">
      <c r="A6" s="111">
        <v>5</v>
      </c>
      <c r="B6" s="158" t="s">
        <v>59</v>
      </c>
      <c r="C6" s="158" t="s">
        <v>11</v>
      </c>
      <c r="D6" s="158" t="s">
        <v>391</v>
      </c>
      <c r="E6" s="158" t="s">
        <v>390</v>
      </c>
      <c r="F6" s="158" t="s">
        <v>392</v>
      </c>
      <c r="G6" s="158">
        <v>48</v>
      </c>
      <c r="H6" s="210">
        <v>58000</v>
      </c>
      <c r="I6" s="205">
        <v>2023</v>
      </c>
      <c r="J6" s="158" t="s">
        <v>3800</v>
      </c>
      <c r="K6" s="158" t="s">
        <v>3800</v>
      </c>
      <c r="L6" s="207" t="s">
        <v>254</v>
      </c>
    </row>
    <row r="7" spans="1:12">
      <c r="A7" s="111">
        <v>6</v>
      </c>
      <c r="B7" s="158" t="s">
        <v>61</v>
      </c>
      <c r="C7" s="158" t="s">
        <v>11</v>
      </c>
      <c r="D7" s="158" t="s">
        <v>393</v>
      </c>
      <c r="E7" s="158" t="s">
        <v>206</v>
      </c>
      <c r="F7" s="158" t="s">
        <v>394</v>
      </c>
      <c r="G7" s="158">
        <v>48</v>
      </c>
      <c r="H7" s="210">
        <v>61000</v>
      </c>
      <c r="I7" s="205">
        <v>2023</v>
      </c>
      <c r="J7" s="158" t="s">
        <v>3800</v>
      </c>
      <c r="K7" s="158" t="s">
        <v>3800</v>
      </c>
      <c r="L7" s="207" t="s">
        <v>254</v>
      </c>
    </row>
    <row r="8" spans="1:12">
      <c r="A8" s="111">
        <v>7</v>
      </c>
      <c r="B8" s="158" t="s">
        <v>62</v>
      </c>
      <c r="C8" s="158" t="s">
        <v>11</v>
      </c>
      <c r="D8" s="158" t="s">
        <v>395</v>
      </c>
      <c r="E8" s="158" t="s">
        <v>394</v>
      </c>
      <c r="F8" s="158" t="s">
        <v>396</v>
      </c>
      <c r="G8" s="158">
        <v>48</v>
      </c>
      <c r="H8" s="210">
        <v>63000</v>
      </c>
      <c r="I8" s="205">
        <v>2023</v>
      </c>
      <c r="J8" s="158" t="s">
        <v>3800</v>
      </c>
      <c r="K8" s="158" t="s">
        <v>3800</v>
      </c>
      <c r="L8" s="207" t="s">
        <v>254</v>
      </c>
    </row>
    <row r="9" spans="1:12">
      <c r="A9" s="111">
        <v>8</v>
      </c>
      <c r="B9" s="158" t="s">
        <v>62</v>
      </c>
      <c r="C9" s="158" t="s">
        <v>11</v>
      </c>
      <c r="D9" s="158" t="s">
        <v>397</v>
      </c>
      <c r="E9" s="158" t="s">
        <v>396</v>
      </c>
      <c r="F9" s="158" t="s">
        <v>398</v>
      </c>
      <c r="G9" s="158">
        <v>48</v>
      </c>
      <c r="H9" s="210">
        <v>63000</v>
      </c>
      <c r="I9" s="205">
        <v>2023</v>
      </c>
      <c r="J9" s="158" t="s">
        <v>3800</v>
      </c>
      <c r="K9" s="158" t="s">
        <v>3800</v>
      </c>
      <c r="L9" s="207" t="s">
        <v>254</v>
      </c>
    </row>
    <row r="10" spans="1:12">
      <c r="A10" s="111">
        <v>9</v>
      </c>
      <c r="B10" s="158" t="s">
        <v>61</v>
      </c>
      <c r="C10" s="158" t="s">
        <v>11</v>
      </c>
      <c r="D10" s="158" t="s">
        <v>399</v>
      </c>
      <c r="E10" s="158" t="s">
        <v>398</v>
      </c>
      <c r="F10" s="158" t="s">
        <v>400</v>
      </c>
      <c r="G10" s="158">
        <v>48</v>
      </c>
      <c r="H10" s="210">
        <v>79000</v>
      </c>
      <c r="I10" s="205">
        <v>2023</v>
      </c>
      <c r="J10" s="158" t="s">
        <v>3800</v>
      </c>
      <c r="K10" s="158" t="s">
        <v>3800</v>
      </c>
      <c r="L10" s="207" t="s">
        <v>254</v>
      </c>
    </row>
    <row r="11" spans="1:12">
      <c r="A11" s="111">
        <v>10</v>
      </c>
      <c r="B11" s="158" t="s">
        <v>60</v>
      </c>
      <c r="C11" s="204" t="s">
        <v>11</v>
      </c>
      <c r="D11" s="111" t="s">
        <v>403</v>
      </c>
      <c r="E11" s="158" t="s">
        <v>3800</v>
      </c>
      <c r="F11" s="211" t="s">
        <v>3800</v>
      </c>
      <c r="G11" s="158">
        <v>48</v>
      </c>
      <c r="H11" s="206">
        <v>58000</v>
      </c>
      <c r="I11" s="205">
        <v>2023</v>
      </c>
      <c r="J11" s="158" t="s">
        <v>3800</v>
      </c>
      <c r="K11" s="158" t="s">
        <v>3800</v>
      </c>
      <c r="L11" s="207" t="s">
        <v>254</v>
      </c>
    </row>
    <row r="12" spans="1:12">
      <c r="A12" s="111">
        <v>11</v>
      </c>
      <c r="B12" s="158" t="s">
        <v>60</v>
      </c>
      <c r="C12" s="158" t="s">
        <v>11</v>
      </c>
      <c r="D12" s="158" t="s">
        <v>404</v>
      </c>
      <c r="E12" s="158" t="s">
        <v>3800</v>
      </c>
      <c r="F12" s="208" t="s">
        <v>3800</v>
      </c>
      <c r="G12" s="158">
        <v>48</v>
      </c>
      <c r="H12" s="206">
        <v>63000</v>
      </c>
      <c r="I12" s="205">
        <v>2023</v>
      </c>
      <c r="J12" s="158" t="s">
        <v>3800</v>
      </c>
      <c r="K12" s="158" t="s">
        <v>3800</v>
      </c>
      <c r="L12" s="207" t="s">
        <v>254</v>
      </c>
    </row>
    <row r="13" spans="1:12">
      <c r="A13" s="111">
        <v>12</v>
      </c>
      <c r="B13" s="158" t="s">
        <v>60</v>
      </c>
      <c r="C13" s="158" t="s">
        <v>11</v>
      </c>
      <c r="D13" s="158" t="s">
        <v>405</v>
      </c>
      <c r="E13" s="158" t="s">
        <v>3800</v>
      </c>
      <c r="F13" s="158" t="s">
        <v>3800</v>
      </c>
      <c r="G13" s="158">
        <v>48</v>
      </c>
      <c r="H13" s="206">
        <v>34000</v>
      </c>
      <c r="I13" s="205">
        <v>2023</v>
      </c>
      <c r="J13" s="158" t="s">
        <v>3800</v>
      </c>
      <c r="K13" s="158" t="s">
        <v>3800</v>
      </c>
      <c r="L13" s="207" t="s">
        <v>254</v>
      </c>
    </row>
    <row r="14" spans="1:12">
      <c r="A14" s="111">
        <v>13</v>
      </c>
      <c r="B14" s="158" t="s">
        <v>60</v>
      </c>
      <c r="C14" s="158" t="s">
        <v>11</v>
      </c>
      <c r="D14" s="158" t="s">
        <v>406</v>
      </c>
      <c r="E14" s="158" t="s">
        <v>3800</v>
      </c>
      <c r="F14" s="158" t="s">
        <v>3800</v>
      </c>
      <c r="G14" s="158">
        <v>48</v>
      </c>
      <c r="H14" s="206">
        <v>62000</v>
      </c>
      <c r="I14" s="205">
        <v>2023</v>
      </c>
      <c r="J14" s="158" t="s">
        <v>3800</v>
      </c>
      <c r="K14" s="158" t="s">
        <v>3800</v>
      </c>
      <c r="L14" s="207" t="s">
        <v>254</v>
      </c>
    </row>
    <row r="15" spans="1:12">
      <c r="A15" s="111">
        <v>14</v>
      </c>
      <c r="B15" s="158" t="s">
        <v>64</v>
      </c>
      <c r="C15" s="158" t="s">
        <v>11</v>
      </c>
      <c r="D15" s="158" t="s">
        <v>407</v>
      </c>
      <c r="E15" s="158" t="s">
        <v>3800</v>
      </c>
      <c r="F15" s="158" t="s">
        <v>3800</v>
      </c>
      <c r="G15" s="158">
        <v>48</v>
      </c>
      <c r="H15" s="206">
        <v>51000</v>
      </c>
      <c r="I15" s="205">
        <v>2023</v>
      </c>
      <c r="J15" s="158" t="s">
        <v>3800</v>
      </c>
      <c r="K15" s="158" t="s">
        <v>3800</v>
      </c>
      <c r="L15" s="207" t="s">
        <v>254</v>
      </c>
    </row>
    <row r="16" spans="1:12">
      <c r="A16" s="111">
        <v>15</v>
      </c>
      <c r="B16" s="158" t="s">
        <v>64</v>
      </c>
      <c r="C16" s="158" t="s">
        <v>11</v>
      </c>
      <c r="D16" s="158" t="s">
        <v>408</v>
      </c>
      <c r="E16" s="158" t="s">
        <v>3800</v>
      </c>
      <c r="F16" s="158" t="s">
        <v>3800</v>
      </c>
      <c r="G16" s="158">
        <v>48</v>
      </c>
      <c r="H16" s="206">
        <v>81000</v>
      </c>
      <c r="I16" s="205">
        <v>2023</v>
      </c>
      <c r="J16" s="158" t="s">
        <v>3800</v>
      </c>
      <c r="K16" s="158" t="s">
        <v>3800</v>
      </c>
      <c r="L16" s="207" t="s">
        <v>254</v>
      </c>
    </row>
    <row r="17" spans="1:12">
      <c r="A17" s="111">
        <v>16</v>
      </c>
      <c r="B17" s="158" t="s">
        <v>64</v>
      </c>
      <c r="C17" s="158" t="s">
        <v>11</v>
      </c>
      <c r="D17" s="158" t="s">
        <v>409</v>
      </c>
      <c r="E17" s="158" t="s">
        <v>3800</v>
      </c>
      <c r="F17" s="158" t="s">
        <v>3800</v>
      </c>
      <c r="G17" s="158">
        <v>48</v>
      </c>
      <c r="H17" s="206">
        <v>68000</v>
      </c>
      <c r="I17" s="205">
        <v>2023</v>
      </c>
      <c r="J17" s="158" t="s">
        <v>3800</v>
      </c>
      <c r="K17" s="158" t="s">
        <v>3800</v>
      </c>
      <c r="L17" s="207" t="s">
        <v>254</v>
      </c>
    </row>
    <row r="18" spans="1:12">
      <c r="A18" s="111">
        <v>17</v>
      </c>
      <c r="B18" s="158" t="s">
        <v>64</v>
      </c>
      <c r="C18" s="158" t="s">
        <v>11</v>
      </c>
      <c r="D18" s="158" t="s">
        <v>410</v>
      </c>
      <c r="E18" s="158" t="s">
        <v>3800</v>
      </c>
      <c r="F18" s="158" t="s">
        <v>3800</v>
      </c>
      <c r="G18" s="158">
        <v>48</v>
      </c>
      <c r="H18" s="206">
        <v>79000</v>
      </c>
      <c r="I18" s="205">
        <v>2023</v>
      </c>
      <c r="J18" s="158" t="s">
        <v>3800</v>
      </c>
      <c r="K18" s="158" t="s">
        <v>3800</v>
      </c>
      <c r="L18" s="207" t="s">
        <v>254</v>
      </c>
    </row>
    <row r="19" spans="1:12">
      <c r="A19" s="111">
        <v>18</v>
      </c>
      <c r="B19" s="158" t="s">
        <v>63</v>
      </c>
      <c r="C19" s="158" t="s">
        <v>11</v>
      </c>
      <c r="D19" s="158" t="s">
        <v>411</v>
      </c>
      <c r="E19" s="158" t="s">
        <v>3800</v>
      </c>
      <c r="F19" s="158" t="s">
        <v>3800</v>
      </c>
      <c r="G19" s="158">
        <v>48</v>
      </c>
      <c r="H19" s="206">
        <v>79000</v>
      </c>
      <c r="I19" s="205">
        <v>2023</v>
      </c>
      <c r="J19" s="158" t="s">
        <v>3800</v>
      </c>
      <c r="K19" s="158" t="s">
        <v>3800</v>
      </c>
      <c r="L19" s="207" t="s">
        <v>254</v>
      </c>
    </row>
    <row r="20" spans="1:12">
      <c r="A20" s="111">
        <v>19</v>
      </c>
      <c r="B20" s="158" t="s">
        <v>59</v>
      </c>
      <c r="C20" s="158" t="s">
        <v>11</v>
      </c>
      <c r="D20" s="207" t="s">
        <v>412</v>
      </c>
      <c r="E20" s="158" t="s">
        <v>3800</v>
      </c>
      <c r="F20" s="158" t="s">
        <v>3800</v>
      </c>
      <c r="G20" s="158">
        <v>48</v>
      </c>
      <c r="H20" s="206">
        <v>43000</v>
      </c>
      <c r="I20" s="205">
        <v>2023</v>
      </c>
      <c r="J20" s="158" t="s">
        <v>3800</v>
      </c>
      <c r="K20" s="158" t="s">
        <v>3800</v>
      </c>
      <c r="L20" s="207" t="s">
        <v>254</v>
      </c>
    </row>
    <row r="21" spans="1:12" ht="15" thickBot="1">
      <c r="A21" s="111">
        <v>20</v>
      </c>
      <c r="B21" s="158" t="s">
        <v>57</v>
      </c>
      <c r="C21" s="158" t="s">
        <v>11</v>
      </c>
      <c r="D21" s="212" t="s">
        <v>413</v>
      </c>
      <c r="E21" s="111" t="s">
        <v>414</v>
      </c>
      <c r="F21" s="158" t="s">
        <v>415</v>
      </c>
      <c r="G21" s="158">
        <v>48</v>
      </c>
      <c r="H21" s="206">
        <v>5000</v>
      </c>
      <c r="I21" s="158">
        <v>2024</v>
      </c>
      <c r="J21" s="158" t="s">
        <v>3800</v>
      </c>
      <c r="K21" s="158" t="s">
        <v>3800</v>
      </c>
      <c r="L21" s="207" t="s">
        <v>254</v>
      </c>
    </row>
    <row r="22" spans="1:12">
      <c r="A22" s="111">
        <v>21</v>
      </c>
      <c r="B22" s="158" t="s">
        <v>63</v>
      </c>
      <c r="C22" s="158" t="s">
        <v>11</v>
      </c>
      <c r="D22" s="158" t="s">
        <v>417</v>
      </c>
      <c r="E22" s="158" t="s">
        <v>3800</v>
      </c>
      <c r="F22" s="158" t="s">
        <v>3800</v>
      </c>
      <c r="G22" s="158">
        <v>48</v>
      </c>
      <c r="H22" s="206">
        <v>93000</v>
      </c>
      <c r="I22" s="158">
        <v>2024</v>
      </c>
      <c r="J22" s="158" t="s">
        <v>3800</v>
      </c>
      <c r="K22" s="158" t="s">
        <v>3800</v>
      </c>
      <c r="L22" s="207" t="s">
        <v>254</v>
      </c>
    </row>
    <row r="23" spans="1:12">
      <c r="A23" s="111">
        <v>22</v>
      </c>
      <c r="B23" s="158" t="s">
        <v>4238</v>
      </c>
      <c r="C23" s="158" t="s">
        <v>11</v>
      </c>
      <c r="D23" s="111" t="s">
        <v>4250</v>
      </c>
      <c r="E23" s="158" t="s">
        <v>3800</v>
      </c>
      <c r="F23" s="158" t="s">
        <v>3800</v>
      </c>
      <c r="G23" s="158">
        <v>48</v>
      </c>
      <c r="H23" s="206">
        <v>55470</v>
      </c>
      <c r="I23" s="158">
        <v>2025</v>
      </c>
      <c r="J23" s="158" t="s">
        <v>3800</v>
      </c>
      <c r="K23" s="158" t="s">
        <v>3800</v>
      </c>
      <c r="L23" s="207" t="s">
        <v>426</v>
      </c>
    </row>
    <row r="24" spans="1:12">
      <c r="A24" s="111">
        <v>23</v>
      </c>
      <c r="B24" s="158" t="s">
        <v>61</v>
      </c>
      <c r="C24" s="158" t="s">
        <v>11</v>
      </c>
      <c r="D24" s="111" t="s">
        <v>4241</v>
      </c>
      <c r="E24" s="158" t="s">
        <v>3800</v>
      </c>
      <c r="F24" s="158" t="s">
        <v>3800</v>
      </c>
      <c r="G24" s="158">
        <v>48</v>
      </c>
      <c r="H24" s="206">
        <v>90131</v>
      </c>
      <c r="I24" s="158">
        <v>2025</v>
      </c>
      <c r="J24" s="158" t="s">
        <v>3800</v>
      </c>
      <c r="K24" s="158" t="s">
        <v>3800</v>
      </c>
      <c r="L24" s="207" t="s">
        <v>426</v>
      </c>
    </row>
    <row r="25" spans="1:12">
      <c r="A25" s="111">
        <v>24</v>
      </c>
      <c r="B25" s="158" t="s">
        <v>61</v>
      </c>
      <c r="C25" s="158" t="s">
        <v>11</v>
      </c>
      <c r="D25" s="158" t="s">
        <v>4249</v>
      </c>
      <c r="E25" s="158" t="s">
        <v>3800</v>
      </c>
      <c r="F25" s="158" t="s">
        <v>3800</v>
      </c>
      <c r="G25" s="158">
        <v>48</v>
      </c>
      <c r="H25" s="206">
        <v>70000</v>
      </c>
      <c r="I25" s="158">
        <v>2025</v>
      </c>
      <c r="J25" s="158" t="s">
        <v>3800</v>
      </c>
      <c r="K25" s="158" t="s">
        <v>3800</v>
      </c>
      <c r="L25" s="207" t="s">
        <v>254</v>
      </c>
    </row>
    <row r="26" spans="1:12">
      <c r="A26" s="332">
        <v>25</v>
      </c>
      <c r="B26" s="158" t="s">
        <v>61</v>
      </c>
      <c r="C26" s="158" t="s">
        <v>11</v>
      </c>
      <c r="D26" s="158" t="s">
        <v>4869</v>
      </c>
      <c r="E26" s="158" t="s">
        <v>3800</v>
      </c>
      <c r="F26" s="158" t="s">
        <v>3800</v>
      </c>
      <c r="G26" s="158">
        <v>48</v>
      </c>
      <c r="H26" s="158">
        <v>65000</v>
      </c>
      <c r="I26" s="158">
        <v>2026</v>
      </c>
      <c r="J26" s="158" t="s">
        <v>3800</v>
      </c>
      <c r="K26" s="158" t="s">
        <v>3800</v>
      </c>
      <c r="L26" s="207" t="s">
        <v>254</v>
      </c>
    </row>
    <row r="27" spans="1:12">
      <c r="A27" s="332">
        <v>26</v>
      </c>
      <c r="B27" s="158" t="s">
        <v>61</v>
      </c>
      <c r="C27" s="158" t="s">
        <v>11</v>
      </c>
      <c r="D27" s="158" t="s">
        <v>4870</v>
      </c>
      <c r="E27" s="158" t="s">
        <v>3800</v>
      </c>
      <c r="F27" s="158" t="s">
        <v>3800</v>
      </c>
      <c r="G27" s="158">
        <v>48</v>
      </c>
      <c r="H27" s="210">
        <v>76000</v>
      </c>
      <c r="I27" s="158">
        <v>2026</v>
      </c>
      <c r="J27" s="158" t="s">
        <v>3800</v>
      </c>
      <c r="K27" s="158" t="s">
        <v>3800</v>
      </c>
      <c r="L27" s="207" t="s">
        <v>254</v>
      </c>
    </row>
    <row r="28" spans="1:12">
      <c r="A28" s="111" t="s">
        <v>3800</v>
      </c>
      <c r="B28" s="158" t="s">
        <v>3800</v>
      </c>
      <c r="C28" s="158" t="s">
        <v>3800</v>
      </c>
      <c r="D28" s="158"/>
      <c r="E28" s="158" t="s">
        <v>3800</v>
      </c>
      <c r="F28" s="158" t="s">
        <v>3800</v>
      </c>
      <c r="G28" s="158" t="s">
        <v>3800</v>
      </c>
      <c r="H28" s="158" t="s">
        <v>3800</v>
      </c>
      <c r="I28" s="158" t="s">
        <v>3800</v>
      </c>
      <c r="J28" s="158" t="s">
        <v>3800</v>
      </c>
      <c r="K28" s="158" t="s">
        <v>3800</v>
      </c>
      <c r="L28" s="207" t="s">
        <v>3800</v>
      </c>
    </row>
    <row r="29" spans="1:12">
      <c r="A29" s="111" t="s">
        <v>3800</v>
      </c>
      <c r="B29" s="158" t="s">
        <v>3800</v>
      </c>
      <c r="C29" s="158" t="s">
        <v>3800</v>
      </c>
      <c r="D29" s="158"/>
      <c r="E29" s="158" t="s">
        <v>3800</v>
      </c>
      <c r="F29" s="158" t="s">
        <v>3800</v>
      </c>
      <c r="G29" s="158" t="s">
        <v>3800</v>
      </c>
      <c r="H29" s="158" t="s">
        <v>3800</v>
      </c>
      <c r="I29" s="158" t="s">
        <v>3800</v>
      </c>
      <c r="J29" s="158" t="s">
        <v>3800</v>
      </c>
      <c r="K29" s="158" t="s">
        <v>3800</v>
      </c>
      <c r="L29" s="207" t="s">
        <v>3800</v>
      </c>
    </row>
    <row r="30" spans="1:12">
      <c r="A30" s="111" t="s">
        <v>3800</v>
      </c>
      <c r="B30" s="158" t="s">
        <v>3800</v>
      </c>
      <c r="C30" s="158" t="s">
        <v>3800</v>
      </c>
      <c r="D30" s="158"/>
      <c r="E30" s="158" t="s">
        <v>3800</v>
      </c>
      <c r="F30" s="158" t="s">
        <v>3800</v>
      </c>
      <c r="G30" s="158" t="s">
        <v>3800</v>
      </c>
      <c r="H30" s="158" t="s">
        <v>3800</v>
      </c>
      <c r="I30" s="158" t="s">
        <v>3800</v>
      </c>
      <c r="J30" s="158" t="s">
        <v>3800</v>
      </c>
      <c r="K30" s="158" t="s">
        <v>3800</v>
      </c>
      <c r="L30" s="207" t="s">
        <v>3800</v>
      </c>
    </row>
    <row r="31" spans="1:12">
      <c r="A31" s="111" t="s">
        <v>3800</v>
      </c>
      <c r="B31" s="158" t="s">
        <v>3800</v>
      </c>
      <c r="C31" s="158" t="s">
        <v>3800</v>
      </c>
      <c r="D31" s="158"/>
      <c r="E31" s="158" t="s">
        <v>3800</v>
      </c>
      <c r="F31" s="158" t="s">
        <v>3800</v>
      </c>
      <c r="G31" s="158" t="s">
        <v>3800</v>
      </c>
      <c r="H31" s="158" t="s">
        <v>3800</v>
      </c>
      <c r="I31" s="158" t="s">
        <v>3800</v>
      </c>
      <c r="J31" s="158" t="s">
        <v>3800</v>
      </c>
      <c r="K31" s="158" t="s">
        <v>3800</v>
      </c>
      <c r="L31" s="207" t="s">
        <v>3800</v>
      </c>
    </row>
    <row r="32" spans="1:12">
      <c r="A32" s="111" t="s">
        <v>3800</v>
      </c>
      <c r="B32" s="158" t="s">
        <v>3800</v>
      </c>
      <c r="C32" s="158" t="s">
        <v>3800</v>
      </c>
      <c r="D32" s="158"/>
      <c r="E32" s="158" t="s">
        <v>3800</v>
      </c>
      <c r="F32" s="158" t="s">
        <v>3800</v>
      </c>
      <c r="G32" s="158" t="s">
        <v>3800</v>
      </c>
      <c r="H32" s="158" t="s">
        <v>3800</v>
      </c>
      <c r="I32" s="158" t="s">
        <v>3800</v>
      </c>
      <c r="J32" s="158" t="s">
        <v>3800</v>
      </c>
      <c r="K32" s="158" t="s">
        <v>3800</v>
      </c>
      <c r="L32" s="207" t="s">
        <v>3800</v>
      </c>
    </row>
    <row r="33" spans="1:12">
      <c r="A33" s="111" t="s">
        <v>3800</v>
      </c>
      <c r="B33" s="158" t="s">
        <v>3800</v>
      </c>
      <c r="C33" s="158" t="s">
        <v>3800</v>
      </c>
      <c r="D33" s="158"/>
      <c r="E33" s="158" t="s">
        <v>3800</v>
      </c>
      <c r="F33" s="158" t="s">
        <v>3800</v>
      </c>
      <c r="G33" s="158" t="s">
        <v>3800</v>
      </c>
      <c r="H33" s="158" t="s">
        <v>3800</v>
      </c>
      <c r="I33" s="158" t="s">
        <v>3800</v>
      </c>
      <c r="J33" s="158" t="s">
        <v>3800</v>
      </c>
      <c r="K33" s="158" t="s">
        <v>3800</v>
      </c>
      <c r="L33" s="207" t="s">
        <v>3800</v>
      </c>
    </row>
    <row r="34" spans="1:12">
      <c r="A34" s="111" t="s">
        <v>3800</v>
      </c>
      <c r="B34" s="158" t="s">
        <v>3800</v>
      </c>
      <c r="C34" s="158" t="s">
        <v>3800</v>
      </c>
      <c r="D34" s="158"/>
      <c r="E34" s="158" t="s">
        <v>3800</v>
      </c>
      <c r="F34" s="158" t="s">
        <v>3800</v>
      </c>
      <c r="G34" s="158" t="s">
        <v>3800</v>
      </c>
      <c r="H34" s="158" t="s">
        <v>3800</v>
      </c>
      <c r="I34" s="158" t="s">
        <v>3800</v>
      </c>
      <c r="J34" s="158" t="s">
        <v>3800</v>
      </c>
      <c r="K34" s="158" t="s">
        <v>3800</v>
      </c>
      <c r="L34" s="207" t="s">
        <v>3800</v>
      </c>
    </row>
    <row r="35" spans="1:12">
      <c r="A35" s="111" t="s">
        <v>3800</v>
      </c>
      <c r="B35" s="158" t="s">
        <v>3800</v>
      </c>
      <c r="C35" s="158" t="s">
        <v>3800</v>
      </c>
      <c r="D35" s="158"/>
      <c r="E35" s="158" t="s">
        <v>3800</v>
      </c>
      <c r="F35" s="158" t="s">
        <v>3800</v>
      </c>
      <c r="G35" s="158" t="s">
        <v>3800</v>
      </c>
      <c r="H35" s="158" t="s">
        <v>3800</v>
      </c>
      <c r="I35" s="158" t="s">
        <v>3800</v>
      </c>
      <c r="J35" s="158" t="s">
        <v>3800</v>
      </c>
      <c r="K35" s="158" t="s">
        <v>3800</v>
      </c>
      <c r="L35" s="207" t="s">
        <v>3800</v>
      </c>
    </row>
    <row r="36" spans="1:12">
      <c r="A36" s="111" t="s">
        <v>3800</v>
      </c>
      <c r="B36" s="158" t="s">
        <v>3800</v>
      </c>
      <c r="C36" s="158" t="s">
        <v>3800</v>
      </c>
      <c r="D36" s="158"/>
      <c r="E36" s="158" t="s">
        <v>3800</v>
      </c>
      <c r="F36" s="158" t="s">
        <v>3800</v>
      </c>
      <c r="G36" s="158" t="s">
        <v>3800</v>
      </c>
      <c r="H36" s="158" t="s">
        <v>3800</v>
      </c>
      <c r="I36" s="158" t="s">
        <v>3800</v>
      </c>
      <c r="J36" s="158" t="s">
        <v>3800</v>
      </c>
      <c r="K36" s="158" t="s">
        <v>3800</v>
      </c>
      <c r="L36" s="207" t="s">
        <v>3800</v>
      </c>
    </row>
    <row r="37" spans="1:12">
      <c r="A37" s="111" t="s">
        <v>3800</v>
      </c>
      <c r="B37" s="158" t="s">
        <v>3800</v>
      </c>
      <c r="C37" s="158" t="s">
        <v>3800</v>
      </c>
      <c r="D37" s="158"/>
      <c r="E37" s="158" t="s">
        <v>3800</v>
      </c>
      <c r="F37" s="158" t="s">
        <v>3800</v>
      </c>
      <c r="G37" s="158" t="s">
        <v>3800</v>
      </c>
      <c r="H37" s="158" t="s">
        <v>3800</v>
      </c>
      <c r="I37" s="158" t="s">
        <v>3800</v>
      </c>
      <c r="J37" s="158" t="s">
        <v>3800</v>
      </c>
      <c r="K37" s="158" t="s">
        <v>3800</v>
      </c>
      <c r="L37" s="207" t="s">
        <v>3800</v>
      </c>
    </row>
    <row r="38" spans="1:12">
      <c r="A38" s="111" t="s">
        <v>3800</v>
      </c>
      <c r="B38" s="158" t="s">
        <v>3800</v>
      </c>
      <c r="C38" s="158" t="s">
        <v>3800</v>
      </c>
      <c r="D38" s="158"/>
      <c r="E38" s="158" t="s">
        <v>3800</v>
      </c>
      <c r="F38" s="158" t="s">
        <v>3800</v>
      </c>
      <c r="G38" s="158" t="s">
        <v>3800</v>
      </c>
      <c r="H38" s="158" t="s">
        <v>3800</v>
      </c>
      <c r="I38" s="158" t="s">
        <v>3800</v>
      </c>
      <c r="J38" s="158" t="s">
        <v>3800</v>
      </c>
      <c r="K38" s="158" t="s">
        <v>3800</v>
      </c>
      <c r="L38" s="207" t="s">
        <v>3800</v>
      </c>
    </row>
    <row r="39" spans="1:12">
      <c r="A39" s="111" t="s">
        <v>3800</v>
      </c>
      <c r="B39" s="158" t="s">
        <v>3800</v>
      </c>
      <c r="C39" s="158" t="s">
        <v>3800</v>
      </c>
      <c r="D39" s="158"/>
      <c r="E39" s="158" t="s">
        <v>3800</v>
      </c>
      <c r="F39" s="158" t="s">
        <v>3800</v>
      </c>
      <c r="G39" s="158" t="s">
        <v>3800</v>
      </c>
      <c r="H39" s="158" t="s">
        <v>3800</v>
      </c>
      <c r="I39" s="158" t="s">
        <v>3800</v>
      </c>
      <c r="J39" s="158" t="s">
        <v>3800</v>
      </c>
      <c r="K39" s="158" t="s">
        <v>3800</v>
      </c>
      <c r="L39" s="207" t="s">
        <v>3800</v>
      </c>
    </row>
    <row r="40" spans="1:12">
      <c r="A40" s="111" t="s">
        <v>3800</v>
      </c>
      <c r="B40" s="158" t="s">
        <v>3800</v>
      </c>
      <c r="C40" s="158" t="s">
        <v>3800</v>
      </c>
      <c r="D40" s="158"/>
      <c r="E40" s="158" t="s">
        <v>3800</v>
      </c>
      <c r="F40" s="158" t="s">
        <v>3800</v>
      </c>
      <c r="G40" s="158" t="s">
        <v>3800</v>
      </c>
      <c r="H40" s="158" t="s">
        <v>3800</v>
      </c>
      <c r="I40" s="158" t="s">
        <v>3800</v>
      </c>
      <c r="J40" s="158" t="s">
        <v>3800</v>
      </c>
      <c r="K40" s="158" t="s">
        <v>3800</v>
      </c>
      <c r="L40" s="207" t="s">
        <v>3800</v>
      </c>
    </row>
    <row r="41" spans="1:12">
      <c r="A41" s="111" t="s">
        <v>3800</v>
      </c>
      <c r="B41" s="158" t="s">
        <v>3800</v>
      </c>
      <c r="C41" s="158" t="s">
        <v>3800</v>
      </c>
      <c r="D41" s="158"/>
      <c r="E41" s="158" t="s">
        <v>3800</v>
      </c>
      <c r="F41" s="158" t="s">
        <v>3800</v>
      </c>
      <c r="G41" s="158" t="s">
        <v>3800</v>
      </c>
      <c r="H41" s="158" t="s">
        <v>3800</v>
      </c>
      <c r="I41" s="158" t="s">
        <v>3800</v>
      </c>
      <c r="J41" s="158" t="s">
        <v>3800</v>
      </c>
      <c r="K41" s="158" t="s">
        <v>3800</v>
      </c>
      <c r="L41" s="207" t="s">
        <v>3800</v>
      </c>
    </row>
    <row r="42" spans="1:12">
      <c r="A42" s="111" t="s">
        <v>3800</v>
      </c>
      <c r="B42" s="158" t="s">
        <v>3800</v>
      </c>
      <c r="C42" s="158" t="s">
        <v>3800</v>
      </c>
      <c r="D42" s="158"/>
      <c r="E42" s="158" t="s">
        <v>3800</v>
      </c>
      <c r="F42" s="158" t="s">
        <v>3800</v>
      </c>
      <c r="G42" s="158" t="s">
        <v>3800</v>
      </c>
      <c r="H42" s="158" t="s">
        <v>3800</v>
      </c>
      <c r="I42" s="158" t="s">
        <v>3800</v>
      </c>
      <c r="J42" s="158" t="s">
        <v>3800</v>
      </c>
      <c r="K42" s="158" t="s">
        <v>3800</v>
      </c>
      <c r="L42" s="207" t="s">
        <v>3800</v>
      </c>
    </row>
    <row r="43" spans="1:12">
      <c r="A43" s="111" t="s">
        <v>3800</v>
      </c>
      <c r="B43" s="158" t="s">
        <v>3800</v>
      </c>
      <c r="C43" s="158" t="s">
        <v>3800</v>
      </c>
      <c r="D43" s="158"/>
      <c r="E43" s="158" t="s">
        <v>3800</v>
      </c>
      <c r="F43" s="158" t="s">
        <v>3800</v>
      </c>
      <c r="G43" s="158" t="s">
        <v>3800</v>
      </c>
      <c r="H43" s="158" t="s">
        <v>3800</v>
      </c>
      <c r="I43" s="158" t="s">
        <v>3800</v>
      </c>
      <c r="J43" s="158" t="s">
        <v>3800</v>
      </c>
      <c r="K43" s="158" t="s">
        <v>3800</v>
      </c>
      <c r="L43" s="207" t="s">
        <v>3800</v>
      </c>
    </row>
    <row r="44" spans="1:12">
      <c r="A44" s="111" t="s">
        <v>3800</v>
      </c>
      <c r="B44" s="158" t="s">
        <v>3800</v>
      </c>
      <c r="C44" s="158" t="s">
        <v>3800</v>
      </c>
      <c r="D44" s="158"/>
      <c r="E44" s="158" t="s">
        <v>3800</v>
      </c>
      <c r="F44" s="158" t="s">
        <v>3800</v>
      </c>
      <c r="G44" s="158" t="s">
        <v>3800</v>
      </c>
      <c r="H44" s="158" t="s">
        <v>3800</v>
      </c>
      <c r="I44" s="158" t="s">
        <v>3800</v>
      </c>
      <c r="J44" s="158" t="s">
        <v>3800</v>
      </c>
      <c r="K44" s="158" t="s">
        <v>3800</v>
      </c>
      <c r="L44" s="207" t="s">
        <v>3800</v>
      </c>
    </row>
    <row r="45" spans="1:12">
      <c r="A45" s="111" t="s">
        <v>3800</v>
      </c>
      <c r="B45" s="158" t="s">
        <v>3800</v>
      </c>
      <c r="C45" s="158" t="s">
        <v>3800</v>
      </c>
      <c r="D45" s="158"/>
      <c r="E45" s="158" t="s">
        <v>3800</v>
      </c>
      <c r="F45" s="158" t="s">
        <v>3800</v>
      </c>
      <c r="G45" s="158" t="s">
        <v>3800</v>
      </c>
      <c r="H45" s="158" t="s">
        <v>3800</v>
      </c>
      <c r="I45" s="158" t="s">
        <v>3800</v>
      </c>
      <c r="J45" s="158" t="s">
        <v>3800</v>
      </c>
      <c r="K45" s="158" t="s">
        <v>3800</v>
      </c>
      <c r="L45" s="207" t="s">
        <v>3800</v>
      </c>
    </row>
    <row r="46" spans="1:12">
      <c r="A46" s="111" t="s">
        <v>3800</v>
      </c>
      <c r="B46" s="158" t="s">
        <v>3800</v>
      </c>
      <c r="C46" s="158" t="s">
        <v>3800</v>
      </c>
      <c r="D46" s="158"/>
      <c r="E46" s="158" t="s">
        <v>3800</v>
      </c>
      <c r="F46" s="158" t="s">
        <v>3800</v>
      </c>
      <c r="G46" s="158" t="s">
        <v>3800</v>
      </c>
      <c r="H46" s="158" t="s">
        <v>3800</v>
      </c>
      <c r="I46" s="158" t="s">
        <v>3800</v>
      </c>
      <c r="J46" s="158" t="s">
        <v>3800</v>
      </c>
      <c r="K46" s="158" t="s">
        <v>3800</v>
      </c>
      <c r="L46" s="207" t="s">
        <v>3800</v>
      </c>
    </row>
    <row r="47" spans="1:12">
      <c r="A47" s="148"/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</row>
    <row r="48" spans="1:12">
      <c r="A48" s="113" t="s">
        <v>3800</v>
      </c>
      <c r="B48" s="208" t="s">
        <v>3800</v>
      </c>
      <c r="C48" s="208" t="s">
        <v>3800</v>
      </c>
      <c r="D48" s="213"/>
      <c r="E48" s="208" t="s">
        <v>3800</v>
      </c>
      <c r="F48" s="208" t="s">
        <v>3800</v>
      </c>
      <c r="G48" s="208" t="s">
        <v>3800</v>
      </c>
      <c r="H48" s="208" t="s">
        <v>3800</v>
      </c>
      <c r="I48" s="208" t="s">
        <v>3800</v>
      </c>
      <c r="J48" s="208" t="s">
        <v>3800</v>
      </c>
      <c r="K48" s="208" t="s">
        <v>3800</v>
      </c>
      <c r="L48" s="213" t="s">
        <v>3800</v>
      </c>
    </row>
    <row r="49" spans="1:12">
      <c r="A49" s="111" t="s">
        <v>3800</v>
      </c>
      <c r="B49" s="158" t="s">
        <v>3800</v>
      </c>
      <c r="C49" s="158" t="s">
        <v>3800</v>
      </c>
      <c r="D49" s="207"/>
      <c r="E49" s="158" t="s">
        <v>3800</v>
      </c>
      <c r="F49" s="158" t="s">
        <v>3800</v>
      </c>
      <c r="G49" s="158" t="s">
        <v>3800</v>
      </c>
      <c r="H49" s="158" t="s">
        <v>3800</v>
      </c>
      <c r="I49" s="158" t="s">
        <v>3800</v>
      </c>
      <c r="J49" s="158" t="s">
        <v>3800</v>
      </c>
      <c r="K49" s="158" t="s">
        <v>3800</v>
      </c>
      <c r="L49" s="207" t="s">
        <v>3800</v>
      </c>
    </row>
    <row r="50" spans="1:12">
      <c r="A50" s="111" t="s">
        <v>3800</v>
      </c>
      <c r="B50" s="158" t="s">
        <v>3800</v>
      </c>
      <c r="C50" s="158" t="s">
        <v>3800</v>
      </c>
      <c r="D50" s="207"/>
      <c r="E50" s="158" t="s">
        <v>3800</v>
      </c>
      <c r="F50" s="158" t="s">
        <v>3800</v>
      </c>
      <c r="G50" s="158" t="s">
        <v>3800</v>
      </c>
      <c r="H50" s="158" t="s">
        <v>3800</v>
      </c>
      <c r="I50" s="158" t="s">
        <v>3800</v>
      </c>
      <c r="J50" s="158" t="s">
        <v>3800</v>
      </c>
      <c r="K50" s="158" t="s">
        <v>3800</v>
      </c>
      <c r="L50" s="207" t="s">
        <v>3800</v>
      </c>
    </row>
    <row r="51" spans="1:12">
      <c r="A51" s="111" t="s">
        <v>3800</v>
      </c>
      <c r="B51" s="158" t="s">
        <v>3800</v>
      </c>
      <c r="C51" s="158" t="s">
        <v>3800</v>
      </c>
      <c r="D51" s="158"/>
      <c r="E51" s="158" t="s">
        <v>3800</v>
      </c>
      <c r="F51" s="158" t="s">
        <v>3800</v>
      </c>
      <c r="G51" s="158" t="s">
        <v>3800</v>
      </c>
      <c r="H51" s="158" t="s">
        <v>3800</v>
      </c>
      <c r="I51" s="158" t="s">
        <v>3800</v>
      </c>
      <c r="J51" s="158" t="s">
        <v>3800</v>
      </c>
      <c r="K51" s="158" t="s">
        <v>3800</v>
      </c>
      <c r="L51" s="207" t="s">
        <v>3800</v>
      </c>
    </row>
    <row r="52" spans="1:12">
      <c r="A52" s="111" t="s">
        <v>3800</v>
      </c>
      <c r="B52" s="158" t="s">
        <v>3800</v>
      </c>
      <c r="C52" s="158" t="s">
        <v>3800</v>
      </c>
      <c r="D52" s="158"/>
      <c r="E52" s="158" t="s">
        <v>3800</v>
      </c>
      <c r="F52" s="158" t="s">
        <v>3800</v>
      </c>
      <c r="G52" s="158" t="s">
        <v>3800</v>
      </c>
      <c r="H52" s="158" t="s">
        <v>3800</v>
      </c>
      <c r="I52" s="158" t="s">
        <v>3800</v>
      </c>
      <c r="J52" s="158" t="s">
        <v>3800</v>
      </c>
      <c r="K52" s="158" t="s">
        <v>3800</v>
      </c>
      <c r="L52" s="207" t="s">
        <v>3800</v>
      </c>
    </row>
    <row r="53" spans="1:12">
      <c r="A53" s="111" t="s">
        <v>3800</v>
      </c>
      <c r="B53" s="158" t="s">
        <v>3800</v>
      </c>
      <c r="C53" s="158" t="s">
        <v>3800</v>
      </c>
      <c r="D53" s="158"/>
      <c r="E53" s="158" t="s">
        <v>3800</v>
      </c>
      <c r="F53" s="158" t="s">
        <v>3800</v>
      </c>
      <c r="G53" s="158" t="s">
        <v>3800</v>
      </c>
      <c r="H53" s="158" t="s">
        <v>3800</v>
      </c>
      <c r="I53" s="158" t="s">
        <v>3800</v>
      </c>
      <c r="J53" s="158" t="s">
        <v>3800</v>
      </c>
      <c r="K53" s="158" t="s">
        <v>3800</v>
      </c>
      <c r="L53" s="207" t="s">
        <v>3800</v>
      </c>
    </row>
    <row r="54" spans="1:12">
      <c r="A54" s="148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</row>
    <row r="55" spans="1:12">
      <c r="A55" s="113" t="s">
        <v>3800</v>
      </c>
      <c r="B55" s="208" t="s">
        <v>3800</v>
      </c>
      <c r="C55" s="208" t="s">
        <v>3800</v>
      </c>
      <c r="D55" s="213"/>
      <c r="E55" s="208" t="s">
        <v>3800</v>
      </c>
      <c r="F55" s="208" t="s">
        <v>3800</v>
      </c>
      <c r="G55" s="208" t="s">
        <v>3800</v>
      </c>
      <c r="H55" s="208" t="s">
        <v>3800</v>
      </c>
      <c r="I55" s="208" t="s">
        <v>3800</v>
      </c>
      <c r="J55" s="208" t="s">
        <v>3800</v>
      </c>
      <c r="K55" s="208" t="s">
        <v>3800</v>
      </c>
      <c r="L55" s="213" t="s">
        <v>3800</v>
      </c>
    </row>
    <row r="56" spans="1:12">
      <c r="A56" s="111" t="s">
        <v>3800</v>
      </c>
      <c r="B56" s="158" t="s">
        <v>3800</v>
      </c>
      <c r="C56" s="158" t="s">
        <v>3800</v>
      </c>
      <c r="D56" s="207"/>
      <c r="E56" s="158" t="s">
        <v>3800</v>
      </c>
      <c r="F56" s="158" t="s">
        <v>3800</v>
      </c>
      <c r="G56" s="158" t="s">
        <v>3800</v>
      </c>
      <c r="H56" s="158" t="s">
        <v>3800</v>
      </c>
      <c r="I56" s="158" t="s">
        <v>3800</v>
      </c>
      <c r="J56" s="158" t="s">
        <v>3800</v>
      </c>
      <c r="K56" s="158" t="s">
        <v>3800</v>
      </c>
      <c r="L56" s="207" t="s">
        <v>3800</v>
      </c>
    </row>
    <row r="57" spans="1:12">
      <c r="A57" s="111" t="s">
        <v>3800</v>
      </c>
      <c r="B57" s="158" t="s">
        <v>3800</v>
      </c>
      <c r="C57" s="158" t="s">
        <v>3800</v>
      </c>
      <c r="D57" s="207"/>
      <c r="E57" s="158" t="s">
        <v>3800</v>
      </c>
      <c r="F57" s="158" t="s">
        <v>3800</v>
      </c>
      <c r="G57" s="158" t="s">
        <v>3800</v>
      </c>
      <c r="H57" s="158" t="s">
        <v>3800</v>
      </c>
      <c r="I57" s="158" t="s">
        <v>3800</v>
      </c>
      <c r="J57" s="158" t="s">
        <v>3800</v>
      </c>
      <c r="K57" s="158" t="s">
        <v>3800</v>
      </c>
      <c r="L57" s="207" t="s">
        <v>3800</v>
      </c>
    </row>
    <row r="58" spans="1:12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</row>
    <row r="59" spans="1:12">
      <c r="A59" s="148"/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</row>
    <row r="60" spans="1:12">
      <c r="A60" s="148"/>
      <c r="B60" s="148"/>
      <c r="C60" s="148"/>
      <c r="D60" s="148"/>
      <c r="E60" s="148"/>
      <c r="F60" s="148"/>
      <c r="G60" s="148"/>
      <c r="H60" s="148"/>
      <c r="I60" s="148"/>
      <c r="J60" s="148"/>
      <c r="K60" s="148"/>
      <c r="L60" s="148"/>
    </row>
    <row r="61" spans="1:12">
      <c r="A61" s="148"/>
      <c r="B61" s="148"/>
      <c r="C61" s="148"/>
      <c r="D61" s="148"/>
      <c r="E61" s="148"/>
      <c r="F61" s="148"/>
      <c r="G61" s="148"/>
      <c r="H61" s="148"/>
      <c r="I61" s="148"/>
      <c r="J61" s="148"/>
      <c r="K61" s="148"/>
      <c r="L61" s="148"/>
    </row>
    <row r="62" spans="1:12">
      <c r="A62" s="148"/>
      <c r="B62" s="148"/>
      <c r="C62" s="148"/>
      <c r="D62" s="148"/>
      <c r="E62" s="148"/>
      <c r="F62" s="148"/>
      <c r="G62" s="148"/>
      <c r="H62" s="148"/>
      <c r="I62" s="148"/>
      <c r="J62" s="148"/>
      <c r="K62" s="148"/>
      <c r="L62" s="148"/>
    </row>
    <row r="63" spans="1:12">
      <c r="A63" s="148"/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</row>
    <row r="64" spans="1:12">
      <c r="A64" s="148"/>
      <c r="B64" s="148"/>
      <c r="C64" s="148"/>
      <c r="D64" s="214" t="s">
        <v>418</v>
      </c>
      <c r="E64" s="148"/>
      <c r="F64" s="148"/>
      <c r="G64" s="148"/>
      <c r="H64" s="148"/>
      <c r="I64" s="148"/>
      <c r="J64" s="148"/>
      <c r="K64" s="148"/>
      <c r="L64" s="148"/>
    </row>
    <row r="65" spans="1:12">
      <c r="A65" s="148"/>
      <c r="B65" s="148"/>
      <c r="C65" s="148"/>
      <c r="D65" s="182" t="s">
        <v>3800</v>
      </c>
      <c r="E65" s="148"/>
      <c r="F65" s="148"/>
      <c r="G65" s="148"/>
      <c r="H65" s="148"/>
      <c r="I65" s="148"/>
      <c r="J65" s="148"/>
      <c r="K65" s="148"/>
      <c r="L65" s="148"/>
    </row>
    <row r="66" spans="1:12">
      <c r="A66" s="148"/>
      <c r="B66" s="148"/>
      <c r="C66" s="148"/>
      <c r="D66" s="403" t="s">
        <v>419</v>
      </c>
      <c r="E66" s="148"/>
      <c r="F66" s="148"/>
      <c r="G66" s="148"/>
      <c r="H66" s="148"/>
      <c r="I66" s="148"/>
      <c r="J66" s="148"/>
      <c r="K66" s="148"/>
      <c r="L66" s="148"/>
    </row>
    <row r="67" spans="1:12">
      <c r="A67" s="148"/>
      <c r="B67" s="148"/>
      <c r="C67" s="148"/>
      <c r="D67" s="404"/>
      <c r="E67" s="148"/>
      <c r="F67" s="148"/>
      <c r="G67" s="148"/>
      <c r="H67" s="148"/>
      <c r="I67" s="148"/>
      <c r="J67" s="148"/>
      <c r="K67" s="148"/>
      <c r="L67" s="148"/>
    </row>
    <row r="68" spans="1:12" ht="28.5">
      <c r="A68" s="148"/>
      <c r="B68" s="148"/>
      <c r="C68" s="148"/>
      <c r="D68" s="182" t="s">
        <v>3801</v>
      </c>
      <c r="E68" s="148"/>
      <c r="F68" s="148"/>
      <c r="G68" s="148"/>
      <c r="H68" s="148"/>
      <c r="I68" s="148"/>
      <c r="J68" s="148"/>
      <c r="K68" s="148"/>
      <c r="L68" s="148"/>
    </row>
    <row r="69" spans="1:12">
      <c r="A69" s="148"/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</row>
    <row r="70" spans="1:12">
      <c r="A70" s="148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</row>
    <row r="71" spans="1:12">
      <c r="A71" s="148"/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</row>
    <row r="72" spans="1:12">
      <c r="A72" s="148"/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</row>
    <row r="73" spans="1:12">
      <c r="A73" s="148"/>
      <c r="B73" s="148"/>
      <c r="C73" s="148"/>
      <c r="D73" s="148"/>
      <c r="E73" s="148"/>
      <c r="F73" s="148"/>
      <c r="G73" s="148"/>
      <c r="H73" s="148"/>
      <c r="I73" s="148"/>
      <c r="J73" s="148"/>
      <c r="K73" s="148"/>
      <c r="L73" s="148"/>
    </row>
    <row r="74" spans="1:12">
      <c r="A74" s="148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</row>
    <row r="75" spans="1:12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</row>
    <row r="76" spans="1:12">
      <c r="A76" s="148"/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</row>
    <row r="77" spans="1:12">
      <c r="A77" s="148"/>
      <c r="B77" s="148"/>
      <c r="C77" s="148"/>
      <c r="D77" s="148"/>
      <c r="E77" s="148"/>
      <c r="F77" s="148"/>
      <c r="G77" s="148"/>
      <c r="H77" s="148"/>
      <c r="I77" s="148"/>
      <c r="J77" s="148"/>
      <c r="K77" s="148"/>
      <c r="L77" s="148"/>
    </row>
    <row r="78" spans="1:12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</row>
    <row r="79" spans="1:12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</row>
    <row r="80" spans="1:12">
      <c r="A80" s="148"/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</row>
    <row r="81" spans="1:12">
      <c r="A81" s="148"/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</row>
    <row r="82" spans="1:12">
      <c r="A82" s="148"/>
      <c r="B82" s="148"/>
      <c r="C82" s="148"/>
      <c r="D82" s="148"/>
      <c r="E82" s="148"/>
      <c r="F82" s="148"/>
      <c r="G82" s="148"/>
      <c r="H82" s="148"/>
      <c r="I82" s="148"/>
      <c r="J82" s="148"/>
      <c r="K82" s="148"/>
      <c r="L82" s="148"/>
    </row>
    <row r="83" spans="1:12">
      <c r="A83" s="148"/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</row>
    <row r="84" spans="1:12">
      <c r="A84" s="148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</row>
    <row r="85" spans="1:12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</row>
    <row r="86" spans="1:12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</row>
    <row r="87" spans="1:12">
      <c r="A87" s="148"/>
      <c r="B87" s="148"/>
      <c r="C87" s="148"/>
      <c r="D87" s="148"/>
      <c r="E87" s="148"/>
      <c r="F87" s="148"/>
      <c r="G87" s="148"/>
      <c r="H87" s="148"/>
      <c r="I87" s="148"/>
      <c r="J87" s="148"/>
      <c r="K87" s="148"/>
      <c r="L87" s="148"/>
    </row>
    <row r="88" spans="1:12">
      <c r="A88" s="148"/>
      <c r="B88" s="148"/>
      <c r="C88" s="148"/>
      <c r="D88" s="148"/>
      <c r="E88" s="148"/>
      <c r="F88" s="148"/>
      <c r="G88" s="148"/>
      <c r="H88" s="148"/>
      <c r="I88" s="148"/>
      <c r="J88" s="148"/>
      <c r="K88" s="148"/>
      <c r="L88" s="148"/>
    </row>
    <row r="89" spans="1:12">
      <c r="A89" s="148"/>
      <c r="B89" s="148"/>
      <c r="C89" s="148"/>
      <c r="D89" s="148"/>
      <c r="E89" s="148"/>
      <c r="F89" s="148"/>
      <c r="G89" s="148"/>
      <c r="H89" s="148"/>
      <c r="I89" s="148"/>
      <c r="J89" s="148"/>
      <c r="K89" s="148"/>
      <c r="L89" s="148"/>
    </row>
    <row r="90" spans="1:12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</row>
    <row r="91" spans="1:12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</row>
    <row r="92" spans="1:12">
      <c r="A92" s="148"/>
      <c r="B92" s="148"/>
      <c r="C92" s="148"/>
      <c r="D92" s="148"/>
      <c r="E92" s="148"/>
      <c r="F92" s="148"/>
      <c r="G92" s="148"/>
      <c r="H92" s="148"/>
      <c r="I92" s="148"/>
      <c r="J92" s="148"/>
      <c r="K92" s="148"/>
      <c r="L92" s="148"/>
    </row>
    <row r="93" spans="1:12">
      <c r="A93" s="148"/>
      <c r="B93" s="148"/>
      <c r="C93" s="148"/>
      <c r="D93" s="148"/>
      <c r="E93" s="148"/>
      <c r="F93" s="148"/>
      <c r="G93" s="148"/>
      <c r="H93" s="148"/>
      <c r="I93" s="148"/>
      <c r="J93" s="148"/>
      <c r="K93" s="148"/>
      <c r="L93" s="148"/>
    </row>
    <row r="94" spans="1:12">
      <c r="A94" s="148"/>
      <c r="B94" s="148"/>
      <c r="C94" s="148"/>
      <c r="D94" s="148"/>
      <c r="E94" s="148"/>
      <c r="F94" s="148"/>
      <c r="G94" s="148"/>
      <c r="H94" s="148"/>
      <c r="I94" s="148"/>
      <c r="J94" s="148"/>
      <c r="K94" s="148"/>
      <c r="L94" s="148"/>
    </row>
    <row r="95" spans="1:12">
      <c r="A95" s="148"/>
      <c r="B95" s="148"/>
      <c r="C95" s="148"/>
      <c r="D95" s="148"/>
      <c r="E95" s="148"/>
      <c r="F95" s="148"/>
      <c r="G95" s="148"/>
      <c r="H95" s="148"/>
      <c r="I95" s="148"/>
      <c r="J95" s="148"/>
      <c r="K95" s="148"/>
      <c r="L95" s="148"/>
    </row>
    <row r="96" spans="1:12">
      <c r="A96" s="148"/>
      <c r="B96" s="148"/>
      <c r="C96" s="148"/>
      <c r="D96" s="148"/>
      <c r="E96" s="148"/>
      <c r="F96" s="148"/>
      <c r="G96" s="148"/>
      <c r="H96" s="148"/>
      <c r="I96" s="148"/>
      <c r="J96" s="148"/>
      <c r="K96" s="148"/>
      <c r="L96" s="148"/>
    </row>
    <row r="97" spans="1:12">
      <c r="A97" s="148"/>
      <c r="B97" s="148"/>
      <c r="C97" s="148"/>
      <c r="D97" s="148"/>
      <c r="E97" s="148"/>
      <c r="F97" s="148"/>
      <c r="G97" s="148"/>
      <c r="H97" s="148"/>
      <c r="I97" s="148"/>
      <c r="J97" s="148"/>
      <c r="K97" s="148"/>
      <c r="L97" s="148"/>
    </row>
    <row r="98" spans="1:12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</row>
    <row r="99" spans="1:12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</row>
    <row r="100" spans="1:12">
      <c r="A100" s="148"/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</row>
    <row r="101" spans="1:12">
      <c r="A101" s="148"/>
      <c r="B101" s="148"/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</row>
    <row r="102" spans="1:12">
      <c r="A102" s="148"/>
      <c r="B102" s="148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</row>
  </sheetData>
  <mergeCells count="1">
    <mergeCell ref="D66:D67"/>
  </mergeCells>
  <conditionalFormatting sqref="D23:D24">
    <cfRule type="duplicateValues" dxfId="2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66B0D-5ECC-484F-B994-2233BCF6F112}">
  <dimension ref="A1:CK55"/>
  <sheetViews>
    <sheetView zoomScale="70" zoomScaleNormal="70" workbookViewId="0">
      <selection activeCell="C61" sqref="C61"/>
    </sheetView>
  </sheetViews>
  <sheetFormatPr defaultRowHeight="14.5"/>
  <cols>
    <col min="2" max="2" width="15.1796875" bestFit="1" customWidth="1"/>
    <col min="3" max="3" width="11.1796875" bestFit="1" customWidth="1"/>
    <col min="4" max="4" width="47" bestFit="1" customWidth="1"/>
    <col min="5" max="5" width="38.81640625" customWidth="1"/>
    <col min="6" max="6" width="23.1796875" hidden="1" customWidth="1"/>
    <col min="7" max="7" width="22.81640625" hidden="1" customWidth="1"/>
    <col min="8" max="8" width="12.1796875" bestFit="1" customWidth="1"/>
    <col min="9" max="9" width="16.1796875" bestFit="1" customWidth="1"/>
    <col min="12" max="12" width="17.453125" bestFit="1" customWidth="1"/>
    <col min="14" max="14" width="11.1796875" bestFit="1" customWidth="1"/>
    <col min="16" max="16" width="10.1796875" bestFit="1" customWidth="1"/>
  </cols>
  <sheetData>
    <row r="1" spans="1:89" ht="56.5">
      <c r="A1" s="113" t="s">
        <v>3800</v>
      </c>
      <c r="B1" s="202" t="s">
        <v>21</v>
      </c>
      <c r="C1" s="215" t="s">
        <v>435</v>
      </c>
      <c r="D1" s="216" t="s">
        <v>436</v>
      </c>
      <c r="E1" s="324" t="s">
        <v>77</v>
      </c>
      <c r="F1" s="217" t="s">
        <v>437</v>
      </c>
      <c r="G1" s="218" t="s">
        <v>438</v>
      </c>
      <c r="H1" s="203" t="s">
        <v>4710</v>
      </c>
      <c r="I1" s="203" t="s">
        <v>4709</v>
      </c>
      <c r="J1" s="203" t="s">
        <v>442</v>
      </c>
      <c r="K1" s="203" t="s">
        <v>443</v>
      </c>
      <c r="L1" s="203" t="s">
        <v>14</v>
      </c>
      <c r="M1" s="203" t="s">
        <v>444</v>
      </c>
      <c r="N1" s="202" t="s">
        <v>12</v>
      </c>
      <c r="O1" s="202" t="s">
        <v>447</v>
      </c>
      <c r="P1" s="203" t="s">
        <v>448</v>
      </c>
      <c r="Q1" s="219" t="s">
        <v>248</v>
      </c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  <c r="AX1" s="148"/>
      <c r="AY1" s="148"/>
      <c r="AZ1" s="148"/>
      <c r="BA1" s="148"/>
      <c r="BB1" s="148"/>
      <c r="BC1" s="148"/>
      <c r="BD1" s="148"/>
      <c r="BE1" s="148"/>
      <c r="BF1" s="148"/>
      <c r="BG1" s="148"/>
      <c r="BH1" s="148"/>
      <c r="BI1" s="148"/>
      <c r="BJ1" s="148"/>
      <c r="BK1" s="148"/>
      <c r="BL1" s="148"/>
      <c r="BM1" s="148"/>
      <c r="BN1" s="148"/>
      <c r="BO1" s="148"/>
      <c r="BP1" s="148"/>
      <c r="BQ1" s="148"/>
      <c r="BR1" s="148"/>
      <c r="BS1" s="148"/>
      <c r="BT1" s="148"/>
      <c r="BU1" s="148"/>
      <c r="BV1" s="148"/>
      <c r="BW1" s="148"/>
      <c r="BX1" s="148"/>
      <c r="BY1" s="148"/>
      <c r="BZ1" s="148"/>
      <c r="CA1" s="148"/>
      <c r="CB1" s="148"/>
      <c r="CC1" s="148"/>
      <c r="CD1" s="148"/>
      <c r="CE1" s="148"/>
      <c r="CF1" s="148"/>
      <c r="CG1" s="148"/>
      <c r="CH1" s="148"/>
      <c r="CI1" s="148"/>
      <c r="CJ1" s="148"/>
      <c r="CK1" s="148"/>
    </row>
    <row r="2" spans="1:89">
      <c r="A2" s="148">
        <v>1</v>
      </c>
      <c r="B2" s="231" t="s">
        <v>61</v>
      </c>
      <c r="C2" s="231" t="s">
        <v>11</v>
      </c>
      <c r="D2" s="250" t="s">
        <v>2489</v>
      </c>
      <c r="E2" s="231" t="s">
        <v>205</v>
      </c>
      <c r="F2" s="155" t="s">
        <v>2490</v>
      </c>
      <c r="G2" s="157" t="s">
        <v>2491</v>
      </c>
      <c r="H2" s="281">
        <v>0</v>
      </c>
      <c r="I2" s="249">
        <v>1400</v>
      </c>
      <c r="J2" s="231">
        <v>10</v>
      </c>
      <c r="K2" s="157" t="s">
        <v>3800</v>
      </c>
      <c r="L2" s="299" t="s">
        <v>15</v>
      </c>
      <c r="M2" s="157" t="s">
        <v>3800</v>
      </c>
      <c r="N2" s="285">
        <v>45128</v>
      </c>
      <c r="O2" s="157" t="s">
        <v>3800</v>
      </c>
      <c r="P2" s="236" t="s">
        <v>453</v>
      </c>
      <c r="Q2" s="221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  <c r="BL2" s="148"/>
      <c r="BM2" s="148"/>
      <c r="BN2" s="148"/>
      <c r="BO2" s="148"/>
      <c r="BP2" s="148"/>
      <c r="BQ2" s="148"/>
      <c r="BR2" s="148"/>
      <c r="BS2" s="148"/>
      <c r="BT2" s="148"/>
      <c r="BU2" s="148"/>
      <c r="BV2" s="148"/>
      <c r="BW2" s="148"/>
      <c r="BX2" s="148"/>
      <c r="BY2" s="148"/>
      <c r="BZ2" s="148"/>
      <c r="CA2" s="148"/>
      <c r="CB2" s="148"/>
      <c r="CC2" s="148"/>
      <c r="CD2" s="148"/>
      <c r="CE2" s="148"/>
      <c r="CF2" s="148"/>
      <c r="CG2" s="148"/>
      <c r="CH2" s="148"/>
      <c r="CI2" s="148"/>
      <c r="CJ2" s="148"/>
      <c r="CK2" s="148"/>
    </row>
    <row r="3" spans="1:89">
      <c r="A3" s="148">
        <v>2</v>
      </c>
      <c r="B3" s="231" t="s">
        <v>61</v>
      </c>
      <c r="C3" s="231" t="s">
        <v>11</v>
      </c>
      <c r="D3" s="250" t="s">
        <v>2562</v>
      </c>
      <c r="E3" s="231" t="s">
        <v>205</v>
      </c>
      <c r="F3" s="155" t="s">
        <v>3800</v>
      </c>
      <c r="G3" s="157" t="s">
        <v>3800</v>
      </c>
      <c r="H3" s="281">
        <v>0</v>
      </c>
      <c r="I3" s="249">
        <v>2000</v>
      </c>
      <c r="J3" s="231">
        <v>10</v>
      </c>
      <c r="K3" s="157" t="s">
        <v>3800</v>
      </c>
      <c r="L3" s="299" t="s">
        <v>15</v>
      </c>
      <c r="M3" s="157" t="s">
        <v>3800</v>
      </c>
      <c r="N3" s="285">
        <v>45308</v>
      </c>
      <c r="O3" s="157" t="s">
        <v>3800</v>
      </c>
      <c r="P3" s="231" t="s">
        <v>457</v>
      </c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8"/>
      <c r="CH3" s="148"/>
      <c r="CI3" s="148"/>
      <c r="CJ3" s="148"/>
      <c r="CK3" s="148"/>
    </row>
    <row r="4" spans="1:89">
      <c r="A4" s="148">
        <v>3</v>
      </c>
      <c r="B4" s="258" t="s">
        <v>59</v>
      </c>
      <c r="C4" s="231" t="s">
        <v>11</v>
      </c>
      <c r="D4" s="250" t="s">
        <v>2572</v>
      </c>
      <c r="E4" s="231" t="s">
        <v>4593</v>
      </c>
      <c r="F4" s="155" t="s">
        <v>3800</v>
      </c>
      <c r="G4" s="157" t="s">
        <v>3800</v>
      </c>
      <c r="H4" s="281">
        <v>0</v>
      </c>
      <c r="I4" s="249">
        <v>600</v>
      </c>
      <c r="J4" s="231">
        <v>10</v>
      </c>
      <c r="K4" s="157" t="s">
        <v>3800</v>
      </c>
      <c r="L4" s="299" t="s">
        <v>15</v>
      </c>
      <c r="M4" s="157" t="s">
        <v>3800</v>
      </c>
      <c r="N4" s="285">
        <v>45443</v>
      </c>
      <c r="O4" s="157" t="s">
        <v>3800</v>
      </c>
      <c r="P4" s="231" t="s">
        <v>453</v>
      </c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</row>
    <row r="5" spans="1:89">
      <c r="A5" s="148">
        <v>4</v>
      </c>
      <c r="B5" s="231" t="s">
        <v>61</v>
      </c>
      <c r="C5" s="231" t="s">
        <v>11</v>
      </c>
      <c r="D5" s="250" t="s">
        <v>2695</v>
      </c>
      <c r="E5" s="231" t="s">
        <v>205</v>
      </c>
      <c r="F5" s="155" t="s">
        <v>3800</v>
      </c>
      <c r="G5" s="157" t="s">
        <v>3800</v>
      </c>
      <c r="H5" s="281">
        <v>0</v>
      </c>
      <c r="I5" s="249">
        <v>300</v>
      </c>
      <c r="J5" s="231">
        <v>10</v>
      </c>
      <c r="K5" s="157" t="s">
        <v>3800</v>
      </c>
      <c r="L5" s="299" t="s">
        <v>15</v>
      </c>
      <c r="M5" s="157" t="s">
        <v>3800</v>
      </c>
      <c r="N5" s="285">
        <v>45267</v>
      </c>
      <c r="O5" s="157" t="s">
        <v>3800</v>
      </c>
      <c r="P5" s="231" t="s">
        <v>453</v>
      </c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</row>
    <row r="6" spans="1:89">
      <c r="A6" s="148">
        <v>5</v>
      </c>
      <c r="B6" s="231" t="s">
        <v>63</v>
      </c>
      <c r="C6" s="231" t="s">
        <v>11</v>
      </c>
      <c r="D6" s="250" t="s">
        <v>2700</v>
      </c>
      <c r="E6" s="231" t="s">
        <v>4634</v>
      </c>
      <c r="F6" s="155" t="s">
        <v>3800</v>
      </c>
      <c r="G6" s="157" t="s">
        <v>3800</v>
      </c>
      <c r="H6" s="281">
        <v>0</v>
      </c>
      <c r="I6" s="249">
        <v>2700</v>
      </c>
      <c r="J6" s="231">
        <v>10</v>
      </c>
      <c r="K6" s="157" t="s">
        <v>3800</v>
      </c>
      <c r="L6" s="299" t="s">
        <v>15</v>
      </c>
      <c r="M6" s="157" t="s">
        <v>3800</v>
      </c>
      <c r="N6" s="285">
        <v>45237</v>
      </c>
      <c r="O6" s="157" t="s">
        <v>3800</v>
      </c>
      <c r="P6" s="231" t="s">
        <v>453</v>
      </c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</row>
    <row r="7" spans="1:89">
      <c r="A7" s="148">
        <v>6</v>
      </c>
      <c r="B7" s="258" t="s">
        <v>59</v>
      </c>
      <c r="C7" s="231" t="s">
        <v>11</v>
      </c>
      <c r="D7" s="250" t="s">
        <v>2727</v>
      </c>
      <c r="E7" s="231" t="s">
        <v>136</v>
      </c>
      <c r="F7" s="155" t="s">
        <v>3800</v>
      </c>
      <c r="G7" s="157" t="s">
        <v>3800</v>
      </c>
      <c r="H7" s="281">
        <v>70</v>
      </c>
      <c r="I7" s="249">
        <v>0</v>
      </c>
      <c r="J7" s="231">
        <v>10</v>
      </c>
      <c r="K7" s="157" t="s">
        <v>3800</v>
      </c>
      <c r="L7" s="299" t="s">
        <v>15</v>
      </c>
      <c r="M7" s="157" t="s">
        <v>3800</v>
      </c>
      <c r="N7" s="285">
        <v>45253</v>
      </c>
      <c r="O7" s="157" t="s">
        <v>3800</v>
      </c>
      <c r="P7" s="231" t="s">
        <v>453</v>
      </c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</row>
    <row r="8" spans="1:89">
      <c r="A8" s="148">
        <v>7</v>
      </c>
      <c r="B8" s="231" t="s">
        <v>61</v>
      </c>
      <c r="C8" s="231" t="s">
        <v>11</v>
      </c>
      <c r="D8" s="250" t="s">
        <v>2730</v>
      </c>
      <c r="E8" s="231" t="s">
        <v>205</v>
      </c>
      <c r="F8" s="155" t="s">
        <v>3800</v>
      </c>
      <c r="G8" s="157" t="s">
        <v>3800</v>
      </c>
      <c r="H8" s="281">
        <v>0</v>
      </c>
      <c r="I8" s="249">
        <v>300</v>
      </c>
      <c r="J8" s="231">
        <v>10</v>
      </c>
      <c r="K8" s="157" t="s">
        <v>3800</v>
      </c>
      <c r="L8" s="231" t="s">
        <v>15</v>
      </c>
      <c r="M8" s="157" t="s">
        <v>3800</v>
      </c>
      <c r="N8" s="285">
        <v>45254</v>
      </c>
      <c r="O8" s="157" t="s">
        <v>3800</v>
      </c>
      <c r="P8" s="231" t="s">
        <v>453</v>
      </c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/>
      <c r="CH8" s="148"/>
      <c r="CI8" s="148"/>
      <c r="CJ8" s="148"/>
      <c r="CK8" s="148"/>
    </row>
    <row r="9" spans="1:89">
      <c r="A9" s="148">
        <v>8</v>
      </c>
      <c r="B9" s="242" t="s">
        <v>61</v>
      </c>
      <c r="C9" s="242" t="s">
        <v>11</v>
      </c>
      <c r="D9" s="250" t="s">
        <v>2752</v>
      </c>
      <c r="E9" s="231" t="s">
        <v>4633</v>
      </c>
      <c r="F9" s="155" t="s">
        <v>3800</v>
      </c>
      <c r="G9" s="157" t="s">
        <v>3800</v>
      </c>
      <c r="H9" s="281">
        <v>0</v>
      </c>
      <c r="I9" s="249">
        <v>400</v>
      </c>
      <c r="J9" s="231">
        <v>10</v>
      </c>
      <c r="K9" s="157" t="s">
        <v>3800</v>
      </c>
      <c r="L9" s="299" t="s">
        <v>15</v>
      </c>
      <c r="M9" s="157" t="s">
        <v>3800</v>
      </c>
      <c r="N9" s="285">
        <v>45069</v>
      </c>
      <c r="O9" s="157" t="s">
        <v>3800</v>
      </c>
      <c r="P9" s="231" t="s">
        <v>453</v>
      </c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48"/>
      <c r="CH9" s="148"/>
      <c r="CI9" s="148"/>
      <c r="CJ9" s="148"/>
      <c r="CK9" s="148"/>
    </row>
    <row r="10" spans="1:89">
      <c r="A10" s="148">
        <v>9</v>
      </c>
      <c r="B10" s="242" t="s">
        <v>61</v>
      </c>
      <c r="C10" s="242" t="s">
        <v>11</v>
      </c>
      <c r="D10" s="250" t="s">
        <v>2753</v>
      </c>
      <c r="E10" s="231" t="s">
        <v>205</v>
      </c>
      <c r="F10" s="155" t="s">
        <v>3800</v>
      </c>
      <c r="G10" s="157" t="s">
        <v>3800</v>
      </c>
      <c r="H10" s="281">
        <v>0</v>
      </c>
      <c r="I10" s="249">
        <v>4800</v>
      </c>
      <c r="J10" s="231">
        <v>20</v>
      </c>
      <c r="K10" s="157" t="s">
        <v>3800</v>
      </c>
      <c r="L10" s="299" t="s">
        <v>15</v>
      </c>
      <c r="M10" s="157" t="s">
        <v>3800</v>
      </c>
      <c r="N10" s="285">
        <v>45076</v>
      </c>
      <c r="O10" s="157" t="s">
        <v>3800</v>
      </c>
      <c r="P10" s="231" t="s">
        <v>453</v>
      </c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  <c r="CG10" s="148"/>
      <c r="CH10" s="148"/>
      <c r="CI10" s="148"/>
      <c r="CJ10" s="148"/>
      <c r="CK10" s="148"/>
    </row>
    <row r="11" spans="1:89">
      <c r="A11" s="148">
        <v>10</v>
      </c>
      <c r="B11" s="242" t="s">
        <v>61</v>
      </c>
      <c r="C11" s="242" t="s">
        <v>11</v>
      </c>
      <c r="D11" s="250" t="s">
        <v>2754</v>
      </c>
      <c r="E11" s="231" t="s">
        <v>205</v>
      </c>
      <c r="F11" s="155" t="s">
        <v>3800</v>
      </c>
      <c r="G11" s="157" t="s">
        <v>3800</v>
      </c>
      <c r="H11" s="281">
        <v>0</v>
      </c>
      <c r="I11" s="249">
        <v>5600</v>
      </c>
      <c r="J11" s="231">
        <v>20</v>
      </c>
      <c r="K11" s="157" t="s">
        <v>3800</v>
      </c>
      <c r="L11" s="299" t="s">
        <v>15</v>
      </c>
      <c r="M11" s="157" t="s">
        <v>3800</v>
      </c>
      <c r="N11" s="285">
        <v>45070</v>
      </c>
      <c r="O11" s="157" t="s">
        <v>3800</v>
      </c>
      <c r="P11" s="231" t="s">
        <v>453</v>
      </c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</row>
    <row r="12" spans="1:89">
      <c r="A12" s="148">
        <v>11</v>
      </c>
      <c r="B12" s="242" t="s">
        <v>61</v>
      </c>
      <c r="C12" s="242" t="s">
        <v>11</v>
      </c>
      <c r="D12" s="250" t="s">
        <v>2755</v>
      </c>
      <c r="E12" s="231" t="s">
        <v>205</v>
      </c>
      <c r="F12" s="155" t="s">
        <v>3800</v>
      </c>
      <c r="G12" s="157" t="s">
        <v>3800</v>
      </c>
      <c r="H12" s="281">
        <v>0</v>
      </c>
      <c r="I12" s="249">
        <v>4100</v>
      </c>
      <c r="J12" s="231" t="s">
        <v>456</v>
      </c>
      <c r="K12" s="157" t="s">
        <v>3800</v>
      </c>
      <c r="L12" s="239" t="s">
        <v>456</v>
      </c>
      <c r="M12" s="157" t="s">
        <v>3800</v>
      </c>
      <c r="N12" s="285">
        <v>45056</v>
      </c>
      <c r="O12" s="157" t="s">
        <v>3800</v>
      </c>
      <c r="P12" s="231" t="s">
        <v>453</v>
      </c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</row>
    <row r="13" spans="1:89">
      <c r="A13" s="148">
        <v>12</v>
      </c>
      <c r="B13" s="242" t="s">
        <v>61</v>
      </c>
      <c r="C13" s="242" t="s">
        <v>11</v>
      </c>
      <c r="D13" s="250" t="s">
        <v>2756</v>
      </c>
      <c r="E13" s="231" t="s">
        <v>205</v>
      </c>
      <c r="F13" s="155" t="s">
        <v>3800</v>
      </c>
      <c r="G13" s="157" t="s">
        <v>3800</v>
      </c>
      <c r="H13" s="281">
        <v>0</v>
      </c>
      <c r="I13" s="249">
        <v>450</v>
      </c>
      <c r="J13" s="231">
        <v>10</v>
      </c>
      <c r="K13" s="157" t="s">
        <v>3800</v>
      </c>
      <c r="L13" s="299" t="s">
        <v>15</v>
      </c>
      <c r="M13" s="157" t="s">
        <v>3800</v>
      </c>
      <c r="N13" s="285">
        <v>45107</v>
      </c>
      <c r="O13" s="157" t="s">
        <v>3800</v>
      </c>
      <c r="P13" s="231" t="s">
        <v>453</v>
      </c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</row>
    <row r="14" spans="1:89">
      <c r="A14" s="148">
        <v>13</v>
      </c>
      <c r="B14" s="242" t="s">
        <v>61</v>
      </c>
      <c r="C14" s="242" t="s">
        <v>11</v>
      </c>
      <c r="D14" s="250" t="s">
        <v>2757</v>
      </c>
      <c r="E14" s="231" t="s">
        <v>205</v>
      </c>
      <c r="F14" s="155" t="s">
        <v>3800</v>
      </c>
      <c r="G14" s="157" t="s">
        <v>3800</v>
      </c>
      <c r="H14" s="281">
        <v>0</v>
      </c>
      <c r="I14" s="249">
        <v>900</v>
      </c>
      <c r="J14" s="231">
        <v>10</v>
      </c>
      <c r="K14" s="157" t="s">
        <v>3800</v>
      </c>
      <c r="L14" s="299" t="s">
        <v>15</v>
      </c>
      <c r="M14" s="157" t="s">
        <v>3800</v>
      </c>
      <c r="N14" s="285">
        <v>45083</v>
      </c>
      <c r="O14" s="157" t="s">
        <v>3800</v>
      </c>
      <c r="P14" s="231" t="s">
        <v>453</v>
      </c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</row>
    <row r="15" spans="1:89">
      <c r="A15" s="148">
        <v>14</v>
      </c>
      <c r="B15" s="242" t="s">
        <v>61</v>
      </c>
      <c r="C15" s="242" t="s">
        <v>11</v>
      </c>
      <c r="D15" s="250" t="s">
        <v>2758</v>
      </c>
      <c r="E15" s="231" t="s">
        <v>205</v>
      </c>
      <c r="F15" s="155" t="s">
        <v>3800</v>
      </c>
      <c r="G15" s="157" t="s">
        <v>3800</v>
      </c>
      <c r="H15" s="281">
        <v>0</v>
      </c>
      <c r="I15" s="249">
        <v>7500</v>
      </c>
      <c r="J15" s="231">
        <v>20</v>
      </c>
      <c r="K15" s="157" t="s">
        <v>3800</v>
      </c>
      <c r="L15" s="299" t="s">
        <v>15</v>
      </c>
      <c r="M15" s="157" t="s">
        <v>3800</v>
      </c>
      <c r="N15" s="285">
        <v>45057</v>
      </c>
      <c r="O15" s="157" t="s">
        <v>3800</v>
      </c>
      <c r="P15" s="231" t="s">
        <v>453</v>
      </c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48"/>
      <c r="CI15" s="148"/>
      <c r="CJ15" s="148"/>
      <c r="CK15" s="148"/>
    </row>
    <row r="16" spans="1:89">
      <c r="A16" s="148">
        <v>15</v>
      </c>
      <c r="B16" s="242" t="s">
        <v>61</v>
      </c>
      <c r="C16" s="242" t="s">
        <v>11</v>
      </c>
      <c r="D16" s="250" t="s">
        <v>2759</v>
      </c>
      <c r="E16" s="231" t="s">
        <v>205</v>
      </c>
      <c r="F16" s="155" t="s">
        <v>3800</v>
      </c>
      <c r="G16" s="157" t="s">
        <v>3800</v>
      </c>
      <c r="H16" s="281">
        <v>0</v>
      </c>
      <c r="I16" s="249">
        <v>13000</v>
      </c>
      <c r="J16" s="231" t="s">
        <v>456</v>
      </c>
      <c r="K16" s="157" t="s">
        <v>3800</v>
      </c>
      <c r="L16" s="239" t="s">
        <v>456</v>
      </c>
      <c r="M16" s="157" t="s">
        <v>3800</v>
      </c>
      <c r="N16" s="285">
        <v>45036</v>
      </c>
      <c r="O16" s="157" t="s">
        <v>3800</v>
      </c>
      <c r="P16" s="231" t="s">
        <v>453</v>
      </c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48"/>
      <c r="CI16" s="148"/>
      <c r="CJ16" s="148"/>
      <c r="CK16" s="148"/>
    </row>
    <row r="17" spans="1:89">
      <c r="A17" s="148">
        <v>16</v>
      </c>
      <c r="B17" s="258" t="s">
        <v>59</v>
      </c>
      <c r="C17" s="239" t="s">
        <v>11</v>
      </c>
      <c r="D17" s="250" t="s">
        <v>2768</v>
      </c>
      <c r="E17" s="231" t="s">
        <v>136</v>
      </c>
      <c r="F17" s="155" t="s">
        <v>3800</v>
      </c>
      <c r="G17" s="157" t="s">
        <v>3800</v>
      </c>
      <c r="H17" s="281">
        <v>0</v>
      </c>
      <c r="I17" s="249">
        <v>500</v>
      </c>
      <c r="J17" s="231">
        <v>10</v>
      </c>
      <c r="K17" s="157" t="s">
        <v>3800</v>
      </c>
      <c r="L17" s="299" t="s">
        <v>15</v>
      </c>
      <c r="M17" s="157" t="s">
        <v>3800</v>
      </c>
      <c r="N17" s="285">
        <v>45330</v>
      </c>
      <c r="O17" s="157" t="s">
        <v>3800</v>
      </c>
      <c r="P17" s="231" t="s">
        <v>453</v>
      </c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  <c r="BY17" s="148"/>
      <c r="BZ17" s="148"/>
      <c r="CA17" s="148"/>
      <c r="CB17" s="148"/>
      <c r="CC17" s="148"/>
      <c r="CD17" s="148"/>
      <c r="CE17" s="148"/>
      <c r="CF17" s="148"/>
      <c r="CG17" s="148"/>
      <c r="CH17" s="148"/>
      <c r="CI17" s="148"/>
      <c r="CJ17" s="148"/>
      <c r="CK17" s="148"/>
    </row>
    <row r="18" spans="1:89">
      <c r="A18" s="148">
        <v>17</v>
      </c>
      <c r="B18" s="258" t="s">
        <v>59</v>
      </c>
      <c r="C18" s="239" t="s">
        <v>11</v>
      </c>
      <c r="D18" s="250" t="s">
        <v>2864</v>
      </c>
      <c r="E18" s="231" t="s">
        <v>136</v>
      </c>
      <c r="F18" s="155" t="s">
        <v>3800</v>
      </c>
      <c r="G18" s="157" t="s">
        <v>3800</v>
      </c>
      <c r="H18" s="281">
        <v>0</v>
      </c>
      <c r="I18" s="249">
        <v>0</v>
      </c>
      <c r="J18" s="231">
        <v>10</v>
      </c>
      <c r="K18" s="157" t="s">
        <v>3800</v>
      </c>
      <c r="L18" s="299" t="s">
        <v>15</v>
      </c>
      <c r="M18" s="157" t="s">
        <v>3800</v>
      </c>
      <c r="N18" s="285">
        <v>45334</v>
      </c>
      <c r="O18" s="157" t="s">
        <v>3800</v>
      </c>
      <c r="P18" s="231" t="s">
        <v>453</v>
      </c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</row>
    <row r="19" spans="1:89">
      <c r="A19" s="148">
        <v>18</v>
      </c>
      <c r="B19" s="258" t="s">
        <v>59</v>
      </c>
      <c r="C19" s="231" t="s">
        <v>11</v>
      </c>
      <c r="D19" s="250" t="s">
        <v>2971</v>
      </c>
      <c r="E19" s="231" t="s">
        <v>2972</v>
      </c>
      <c r="F19" s="155" t="s">
        <v>3800</v>
      </c>
      <c r="G19" s="157" t="s">
        <v>3800</v>
      </c>
      <c r="H19" s="281">
        <v>0</v>
      </c>
      <c r="I19" s="249">
        <v>1000</v>
      </c>
      <c r="J19" s="231">
        <v>20</v>
      </c>
      <c r="K19" s="156" t="s">
        <v>3800</v>
      </c>
      <c r="L19" s="299" t="s">
        <v>15</v>
      </c>
      <c r="M19" s="156" t="s">
        <v>3800</v>
      </c>
      <c r="N19" s="285">
        <v>45406</v>
      </c>
      <c r="O19" s="156" t="s">
        <v>3800</v>
      </c>
      <c r="P19" s="231" t="s">
        <v>453</v>
      </c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</row>
    <row r="20" spans="1:89">
      <c r="A20" s="148">
        <v>19</v>
      </c>
      <c r="B20" s="258" t="s">
        <v>55</v>
      </c>
      <c r="C20" s="243" t="s">
        <v>10</v>
      </c>
      <c r="D20" s="250" t="s">
        <v>3008</v>
      </c>
      <c r="E20" s="231" t="s">
        <v>2972</v>
      </c>
      <c r="F20" s="155" t="s">
        <v>3800</v>
      </c>
      <c r="G20" s="157" t="s">
        <v>3800</v>
      </c>
      <c r="H20" s="281">
        <v>0</v>
      </c>
      <c r="I20" s="249">
        <v>300</v>
      </c>
      <c r="J20" s="231">
        <v>20</v>
      </c>
      <c r="K20" s="157" t="s">
        <v>3800</v>
      </c>
      <c r="L20" s="231" t="s">
        <v>16</v>
      </c>
      <c r="M20" s="157" t="s">
        <v>3800</v>
      </c>
      <c r="N20" s="285">
        <v>45412</v>
      </c>
      <c r="O20" s="157" t="s">
        <v>3800</v>
      </c>
      <c r="P20" s="241" t="s">
        <v>453</v>
      </c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48"/>
    </row>
    <row r="21" spans="1:89">
      <c r="A21" s="148">
        <v>20</v>
      </c>
      <c r="B21" s="242" t="s">
        <v>61</v>
      </c>
      <c r="C21" s="243" t="s">
        <v>11</v>
      </c>
      <c r="D21" s="250" t="s">
        <v>3030</v>
      </c>
      <c r="E21" s="231" t="s">
        <v>205</v>
      </c>
      <c r="F21" s="220" t="s">
        <v>3800</v>
      </c>
      <c r="G21" s="155" t="s">
        <v>3800</v>
      </c>
      <c r="H21" s="281">
        <v>0</v>
      </c>
      <c r="I21" s="249">
        <v>350</v>
      </c>
      <c r="J21" s="231">
        <v>20</v>
      </c>
      <c r="K21" s="157" t="s">
        <v>3800</v>
      </c>
      <c r="L21" s="299" t="s">
        <v>15</v>
      </c>
      <c r="M21" s="157" t="s">
        <v>3800</v>
      </c>
      <c r="N21" s="285">
        <v>45457</v>
      </c>
      <c r="O21" s="157" t="s">
        <v>3800</v>
      </c>
      <c r="P21" s="241" t="s">
        <v>453</v>
      </c>
      <c r="Q21" s="148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  <c r="BI21" s="148"/>
      <c r="BJ21" s="148"/>
      <c r="BK21" s="148"/>
      <c r="BL21" s="148"/>
      <c r="BM21" s="148"/>
      <c r="BN21" s="148"/>
      <c r="BO21" s="148"/>
      <c r="BP21" s="148"/>
      <c r="BQ21" s="148"/>
      <c r="BR21" s="14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8"/>
      <c r="CD21" s="148"/>
      <c r="CE21" s="148"/>
      <c r="CF21" s="148"/>
      <c r="CG21" s="148"/>
      <c r="CH21" s="148"/>
      <c r="CI21" s="148"/>
      <c r="CJ21" s="148"/>
      <c r="CK21" s="148"/>
    </row>
    <row r="22" spans="1:89">
      <c r="A22" s="148">
        <v>21</v>
      </c>
      <c r="B22" s="242" t="s">
        <v>61</v>
      </c>
      <c r="C22" s="243" t="s">
        <v>11</v>
      </c>
      <c r="D22" s="250" t="s">
        <v>3031</v>
      </c>
      <c r="E22" s="231" t="s">
        <v>205</v>
      </c>
      <c r="F22" s="220" t="s">
        <v>3800</v>
      </c>
      <c r="G22" s="155" t="s">
        <v>3800</v>
      </c>
      <c r="H22" s="281">
        <v>0</v>
      </c>
      <c r="I22" s="249">
        <v>500</v>
      </c>
      <c r="J22" s="231">
        <v>20</v>
      </c>
      <c r="K22" s="157" t="s">
        <v>3800</v>
      </c>
      <c r="L22" s="299" t="s">
        <v>15</v>
      </c>
      <c r="M22" s="157" t="s">
        <v>3800</v>
      </c>
      <c r="N22" s="285">
        <v>45457</v>
      </c>
      <c r="O22" s="157" t="s">
        <v>3800</v>
      </c>
      <c r="P22" s="241" t="s">
        <v>453</v>
      </c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  <c r="BI22" s="148"/>
      <c r="BJ22" s="148"/>
      <c r="BK22" s="148"/>
      <c r="BL22" s="148"/>
      <c r="BM22" s="148"/>
      <c r="BN22" s="148"/>
      <c r="BO22" s="148"/>
      <c r="BP22" s="148"/>
      <c r="BQ22" s="148"/>
      <c r="BR22" s="148"/>
      <c r="BS22" s="148"/>
      <c r="BT22" s="148"/>
      <c r="BU22" s="148"/>
      <c r="BV22" s="148"/>
      <c r="BW22" s="148"/>
      <c r="BX22" s="148"/>
      <c r="BY22" s="148"/>
      <c r="BZ22" s="148"/>
      <c r="CA22" s="148"/>
      <c r="CB22" s="148"/>
      <c r="CC22" s="148"/>
      <c r="CD22" s="148"/>
      <c r="CE22" s="148"/>
      <c r="CF22" s="148"/>
      <c r="CG22" s="148"/>
      <c r="CH22" s="148"/>
      <c r="CI22" s="148"/>
      <c r="CJ22" s="148"/>
      <c r="CK22" s="148"/>
    </row>
    <row r="23" spans="1:89">
      <c r="A23" s="148">
        <v>22</v>
      </c>
      <c r="B23" s="258" t="s">
        <v>59</v>
      </c>
      <c r="C23" s="243" t="s">
        <v>11</v>
      </c>
      <c r="D23" s="250" t="s">
        <v>4711</v>
      </c>
      <c r="E23" s="231" t="s">
        <v>136</v>
      </c>
      <c r="F23" s="220" t="s">
        <v>3800</v>
      </c>
      <c r="G23" s="155" t="s">
        <v>3800</v>
      </c>
      <c r="H23" s="281">
        <v>0</v>
      </c>
      <c r="I23" s="249">
        <v>350</v>
      </c>
      <c r="J23" s="231">
        <v>20</v>
      </c>
      <c r="K23" s="157" t="s">
        <v>3800</v>
      </c>
      <c r="L23" s="299" t="s">
        <v>15</v>
      </c>
      <c r="M23" s="157" t="s">
        <v>3800</v>
      </c>
      <c r="N23" s="285">
        <v>45415</v>
      </c>
      <c r="O23" s="157" t="s">
        <v>3800</v>
      </c>
      <c r="P23" s="241" t="s">
        <v>453</v>
      </c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/>
      <c r="BQ23" s="148"/>
      <c r="BR23" s="148"/>
      <c r="BS23" s="148"/>
      <c r="BT23" s="148"/>
      <c r="BU23" s="148"/>
      <c r="BV23" s="148"/>
      <c r="BW23" s="148"/>
      <c r="BX23" s="148"/>
      <c r="BY23" s="148"/>
      <c r="BZ23" s="148"/>
      <c r="CA23" s="148"/>
      <c r="CB23" s="148"/>
      <c r="CC23" s="148"/>
      <c r="CD23" s="148"/>
      <c r="CE23" s="148"/>
      <c r="CF23" s="148"/>
      <c r="CG23" s="148"/>
      <c r="CH23" s="148"/>
      <c r="CI23" s="148"/>
      <c r="CJ23" s="148"/>
      <c r="CK23" s="148"/>
    </row>
    <row r="24" spans="1:89">
      <c r="A24" s="148">
        <v>23</v>
      </c>
      <c r="B24" s="231" t="s">
        <v>59</v>
      </c>
      <c r="C24" s="231" t="s">
        <v>11</v>
      </c>
      <c r="D24" s="237" t="s">
        <v>3131</v>
      </c>
      <c r="E24" s="231" t="s">
        <v>136</v>
      </c>
      <c r="F24" s="220" t="s">
        <v>3800</v>
      </c>
      <c r="G24" s="111" t="s">
        <v>3800</v>
      </c>
      <c r="H24" s="281">
        <v>0</v>
      </c>
      <c r="I24" s="249">
        <v>700</v>
      </c>
      <c r="J24" s="231">
        <v>10</v>
      </c>
      <c r="K24" s="158" t="s">
        <v>3800</v>
      </c>
      <c r="L24" s="299" t="s">
        <v>15</v>
      </c>
      <c r="M24" s="158" t="s">
        <v>3800</v>
      </c>
      <c r="N24" s="285">
        <v>45510</v>
      </c>
      <c r="O24" s="158" t="s">
        <v>3800</v>
      </c>
      <c r="P24" s="241" t="s">
        <v>453</v>
      </c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</row>
    <row r="25" spans="1:89">
      <c r="A25" s="148">
        <v>24</v>
      </c>
      <c r="B25" s="231" t="s">
        <v>61</v>
      </c>
      <c r="C25" s="231" t="s">
        <v>11</v>
      </c>
      <c r="D25" s="237" t="s">
        <v>3164</v>
      </c>
      <c r="E25" s="231" t="s">
        <v>205</v>
      </c>
      <c r="F25" s="222" t="s">
        <v>3800</v>
      </c>
      <c r="G25" s="148"/>
      <c r="H25" s="281">
        <v>0</v>
      </c>
      <c r="I25" s="249">
        <v>500</v>
      </c>
      <c r="J25" s="231">
        <v>10</v>
      </c>
      <c r="K25" s="157"/>
      <c r="L25" s="299" t="s">
        <v>15</v>
      </c>
      <c r="M25" s="148"/>
      <c r="N25" s="285">
        <v>45524</v>
      </c>
      <c r="O25" s="148"/>
      <c r="P25" s="241" t="s">
        <v>453</v>
      </c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</row>
    <row r="26" spans="1:89">
      <c r="A26" s="148">
        <v>25</v>
      </c>
      <c r="B26" s="231" t="s">
        <v>61</v>
      </c>
      <c r="C26" s="231" t="s">
        <v>11</v>
      </c>
      <c r="D26" s="237" t="s">
        <v>3185</v>
      </c>
      <c r="E26" s="231" t="s">
        <v>205</v>
      </c>
      <c r="F26" s="222" t="s">
        <v>3800</v>
      </c>
      <c r="G26" s="148"/>
      <c r="H26" s="281">
        <v>0</v>
      </c>
      <c r="I26" s="249">
        <v>600</v>
      </c>
      <c r="J26" s="231">
        <v>10</v>
      </c>
      <c r="K26" s="157"/>
      <c r="L26" s="299" t="s">
        <v>15</v>
      </c>
      <c r="M26" s="148"/>
      <c r="N26" s="285">
        <v>45531</v>
      </c>
      <c r="O26" s="148"/>
      <c r="P26" s="241" t="s">
        <v>453</v>
      </c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</row>
    <row r="27" spans="1:89">
      <c r="A27" s="148">
        <v>26</v>
      </c>
      <c r="B27" s="231" t="s">
        <v>59</v>
      </c>
      <c r="C27" s="231" t="s">
        <v>11</v>
      </c>
      <c r="D27" s="237" t="s">
        <v>3271</v>
      </c>
      <c r="E27" s="231" t="s">
        <v>136</v>
      </c>
      <c r="F27" s="222" t="s">
        <v>3800</v>
      </c>
      <c r="G27" s="148"/>
      <c r="H27" s="281">
        <v>0</v>
      </c>
      <c r="I27" s="249">
        <v>700</v>
      </c>
      <c r="J27" s="231">
        <v>10</v>
      </c>
      <c r="K27" s="157"/>
      <c r="L27" s="299" t="s">
        <v>15</v>
      </c>
      <c r="M27" s="148"/>
      <c r="N27" s="285">
        <v>45579</v>
      </c>
      <c r="O27" s="148"/>
      <c r="P27" s="241" t="s">
        <v>453</v>
      </c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48"/>
      <c r="BR27" s="148"/>
      <c r="BS27" s="148"/>
      <c r="BT27" s="148"/>
      <c r="BU27" s="148"/>
      <c r="BV27" s="148"/>
      <c r="BW27" s="148"/>
      <c r="BX27" s="148"/>
      <c r="BY27" s="148"/>
      <c r="BZ27" s="148"/>
      <c r="CA27" s="148"/>
      <c r="CB27" s="148"/>
      <c r="CC27" s="148"/>
      <c r="CD27" s="148"/>
      <c r="CE27" s="148"/>
      <c r="CF27" s="148"/>
      <c r="CG27" s="148"/>
      <c r="CH27" s="148"/>
      <c r="CI27" s="148"/>
      <c r="CJ27" s="148"/>
      <c r="CK27" s="148"/>
    </row>
    <row r="28" spans="1:89">
      <c r="A28" s="148">
        <v>27</v>
      </c>
      <c r="B28" s="231" t="s">
        <v>59</v>
      </c>
      <c r="C28" s="231" t="s">
        <v>11</v>
      </c>
      <c r="D28" s="237" t="s">
        <v>3289</v>
      </c>
      <c r="E28" s="231" t="s">
        <v>136</v>
      </c>
      <c r="F28" s="222" t="s">
        <v>3800</v>
      </c>
      <c r="G28" s="148"/>
      <c r="H28" s="281">
        <v>0</v>
      </c>
      <c r="I28" s="249">
        <v>650</v>
      </c>
      <c r="J28" s="231" t="b">
        <v>0</v>
      </c>
      <c r="K28" s="157"/>
      <c r="L28" s="237" t="s">
        <v>3276</v>
      </c>
      <c r="M28" s="148"/>
      <c r="N28" s="285">
        <v>45636</v>
      </c>
      <c r="O28" s="148"/>
      <c r="P28" s="241" t="s">
        <v>453</v>
      </c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48"/>
      <c r="CG28" s="148"/>
      <c r="CH28" s="148"/>
      <c r="CI28" s="148"/>
      <c r="CJ28" s="148"/>
      <c r="CK28" s="148"/>
    </row>
    <row r="29" spans="1:89">
      <c r="A29" s="148">
        <v>28</v>
      </c>
      <c r="B29" s="231" t="s">
        <v>61</v>
      </c>
      <c r="C29" s="231" t="s">
        <v>11</v>
      </c>
      <c r="D29" s="237" t="s">
        <v>3290</v>
      </c>
      <c r="E29" s="231" t="s">
        <v>205</v>
      </c>
      <c r="F29" s="222" t="s">
        <v>3800</v>
      </c>
      <c r="G29" s="148"/>
      <c r="H29" s="281">
        <v>0</v>
      </c>
      <c r="I29" s="249">
        <v>1170</v>
      </c>
      <c r="J29" s="231">
        <v>10</v>
      </c>
      <c r="K29" s="157"/>
      <c r="L29" s="231" t="s">
        <v>15</v>
      </c>
      <c r="M29" s="148"/>
      <c r="N29" s="285">
        <v>45615</v>
      </c>
      <c r="O29" s="148"/>
      <c r="P29" s="241" t="s">
        <v>453</v>
      </c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148"/>
      <c r="BO29" s="148"/>
      <c r="BP29" s="148"/>
      <c r="BQ29" s="148"/>
      <c r="BR29" s="148"/>
      <c r="BS29" s="148"/>
      <c r="BT29" s="148"/>
      <c r="BU29" s="148"/>
      <c r="BV29" s="148"/>
      <c r="BW29" s="148"/>
      <c r="BX29" s="148"/>
      <c r="BY29" s="148"/>
      <c r="BZ29" s="148"/>
      <c r="CA29" s="148"/>
      <c r="CB29" s="148"/>
      <c r="CC29" s="148"/>
      <c r="CD29" s="148"/>
      <c r="CE29" s="148"/>
      <c r="CF29" s="148"/>
      <c r="CG29" s="148"/>
      <c r="CH29" s="148"/>
      <c r="CI29" s="148"/>
      <c r="CJ29" s="148"/>
      <c r="CK29" s="148"/>
    </row>
    <row r="30" spans="1:89">
      <c r="A30" s="148">
        <v>29</v>
      </c>
      <c r="B30" s="231" t="s">
        <v>61</v>
      </c>
      <c r="C30" s="231" t="s">
        <v>11</v>
      </c>
      <c r="D30" s="237" t="s">
        <v>3327</v>
      </c>
      <c r="E30" s="231" t="s">
        <v>3328</v>
      </c>
      <c r="F30" s="222" t="s">
        <v>3800</v>
      </c>
      <c r="G30" s="148"/>
      <c r="H30" s="281">
        <v>0</v>
      </c>
      <c r="I30" s="249">
        <v>2000</v>
      </c>
      <c r="J30" s="231" t="b">
        <v>0</v>
      </c>
      <c r="K30" s="157"/>
      <c r="L30" s="237" t="s">
        <v>3276</v>
      </c>
      <c r="M30" s="148"/>
      <c r="N30" s="285">
        <v>45629</v>
      </c>
      <c r="O30" s="148"/>
      <c r="P30" s="241" t="s">
        <v>453</v>
      </c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8"/>
      <c r="BW30" s="148"/>
      <c r="BX30" s="148"/>
      <c r="BY30" s="148"/>
      <c r="BZ30" s="148"/>
      <c r="CA30" s="148"/>
      <c r="CB30" s="148"/>
      <c r="CC30" s="148"/>
      <c r="CD30" s="148"/>
      <c r="CE30" s="148"/>
      <c r="CF30" s="148"/>
      <c r="CG30" s="148"/>
      <c r="CH30" s="148"/>
      <c r="CI30" s="148"/>
      <c r="CJ30" s="148"/>
      <c r="CK30" s="148"/>
    </row>
    <row r="31" spans="1:89">
      <c r="A31" s="148">
        <v>30</v>
      </c>
      <c r="B31" s="231" t="s">
        <v>61</v>
      </c>
      <c r="C31" s="231" t="s">
        <v>11</v>
      </c>
      <c r="D31" s="237" t="s">
        <v>3350</v>
      </c>
      <c r="E31" s="231" t="s">
        <v>205</v>
      </c>
      <c r="H31" s="281">
        <v>0</v>
      </c>
      <c r="I31" s="249">
        <v>348</v>
      </c>
      <c r="J31" s="231">
        <v>10</v>
      </c>
      <c r="K31" s="157"/>
      <c r="L31" s="231" t="s">
        <v>15</v>
      </c>
      <c r="N31" s="285">
        <v>45622</v>
      </c>
      <c r="P31" s="241" t="s">
        <v>453</v>
      </c>
    </row>
    <row r="32" spans="1:89">
      <c r="A32" s="148">
        <v>31</v>
      </c>
      <c r="B32" s="231" t="s">
        <v>59</v>
      </c>
      <c r="C32" s="231" t="s">
        <v>11</v>
      </c>
      <c r="D32" s="237" t="s">
        <v>3351</v>
      </c>
      <c r="E32" s="231" t="s">
        <v>136</v>
      </c>
      <c r="H32" s="281">
        <v>0</v>
      </c>
      <c r="I32" s="249">
        <v>650</v>
      </c>
      <c r="J32" s="231">
        <v>10</v>
      </c>
      <c r="K32" s="157"/>
      <c r="L32" s="299" t="s">
        <v>15</v>
      </c>
      <c r="N32" s="286">
        <v>45702</v>
      </c>
      <c r="P32" s="241" t="s">
        <v>453</v>
      </c>
    </row>
    <row r="33" spans="1:16">
      <c r="A33" s="148">
        <v>32</v>
      </c>
      <c r="B33" s="231" t="s">
        <v>61</v>
      </c>
      <c r="C33" s="231" t="s">
        <v>11</v>
      </c>
      <c r="D33" s="237" t="s">
        <v>3563</v>
      </c>
      <c r="E33" s="237" t="s">
        <v>205</v>
      </c>
      <c r="H33" s="249">
        <v>0</v>
      </c>
      <c r="I33" s="249">
        <v>1800</v>
      </c>
      <c r="J33" s="231">
        <v>10</v>
      </c>
      <c r="K33" s="157"/>
      <c r="L33" s="299" t="s">
        <v>15</v>
      </c>
      <c r="N33" s="286">
        <v>45744</v>
      </c>
      <c r="P33" s="241" t="s">
        <v>453</v>
      </c>
    </row>
    <row r="34" spans="1:16" ht="15.5">
      <c r="A34" s="148">
        <v>33</v>
      </c>
      <c r="B34" s="231" t="s">
        <v>61</v>
      </c>
      <c r="C34" s="231" t="s">
        <v>11</v>
      </c>
      <c r="D34" s="237" t="s">
        <v>3662</v>
      </c>
      <c r="E34" s="244" t="s">
        <v>3328</v>
      </c>
      <c r="H34" s="249">
        <v>0</v>
      </c>
      <c r="I34" s="249">
        <v>347</v>
      </c>
      <c r="J34" s="231" t="b">
        <v>0</v>
      </c>
      <c r="K34" s="157"/>
      <c r="L34" s="237" t="s">
        <v>3276</v>
      </c>
      <c r="N34" s="287">
        <v>45781</v>
      </c>
      <c r="P34" s="241" t="s">
        <v>453</v>
      </c>
    </row>
    <row r="35" spans="1:16" ht="15.5">
      <c r="A35" s="148">
        <v>34</v>
      </c>
      <c r="B35" s="231" t="s">
        <v>61</v>
      </c>
      <c r="C35" s="231" t="s">
        <v>11</v>
      </c>
      <c r="D35" s="270" t="s">
        <v>3736</v>
      </c>
      <c r="E35" s="231" t="s">
        <v>3328</v>
      </c>
      <c r="H35" s="281">
        <v>0</v>
      </c>
      <c r="I35" s="249">
        <v>120</v>
      </c>
      <c r="J35" s="231">
        <v>10</v>
      </c>
      <c r="K35" s="157"/>
      <c r="L35" s="299" t="s">
        <v>15</v>
      </c>
      <c r="N35" s="287">
        <v>45782</v>
      </c>
      <c r="P35" s="241" t="s">
        <v>453</v>
      </c>
    </row>
    <row r="36" spans="1:16">
      <c r="A36" s="148">
        <v>35</v>
      </c>
      <c r="B36" s="231" t="s">
        <v>61</v>
      </c>
      <c r="C36" s="231" t="s">
        <v>11</v>
      </c>
      <c r="D36" s="270" t="s">
        <v>3737</v>
      </c>
      <c r="E36" s="231" t="s">
        <v>3328</v>
      </c>
      <c r="H36" s="281">
        <v>0</v>
      </c>
      <c r="I36" s="249">
        <v>700</v>
      </c>
      <c r="J36" s="231">
        <v>10</v>
      </c>
      <c r="K36" s="157"/>
      <c r="L36" s="299" t="s">
        <v>15</v>
      </c>
      <c r="N36" s="303">
        <v>45812.59375</v>
      </c>
      <c r="P36" s="241" t="s">
        <v>453</v>
      </c>
    </row>
    <row r="37" spans="1:16">
      <c r="A37" s="148">
        <v>36</v>
      </c>
      <c r="B37" s="61" t="s">
        <v>59</v>
      </c>
      <c r="C37" s="61" t="s">
        <v>11</v>
      </c>
      <c r="D37" s="292" t="s">
        <v>3826</v>
      </c>
      <c r="E37" s="292" t="s">
        <v>3659</v>
      </c>
      <c r="H37" s="301">
        <v>0</v>
      </c>
      <c r="I37" s="301">
        <v>220</v>
      </c>
      <c r="J37" s="231">
        <v>10</v>
      </c>
      <c r="K37" s="157"/>
      <c r="L37" s="299" t="s">
        <v>15</v>
      </c>
      <c r="N37" s="303">
        <v>45831.559027777781</v>
      </c>
      <c r="P37" s="241" t="s">
        <v>453</v>
      </c>
    </row>
    <row r="38" spans="1:16">
      <c r="A38" s="148">
        <v>37</v>
      </c>
      <c r="B38" s="61" t="s">
        <v>59</v>
      </c>
      <c r="C38" s="61" t="s">
        <v>11</v>
      </c>
      <c r="D38" s="292" t="s">
        <v>3833</v>
      </c>
      <c r="E38" s="292" t="s">
        <v>3659</v>
      </c>
      <c r="H38" s="301">
        <v>0</v>
      </c>
      <c r="I38" s="301">
        <v>45</v>
      </c>
      <c r="J38" s="231">
        <v>10</v>
      </c>
      <c r="K38" s="157"/>
      <c r="L38" s="299" t="s">
        <v>15</v>
      </c>
      <c r="N38" s="303">
        <v>45834.44027777778</v>
      </c>
      <c r="P38" s="241" t="s">
        <v>453</v>
      </c>
    </row>
    <row r="39" spans="1:16">
      <c r="A39" s="148">
        <v>38</v>
      </c>
      <c r="B39" s="61" t="s">
        <v>59</v>
      </c>
      <c r="C39" s="61" t="s">
        <v>11</v>
      </c>
      <c r="D39" s="292" t="s">
        <v>3864</v>
      </c>
      <c r="E39" s="292" t="s">
        <v>4150</v>
      </c>
      <c r="H39" s="301">
        <v>0</v>
      </c>
      <c r="I39" s="301">
        <v>485</v>
      </c>
      <c r="J39" s="231">
        <v>10</v>
      </c>
      <c r="K39" s="157"/>
      <c r="L39" s="299" t="s">
        <v>15</v>
      </c>
      <c r="N39" s="303">
        <v>45835</v>
      </c>
      <c r="P39" s="241" t="s">
        <v>453</v>
      </c>
    </row>
    <row r="40" spans="1:16">
      <c r="A40" s="148">
        <v>39</v>
      </c>
      <c r="B40" s="61" t="s">
        <v>59</v>
      </c>
      <c r="C40" s="61" t="s">
        <v>11</v>
      </c>
      <c r="D40" s="292" t="s">
        <v>3865</v>
      </c>
      <c r="E40" s="292" t="s">
        <v>4150</v>
      </c>
      <c r="H40" s="301">
        <v>0</v>
      </c>
      <c r="I40" s="301">
        <v>150</v>
      </c>
      <c r="J40" s="231">
        <v>10</v>
      </c>
      <c r="K40" s="157"/>
      <c r="L40" s="299" t="s">
        <v>15</v>
      </c>
      <c r="N40" s="303">
        <v>45925</v>
      </c>
      <c r="P40" s="241" t="s">
        <v>453</v>
      </c>
    </row>
    <row r="41" spans="1:16">
      <c r="A41" s="148">
        <v>40</v>
      </c>
      <c r="B41" s="61" t="s">
        <v>59</v>
      </c>
      <c r="C41" s="61" t="s">
        <v>11</v>
      </c>
      <c r="D41" s="292" t="s">
        <v>3866</v>
      </c>
      <c r="E41" s="292" t="s">
        <v>4150</v>
      </c>
      <c r="H41" s="301">
        <v>0</v>
      </c>
      <c r="I41" s="301">
        <v>0</v>
      </c>
      <c r="J41" s="231" t="b">
        <v>0</v>
      </c>
      <c r="K41" s="157"/>
      <c r="L41" s="299" t="s">
        <v>3437</v>
      </c>
      <c r="N41" s="303">
        <v>45832.652777777781</v>
      </c>
      <c r="P41" s="241" t="s">
        <v>453</v>
      </c>
    </row>
    <row r="42" spans="1:16">
      <c r="A42" s="148">
        <v>41</v>
      </c>
      <c r="B42" s="61" t="s">
        <v>59</v>
      </c>
      <c r="C42" s="61" t="s">
        <v>11</v>
      </c>
      <c r="D42" s="292" t="s">
        <v>3868</v>
      </c>
      <c r="E42" s="292" t="s">
        <v>3659</v>
      </c>
      <c r="H42" s="301">
        <v>0</v>
      </c>
      <c r="I42" s="301">
        <v>340</v>
      </c>
      <c r="J42" s="231">
        <v>10</v>
      </c>
      <c r="K42" s="157"/>
      <c r="L42" s="299" t="s">
        <v>15</v>
      </c>
      <c r="N42" s="303">
        <v>45846</v>
      </c>
      <c r="P42" s="241" t="s">
        <v>453</v>
      </c>
    </row>
    <row r="43" spans="1:16">
      <c r="A43" s="148">
        <v>42</v>
      </c>
      <c r="B43" s="61" t="s">
        <v>61</v>
      </c>
      <c r="C43" s="61" t="s">
        <v>11</v>
      </c>
      <c r="D43" s="292" t="s">
        <v>3898</v>
      </c>
      <c r="E43" s="292" t="s">
        <v>3328</v>
      </c>
      <c r="H43" s="301">
        <v>0</v>
      </c>
      <c r="I43" s="301">
        <v>1000</v>
      </c>
      <c r="J43" s="231">
        <v>10</v>
      </c>
      <c r="K43" s="157"/>
      <c r="L43" s="299" t="s">
        <v>15</v>
      </c>
      <c r="N43" s="303">
        <v>45874</v>
      </c>
      <c r="P43" s="241" t="s">
        <v>453</v>
      </c>
    </row>
    <row r="44" spans="1:16">
      <c r="A44" s="148">
        <v>43</v>
      </c>
      <c r="B44" s="61" t="s">
        <v>61</v>
      </c>
      <c r="C44" s="61" t="s">
        <v>11</v>
      </c>
      <c r="D44" s="292" t="s">
        <v>3937</v>
      </c>
      <c r="E44" s="292" t="s">
        <v>3328</v>
      </c>
      <c r="H44" s="301">
        <v>0</v>
      </c>
      <c r="I44" s="301">
        <v>336</v>
      </c>
      <c r="J44" s="231" t="b">
        <v>0</v>
      </c>
      <c r="K44" s="157"/>
      <c r="L44" s="299" t="s">
        <v>3276</v>
      </c>
      <c r="N44" s="303">
        <v>45902</v>
      </c>
      <c r="P44" s="241" t="s">
        <v>453</v>
      </c>
    </row>
    <row r="45" spans="1:16">
      <c r="A45" s="148">
        <v>44</v>
      </c>
      <c r="B45" s="61" t="s">
        <v>64</v>
      </c>
      <c r="C45" s="61" t="s">
        <v>11</v>
      </c>
      <c r="D45" s="292" t="s">
        <v>3977</v>
      </c>
      <c r="E45" s="292" t="s">
        <v>4188</v>
      </c>
      <c r="H45" s="301">
        <v>50</v>
      </c>
      <c r="I45" s="301">
        <v>0</v>
      </c>
      <c r="J45" s="231">
        <v>10</v>
      </c>
      <c r="K45" s="157"/>
      <c r="L45" s="299" t="s">
        <v>15</v>
      </c>
      <c r="N45" s="303">
        <v>45902</v>
      </c>
      <c r="P45" s="241" t="s">
        <v>453</v>
      </c>
    </row>
    <row r="46" spans="1:16">
      <c r="A46" s="148">
        <v>45</v>
      </c>
      <c r="B46" s="61" t="s">
        <v>61</v>
      </c>
      <c r="C46" s="61" t="s">
        <v>11</v>
      </c>
      <c r="D46" s="292" t="s">
        <v>3978</v>
      </c>
      <c r="E46" s="292" t="s">
        <v>3328</v>
      </c>
      <c r="H46" s="301">
        <v>0</v>
      </c>
      <c r="I46" s="301">
        <v>377</v>
      </c>
      <c r="J46" s="231">
        <v>10</v>
      </c>
      <c r="K46" s="157"/>
      <c r="L46" s="299" t="s">
        <v>15</v>
      </c>
      <c r="N46" s="303">
        <v>45910</v>
      </c>
      <c r="P46" s="241" t="s">
        <v>453</v>
      </c>
    </row>
    <row r="47" spans="1:16">
      <c r="A47" s="148">
        <v>46</v>
      </c>
      <c r="B47" s="61" t="s">
        <v>4235</v>
      </c>
      <c r="C47" s="61" t="s">
        <v>11</v>
      </c>
      <c r="D47" s="292" t="s">
        <v>3988</v>
      </c>
      <c r="E47" s="292" t="s">
        <v>4191</v>
      </c>
      <c r="H47" s="301">
        <v>150</v>
      </c>
      <c r="I47" s="301">
        <v>0</v>
      </c>
      <c r="J47" s="231" t="b">
        <v>0</v>
      </c>
      <c r="K47" s="157"/>
      <c r="L47" s="299" t="s">
        <v>4225</v>
      </c>
      <c r="N47" s="303">
        <v>45938</v>
      </c>
      <c r="P47" s="241" t="s">
        <v>453</v>
      </c>
    </row>
    <row r="48" spans="1:16">
      <c r="A48" s="148">
        <v>47</v>
      </c>
      <c r="B48" s="61" t="s">
        <v>61</v>
      </c>
      <c r="C48" s="61" t="s">
        <v>11</v>
      </c>
      <c r="D48" s="292" t="s">
        <v>4022</v>
      </c>
      <c r="E48" s="292" t="s">
        <v>3328</v>
      </c>
      <c r="H48" s="301">
        <v>0</v>
      </c>
      <c r="I48" s="301">
        <v>1100</v>
      </c>
      <c r="J48" s="231" t="b">
        <v>0</v>
      </c>
      <c r="K48" s="157"/>
      <c r="L48" s="299" t="s">
        <v>3276</v>
      </c>
      <c r="N48" s="303">
        <v>45946</v>
      </c>
      <c r="P48" s="241" t="s">
        <v>453</v>
      </c>
    </row>
    <row r="49" spans="1:16">
      <c r="A49" s="148">
        <v>48</v>
      </c>
      <c r="B49" s="61" t="s">
        <v>64</v>
      </c>
      <c r="C49" s="61" t="s">
        <v>11</v>
      </c>
      <c r="D49" s="292" t="s">
        <v>4036</v>
      </c>
      <c r="E49" s="292" t="s">
        <v>4188</v>
      </c>
      <c r="H49" s="301">
        <v>0</v>
      </c>
      <c r="I49" s="301">
        <v>600</v>
      </c>
      <c r="J49" s="231" t="b">
        <v>0</v>
      </c>
      <c r="K49" s="157"/>
      <c r="L49" s="299" t="s">
        <v>4225</v>
      </c>
      <c r="N49" s="303">
        <v>45978</v>
      </c>
      <c r="P49" s="241" t="s">
        <v>453</v>
      </c>
    </row>
    <row r="50" spans="1:16">
      <c r="A50" s="148">
        <v>49</v>
      </c>
      <c r="B50" s="61" t="s">
        <v>4235</v>
      </c>
      <c r="C50" s="61" t="s">
        <v>11</v>
      </c>
      <c r="D50" s="292" t="s">
        <v>4064</v>
      </c>
      <c r="E50" s="292" t="s">
        <v>4209</v>
      </c>
      <c r="H50" s="301">
        <v>99</v>
      </c>
      <c r="I50" s="301">
        <v>0</v>
      </c>
      <c r="J50" s="301">
        <v>3</v>
      </c>
      <c r="K50" s="157"/>
      <c r="L50" s="299" t="s">
        <v>15</v>
      </c>
      <c r="N50" s="303">
        <v>45978</v>
      </c>
      <c r="P50" s="241" t="s">
        <v>453</v>
      </c>
    </row>
    <row r="51" spans="1:16">
      <c r="A51" s="148">
        <v>50</v>
      </c>
      <c r="B51" s="61" t="s">
        <v>63</v>
      </c>
      <c r="C51" s="61" t="s">
        <v>11</v>
      </c>
      <c r="D51" s="292" t="s">
        <v>4067</v>
      </c>
      <c r="E51" s="292" t="s">
        <v>4192</v>
      </c>
      <c r="H51" s="301">
        <v>502</v>
      </c>
      <c r="I51" s="301">
        <v>2241</v>
      </c>
      <c r="J51" s="231" t="b">
        <v>0</v>
      </c>
      <c r="K51" s="157"/>
      <c r="L51" s="299" t="s">
        <v>3437</v>
      </c>
      <c r="N51" s="303">
        <v>45985</v>
      </c>
      <c r="P51" s="241" t="s">
        <v>453</v>
      </c>
    </row>
    <row r="52" spans="1:16">
      <c r="A52" s="148">
        <v>51</v>
      </c>
      <c r="B52" s="61" t="s">
        <v>61</v>
      </c>
      <c r="C52" s="61" t="s">
        <v>11</v>
      </c>
      <c r="D52" s="292" t="s">
        <v>4078</v>
      </c>
      <c r="E52" s="292" t="s">
        <v>3328</v>
      </c>
      <c r="H52" s="301">
        <v>140</v>
      </c>
      <c r="I52" s="301">
        <v>1677</v>
      </c>
      <c r="J52" s="231" t="b">
        <v>0</v>
      </c>
      <c r="K52" s="157"/>
      <c r="L52" s="299" t="s">
        <v>3276</v>
      </c>
      <c r="N52" s="303">
        <v>46003</v>
      </c>
      <c r="P52" s="241" t="s">
        <v>453</v>
      </c>
    </row>
    <row r="53" spans="1:16">
      <c r="A53" s="148">
        <v>52</v>
      </c>
      <c r="B53" s="61" t="s">
        <v>61</v>
      </c>
      <c r="C53" s="61" t="s">
        <v>11</v>
      </c>
      <c r="D53" s="292" t="s">
        <v>4112</v>
      </c>
      <c r="E53" s="292" t="s">
        <v>3328</v>
      </c>
      <c r="H53" s="301">
        <v>0</v>
      </c>
      <c r="I53" s="301">
        <v>463</v>
      </c>
      <c r="J53" s="231" t="b">
        <v>0</v>
      </c>
      <c r="K53" s="157"/>
      <c r="L53" s="299" t="s">
        <v>3276</v>
      </c>
      <c r="N53" s="303">
        <v>46011</v>
      </c>
      <c r="P53" s="241" t="s">
        <v>453</v>
      </c>
    </row>
    <row r="54" spans="1:16">
      <c r="A54" s="148">
        <v>53</v>
      </c>
      <c r="B54" s="61" t="s">
        <v>4238</v>
      </c>
      <c r="C54" s="61" t="s">
        <v>11</v>
      </c>
      <c r="D54" s="292" t="s">
        <v>4113</v>
      </c>
      <c r="E54" s="292" t="s">
        <v>3659</v>
      </c>
      <c r="H54" s="301">
        <v>0</v>
      </c>
      <c r="I54" s="301">
        <v>1500</v>
      </c>
      <c r="J54" s="301">
        <v>20</v>
      </c>
      <c r="K54" s="157"/>
      <c r="L54" s="299" t="s">
        <v>15</v>
      </c>
      <c r="N54" s="303">
        <v>46011</v>
      </c>
      <c r="P54" s="241" t="s">
        <v>453</v>
      </c>
    </row>
    <row r="55" spans="1:16">
      <c r="A55" s="148">
        <v>54</v>
      </c>
      <c r="B55" s="342" t="s">
        <v>61</v>
      </c>
      <c r="C55" s="342" t="s">
        <v>11</v>
      </c>
      <c r="D55" t="s">
        <v>4868</v>
      </c>
      <c r="E55" s="292" t="s">
        <v>3328</v>
      </c>
      <c r="H55" s="340">
        <v>0</v>
      </c>
      <c r="I55" s="340">
        <v>768</v>
      </c>
      <c r="J55" s="301">
        <v>20</v>
      </c>
      <c r="K55" s="157"/>
      <c r="L55" s="299" t="s">
        <v>15</v>
      </c>
      <c r="N55" s="303">
        <v>46050</v>
      </c>
      <c r="P55" s="241" t="s">
        <v>453</v>
      </c>
    </row>
  </sheetData>
  <conditionalFormatting sqref="D2:D23">
    <cfRule type="duplicateValues" dxfId="90" priority="1462"/>
  </conditionalFormatting>
  <conditionalFormatting sqref="D2:D36">
    <cfRule type="duplicateValues" dxfId="89" priority="1464"/>
  </conditionalFormatting>
  <conditionalFormatting sqref="D2:D54">
    <cfRule type="duplicateValues" dxfId="88" priority="1460"/>
  </conditionalFormatting>
  <conditionalFormatting sqref="D24">
    <cfRule type="duplicateValues" dxfId="87" priority="5"/>
  </conditionalFormatting>
  <conditionalFormatting sqref="D35:D36 D2:D23">
    <cfRule type="duplicateValues" dxfId="86" priority="14"/>
  </conditionalFormatting>
  <conditionalFormatting sqref="D35:D36 D2:D32">
    <cfRule type="duplicateValues" dxfId="85" priority="8"/>
    <cfRule type="duplicateValues" dxfId="84" priority="9"/>
    <cfRule type="duplicateValues" dxfId="83" priority="10"/>
    <cfRule type="duplicateValues" dxfId="82" priority="11"/>
    <cfRule type="duplicateValues" dxfId="81" priority="12"/>
    <cfRule type="duplicateValues" dxfId="80" priority="13"/>
  </conditionalFormatting>
  <conditionalFormatting sqref="D35:D36">
    <cfRule type="duplicateValues" dxfId="79" priority="1"/>
    <cfRule type="duplicateValues" dxfId="78" priority="2"/>
    <cfRule type="duplicateValues" dxfId="77" priority="3"/>
    <cfRule type="duplicateValues" dxfId="76" priority="4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11562-A090-40DB-A005-169CF7CC0B26}">
  <dimension ref="A1:Q2420"/>
  <sheetViews>
    <sheetView zoomScale="70" zoomScaleNormal="70" workbookViewId="0">
      <selection activeCell="A2377" sqref="A2377:XFD2377"/>
    </sheetView>
  </sheetViews>
  <sheetFormatPr defaultColWidth="8.81640625" defaultRowHeight="15" customHeight="1"/>
  <cols>
    <col min="1" max="1" width="6.81640625" style="58" bestFit="1" customWidth="1"/>
    <col min="2" max="2" width="17.54296875" style="169" bestFit="1" customWidth="1"/>
    <col min="3" max="3" width="11.81640625" style="58" bestFit="1" customWidth="1"/>
    <col min="4" max="4" width="51.1796875" style="170" customWidth="1"/>
    <col min="5" max="5" width="13.1796875" style="170" customWidth="1"/>
    <col min="6" max="6" width="11.54296875" style="168" bestFit="1" customWidth="1"/>
    <col min="7" max="7" width="12.81640625" style="108" customWidth="1"/>
    <col min="8" max="9" width="13.54296875" style="108" customWidth="1"/>
    <col min="10" max="10" width="13.1796875" style="108" bestFit="1" customWidth="1"/>
    <col min="11" max="11" width="10" style="108" customWidth="1"/>
    <col min="12" max="12" width="8.81640625" style="108"/>
    <col min="13" max="13" width="12.7265625" style="290" bestFit="1" customWidth="1"/>
    <col min="14" max="14" width="13.1796875" style="58" bestFit="1" customWidth="1"/>
    <col min="15" max="15" width="11.453125" style="58" bestFit="1" customWidth="1"/>
    <col min="16" max="16" width="8.81640625" style="58"/>
    <col min="17" max="17" width="10.81640625" style="58" bestFit="1" customWidth="1"/>
    <col min="18" max="16384" width="8.81640625" style="58"/>
  </cols>
  <sheetData>
    <row r="1" spans="1:15" s="132" customFormat="1" ht="42">
      <c r="A1" s="159"/>
      <c r="B1" s="152" t="s">
        <v>236</v>
      </c>
      <c r="C1" s="160" t="s">
        <v>3802</v>
      </c>
      <c r="D1" s="159" t="s">
        <v>237</v>
      </c>
      <c r="E1" s="291" t="s">
        <v>3803</v>
      </c>
      <c r="F1" s="291" t="s">
        <v>3804</v>
      </c>
      <c r="G1" s="161" t="s">
        <v>70</v>
      </c>
      <c r="H1" s="161" t="s">
        <v>71</v>
      </c>
      <c r="I1" s="161" t="s">
        <v>72</v>
      </c>
      <c r="J1" s="162" t="s">
        <v>73</v>
      </c>
      <c r="K1" s="163" t="s">
        <v>74</v>
      </c>
      <c r="L1" s="161" t="s">
        <v>75</v>
      </c>
      <c r="M1" s="161" t="s">
        <v>3805</v>
      </c>
      <c r="N1" s="162" t="s">
        <v>247</v>
      </c>
      <c r="O1" s="284" t="s">
        <v>445</v>
      </c>
    </row>
    <row r="2" spans="1:15" ht="21" customHeight="1">
      <c r="A2" s="149" cm="1">
        <f t="array" ref="A2:A2420">_xlfn.SEQUENCE(COUNTA(D$2:D$1048576))</f>
        <v>1</v>
      </c>
      <c r="B2" s="235" t="s">
        <v>49</v>
      </c>
      <c r="C2" s="231" t="s">
        <v>10</v>
      </c>
      <c r="D2" s="248" t="s">
        <v>449</v>
      </c>
      <c r="E2" s="281">
        <v>0</v>
      </c>
      <c r="F2" s="249">
        <v>2100</v>
      </c>
      <c r="G2" s="164">
        <f>(((F2/70)+1)*0.4)</f>
        <v>12.4</v>
      </c>
      <c r="H2" s="165">
        <f>G2*2</f>
        <v>24.8</v>
      </c>
      <c r="I2" s="165">
        <f>(((F2/70)+1)*0.6)</f>
        <v>18.599999999999998</v>
      </c>
      <c r="J2" s="166">
        <f>I2+G2</f>
        <v>31</v>
      </c>
      <c r="K2" s="166">
        <f>J2</f>
        <v>31</v>
      </c>
      <c r="L2" s="165">
        <f>(F2/4000)+1</f>
        <v>1.5249999999999999</v>
      </c>
      <c r="M2" s="168">
        <f t="shared" ref="M2:M65" si="0">E2/60</f>
        <v>0</v>
      </c>
      <c r="N2" s="236" t="s">
        <v>453</v>
      </c>
    </row>
    <row r="3" spans="1:15" ht="14">
      <c r="A3" s="149">
        <v>2</v>
      </c>
      <c r="B3" s="235" t="s">
        <v>49</v>
      </c>
      <c r="C3" s="231" t="s">
        <v>10</v>
      </c>
      <c r="D3" s="250" t="s">
        <v>454</v>
      </c>
      <c r="E3" s="281">
        <v>0</v>
      </c>
      <c r="F3" s="249">
        <v>2200</v>
      </c>
      <c r="G3" s="164">
        <f>(((F3/70)+1)*0.4)</f>
        <v>12.971428571428573</v>
      </c>
      <c r="H3" s="165">
        <f t="shared" ref="H3:H66" si="1">G3*2</f>
        <v>25.942857142857147</v>
      </c>
      <c r="I3" s="165">
        <f t="shared" ref="I3:I66" si="2">(((F3/70)+1)*0.6)</f>
        <v>19.457142857142859</v>
      </c>
      <c r="J3" s="166">
        <f t="shared" ref="J3:J66" si="3">I3+G3</f>
        <v>32.428571428571431</v>
      </c>
      <c r="K3" s="166">
        <f>J3</f>
        <v>32.428571428571431</v>
      </c>
      <c r="L3" s="165">
        <f t="shared" ref="L3:L66" si="4">(F3/4000)+1</f>
        <v>1.55</v>
      </c>
      <c r="M3" s="168">
        <f t="shared" si="0"/>
        <v>0</v>
      </c>
      <c r="N3" s="236" t="s">
        <v>457</v>
      </c>
    </row>
    <row r="4" spans="1:15" ht="14">
      <c r="A4" s="149">
        <v>3</v>
      </c>
      <c r="B4" s="235" t="s">
        <v>49</v>
      </c>
      <c r="C4" s="231" t="s">
        <v>10</v>
      </c>
      <c r="D4" s="250" t="s">
        <v>458</v>
      </c>
      <c r="E4" s="281">
        <v>0</v>
      </c>
      <c r="F4" s="249">
        <v>1500</v>
      </c>
      <c r="G4" s="164">
        <f t="shared" ref="G4:G66" si="5">(((F4/70)+1)*0.4)</f>
        <v>8.9714285714285715</v>
      </c>
      <c r="H4" s="165">
        <f t="shared" si="1"/>
        <v>17.942857142857143</v>
      </c>
      <c r="I4" s="165">
        <f t="shared" si="2"/>
        <v>13.457142857142856</v>
      </c>
      <c r="J4" s="166">
        <f t="shared" si="3"/>
        <v>22.428571428571427</v>
      </c>
      <c r="K4" s="166">
        <f t="shared" ref="K4:K67" si="6">J4</f>
        <v>22.428571428571427</v>
      </c>
      <c r="L4" s="165">
        <f t="shared" si="4"/>
        <v>1.375</v>
      </c>
      <c r="M4" s="168">
        <f t="shared" si="0"/>
        <v>0</v>
      </c>
      <c r="N4" s="236" t="s">
        <v>453</v>
      </c>
    </row>
    <row r="5" spans="1:15" ht="14">
      <c r="A5" s="149">
        <v>4</v>
      </c>
      <c r="B5" s="235" t="s">
        <v>49</v>
      </c>
      <c r="C5" s="231" t="s">
        <v>10</v>
      </c>
      <c r="D5" s="250" t="s">
        <v>460</v>
      </c>
      <c r="E5" s="281">
        <v>150</v>
      </c>
      <c r="F5" s="249">
        <v>0</v>
      </c>
      <c r="G5" s="164">
        <f t="shared" si="5"/>
        <v>0.4</v>
      </c>
      <c r="H5" s="165">
        <f t="shared" si="1"/>
        <v>0.8</v>
      </c>
      <c r="I5" s="165">
        <f t="shared" si="2"/>
        <v>0.6</v>
      </c>
      <c r="J5" s="166">
        <f t="shared" si="3"/>
        <v>1</v>
      </c>
      <c r="K5" s="166">
        <f t="shared" si="6"/>
        <v>1</v>
      </c>
      <c r="L5" s="165">
        <f t="shared" si="4"/>
        <v>1</v>
      </c>
      <c r="M5" s="168">
        <f t="shared" si="0"/>
        <v>2.5</v>
      </c>
      <c r="N5" s="236" t="s">
        <v>453</v>
      </c>
    </row>
    <row r="6" spans="1:15" ht="14">
      <c r="A6" s="149">
        <v>5</v>
      </c>
      <c r="B6" s="235" t="s">
        <v>49</v>
      </c>
      <c r="C6" s="231" t="s">
        <v>10</v>
      </c>
      <c r="D6" s="250" t="s">
        <v>462</v>
      </c>
      <c r="E6" s="281">
        <v>0</v>
      </c>
      <c r="F6" s="249">
        <v>3575</v>
      </c>
      <c r="G6" s="164">
        <f t="shared" si="5"/>
        <v>20.828571428571429</v>
      </c>
      <c r="H6" s="165">
        <f t="shared" si="1"/>
        <v>41.657142857142858</v>
      </c>
      <c r="I6" s="165">
        <f t="shared" si="2"/>
        <v>31.24285714285714</v>
      </c>
      <c r="J6" s="166">
        <f t="shared" si="3"/>
        <v>52.071428571428569</v>
      </c>
      <c r="K6" s="166">
        <f t="shared" si="6"/>
        <v>52.071428571428569</v>
      </c>
      <c r="L6" s="165">
        <f t="shared" si="4"/>
        <v>1.89375</v>
      </c>
      <c r="M6" s="168">
        <f t="shared" si="0"/>
        <v>0</v>
      </c>
      <c r="N6" s="236" t="s">
        <v>453</v>
      </c>
    </row>
    <row r="7" spans="1:15" ht="14">
      <c r="A7" s="149">
        <v>6</v>
      </c>
      <c r="B7" s="235" t="s">
        <v>49</v>
      </c>
      <c r="C7" s="231" t="s">
        <v>10</v>
      </c>
      <c r="D7" s="250" t="s">
        <v>465</v>
      </c>
      <c r="E7" s="281">
        <v>0</v>
      </c>
      <c r="F7" s="249">
        <v>800</v>
      </c>
      <c r="G7" s="164">
        <f t="shared" si="5"/>
        <v>4.9714285714285715</v>
      </c>
      <c r="H7" s="165">
        <f t="shared" si="1"/>
        <v>9.9428571428571431</v>
      </c>
      <c r="I7" s="165">
        <f t="shared" si="2"/>
        <v>7.4571428571428573</v>
      </c>
      <c r="J7" s="166">
        <f t="shared" si="3"/>
        <v>12.428571428571429</v>
      </c>
      <c r="K7" s="166">
        <f t="shared" si="6"/>
        <v>12.428571428571429</v>
      </c>
      <c r="L7" s="165">
        <f t="shared" si="4"/>
        <v>1.2</v>
      </c>
      <c r="M7" s="168">
        <f t="shared" si="0"/>
        <v>0</v>
      </c>
      <c r="N7" s="236" t="s">
        <v>453</v>
      </c>
    </row>
    <row r="8" spans="1:15" ht="14">
      <c r="A8" s="149">
        <v>7</v>
      </c>
      <c r="B8" s="235" t="s">
        <v>49</v>
      </c>
      <c r="C8" s="231" t="s">
        <v>10</v>
      </c>
      <c r="D8" s="250" t="s">
        <v>467</v>
      </c>
      <c r="E8" s="281">
        <v>0</v>
      </c>
      <c r="F8" s="249">
        <v>400</v>
      </c>
      <c r="G8" s="164">
        <f t="shared" si="5"/>
        <v>2.6857142857142859</v>
      </c>
      <c r="H8" s="165">
        <f t="shared" si="1"/>
        <v>5.3714285714285719</v>
      </c>
      <c r="I8" s="165">
        <f t="shared" si="2"/>
        <v>4.0285714285714285</v>
      </c>
      <c r="J8" s="166">
        <f t="shared" si="3"/>
        <v>6.7142857142857144</v>
      </c>
      <c r="K8" s="166">
        <f t="shared" si="6"/>
        <v>6.7142857142857144</v>
      </c>
      <c r="L8" s="165">
        <f t="shared" si="4"/>
        <v>1.1000000000000001</v>
      </c>
      <c r="M8" s="168">
        <f t="shared" si="0"/>
        <v>0</v>
      </c>
      <c r="N8" s="236" t="s">
        <v>453</v>
      </c>
    </row>
    <row r="9" spans="1:15" ht="14">
      <c r="A9" s="149">
        <v>8</v>
      </c>
      <c r="B9" s="235" t="s">
        <v>49</v>
      </c>
      <c r="C9" s="231" t="s">
        <v>10</v>
      </c>
      <c r="D9" s="250" t="s">
        <v>469</v>
      </c>
      <c r="E9" s="281">
        <v>0</v>
      </c>
      <c r="F9" s="249">
        <v>1200</v>
      </c>
      <c r="G9" s="164">
        <f t="shared" si="5"/>
        <v>7.2571428571428571</v>
      </c>
      <c r="H9" s="165">
        <f t="shared" si="1"/>
        <v>14.514285714285714</v>
      </c>
      <c r="I9" s="165">
        <f t="shared" si="2"/>
        <v>10.885714285714284</v>
      </c>
      <c r="J9" s="166">
        <f t="shared" si="3"/>
        <v>18.142857142857142</v>
      </c>
      <c r="K9" s="166">
        <f t="shared" si="6"/>
        <v>18.142857142857142</v>
      </c>
      <c r="L9" s="165">
        <f t="shared" si="4"/>
        <v>1.3</v>
      </c>
      <c r="M9" s="168">
        <f t="shared" si="0"/>
        <v>0</v>
      </c>
      <c r="N9" s="236" t="s">
        <v>453</v>
      </c>
    </row>
    <row r="10" spans="1:15" ht="14">
      <c r="A10" s="149">
        <v>9</v>
      </c>
      <c r="B10" s="235" t="s">
        <v>49</v>
      </c>
      <c r="C10" s="231" t="s">
        <v>10</v>
      </c>
      <c r="D10" s="250" t="s">
        <v>471</v>
      </c>
      <c r="E10" s="281">
        <v>0</v>
      </c>
      <c r="F10" s="249">
        <v>500</v>
      </c>
      <c r="G10" s="164">
        <f t="shared" si="5"/>
        <v>3.2571428571428571</v>
      </c>
      <c r="H10" s="165">
        <f t="shared" si="1"/>
        <v>6.5142857142857142</v>
      </c>
      <c r="I10" s="165">
        <f t="shared" si="2"/>
        <v>4.8857142857142852</v>
      </c>
      <c r="J10" s="166">
        <f t="shared" si="3"/>
        <v>8.1428571428571423</v>
      </c>
      <c r="K10" s="166">
        <f t="shared" si="6"/>
        <v>8.1428571428571423</v>
      </c>
      <c r="L10" s="165">
        <f t="shared" si="4"/>
        <v>1.125</v>
      </c>
      <c r="M10" s="168">
        <f t="shared" si="0"/>
        <v>0</v>
      </c>
      <c r="N10" s="236" t="s">
        <v>453</v>
      </c>
    </row>
    <row r="11" spans="1:15" ht="14">
      <c r="A11" s="149">
        <v>10</v>
      </c>
      <c r="B11" s="235" t="s">
        <v>49</v>
      </c>
      <c r="C11" s="231" t="s">
        <v>10</v>
      </c>
      <c r="D11" s="250" t="s">
        <v>473</v>
      </c>
      <c r="E11" s="281">
        <v>0</v>
      </c>
      <c r="F11" s="249">
        <v>426</v>
      </c>
      <c r="G11" s="164">
        <f t="shared" si="5"/>
        <v>2.8342857142857145</v>
      </c>
      <c r="H11" s="165">
        <f t="shared" si="1"/>
        <v>5.668571428571429</v>
      </c>
      <c r="I11" s="165">
        <f t="shared" si="2"/>
        <v>4.2514285714285709</v>
      </c>
      <c r="J11" s="166">
        <f t="shared" si="3"/>
        <v>7.0857142857142854</v>
      </c>
      <c r="K11" s="166">
        <f t="shared" si="6"/>
        <v>7.0857142857142854</v>
      </c>
      <c r="L11" s="165">
        <f t="shared" si="4"/>
        <v>1.1065</v>
      </c>
      <c r="M11" s="168">
        <f t="shared" si="0"/>
        <v>0</v>
      </c>
      <c r="N11" s="236" t="s">
        <v>453</v>
      </c>
    </row>
    <row r="12" spans="1:15" ht="14">
      <c r="A12" s="149">
        <v>11</v>
      </c>
      <c r="B12" s="235" t="s">
        <v>49</v>
      </c>
      <c r="C12" s="231" t="s">
        <v>10</v>
      </c>
      <c r="D12" s="250" t="s">
        <v>476</v>
      </c>
      <c r="E12" s="281">
        <v>0</v>
      </c>
      <c r="F12" s="249">
        <v>2500</v>
      </c>
      <c r="G12" s="164">
        <f t="shared" si="5"/>
        <v>14.685714285714287</v>
      </c>
      <c r="H12" s="165">
        <f t="shared" si="1"/>
        <v>29.371428571428574</v>
      </c>
      <c r="I12" s="165">
        <f t="shared" si="2"/>
        <v>22.028571428571428</v>
      </c>
      <c r="J12" s="166">
        <f t="shared" si="3"/>
        <v>36.714285714285715</v>
      </c>
      <c r="K12" s="166">
        <f t="shared" si="6"/>
        <v>36.714285714285715</v>
      </c>
      <c r="L12" s="165">
        <f t="shared" si="4"/>
        <v>1.625</v>
      </c>
      <c r="M12" s="168">
        <f t="shared" si="0"/>
        <v>0</v>
      </c>
      <c r="N12" s="236" t="s">
        <v>453</v>
      </c>
    </row>
    <row r="13" spans="1:15" ht="14">
      <c r="A13" s="149">
        <v>12</v>
      </c>
      <c r="B13" s="235" t="s">
        <v>49</v>
      </c>
      <c r="C13" s="231" t="s">
        <v>10</v>
      </c>
      <c r="D13" s="250" t="s">
        <v>479</v>
      </c>
      <c r="E13" s="281">
        <v>0</v>
      </c>
      <c r="F13" s="249">
        <v>1100</v>
      </c>
      <c r="G13" s="164">
        <f t="shared" si="5"/>
        <v>6.6857142857142868</v>
      </c>
      <c r="H13" s="165">
        <f t="shared" si="1"/>
        <v>13.371428571428574</v>
      </c>
      <c r="I13" s="165">
        <f t="shared" si="2"/>
        <v>10.028571428571428</v>
      </c>
      <c r="J13" s="166">
        <f t="shared" si="3"/>
        <v>16.714285714285715</v>
      </c>
      <c r="K13" s="166">
        <f t="shared" si="6"/>
        <v>16.714285714285715</v>
      </c>
      <c r="L13" s="165">
        <f t="shared" si="4"/>
        <v>1.2749999999999999</v>
      </c>
      <c r="M13" s="168">
        <f t="shared" si="0"/>
        <v>0</v>
      </c>
      <c r="N13" s="236" t="s">
        <v>453</v>
      </c>
    </row>
    <row r="14" spans="1:15" ht="14">
      <c r="A14" s="149">
        <v>13</v>
      </c>
      <c r="B14" s="235" t="s">
        <v>49</v>
      </c>
      <c r="C14" s="231" t="s">
        <v>10</v>
      </c>
      <c r="D14" s="250" t="s">
        <v>481</v>
      </c>
      <c r="E14" s="281">
        <v>0</v>
      </c>
      <c r="F14" s="249">
        <v>629</v>
      </c>
      <c r="G14" s="164">
        <f t="shared" si="5"/>
        <v>3.9942857142857147</v>
      </c>
      <c r="H14" s="165">
        <f t="shared" si="1"/>
        <v>7.9885714285714293</v>
      </c>
      <c r="I14" s="165">
        <f t="shared" si="2"/>
        <v>5.9914285714285711</v>
      </c>
      <c r="J14" s="166">
        <f t="shared" si="3"/>
        <v>9.9857142857142858</v>
      </c>
      <c r="K14" s="166">
        <f t="shared" si="6"/>
        <v>9.9857142857142858</v>
      </c>
      <c r="L14" s="165">
        <f t="shared" si="4"/>
        <v>1.1572499999999999</v>
      </c>
      <c r="M14" s="168">
        <f t="shared" si="0"/>
        <v>0</v>
      </c>
      <c r="N14" s="236" t="s">
        <v>453</v>
      </c>
    </row>
    <row r="15" spans="1:15" ht="14">
      <c r="A15" s="149">
        <v>14</v>
      </c>
      <c r="B15" s="235" t="s">
        <v>49</v>
      </c>
      <c r="C15" s="231" t="s">
        <v>10</v>
      </c>
      <c r="D15" s="250" t="s">
        <v>483</v>
      </c>
      <c r="E15" s="281">
        <v>0</v>
      </c>
      <c r="F15" s="249">
        <v>4000</v>
      </c>
      <c r="G15" s="164">
        <f t="shared" si="5"/>
        <v>23.25714285714286</v>
      </c>
      <c r="H15" s="165">
        <f t="shared" si="1"/>
        <v>46.51428571428572</v>
      </c>
      <c r="I15" s="165">
        <f t="shared" si="2"/>
        <v>34.885714285714286</v>
      </c>
      <c r="J15" s="166">
        <f t="shared" si="3"/>
        <v>58.142857142857146</v>
      </c>
      <c r="K15" s="166">
        <f t="shared" si="6"/>
        <v>58.142857142857146</v>
      </c>
      <c r="L15" s="165">
        <f t="shared" si="4"/>
        <v>2</v>
      </c>
      <c r="M15" s="168">
        <f t="shared" si="0"/>
        <v>0</v>
      </c>
      <c r="N15" s="236" t="s">
        <v>453</v>
      </c>
    </row>
    <row r="16" spans="1:15" ht="14">
      <c r="A16" s="149">
        <v>15</v>
      </c>
      <c r="B16" s="235" t="s">
        <v>49</v>
      </c>
      <c r="C16" s="231" t="s">
        <v>10</v>
      </c>
      <c r="D16" s="250" t="s">
        <v>485</v>
      </c>
      <c r="E16" s="281">
        <v>0</v>
      </c>
      <c r="F16" s="249">
        <v>4000</v>
      </c>
      <c r="G16" s="164">
        <f t="shared" si="5"/>
        <v>23.25714285714286</v>
      </c>
      <c r="H16" s="165">
        <f t="shared" si="1"/>
        <v>46.51428571428572</v>
      </c>
      <c r="I16" s="165">
        <f t="shared" si="2"/>
        <v>34.885714285714286</v>
      </c>
      <c r="J16" s="166">
        <f t="shared" si="3"/>
        <v>58.142857142857146</v>
      </c>
      <c r="K16" s="166">
        <f t="shared" si="6"/>
        <v>58.142857142857146</v>
      </c>
      <c r="L16" s="165">
        <f t="shared" si="4"/>
        <v>2</v>
      </c>
      <c r="M16" s="168">
        <f t="shared" si="0"/>
        <v>0</v>
      </c>
      <c r="N16" s="236" t="s">
        <v>453</v>
      </c>
    </row>
    <row r="17" spans="1:14" ht="14">
      <c r="A17" s="149">
        <v>16</v>
      </c>
      <c r="B17" s="235" t="s">
        <v>49</v>
      </c>
      <c r="C17" s="231" t="s">
        <v>10</v>
      </c>
      <c r="D17" s="250" t="s">
        <v>487</v>
      </c>
      <c r="E17" s="281">
        <v>0</v>
      </c>
      <c r="F17" s="249">
        <v>300</v>
      </c>
      <c r="G17" s="164">
        <f t="shared" si="5"/>
        <v>2.1142857142857143</v>
      </c>
      <c r="H17" s="165">
        <f t="shared" si="1"/>
        <v>4.2285714285714286</v>
      </c>
      <c r="I17" s="165">
        <f t="shared" si="2"/>
        <v>3.1714285714285713</v>
      </c>
      <c r="J17" s="166">
        <f t="shared" si="3"/>
        <v>5.2857142857142856</v>
      </c>
      <c r="K17" s="166">
        <f t="shared" si="6"/>
        <v>5.2857142857142856</v>
      </c>
      <c r="L17" s="165">
        <f t="shared" si="4"/>
        <v>1.075</v>
      </c>
      <c r="M17" s="168">
        <f t="shared" si="0"/>
        <v>0</v>
      </c>
      <c r="N17" s="236" t="s">
        <v>453</v>
      </c>
    </row>
    <row r="18" spans="1:14" ht="14">
      <c r="A18" s="149">
        <v>17</v>
      </c>
      <c r="B18" s="235" t="s">
        <v>49</v>
      </c>
      <c r="C18" s="231" t="s">
        <v>10</v>
      </c>
      <c r="D18" s="250" t="s">
        <v>489</v>
      </c>
      <c r="E18" s="281">
        <v>0</v>
      </c>
      <c r="F18" s="249">
        <v>4400</v>
      </c>
      <c r="G18" s="164">
        <f t="shared" si="5"/>
        <v>25.542857142857144</v>
      </c>
      <c r="H18" s="165">
        <f t="shared" si="1"/>
        <v>51.085714285714289</v>
      </c>
      <c r="I18" s="165">
        <f t="shared" si="2"/>
        <v>38.31428571428571</v>
      </c>
      <c r="J18" s="166">
        <f t="shared" si="3"/>
        <v>63.857142857142854</v>
      </c>
      <c r="K18" s="166">
        <f t="shared" si="6"/>
        <v>63.857142857142854</v>
      </c>
      <c r="L18" s="165">
        <f t="shared" si="4"/>
        <v>2.1</v>
      </c>
      <c r="M18" s="168">
        <f t="shared" si="0"/>
        <v>0</v>
      </c>
      <c r="N18" s="236" t="s">
        <v>453</v>
      </c>
    </row>
    <row r="19" spans="1:14" ht="14">
      <c r="A19" s="149">
        <v>18</v>
      </c>
      <c r="B19" s="235" t="s">
        <v>49</v>
      </c>
      <c r="C19" s="231" t="s">
        <v>10</v>
      </c>
      <c r="D19" s="250" t="s">
        <v>491</v>
      </c>
      <c r="E19" s="281">
        <v>0</v>
      </c>
      <c r="F19" s="249">
        <v>3230</v>
      </c>
      <c r="G19" s="164">
        <f t="shared" si="5"/>
        <v>18.857142857142858</v>
      </c>
      <c r="H19" s="165">
        <f t="shared" si="1"/>
        <v>37.714285714285715</v>
      </c>
      <c r="I19" s="165">
        <f t="shared" si="2"/>
        <v>28.285714285714288</v>
      </c>
      <c r="J19" s="166">
        <f t="shared" si="3"/>
        <v>47.142857142857146</v>
      </c>
      <c r="K19" s="166">
        <f t="shared" si="6"/>
        <v>47.142857142857146</v>
      </c>
      <c r="L19" s="165">
        <f t="shared" si="4"/>
        <v>1.8075000000000001</v>
      </c>
      <c r="M19" s="168">
        <f t="shared" si="0"/>
        <v>0</v>
      </c>
      <c r="N19" s="236" t="s">
        <v>453</v>
      </c>
    </row>
    <row r="20" spans="1:14" ht="14">
      <c r="A20" s="149">
        <v>19</v>
      </c>
      <c r="B20" s="235" t="s">
        <v>49</v>
      </c>
      <c r="C20" s="231" t="s">
        <v>10</v>
      </c>
      <c r="D20" s="250" t="s">
        <v>493</v>
      </c>
      <c r="E20" s="281">
        <v>0</v>
      </c>
      <c r="F20" s="249">
        <v>800</v>
      </c>
      <c r="G20" s="164">
        <f t="shared" si="5"/>
        <v>4.9714285714285715</v>
      </c>
      <c r="H20" s="165">
        <f t="shared" si="1"/>
        <v>9.9428571428571431</v>
      </c>
      <c r="I20" s="165">
        <f t="shared" si="2"/>
        <v>7.4571428571428573</v>
      </c>
      <c r="J20" s="166">
        <f t="shared" si="3"/>
        <v>12.428571428571429</v>
      </c>
      <c r="K20" s="166">
        <f t="shared" si="6"/>
        <v>12.428571428571429</v>
      </c>
      <c r="L20" s="165">
        <f t="shared" si="4"/>
        <v>1.2</v>
      </c>
      <c r="M20" s="168">
        <f t="shared" si="0"/>
        <v>0</v>
      </c>
      <c r="N20" s="236" t="s">
        <v>453</v>
      </c>
    </row>
    <row r="21" spans="1:14" ht="14">
      <c r="A21" s="149">
        <v>20</v>
      </c>
      <c r="B21" s="235" t="s">
        <v>49</v>
      </c>
      <c r="C21" s="231" t="s">
        <v>10</v>
      </c>
      <c r="D21" s="250" t="s">
        <v>495</v>
      </c>
      <c r="E21" s="281">
        <v>0</v>
      </c>
      <c r="F21" s="249">
        <v>900</v>
      </c>
      <c r="G21" s="164">
        <f t="shared" si="5"/>
        <v>5.5428571428571436</v>
      </c>
      <c r="H21" s="165">
        <f t="shared" si="1"/>
        <v>11.085714285714287</v>
      </c>
      <c r="I21" s="165">
        <f t="shared" si="2"/>
        <v>8.3142857142857149</v>
      </c>
      <c r="J21" s="166">
        <f t="shared" si="3"/>
        <v>13.857142857142858</v>
      </c>
      <c r="K21" s="166">
        <f t="shared" si="6"/>
        <v>13.857142857142858</v>
      </c>
      <c r="L21" s="165">
        <f t="shared" si="4"/>
        <v>1.2250000000000001</v>
      </c>
      <c r="M21" s="168">
        <f t="shared" si="0"/>
        <v>0</v>
      </c>
      <c r="N21" s="236" t="s">
        <v>453</v>
      </c>
    </row>
    <row r="22" spans="1:14" ht="14">
      <c r="A22" s="149">
        <v>21</v>
      </c>
      <c r="B22" s="235" t="s">
        <v>49</v>
      </c>
      <c r="C22" s="231" t="s">
        <v>10</v>
      </c>
      <c r="D22" s="250" t="s">
        <v>497</v>
      </c>
      <c r="E22" s="281">
        <v>0</v>
      </c>
      <c r="F22" s="249">
        <v>2400</v>
      </c>
      <c r="G22" s="164">
        <f t="shared" si="5"/>
        <v>14.114285714285714</v>
      </c>
      <c r="H22" s="165">
        <f t="shared" si="1"/>
        <v>28.228571428571428</v>
      </c>
      <c r="I22" s="165">
        <f t="shared" si="2"/>
        <v>21.171428571428571</v>
      </c>
      <c r="J22" s="166">
        <f t="shared" si="3"/>
        <v>35.285714285714285</v>
      </c>
      <c r="K22" s="166">
        <f t="shared" si="6"/>
        <v>35.285714285714285</v>
      </c>
      <c r="L22" s="165">
        <f t="shared" si="4"/>
        <v>1.6</v>
      </c>
      <c r="M22" s="168">
        <f t="shared" si="0"/>
        <v>0</v>
      </c>
      <c r="N22" s="236" t="s">
        <v>453</v>
      </c>
    </row>
    <row r="23" spans="1:14" ht="14">
      <c r="A23" s="149">
        <v>22</v>
      </c>
      <c r="B23" s="235" t="s">
        <v>49</v>
      </c>
      <c r="C23" s="231" t="s">
        <v>10</v>
      </c>
      <c r="D23" s="250" t="s">
        <v>500</v>
      </c>
      <c r="E23" s="281">
        <v>0</v>
      </c>
      <c r="F23" s="249">
        <v>1500</v>
      </c>
      <c r="G23" s="164">
        <f t="shared" si="5"/>
        <v>8.9714285714285715</v>
      </c>
      <c r="H23" s="165">
        <f t="shared" si="1"/>
        <v>17.942857142857143</v>
      </c>
      <c r="I23" s="165">
        <f t="shared" si="2"/>
        <v>13.457142857142856</v>
      </c>
      <c r="J23" s="166">
        <f t="shared" si="3"/>
        <v>22.428571428571427</v>
      </c>
      <c r="K23" s="166">
        <f t="shared" si="6"/>
        <v>22.428571428571427</v>
      </c>
      <c r="L23" s="165">
        <f t="shared" si="4"/>
        <v>1.375</v>
      </c>
      <c r="M23" s="168">
        <f t="shared" si="0"/>
        <v>0</v>
      </c>
      <c r="N23" s="236" t="s">
        <v>453</v>
      </c>
    </row>
    <row r="24" spans="1:14" ht="14">
      <c r="A24" s="149">
        <v>23</v>
      </c>
      <c r="B24" s="235" t="s">
        <v>49</v>
      </c>
      <c r="C24" s="231" t="s">
        <v>10</v>
      </c>
      <c r="D24" s="250" t="s">
        <v>502</v>
      </c>
      <c r="E24" s="281">
        <v>0</v>
      </c>
      <c r="F24" s="249">
        <v>700</v>
      </c>
      <c r="G24" s="164">
        <f t="shared" si="5"/>
        <v>4.4000000000000004</v>
      </c>
      <c r="H24" s="165">
        <f t="shared" si="1"/>
        <v>8.8000000000000007</v>
      </c>
      <c r="I24" s="165">
        <f t="shared" si="2"/>
        <v>6.6</v>
      </c>
      <c r="J24" s="166">
        <f t="shared" si="3"/>
        <v>11</v>
      </c>
      <c r="K24" s="166">
        <f t="shared" si="6"/>
        <v>11</v>
      </c>
      <c r="L24" s="165">
        <f t="shared" si="4"/>
        <v>1.175</v>
      </c>
      <c r="M24" s="168">
        <f t="shared" si="0"/>
        <v>0</v>
      </c>
      <c r="N24" s="236" t="s">
        <v>453</v>
      </c>
    </row>
    <row r="25" spans="1:14" ht="14">
      <c r="A25" s="149">
        <v>24</v>
      </c>
      <c r="B25" s="235" t="s">
        <v>49</v>
      </c>
      <c r="C25" s="231" t="s">
        <v>10</v>
      </c>
      <c r="D25" s="250" t="s">
        <v>505</v>
      </c>
      <c r="E25" s="281">
        <v>0</v>
      </c>
      <c r="F25" s="249">
        <v>2785</v>
      </c>
      <c r="G25" s="164">
        <f t="shared" si="5"/>
        <v>16.314285714285713</v>
      </c>
      <c r="H25" s="165">
        <f t="shared" si="1"/>
        <v>32.628571428571426</v>
      </c>
      <c r="I25" s="165">
        <f t="shared" si="2"/>
        <v>24.471428571428572</v>
      </c>
      <c r="J25" s="166">
        <f t="shared" si="3"/>
        <v>40.785714285714285</v>
      </c>
      <c r="K25" s="166">
        <f t="shared" si="6"/>
        <v>40.785714285714285</v>
      </c>
      <c r="L25" s="165">
        <f t="shared" si="4"/>
        <v>1.69625</v>
      </c>
      <c r="M25" s="168">
        <f t="shared" si="0"/>
        <v>0</v>
      </c>
      <c r="N25" s="236" t="s">
        <v>453</v>
      </c>
    </row>
    <row r="26" spans="1:14" ht="14">
      <c r="A26" s="149">
        <v>25</v>
      </c>
      <c r="B26" s="235" t="s">
        <v>49</v>
      </c>
      <c r="C26" s="231" t="s">
        <v>10</v>
      </c>
      <c r="D26" s="250" t="s">
        <v>507</v>
      </c>
      <c r="E26" s="281">
        <v>0</v>
      </c>
      <c r="F26" s="249">
        <v>6000</v>
      </c>
      <c r="G26" s="164">
        <f t="shared" si="5"/>
        <v>34.685714285714283</v>
      </c>
      <c r="H26" s="165">
        <f t="shared" si="1"/>
        <v>69.371428571428567</v>
      </c>
      <c r="I26" s="165">
        <f t="shared" si="2"/>
        <v>52.028571428571425</v>
      </c>
      <c r="J26" s="166">
        <f t="shared" si="3"/>
        <v>86.714285714285708</v>
      </c>
      <c r="K26" s="166">
        <f t="shared" si="6"/>
        <v>86.714285714285708</v>
      </c>
      <c r="L26" s="165">
        <f t="shared" si="4"/>
        <v>2.5</v>
      </c>
      <c r="M26" s="168">
        <f t="shared" si="0"/>
        <v>0</v>
      </c>
      <c r="N26" s="236" t="s">
        <v>453</v>
      </c>
    </row>
    <row r="27" spans="1:14" ht="14">
      <c r="A27" s="149">
        <v>26</v>
      </c>
      <c r="B27" s="235" t="s">
        <v>49</v>
      </c>
      <c r="C27" s="231" t="s">
        <v>10</v>
      </c>
      <c r="D27" s="250" t="s">
        <v>509</v>
      </c>
      <c r="E27" s="281">
        <v>0</v>
      </c>
      <c r="F27" s="249">
        <v>3800</v>
      </c>
      <c r="G27" s="164">
        <f t="shared" si="5"/>
        <v>22.114285714285714</v>
      </c>
      <c r="H27" s="165">
        <f t="shared" si="1"/>
        <v>44.228571428571428</v>
      </c>
      <c r="I27" s="165">
        <f t="shared" si="2"/>
        <v>33.171428571428571</v>
      </c>
      <c r="J27" s="166">
        <f t="shared" si="3"/>
        <v>55.285714285714285</v>
      </c>
      <c r="K27" s="166">
        <f t="shared" si="6"/>
        <v>55.285714285714285</v>
      </c>
      <c r="L27" s="165">
        <f t="shared" si="4"/>
        <v>1.95</v>
      </c>
      <c r="M27" s="168">
        <f t="shared" si="0"/>
        <v>0</v>
      </c>
      <c r="N27" s="236" t="s">
        <v>453</v>
      </c>
    </row>
    <row r="28" spans="1:14" ht="14">
      <c r="A28" s="149">
        <v>27</v>
      </c>
      <c r="B28" s="235" t="s">
        <v>49</v>
      </c>
      <c r="C28" s="231" t="s">
        <v>10</v>
      </c>
      <c r="D28" s="250" t="s">
        <v>511</v>
      </c>
      <c r="E28" s="281">
        <v>0</v>
      </c>
      <c r="F28" s="249">
        <v>6000</v>
      </c>
      <c r="G28" s="164">
        <f t="shared" si="5"/>
        <v>34.685714285714283</v>
      </c>
      <c r="H28" s="165">
        <f t="shared" si="1"/>
        <v>69.371428571428567</v>
      </c>
      <c r="I28" s="165">
        <f t="shared" si="2"/>
        <v>52.028571428571425</v>
      </c>
      <c r="J28" s="166">
        <f t="shared" si="3"/>
        <v>86.714285714285708</v>
      </c>
      <c r="K28" s="166">
        <f t="shared" si="6"/>
        <v>86.714285714285708</v>
      </c>
      <c r="L28" s="165">
        <f t="shared" si="4"/>
        <v>2.5</v>
      </c>
      <c r="M28" s="168">
        <f t="shared" si="0"/>
        <v>0</v>
      </c>
      <c r="N28" s="236" t="s">
        <v>453</v>
      </c>
    </row>
    <row r="29" spans="1:14" ht="14">
      <c r="A29" s="149">
        <v>28</v>
      </c>
      <c r="B29" s="235" t="s">
        <v>49</v>
      </c>
      <c r="C29" s="231" t="s">
        <v>10</v>
      </c>
      <c r="D29" s="250" t="s">
        <v>513</v>
      </c>
      <c r="E29" s="281">
        <v>0</v>
      </c>
      <c r="F29" s="249">
        <v>800</v>
      </c>
      <c r="G29" s="164">
        <f t="shared" si="5"/>
        <v>4.9714285714285715</v>
      </c>
      <c r="H29" s="165">
        <f t="shared" si="1"/>
        <v>9.9428571428571431</v>
      </c>
      <c r="I29" s="165">
        <f t="shared" si="2"/>
        <v>7.4571428571428573</v>
      </c>
      <c r="J29" s="166">
        <f t="shared" si="3"/>
        <v>12.428571428571429</v>
      </c>
      <c r="K29" s="166">
        <f t="shared" si="6"/>
        <v>12.428571428571429</v>
      </c>
      <c r="L29" s="165">
        <f t="shared" si="4"/>
        <v>1.2</v>
      </c>
      <c r="M29" s="168">
        <f t="shared" si="0"/>
        <v>0</v>
      </c>
      <c r="N29" s="236" t="s">
        <v>453</v>
      </c>
    </row>
    <row r="30" spans="1:14" ht="14">
      <c r="A30" s="149">
        <v>29</v>
      </c>
      <c r="B30" s="235" t="s">
        <v>49</v>
      </c>
      <c r="C30" s="231" t="s">
        <v>10</v>
      </c>
      <c r="D30" s="250" t="s">
        <v>515</v>
      </c>
      <c r="E30" s="281">
        <v>0</v>
      </c>
      <c r="F30" s="249">
        <v>2500</v>
      </c>
      <c r="G30" s="164">
        <f t="shared" si="5"/>
        <v>14.685714285714287</v>
      </c>
      <c r="H30" s="165">
        <f t="shared" si="1"/>
        <v>29.371428571428574</v>
      </c>
      <c r="I30" s="165">
        <f t="shared" si="2"/>
        <v>22.028571428571428</v>
      </c>
      <c r="J30" s="166">
        <f t="shared" si="3"/>
        <v>36.714285714285715</v>
      </c>
      <c r="K30" s="166">
        <f t="shared" si="6"/>
        <v>36.714285714285715</v>
      </c>
      <c r="L30" s="165">
        <f t="shared" si="4"/>
        <v>1.625</v>
      </c>
      <c r="M30" s="168">
        <f t="shared" si="0"/>
        <v>0</v>
      </c>
      <c r="N30" s="236" t="s">
        <v>453</v>
      </c>
    </row>
    <row r="31" spans="1:14" ht="14">
      <c r="A31" s="149">
        <v>30</v>
      </c>
      <c r="B31" s="235" t="s">
        <v>49</v>
      </c>
      <c r="C31" s="231" t="s">
        <v>10</v>
      </c>
      <c r="D31" s="250" t="s">
        <v>517</v>
      </c>
      <c r="E31" s="281">
        <v>0</v>
      </c>
      <c r="F31" s="249">
        <v>700</v>
      </c>
      <c r="G31" s="164">
        <f t="shared" si="5"/>
        <v>4.4000000000000004</v>
      </c>
      <c r="H31" s="165">
        <f t="shared" si="1"/>
        <v>8.8000000000000007</v>
      </c>
      <c r="I31" s="165">
        <f t="shared" si="2"/>
        <v>6.6</v>
      </c>
      <c r="J31" s="166">
        <f t="shared" si="3"/>
        <v>11</v>
      </c>
      <c r="K31" s="166">
        <f t="shared" si="6"/>
        <v>11</v>
      </c>
      <c r="L31" s="165">
        <f t="shared" si="4"/>
        <v>1.175</v>
      </c>
      <c r="M31" s="168">
        <f t="shared" si="0"/>
        <v>0</v>
      </c>
      <c r="N31" s="236" t="s">
        <v>453</v>
      </c>
    </row>
    <row r="32" spans="1:14" ht="14">
      <c r="A32" s="149">
        <v>31</v>
      </c>
      <c r="B32" s="235" t="s">
        <v>49</v>
      </c>
      <c r="C32" s="231" t="s">
        <v>10</v>
      </c>
      <c r="D32" s="250" t="s">
        <v>519</v>
      </c>
      <c r="E32" s="281">
        <v>0</v>
      </c>
      <c r="F32" s="249">
        <v>5000</v>
      </c>
      <c r="G32" s="164">
        <f t="shared" si="5"/>
        <v>28.971428571428575</v>
      </c>
      <c r="H32" s="165">
        <f t="shared" si="1"/>
        <v>57.94285714285715</v>
      </c>
      <c r="I32" s="165">
        <f t="shared" si="2"/>
        <v>43.457142857142856</v>
      </c>
      <c r="J32" s="166">
        <f t="shared" si="3"/>
        <v>72.428571428571431</v>
      </c>
      <c r="K32" s="166">
        <f t="shared" si="6"/>
        <v>72.428571428571431</v>
      </c>
      <c r="L32" s="165">
        <f t="shared" si="4"/>
        <v>2.25</v>
      </c>
      <c r="M32" s="168">
        <f t="shared" si="0"/>
        <v>0</v>
      </c>
      <c r="N32" s="236" t="s">
        <v>453</v>
      </c>
    </row>
    <row r="33" spans="1:14" ht="14">
      <c r="A33" s="149">
        <v>32</v>
      </c>
      <c r="B33" s="235" t="s">
        <v>49</v>
      </c>
      <c r="C33" s="231" t="s">
        <v>10</v>
      </c>
      <c r="D33" s="250" t="s">
        <v>521</v>
      </c>
      <c r="E33" s="281">
        <v>0</v>
      </c>
      <c r="F33" s="249">
        <v>1500</v>
      </c>
      <c r="G33" s="164">
        <f t="shared" si="5"/>
        <v>8.9714285714285715</v>
      </c>
      <c r="H33" s="165">
        <f t="shared" si="1"/>
        <v>17.942857142857143</v>
      </c>
      <c r="I33" s="165">
        <f t="shared" si="2"/>
        <v>13.457142857142856</v>
      </c>
      <c r="J33" s="166">
        <f t="shared" si="3"/>
        <v>22.428571428571427</v>
      </c>
      <c r="K33" s="166">
        <f t="shared" si="6"/>
        <v>22.428571428571427</v>
      </c>
      <c r="L33" s="165">
        <f t="shared" si="4"/>
        <v>1.375</v>
      </c>
      <c r="M33" s="168">
        <f t="shared" si="0"/>
        <v>0</v>
      </c>
      <c r="N33" s="236" t="s">
        <v>453</v>
      </c>
    </row>
    <row r="34" spans="1:14" ht="14">
      <c r="A34" s="149">
        <v>33</v>
      </c>
      <c r="B34" s="235" t="s">
        <v>49</v>
      </c>
      <c r="C34" s="231" t="s">
        <v>10</v>
      </c>
      <c r="D34" s="250" t="s">
        <v>524</v>
      </c>
      <c r="E34" s="281">
        <v>0</v>
      </c>
      <c r="F34" s="249">
        <v>1288</v>
      </c>
      <c r="G34" s="164">
        <f t="shared" si="5"/>
        <v>7.76</v>
      </c>
      <c r="H34" s="165">
        <f t="shared" si="1"/>
        <v>15.52</v>
      </c>
      <c r="I34" s="165">
        <f t="shared" si="2"/>
        <v>11.639999999999999</v>
      </c>
      <c r="J34" s="166">
        <f t="shared" si="3"/>
        <v>19.399999999999999</v>
      </c>
      <c r="K34" s="166">
        <f t="shared" si="6"/>
        <v>19.399999999999999</v>
      </c>
      <c r="L34" s="165">
        <f t="shared" si="4"/>
        <v>1.3220000000000001</v>
      </c>
      <c r="M34" s="168">
        <f t="shared" si="0"/>
        <v>0</v>
      </c>
      <c r="N34" s="236" t="s">
        <v>453</v>
      </c>
    </row>
    <row r="35" spans="1:14" ht="14">
      <c r="A35" s="149">
        <v>34</v>
      </c>
      <c r="B35" s="235" t="s">
        <v>49</v>
      </c>
      <c r="C35" s="231" t="s">
        <v>10</v>
      </c>
      <c r="D35" s="250" t="s">
        <v>526</v>
      </c>
      <c r="E35" s="281">
        <v>0</v>
      </c>
      <c r="F35" s="249">
        <v>150</v>
      </c>
      <c r="G35" s="164">
        <f t="shared" si="5"/>
        <v>1.2571428571428571</v>
      </c>
      <c r="H35" s="165">
        <f t="shared" si="1"/>
        <v>2.5142857142857142</v>
      </c>
      <c r="I35" s="165">
        <f t="shared" si="2"/>
        <v>1.8857142857142857</v>
      </c>
      <c r="J35" s="166">
        <f t="shared" si="3"/>
        <v>3.1428571428571428</v>
      </c>
      <c r="K35" s="166">
        <f t="shared" si="6"/>
        <v>3.1428571428571428</v>
      </c>
      <c r="L35" s="165">
        <f t="shared" si="4"/>
        <v>1.0375000000000001</v>
      </c>
      <c r="M35" s="168">
        <f t="shared" si="0"/>
        <v>0</v>
      </c>
      <c r="N35" s="236" t="s">
        <v>453</v>
      </c>
    </row>
    <row r="36" spans="1:14" ht="14">
      <c r="A36" s="149">
        <v>35</v>
      </c>
      <c r="B36" s="235" t="s">
        <v>49</v>
      </c>
      <c r="C36" s="231" t="s">
        <v>10</v>
      </c>
      <c r="D36" s="250" t="s">
        <v>528</v>
      </c>
      <c r="E36" s="281">
        <v>0</v>
      </c>
      <c r="F36" s="249">
        <v>1500</v>
      </c>
      <c r="G36" s="164">
        <f t="shared" si="5"/>
        <v>8.9714285714285715</v>
      </c>
      <c r="H36" s="165">
        <f t="shared" si="1"/>
        <v>17.942857142857143</v>
      </c>
      <c r="I36" s="165">
        <f t="shared" si="2"/>
        <v>13.457142857142856</v>
      </c>
      <c r="J36" s="166">
        <f t="shared" si="3"/>
        <v>22.428571428571427</v>
      </c>
      <c r="K36" s="166">
        <f t="shared" si="6"/>
        <v>22.428571428571427</v>
      </c>
      <c r="L36" s="165">
        <f t="shared" si="4"/>
        <v>1.375</v>
      </c>
      <c r="M36" s="168">
        <f t="shared" si="0"/>
        <v>0</v>
      </c>
      <c r="N36" s="236" t="s">
        <v>453</v>
      </c>
    </row>
    <row r="37" spans="1:14" ht="14">
      <c r="A37" s="149">
        <v>36</v>
      </c>
      <c r="B37" s="235" t="s">
        <v>49</v>
      </c>
      <c r="C37" s="231" t="s">
        <v>10</v>
      </c>
      <c r="D37" s="250" t="s">
        <v>530</v>
      </c>
      <c r="E37" s="281">
        <v>0</v>
      </c>
      <c r="F37" s="249">
        <v>400</v>
      </c>
      <c r="G37" s="164">
        <f t="shared" si="5"/>
        <v>2.6857142857142859</v>
      </c>
      <c r="H37" s="165">
        <f t="shared" si="1"/>
        <v>5.3714285714285719</v>
      </c>
      <c r="I37" s="165">
        <f t="shared" si="2"/>
        <v>4.0285714285714285</v>
      </c>
      <c r="J37" s="166">
        <f t="shared" si="3"/>
        <v>6.7142857142857144</v>
      </c>
      <c r="K37" s="166">
        <f t="shared" si="6"/>
        <v>6.7142857142857144</v>
      </c>
      <c r="L37" s="165">
        <f t="shared" si="4"/>
        <v>1.1000000000000001</v>
      </c>
      <c r="M37" s="168">
        <f t="shared" si="0"/>
        <v>0</v>
      </c>
      <c r="N37" s="236" t="s">
        <v>453</v>
      </c>
    </row>
    <row r="38" spans="1:14" ht="14">
      <c r="A38" s="149">
        <v>37</v>
      </c>
      <c r="B38" s="235" t="s">
        <v>49</v>
      </c>
      <c r="C38" s="231" t="s">
        <v>10</v>
      </c>
      <c r="D38" s="250" t="s">
        <v>532</v>
      </c>
      <c r="E38" s="281">
        <v>0</v>
      </c>
      <c r="F38" s="249">
        <v>2640</v>
      </c>
      <c r="G38" s="164">
        <f t="shared" si="5"/>
        <v>15.485714285714288</v>
      </c>
      <c r="H38" s="165">
        <f t="shared" si="1"/>
        <v>30.971428571428575</v>
      </c>
      <c r="I38" s="165">
        <f t="shared" si="2"/>
        <v>23.228571428571428</v>
      </c>
      <c r="J38" s="166">
        <f t="shared" si="3"/>
        <v>38.714285714285715</v>
      </c>
      <c r="K38" s="166">
        <f t="shared" si="6"/>
        <v>38.714285714285715</v>
      </c>
      <c r="L38" s="165">
        <f t="shared" si="4"/>
        <v>1.6600000000000001</v>
      </c>
      <c r="M38" s="168">
        <f t="shared" si="0"/>
        <v>0</v>
      </c>
      <c r="N38" s="236" t="s">
        <v>453</v>
      </c>
    </row>
    <row r="39" spans="1:14" ht="14">
      <c r="A39" s="149">
        <v>38</v>
      </c>
      <c r="B39" s="235" t="s">
        <v>49</v>
      </c>
      <c r="C39" s="231" t="s">
        <v>10</v>
      </c>
      <c r="D39" s="250" t="s">
        <v>534</v>
      </c>
      <c r="E39" s="281">
        <v>0</v>
      </c>
      <c r="F39" s="249">
        <v>200</v>
      </c>
      <c r="G39" s="164">
        <f t="shared" si="5"/>
        <v>1.5428571428571429</v>
      </c>
      <c r="H39" s="165">
        <f t="shared" si="1"/>
        <v>3.0857142857142859</v>
      </c>
      <c r="I39" s="165">
        <f t="shared" si="2"/>
        <v>2.3142857142857141</v>
      </c>
      <c r="J39" s="166">
        <f t="shared" si="3"/>
        <v>3.8571428571428568</v>
      </c>
      <c r="K39" s="166">
        <f t="shared" si="6"/>
        <v>3.8571428571428568</v>
      </c>
      <c r="L39" s="165">
        <f t="shared" si="4"/>
        <v>1.05</v>
      </c>
      <c r="M39" s="168">
        <f t="shared" si="0"/>
        <v>0</v>
      </c>
      <c r="N39" s="236" t="s">
        <v>453</v>
      </c>
    </row>
    <row r="40" spans="1:14" ht="14">
      <c r="A40" s="149">
        <v>39</v>
      </c>
      <c r="B40" s="235" t="s">
        <v>49</v>
      </c>
      <c r="C40" s="231" t="s">
        <v>10</v>
      </c>
      <c r="D40" s="248" t="s">
        <v>537</v>
      </c>
      <c r="E40" s="281">
        <v>0</v>
      </c>
      <c r="F40" s="249">
        <v>200</v>
      </c>
      <c r="G40" s="164">
        <f t="shared" si="5"/>
        <v>1.5428571428571429</v>
      </c>
      <c r="H40" s="165">
        <f t="shared" si="1"/>
        <v>3.0857142857142859</v>
      </c>
      <c r="I40" s="165">
        <f t="shared" si="2"/>
        <v>2.3142857142857141</v>
      </c>
      <c r="J40" s="166">
        <f t="shared" si="3"/>
        <v>3.8571428571428568</v>
      </c>
      <c r="K40" s="166">
        <f t="shared" si="6"/>
        <v>3.8571428571428568</v>
      </c>
      <c r="L40" s="165">
        <f t="shared" si="4"/>
        <v>1.05</v>
      </c>
      <c r="M40" s="168">
        <f t="shared" si="0"/>
        <v>0</v>
      </c>
      <c r="N40" s="236" t="s">
        <v>457</v>
      </c>
    </row>
    <row r="41" spans="1:14" ht="14">
      <c r="A41" s="149">
        <v>40</v>
      </c>
      <c r="B41" s="235" t="s">
        <v>49</v>
      </c>
      <c r="C41" s="231" t="s">
        <v>10</v>
      </c>
      <c r="D41" s="250" t="s">
        <v>539</v>
      </c>
      <c r="E41" s="281">
        <v>0</v>
      </c>
      <c r="F41" s="249">
        <v>700</v>
      </c>
      <c r="G41" s="164">
        <f t="shared" si="5"/>
        <v>4.4000000000000004</v>
      </c>
      <c r="H41" s="165">
        <f t="shared" si="1"/>
        <v>8.8000000000000007</v>
      </c>
      <c r="I41" s="165">
        <f t="shared" si="2"/>
        <v>6.6</v>
      </c>
      <c r="J41" s="166">
        <f t="shared" si="3"/>
        <v>11</v>
      </c>
      <c r="K41" s="166">
        <f t="shared" si="6"/>
        <v>11</v>
      </c>
      <c r="L41" s="165">
        <f t="shared" si="4"/>
        <v>1.175</v>
      </c>
      <c r="M41" s="168">
        <f t="shared" si="0"/>
        <v>0</v>
      </c>
      <c r="N41" s="236" t="s">
        <v>453</v>
      </c>
    </row>
    <row r="42" spans="1:14" ht="14">
      <c r="A42" s="149">
        <v>41</v>
      </c>
      <c r="B42" s="235" t="s">
        <v>49</v>
      </c>
      <c r="C42" s="231" t="s">
        <v>10</v>
      </c>
      <c r="D42" s="250" t="s">
        <v>541</v>
      </c>
      <c r="E42" s="281">
        <v>0</v>
      </c>
      <c r="F42" s="249">
        <v>1866</v>
      </c>
      <c r="G42" s="164">
        <f t="shared" si="5"/>
        <v>11.062857142857144</v>
      </c>
      <c r="H42" s="165">
        <f t="shared" si="1"/>
        <v>22.125714285714288</v>
      </c>
      <c r="I42" s="165">
        <f t="shared" si="2"/>
        <v>16.594285714285714</v>
      </c>
      <c r="J42" s="166">
        <f t="shared" si="3"/>
        <v>27.657142857142858</v>
      </c>
      <c r="K42" s="166">
        <f t="shared" si="6"/>
        <v>27.657142857142858</v>
      </c>
      <c r="L42" s="165">
        <f t="shared" si="4"/>
        <v>1.4664999999999999</v>
      </c>
      <c r="M42" s="168">
        <f t="shared" si="0"/>
        <v>0</v>
      </c>
      <c r="N42" s="236" t="s">
        <v>453</v>
      </c>
    </row>
    <row r="43" spans="1:14" ht="14">
      <c r="A43" s="149">
        <v>42</v>
      </c>
      <c r="B43" s="235" t="s">
        <v>49</v>
      </c>
      <c r="C43" s="231" t="s">
        <v>10</v>
      </c>
      <c r="D43" s="250" t="s">
        <v>544</v>
      </c>
      <c r="E43" s="281">
        <v>0</v>
      </c>
      <c r="F43" s="249">
        <v>1000</v>
      </c>
      <c r="G43" s="164">
        <f t="shared" si="5"/>
        <v>6.1142857142857148</v>
      </c>
      <c r="H43" s="165">
        <f t="shared" si="1"/>
        <v>12.22857142857143</v>
      </c>
      <c r="I43" s="165">
        <f t="shared" si="2"/>
        <v>9.1714285714285708</v>
      </c>
      <c r="J43" s="166">
        <f t="shared" si="3"/>
        <v>15.285714285714285</v>
      </c>
      <c r="K43" s="166">
        <f t="shared" si="6"/>
        <v>15.285714285714285</v>
      </c>
      <c r="L43" s="165">
        <f t="shared" si="4"/>
        <v>1.25</v>
      </c>
      <c r="M43" s="168">
        <f t="shared" si="0"/>
        <v>0</v>
      </c>
      <c r="N43" s="236" t="s">
        <v>453</v>
      </c>
    </row>
    <row r="44" spans="1:14" ht="14">
      <c r="A44" s="149">
        <v>43</v>
      </c>
      <c r="B44" s="235" t="s">
        <v>49</v>
      </c>
      <c r="C44" s="231" t="s">
        <v>10</v>
      </c>
      <c r="D44" s="250" t="s">
        <v>546</v>
      </c>
      <c r="E44" s="281">
        <v>0</v>
      </c>
      <c r="F44" s="249">
        <v>600</v>
      </c>
      <c r="G44" s="164">
        <f t="shared" si="5"/>
        <v>3.8285714285714287</v>
      </c>
      <c r="H44" s="165">
        <f t="shared" si="1"/>
        <v>7.6571428571428575</v>
      </c>
      <c r="I44" s="165">
        <f t="shared" si="2"/>
        <v>5.7428571428571429</v>
      </c>
      <c r="J44" s="166">
        <f t="shared" si="3"/>
        <v>9.5714285714285712</v>
      </c>
      <c r="K44" s="166">
        <f t="shared" si="6"/>
        <v>9.5714285714285712</v>
      </c>
      <c r="L44" s="165">
        <f t="shared" si="4"/>
        <v>1.1499999999999999</v>
      </c>
      <c r="M44" s="168">
        <f t="shared" si="0"/>
        <v>0</v>
      </c>
      <c r="N44" s="236" t="s">
        <v>453</v>
      </c>
    </row>
    <row r="45" spans="1:14" ht="28">
      <c r="A45" s="149">
        <v>44</v>
      </c>
      <c r="B45" s="235" t="s">
        <v>49</v>
      </c>
      <c r="C45" s="231" t="s">
        <v>10</v>
      </c>
      <c r="D45" s="248" t="s">
        <v>548</v>
      </c>
      <c r="E45" s="281">
        <v>0</v>
      </c>
      <c r="F45" s="249">
        <v>3250</v>
      </c>
      <c r="G45" s="164">
        <f t="shared" si="5"/>
        <v>18.971428571428572</v>
      </c>
      <c r="H45" s="165">
        <f t="shared" si="1"/>
        <v>37.942857142857143</v>
      </c>
      <c r="I45" s="165">
        <f t="shared" si="2"/>
        <v>28.457142857142859</v>
      </c>
      <c r="J45" s="166">
        <f t="shared" si="3"/>
        <v>47.428571428571431</v>
      </c>
      <c r="K45" s="166">
        <f t="shared" si="6"/>
        <v>47.428571428571431</v>
      </c>
      <c r="L45" s="165">
        <f t="shared" si="4"/>
        <v>1.8125</v>
      </c>
      <c r="M45" s="168">
        <f t="shared" si="0"/>
        <v>0</v>
      </c>
      <c r="N45" s="236" t="s">
        <v>453</v>
      </c>
    </row>
    <row r="46" spans="1:14" ht="28">
      <c r="A46" s="149">
        <v>45</v>
      </c>
      <c r="B46" s="235" t="s">
        <v>49</v>
      </c>
      <c r="C46" s="231" t="s">
        <v>10</v>
      </c>
      <c r="D46" s="248" t="s">
        <v>551</v>
      </c>
      <c r="E46" s="281">
        <v>0</v>
      </c>
      <c r="F46" s="249">
        <v>900</v>
      </c>
      <c r="G46" s="164">
        <f t="shared" si="5"/>
        <v>5.5428571428571436</v>
      </c>
      <c r="H46" s="165">
        <f t="shared" si="1"/>
        <v>11.085714285714287</v>
      </c>
      <c r="I46" s="165">
        <f t="shared" si="2"/>
        <v>8.3142857142857149</v>
      </c>
      <c r="J46" s="166">
        <f t="shared" si="3"/>
        <v>13.857142857142858</v>
      </c>
      <c r="K46" s="166">
        <f t="shared" si="6"/>
        <v>13.857142857142858</v>
      </c>
      <c r="L46" s="165">
        <f t="shared" si="4"/>
        <v>1.2250000000000001</v>
      </c>
      <c r="M46" s="168">
        <f t="shared" si="0"/>
        <v>0</v>
      </c>
      <c r="N46" s="236" t="s">
        <v>453</v>
      </c>
    </row>
    <row r="47" spans="1:14" ht="14">
      <c r="A47" s="149">
        <v>46</v>
      </c>
      <c r="B47" s="235" t="s">
        <v>49</v>
      </c>
      <c r="C47" s="231" t="s">
        <v>10</v>
      </c>
      <c r="D47" s="250" t="s">
        <v>554</v>
      </c>
      <c r="E47" s="281">
        <v>0</v>
      </c>
      <c r="F47" s="249">
        <v>1400</v>
      </c>
      <c r="G47" s="164">
        <f t="shared" si="5"/>
        <v>8.4</v>
      </c>
      <c r="H47" s="165">
        <f t="shared" si="1"/>
        <v>16.8</v>
      </c>
      <c r="I47" s="165">
        <f t="shared" si="2"/>
        <v>12.6</v>
      </c>
      <c r="J47" s="166">
        <f t="shared" si="3"/>
        <v>21</v>
      </c>
      <c r="K47" s="166">
        <f t="shared" si="6"/>
        <v>21</v>
      </c>
      <c r="L47" s="165">
        <f t="shared" si="4"/>
        <v>1.35</v>
      </c>
      <c r="M47" s="168">
        <f t="shared" si="0"/>
        <v>0</v>
      </c>
      <c r="N47" s="236" t="s">
        <v>453</v>
      </c>
    </row>
    <row r="48" spans="1:14" ht="14">
      <c r="A48" s="149">
        <v>47</v>
      </c>
      <c r="B48" s="235" t="s">
        <v>49</v>
      </c>
      <c r="C48" s="231" t="s">
        <v>10</v>
      </c>
      <c r="D48" s="250" t="s">
        <v>556</v>
      </c>
      <c r="E48" s="281">
        <v>0</v>
      </c>
      <c r="F48" s="249">
        <v>900</v>
      </c>
      <c r="G48" s="164">
        <f t="shared" si="5"/>
        <v>5.5428571428571436</v>
      </c>
      <c r="H48" s="165">
        <f t="shared" si="1"/>
        <v>11.085714285714287</v>
      </c>
      <c r="I48" s="165">
        <f t="shared" si="2"/>
        <v>8.3142857142857149</v>
      </c>
      <c r="J48" s="166">
        <f t="shared" si="3"/>
        <v>13.857142857142858</v>
      </c>
      <c r="K48" s="166">
        <f t="shared" si="6"/>
        <v>13.857142857142858</v>
      </c>
      <c r="L48" s="165">
        <f t="shared" si="4"/>
        <v>1.2250000000000001</v>
      </c>
      <c r="M48" s="168">
        <f t="shared" si="0"/>
        <v>0</v>
      </c>
      <c r="N48" s="236" t="s">
        <v>453</v>
      </c>
    </row>
    <row r="49" spans="1:14" ht="14">
      <c r="A49" s="149">
        <v>48</v>
      </c>
      <c r="B49" s="235" t="s">
        <v>49</v>
      </c>
      <c r="C49" s="231" t="s">
        <v>10</v>
      </c>
      <c r="D49" s="250" t="s">
        <v>559</v>
      </c>
      <c r="E49" s="281">
        <v>0</v>
      </c>
      <c r="F49" s="249">
        <v>3500</v>
      </c>
      <c r="G49" s="164">
        <f t="shared" si="5"/>
        <v>20.400000000000002</v>
      </c>
      <c r="H49" s="165">
        <f t="shared" si="1"/>
        <v>40.800000000000004</v>
      </c>
      <c r="I49" s="165">
        <f t="shared" si="2"/>
        <v>30.599999999999998</v>
      </c>
      <c r="J49" s="166">
        <f t="shared" si="3"/>
        <v>51</v>
      </c>
      <c r="K49" s="166">
        <f t="shared" si="6"/>
        <v>51</v>
      </c>
      <c r="L49" s="165">
        <f t="shared" si="4"/>
        <v>1.875</v>
      </c>
      <c r="M49" s="168">
        <f t="shared" si="0"/>
        <v>0</v>
      </c>
      <c r="N49" s="236" t="s">
        <v>453</v>
      </c>
    </row>
    <row r="50" spans="1:14" ht="14">
      <c r="A50" s="149">
        <v>49</v>
      </c>
      <c r="B50" s="235" t="s">
        <v>49</v>
      </c>
      <c r="C50" s="231" t="s">
        <v>10</v>
      </c>
      <c r="D50" s="250" t="s">
        <v>563</v>
      </c>
      <c r="E50" s="281">
        <v>0</v>
      </c>
      <c r="F50" s="249">
        <v>2000</v>
      </c>
      <c r="G50" s="164">
        <f t="shared" si="5"/>
        <v>11.828571428571429</v>
      </c>
      <c r="H50" s="165">
        <f t="shared" si="1"/>
        <v>23.657142857142858</v>
      </c>
      <c r="I50" s="165">
        <f t="shared" si="2"/>
        <v>17.742857142857144</v>
      </c>
      <c r="J50" s="166">
        <f t="shared" si="3"/>
        <v>29.571428571428573</v>
      </c>
      <c r="K50" s="166">
        <f t="shared" si="6"/>
        <v>29.571428571428573</v>
      </c>
      <c r="L50" s="165">
        <f t="shared" si="4"/>
        <v>1.5</v>
      </c>
      <c r="M50" s="168">
        <f t="shared" si="0"/>
        <v>0</v>
      </c>
      <c r="N50" s="236" t="s">
        <v>453</v>
      </c>
    </row>
    <row r="51" spans="1:14" ht="14">
      <c r="A51" s="149">
        <v>50</v>
      </c>
      <c r="B51" s="235" t="s">
        <v>49</v>
      </c>
      <c r="C51" s="231" t="s">
        <v>10</v>
      </c>
      <c r="D51" s="250" t="s">
        <v>566</v>
      </c>
      <c r="E51" s="281">
        <v>0</v>
      </c>
      <c r="F51" s="249">
        <v>400</v>
      </c>
      <c r="G51" s="164">
        <f t="shared" si="5"/>
        <v>2.6857142857142859</v>
      </c>
      <c r="H51" s="165">
        <f t="shared" si="1"/>
        <v>5.3714285714285719</v>
      </c>
      <c r="I51" s="165">
        <f t="shared" si="2"/>
        <v>4.0285714285714285</v>
      </c>
      <c r="J51" s="166">
        <f t="shared" si="3"/>
        <v>6.7142857142857144</v>
      </c>
      <c r="K51" s="166">
        <f t="shared" si="6"/>
        <v>6.7142857142857144</v>
      </c>
      <c r="L51" s="165">
        <f t="shared" si="4"/>
        <v>1.1000000000000001</v>
      </c>
      <c r="M51" s="168">
        <f t="shared" si="0"/>
        <v>0</v>
      </c>
      <c r="N51" s="236" t="s">
        <v>453</v>
      </c>
    </row>
    <row r="52" spans="1:14" ht="14">
      <c r="A52" s="149">
        <v>51</v>
      </c>
      <c r="B52" s="235" t="s">
        <v>49</v>
      </c>
      <c r="C52" s="231" t="s">
        <v>10</v>
      </c>
      <c r="D52" s="250" t="s">
        <v>569</v>
      </c>
      <c r="E52" s="281">
        <v>0</v>
      </c>
      <c r="F52" s="249">
        <v>400</v>
      </c>
      <c r="G52" s="164">
        <f t="shared" si="5"/>
        <v>2.6857142857142859</v>
      </c>
      <c r="H52" s="165">
        <f t="shared" si="1"/>
        <v>5.3714285714285719</v>
      </c>
      <c r="I52" s="165">
        <f t="shared" si="2"/>
        <v>4.0285714285714285</v>
      </c>
      <c r="J52" s="166">
        <f t="shared" si="3"/>
        <v>6.7142857142857144</v>
      </c>
      <c r="K52" s="166">
        <f t="shared" si="6"/>
        <v>6.7142857142857144</v>
      </c>
      <c r="L52" s="165">
        <f t="shared" si="4"/>
        <v>1.1000000000000001</v>
      </c>
      <c r="M52" s="168">
        <f t="shared" si="0"/>
        <v>0</v>
      </c>
      <c r="N52" s="236" t="s">
        <v>453</v>
      </c>
    </row>
    <row r="53" spans="1:14" ht="15" customHeight="1">
      <c r="A53" s="149">
        <v>52</v>
      </c>
      <c r="B53" s="235" t="s">
        <v>49</v>
      </c>
      <c r="C53" s="231" t="s">
        <v>10</v>
      </c>
      <c r="D53" s="250" t="s">
        <v>571</v>
      </c>
      <c r="E53" s="281">
        <v>0</v>
      </c>
      <c r="F53" s="249">
        <v>1500</v>
      </c>
      <c r="G53" s="164">
        <f t="shared" si="5"/>
        <v>8.9714285714285715</v>
      </c>
      <c r="H53" s="165">
        <f t="shared" si="1"/>
        <v>17.942857142857143</v>
      </c>
      <c r="I53" s="165">
        <f t="shared" si="2"/>
        <v>13.457142857142856</v>
      </c>
      <c r="J53" s="166">
        <f t="shared" si="3"/>
        <v>22.428571428571427</v>
      </c>
      <c r="K53" s="166">
        <f t="shared" si="6"/>
        <v>22.428571428571427</v>
      </c>
      <c r="L53" s="165">
        <f t="shared" si="4"/>
        <v>1.375</v>
      </c>
      <c r="M53" s="168">
        <f t="shared" si="0"/>
        <v>0</v>
      </c>
      <c r="N53" s="236" t="s">
        <v>453</v>
      </c>
    </row>
    <row r="54" spans="1:14" ht="15" customHeight="1">
      <c r="A54" s="149">
        <v>53</v>
      </c>
      <c r="B54" s="235" t="s">
        <v>49</v>
      </c>
      <c r="C54" s="231" t="s">
        <v>10</v>
      </c>
      <c r="D54" s="250" t="s">
        <v>573</v>
      </c>
      <c r="E54" s="281">
        <v>0</v>
      </c>
      <c r="F54" s="249">
        <v>1700</v>
      </c>
      <c r="G54" s="164">
        <f t="shared" si="5"/>
        <v>10.114285714285714</v>
      </c>
      <c r="H54" s="165">
        <f t="shared" si="1"/>
        <v>20.228571428571428</v>
      </c>
      <c r="I54" s="165">
        <f t="shared" si="2"/>
        <v>15.171428571428571</v>
      </c>
      <c r="J54" s="166">
        <f t="shared" si="3"/>
        <v>25.285714285714285</v>
      </c>
      <c r="K54" s="166">
        <f t="shared" si="6"/>
        <v>25.285714285714285</v>
      </c>
      <c r="L54" s="165">
        <f t="shared" si="4"/>
        <v>1.425</v>
      </c>
      <c r="M54" s="168">
        <f t="shared" si="0"/>
        <v>0</v>
      </c>
      <c r="N54" s="236" t="s">
        <v>453</v>
      </c>
    </row>
    <row r="55" spans="1:14" ht="14">
      <c r="A55" s="149">
        <v>54</v>
      </c>
      <c r="B55" s="235" t="s">
        <v>49</v>
      </c>
      <c r="C55" s="231" t="s">
        <v>10</v>
      </c>
      <c r="D55" s="250" t="s">
        <v>575</v>
      </c>
      <c r="E55" s="281">
        <v>0</v>
      </c>
      <c r="F55" s="249">
        <v>1800</v>
      </c>
      <c r="G55" s="164">
        <f t="shared" si="5"/>
        <v>10.685714285714287</v>
      </c>
      <c r="H55" s="165">
        <f t="shared" si="1"/>
        <v>21.371428571428574</v>
      </c>
      <c r="I55" s="165">
        <f t="shared" si="2"/>
        <v>16.028571428571428</v>
      </c>
      <c r="J55" s="166">
        <f t="shared" si="3"/>
        <v>26.714285714285715</v>
      </c>
      <c r="K55" s="166">
        <f t="shared" si="6"/>
        <v>26.714285714285715</v>
      </c>
      <c r="L55" s="165">
        <f t="shared" si="4"/>
        <v>1.45</v>
      </c>
      <c r="M55" s="168">
        <f t="shared" si="0"/>
        <v>0</v>
      </c>
      <c r="N55" s="236" t="s">
        <v>453</v>
      </c>
    </row>
    <row r="56" spans="1:14" ht="14">
      <c r="A56" s="149">
        <v>55</v>
      </c>
      <c r="B56" s="235" t="s">
        <v>49</v>
      </c>
      <c r="C56" s="231" t="s">
        <v>10</v>
      </c>
      <c r="D56" s="250" t="s">
        <v>578</v>
      </c>
      <c r="E56" s="281">
        <v>0</v>
      </c>
      <c r="F56" s="249">
        <v>1800</v>
      </c>
      <c r="G56" s="164">
        <f t="shared" si="5"/>
        <v>10.685714285714287</v>
      </c>
      <c r="H56" s="165">
        <f t="shared" si="1"/>
        <v>21.371428571428574</v>
      </c>
      <c r="I56" s="165">
        <f t="shared" si="2"/>
        <v>16.028571428571428</v>
      </c>
      <c r="J56" s="166">
        <f t="shared" si="3"/>
        <v>26.714285714285715</v>
      </c>
      <c r="K56" s="166">
        <f t="shared" si="6"/>
        <v>26.714285714285715</v>
      </c>
      <c r="L56" s="165">
        <f t="shared" si="4"/>
        <v>1.45</v>
      </c>
      <c r="M56" s="168">
        <f t="shared" si="0"/>
        <v>0</v>
      </c>
      <c r="N56" s="236" t="s">
        <v>453</v>
      </c>
    </row>
    <row r="57" spans="1:14" ht="14">
      <c r="A57" s="149">
        <v>56</v>
      </c>
      <c r="B57" s="235" t="s">
        <v>49</v>
      </c>
      <c r="C57" s="231" t="s">
        <v>10</v>
      </c>
      <c r="D57" s="250" t="s">
        <v>580</v>
      </c>
      <c r="E57" s="281">
        <v>0</v>
      </c>
      <c r="F57" s="249">
        <v>2500</v>
      </c>
      <c r="G57" s="164">
        <f t="shared" si="5"/>
        <v>14.685714285714287</v>
      </c>
      <c r="H57" s="165">
        <f t="shared" si="1"/>
        <v>29.371428571428574</v>
      </c>
      <c r="I57" s="165">
        <f t="shared" si="2"/>
        <v>22.028571428571428</v>
      </c>
      <c r="J57" s="166">
        <f t="shared" si="3"/>
        <v>36.714285714285715</v>
      </c>
      <c r="K57" s="166">
        <f t="shared" si="6"/>
        <v>36.714285714285715</v>
      </c>
      <c r="L57" s="165">
        <f t="shared" si="4"/>
        <v>1.625</v>
      </c>
      <c r="M57" s="168">
        <f t="shared" si="0"/>
        <v>0</v>
      </c>
      <c r="N57" s="236" t="s">
        <v>453</v>
      </c>
    </row>
    <row r="58" spans="1:14" ht="14">
      <c r="A58" s="149">
        <v>57</v>
      </c>
      <c r="B58" s="235" t="s">
        <v>49</v>
      </c>
      <c r="C58" s="231" t="s">
        <v>10</v>
      </c>
      <c r="D58" s="250" t="s">
        <v>583</v>
      </c>
      <c r="E58" s="281">
        <v>0</v>
      </c>
      <c r="F58" s="249">
        <v>1500</v>
      </c>
      <c r="G58" s="164">
        <f t="shared" si="5"/>
        <v>8.9714285714285715</v>
      </c>
      <c r="H58" s="165">
        <f t="shared" si="1"/>
        <v>17.942857142857143</v>
      </c>
      <c r="I58" s="165">
        <f t="shared" si="2"/>
        <v>13.457142857142856</v>
      </c>
      <c r="J58" s="166">
        <f t="shared" si="3"/>
        <v>22.428571428571427</v>
      </c>
      <c r="K58" s="166">
        <f t="shared" si="6"/>
        <v>22.428571428571427</v>
      </c>
      <c r="L58" s="165">
        <f t="shared" si="4"/>
        <v>1.375</v>
      </c>
      <c r="M58" s="168">
        <f t="shared" si="0"/>
        <v>0</v>
      </c>
      <c r="N58" s="236" t="s">
        <v>453</v>
      </c>
    </row>
    <row r="59" spans="1:14" ht="14">
      <c r="A59" s="149">
        <v>58</v>
      </c>
      <c r="B59" s="235" t="s">
        <v>49</v>
      </c>
      <c r="C59" s="231" t="s">
        <v>10</v>
      </c>
      <c r="D59" s="250" t="s">
        <v>586</v>
      </c>
      <c r="E59" s="281">
        <v>0</v>
      </c>
      <c r="F59" s="249">
        <v>400</v>
      </c>
      <c r="G59" s="164">
        <f t="shared" si="5"/>
        <v>2.6857142857142859</v>
      </c>
      <c r="H59" s="165">
        <f t="shared" si="1"/>
        <v>5.3714285714285719</v>
      </c>
      <c r="I59" s="165">
        <f t="shared" si="2"/>
        <v>4.0285714285714285</v>
      </c>
      <c r="J59" s="166">
        <f t="shared" si="3"/>
        <v>6.7142857142857144</v>
      </c>
      <c r="K59" s="166">
        <f t="shared" si="6"/>
        <v>6.7142857142857144</v>
      </c>
      <c r="L59" s="165">
        <f t="shared" si="4"/>
        <v>1.1000000000000001</v>
      </c>
      <c r="M59" s="168">
        <f t="shared" si="0"/>
        <v>0</v>
      </c>
      <c r="N59" s="236" t="s">
        <v>453</v>
      </c>
    </row>
    <row r="60" spans="1:14" ht="14">
      <c r="A60" s="149">
        <v>59</v>
      </c>
      <c r="B60" s="235" t="s">
        <v>49</v>
      </c>
      <c r="C60" s="231" t="s">
        <v>10</v>
      </c>
      <c r="D60" s="250" t="s">
        <v>589</v>
      </c>
      <c r="E60" s="281">
        <v>0</v>
      </c>
      <c r="F60" s="249">
        <v>800</v>
      </c>
      <c r="G60" s="164">
        <f t="shared" si="5"/>
        <v>4.9714285714285715</v>
      </c>
      <c r="H60" s="165">
        <f t="shared" si="1"/>
        <v>9.9428571428571431</v>
      </c>
      <c r="I60" s="165">
        <f t="shared" si="2"/>
        <v>7.4571428571428573</v>
      </c>
      <c r="J60" s="166">
        <f t="shared" si="3"/>
        <v>12.428571428571429</v>
      </c>
      <c r="K60" s="166">
        <f t="shared" si="6"/>
        <v>12.428571428571429</v>
      </c>
      <c r="L60" s="165">
        <f t="shared" si="4"/>
        <v>1.2</v>
      </c>
      <c r="M60" s="168">
        <f t="shared" si="0"/>
        <v>0</v>
      </c>
      <c r="N60" s="236" t="s">
        <v>453</v>
      </c>
    </row>
    <row r="61" spans="1:14" ht="14">
      <c r="A61" s="149">
        <v>60</v>
      </c>
      <c r="B61" s="235" t="s">
        <v>49</v>
      </c>
      <c r="C61" s="231" t="s">
        <v>10</v>
      </c>
      <c r="D61" s="250" t="s">
        <v>591</v>
      </c>
      <c r="E61" s="281">
        <v>0</v>
      </c>
      <c r="F61" s="249">
        <v>400</v>
      </c>
      <c r="G61" s="164">
        <f t="shared" si="5"/>
        <v>2.6857142857142859</v>
      </c>
      <c r="H61" s="165">
        <f t="shared" si="1"/>
        <v>5.3714285714285719</v>
      </c>
      <c r="I61" s="165">
        <f t="shared" si="2"/>
        <v>4.0285714285714285</v>
      </c>
      <c r="J61" s="166">
        <f t="shared" si="3"/>
        <v>6.7142857142857144</v>
      </c>
      <c r="K61" s="166">
        <f t="shared" si="6"/>
        <v>6.7142857142857144</v>
      </c>
      <c r="L61" s="165">
        <f t="shared" si="4"/>
        <v>1.1000000000000001</v>
      </c>
      <c r="M61" s="168">
        <f t="shared" si="0"/>
        <v>0</v>
      </c>
      <c r="N61" s="236" t="s">
        <v>453</v>
      </c>
    </row>
    <row r="62" spans="1:14" ht="14">
      <c r="A62" s="149">
        <v>61</v>
      </c>
      <c r="B62" s="235" t="s">
        <v>49</v>
      </c>
      <c r="C62" s="231" t="s">
        <v>10</v>
      </c>
      <c r="D62" s="250" t="s">
        <v>593</v>
      </c>
      <c r="E62" s="281">
        <v>0</v>
      </c>
      <c r="F62" s="249">
        <v>400</v>
      </c>
      <c r="G62" s="164">
        <f t="shared" si="5"/>
        <v>2.6857142857142859</v>
      </c>
      <c r="H62" s="165">
        <f t="shared" si="1"/>
        <v>5.3714285714285719</v>
      </c>
      <c r="I62" s="165">
        <f t="shared" si="2"/>
        <v>4.0285714285714285</v>
      </c>
      <c r="J62" s="166">
        <f t="shared" si="3"/>
        <v>6.7142857142857144</v>
      </c>
      <c r="K62" s="166">
        <f t="shared" si="6"/>
        <v>6.7142857142857144</v>
      </c>
      <c r="L62" s="165">
        <f t="shared" si="4"/>
        <v>1.1000000000000001</v>
      </c>
      <c r="M62" s="168">
        <f t="shared" si="0"/>
        <v>0</v>
      </c>
      <c r="N62" s="236" t="s">
        <v>453</v>
      </c>
    </row>
    <row r="63" spans="1:14" ht="14">
      <c r="A63" s="149">
        <v>62</v>
      </c>
      <c r="B63" s="235" t="s">
        <v>49</v>
      </c>
      <c r="C63" s="231" t="s">
        <v>10</v>
      </c>
      <c r="D63" s="250" t="s">
        <v>595</v>
      </c>
      <c r="E63" s="281">
        <v>0</v>
      </c>
      <c r="F63" s="249">
        <v>300</v>
      </c>
      <c r="G63" s="164">
        <f t="shared" si="5"/>
        <v>2.1142857142857143</v>
      </c>
      <c r="H63" s="165">
        <f t="shared" si="1"/>
        <v>4.2285714285714286</v>
      </c>
      <c r="I63" s="165">
        <f t="shared" si="2"/>
        <v>3.1714285714285713</v>
      </c>
      <c r="J63" s="166">
        <f t="shared" si="3"/>
        <v>5.2857142857142856</v>
      </c>
      <c r="K63" s="166">
        <f t="shared" si="6"/>
        <v>5.2857142857142856</v>
      </c>
      <c r="L63" s="165">
        <f t="shared" si="4"/>
        <v>1.075</v>
      </c>
      <c r="M63" s="168">
        <f t="shared" si="0"/>
        <v>0</v>
      </c>
      <c r="N63" s="236" t="s">
        <v>453</v>
      </c>
    </row>
    <row r="64" spans="1:14" ht="14">
      <c r="A64" s="149">
        <v>63</v>
      </c>
      <c r="B64" s="235" t="s">
        <v>49</v>
      </c>
      <c r="C64" s="231" t="s">
        <v>10</v>
      </c>
      <c r="D64" s="250" t="s">
        <v>598</v>
      </c>
      <c r="E64" s="281">
        <v>0</v>
      </c>
      <c r="F64" s="249">
        <v>350</v>
      </c>
      <c r="G64" s="164">
        <f t="shared" si="5"/>
        <v>2.4000000000000004</v>
      </c>
      <c r="H64" s="165">
        <f t="shared" si="1"/>
        <v>4.8000000000000007</v>
      </c>
      <c r="I64" s="165">
        <f t="shared" si="2"/>
        <v>3.5999999999999996</v>
      </c>
      <c r="J64" s="166">
        <f t="shared" si="3"/>
        <v>6</v>
      </c>
      <c r="K64" s="166">
        <f t="shared" si="6"/>
        <v>6</v>
      </c>
      <c r="L64" s="165">
        <f t="shared" si="4"/>
        <v>1.0874999999999999</v>
      </c>
      <c r="M64" s="168">
        <f t="shared" si="0"/>
        <v>0</v>
      </c>
      <c r="N64" s="236" t="s">
        <v>453</v>
      </c>
    </row>
    <row r="65" spans="1:14" ht="14">
      <c r="A65" s="149">
        <v>64</v>
      </c>
      <c r="B65" s="235" t="s">
        <v>49</v>
      </c>
      <c r="C65" s="231" t="s">
        <v>10</v>
      </c>
      <c r="D65" s="250" t="s">
        <v>601</v>
      </c>
      <c r="E65" s="281">
        <v>0</v>
      </c>
      <c r="F65" s="249">
        <v>700</v>
      </c>
      <c r="G65" s="164">
        <f t="shared" si="5"/>
        <v>4.4000000000000004</v>
      </c>
      <c r="H65" s="165">
        <f t="shared" si="1"/>
        <v>8.8000000000000007</v>
      </c>
      <c r="I65" s="165">
        <f t="shared" si="2"/>
        <v>6.6</v>
      </c>
      <c r="J65" s="166">
        <f t="shared" si="3"/>
        <v>11</v>
      </c>
      <c r="K65" s="166">
        <f t="shared" si="6"/>
        <v>11</v>
      </c>
      <c r="L65" s="165">
        <f t="shared" si="4"/>
        <v>1.175</v>
      </c>
      <c r="M65" s="168">
        <f t="shared" si="0"/>
        <v>0</v>
      </c>
      <c r="N65" s="236" t="s">
        <v>453</v>
      </c>
    </row>
    <row r="66" spans="1:14" ht="14">
      <c r="A66" s="149">
        <v>65</v>
      </c>
      <c r="B66" s="235" t="s">
        <v>49</v>
      </c>
      <c r="C66" s="231" t="s">
        <v>10</v>
      </c>
      <c r="D66" s="250" t="s">
        <v>605</v>
      </c>
      <c r="E66" s="281">
        <v>0</v>
      </c>
      <c r="F66" s="249">
        <v>700</v>
      </c>
      <c r="G66" s="164">
        <f t="shared" si="5"/>
        <v>4.4000000000000004</v>
      </c>
      <c r="H66" s="165">
        <f t="shared" si="1"/>
        <v>8.8000000000000007</v>
      </c>
      <c r="I66" s="165">
        <f t="shared" si="2"/>
        <v>6.6</v>
      </c>
      <c r="J66" s="166">
        <f t="shared" si="3"/>
        <v>11</v>
      </c>
      <c r="K66" s="166">
        <f t="shared" si="6"/>
        <v>11</v>
      </c>
      <c r="L66" s="165">
        <f t="shared" si="4"/>
        <v>1.175</v>
      </c>
      <c r="M66" s="168">
        <f t="shared" ref="M66:M129" si="7">E66/60</f>
        <v>0</v>
      </c>
      <c r="N66" s="236" t="s">
        <v>453</v>
      </c>
    </row>
    <row r="67" spans="1:14" ht="14">
      <c r="A67" s="149">
        <v>66</v>
      </c>
      <c r="B67" s="235" t="s">
        <v>49</v>
      </c>
      <c r="C67" s="231" t="s">
        <v>10</v>
      </c>
      <c r="D67" s="250" t="s">
        <v>607</v>
      </c>
      <c r="E67" s="281">
        <v>0</v>
      </c>
      <c r="F67" s="249">
        <v>3500</v>
      </c>
      <c r="G67" s="164">
        <f t="shared" ref="G67:G130" si="8">(((F67/70)+1)*0.4)</f>
        <v>20.400000000000002</v>
      </c>
      <c r="H67" s="165">
        <f t="shared" ref="H67:H130" si="9">G67*2</f>
        <v>40.800000000000004</v>
      </c>
      <c r="I67" s="165">
        <f t="shared" ref="I67:I130" si="10">(((F67/70)+1)*0.6)</f>
        <v>30.599999999999998</v>
      </c>
      <c r="J67" s="166">
        <f t="shared" ref="J67:J130" si="11">I67+G67</f>
        <v>51</v>
      </c>
      <c r="K67" s="166">
        <f t="shared" si="6"/>
        <v>51</v>
      </c>
      <c r="L67" s="165">
        <f t="shared" ref="L67:L130" si="12">(F67/4000)+1</f>
        <v>1.875</v>
      </c>
      <c r="M67" s="168">
        <f t="shared" si="7"/>
        <v>0</v>
      </c>
      <c r="N67" s="236" t="s">
        <v>453</v>
      </c>
    </row>
    <row r="68" spans="1:14" ht="14">
      <c r="A68" s="149">
        <v>67</v>
      </c>
      <c r="B68" s="235" t="s">
        <v>49</v>
      </c>
      <c r="C68" s="231" t="s">
        <v>10</v>
      </c>
      <c r="D68" s="250" t="s">
        <v>609</v>
      </c>
      <c r="E68" s="281">
        <v>0</v>
      </c>
      <c r="F68" s="249">
        <v>1129.8</v>
      </c>
      <c r="G68" s="164">
        <f t="shared" si="8"/>
        <v>6.8560000000000008</v>
      </c>
      <c r="H68" s="165">
        <f t="shared" si="9"/>
        <v>13.712000000000002</v>
      </c>
      <c r="I68" s="165">
        <f t="shared" si="10"/>
        <v>10.284000000000001</v>
      </c>
      <c r="J68" s="166">
        <f t="shared" si="11"/>
        <v>17.14</v>
      </c>
      <c r="K68" s="166">
        <f t="shared" ref="K68:K131" si="13">J68</f>
        <v>17.14</v>
      </c>
      <c r="L68" s="165">
        <f t="shared" si="12"/>
        <v>1.2824499999999999</v>
      </c>
      <c r="M68" s="168">
        <f t="shared" si="7"/>
        <v>0</v>
      </c>
      <c r="N68" s="236" t="s">
        <v>453</v>
      </c>
    </row>
    <row r="69" spans="1:14" ht="14">
      <c r="A69" s="149">
        <v>68</v>
      </c>
      <c r="B69" s="235" t="s">
        <v>49</v>
      </c>
      <c r="C69" s="231" t="s">
        <v>10</v>
      </c>
      <c r="D69" s="250" t="s">
        <v>611</v>
      </c>
      <c r="E69" s="281">
        <v>0</v>
      </c>
      <c r="F69" s="249">
        <v>577.5</v>
      </c>
      <c r="G69" s="164">
        <f t="shared" si="8"/>
        <v>3.7</v>
      </c>
      <c r="H69" s="165">
        <f t="shared" si="9"/>
        <v>7.4</v>
      </c>
      <c r="I69" s="165">
        <f t="shared" si="10"/>
        <v>5.55</v>
      </c>
      <c r="J69" s="166">
        <f t="shared" si="11"/>
        <v>9.25</v>
      </c>
      <c r="K69" s="166">
        <f t="shared" si="13"/>
        <v>9.25</v>
      </c>
      <c r="L69" s="165">
        <f t="shared" si="12"/>
        <v>1.1443749999999999</v>
      </c>
      <c r="M69" s="168">
        <f t="shared" si="7"/>
        <v>0</v>
      </c>
      <c r="N69" s="236" t="s">
        <v>453</v>
      </c>
    </row>
    <row r="70" spans="1:14" ht="14">
      <c r="A70" s="149">
        <v>69</v>
      </c>
      <c r="B70" s="235" t="s">
        <v>49</v>
      </c>
      <c r="C70" s="231" t="s">
        <v>10</v>
      </c>
      <c r="D70" s="250" t="s">
        <v>613</v>
      </c>
      <c r="E70" s="281">
        <v>0</v>
      </c>
      <c r="F70" s="249">
        <v>3715.95</v>
      </c>
      <c r="G70" s="164">
        <f t="shared" si="8"/>
        <v>21.634</v>
      </c>
      <c r="H70" s="165">
        <f t="shared" si="9"/>
        <v>43.268000000000001</v>
      </c>
      <c r="I70" s="165">
        <f t="shared" si="10"/>
        <v>32.451000000000001</v>
      </c>
      <c r="J70" s="166">
        <f t="shared" si="11"/>
        <v>54.085000000000001</v>
      </c>
      <c r="K70" s="166">
        <f t="shared" si="13"/>
        <v>54.085000000000001</v>
      </c>
      <c r="L70" s="165">
        <f t="shared" si="12"/>
        <v>1.9289874999999999</v>
      </c>
      <c r="M70" s="168">
        <f t="shared" si="7"/>
        <v>0</v>
      </c>
      <c r="N70" s="236" t="s">
        <v>453</v>
      </c>
    </row>
    <row r="71" spans="1:14" ht="14">
      <c r="A71" s="149">
        <v>70</v>
      </c>
      <c r="B71" s="235" t="s">
        <v>49</v>
      </c>
      <c r="C71" s="231" t="s">
        <v>10</v>
      </c>
      <c r="D71" s="250" t="s">
        <v>615</v>
      </c>
      <c r="E71" s="281">
        <v>0</v>
      </c>
      <c r="F71" s="249">
        <v>4048.8</v>
      </c>
      <c r="G71" s="164">
        <f t="shared" si="8"/>
        <v>23.536000000000001</v>
      </c>
      <c r="H71" s="165">
        <f t="shared" si="9"/>
        <v>47.072000000000003</v>
      </c>
      <c r="I71" s="165">
        <f t="shared" si="10"/>
        <v>35.304000000000002</v>
      </c>
      <c r="J71" s="166">
        <f t="shared" si="11"/>
        <v>58.84</v>
      </c>
      <c r="K71" s="166">
        <f t="shared" si="13"/>
        <v>58.84</v>
      </c>
      <c r="L71" s="165">
        <f t="shared" si="12"/>
        <v>2.0122</v>
      </c>
      <c r="M71" s="168">
        <f t="shared" si="7"/>
        <v>0</v>
      </c>
      <c r="N71" s="236" t="s">
        <v>453</v>
      </c>
    </row>
    <row r="72" spans="1:14" ht="14">
      <c r="A72" s="149">
        <v>71</v>
      </c>
      <c r="B72" s="235" t="s">
        <v>49</v>
      </c>
      <c r="C72" s="231" t="s">
        <v>10</v>
      </c>
      <c r="D72" s="250" t="s">
        <v>617</v>
      </c>
      <c r="E72" s="281">
        <v>0</v>
      </c>
      <c r="F72" s="249">
        <v>567</v>
      </c>
      <c r="G72" s="164">
        <f t="shared" si="8"/>
        <v>3.64</v>
      </c>
      <c r="H72" s="165">
        <f t="shared" si="9"/>
        <v>7.28</v>
      </c>
      <c r="I72" s="165">
        <f t="shared" si="10"/>
        <v>5.46</v>
      </c>
      <c r="J72" s="166">
        <f t="shared" si="11"/>
        <v>9.1</v>
      </c>
      <c r="K72" s="166">
        <f t="shared" si="13"/>
        <v>9.1</v>
      </c>
      <c r="L72" s="165">
        <f t="shared" si="12"/>
        <v>1.14175</v>
      </c>
      <c r="M72" s="168">
        <f t="shared" si="7"/>
        <v>0</v>
      </c>
      <c r="N72" s="236" t="s">
        <v>453</v>
      </c>
    </row>
    <row r="73" spans="1:14" ht="14">
      <c r="A73" s="149">
        <v>72</v>
      </c>
      <c r="B73" s="235" t="s">
        <v>49</v>
      </c>
      <c r="C73" s="231" t="s">
        <v>10</v>
      </c>
      <c r="D73" s="250" t="s">
        <v>619</v>
      </c>
      <c r="E73" s="281">
        <v>0</v>
      </c>
      <c r="F73" s="249">
        <v>315</v>
      </c>
      <c r="G73" s="164">
        <f t="shared" si="8"/>
        <v>2.2000000000000002</v>
      </c>
      <c r="H73" s="165">
        <f t="shared" si="9"/>
        <v>4.4000000000000004</v>
      </c>
      <c r="I73" s="165">
        <f t="shared" si="10"/>
        <v>3.3</v>
      </c>
      <c r="J73" s="166">
        <f t="shared" si="11"/>
        <v>5.5</v>
      </c>
      <c r="K73" s="166">
        <f t="shared" si="13"/>
        <v>5.5</v>
      </c>
      <c r="L73" s="165">
        <f t="shared" si="12"/>
        <v>1.0787500000000001</v>
      </c>
      <c r="M73" s="168">
        <f t="shared" si="7"/>
        <v>0</v>
      </c>
      <c r="N73" s="236" t="s">
        <v>453</v>
      </c>
    </row>
    <row r="74" spans="1:14" ht="14">
      <c r="A74" s="149">
        <v>73</v>
      </c>
      <c r="B74" s="235" t="s">
        <v>49</v>
      </c>
      <c r="C74" s="231" t="s">
        <v>10</v>
      </c>
      <c r="D74" s="250" t="s">
        <v>621</v>
      </c>
      <c r="E74" s="281">
        <v>0</v>
      </c>
      <c r="F74" s="249">
        <v>400</v>
      </c>
      <c r="G74" s="164">
        <f t="shared" si="8"/>
        <v>2.6857142857142859</v>
      </c>
      <c r="H74" s="165">
        <f t="shared" si="9"/>
        <v>5.3714285714285719</v>
      </c>
      <c r="I74" s="165">
        <f t="shared" si="10"/>
        <v>4.0285714285714285</v>
      </c>
      <c r="J74" s="166">
        <f t="shared" si="11"/>
        <v>6.7142857142857144</v>
      </c>
      <c r="K74" s="166">
        <f t="shared" si="13"/>
        <v>6.7142857142857144</v>
      </c>
      <c r="L74" s="165">
        <f t="shared" si="12"/>
        <v>1.1000000000000001</v>
      </c>
      <c r="M74" s="168">
        <f t="shared" si="7"/>
        <v>0</v>
      </c>
      <c r="N74" s="236" t="s">
        <v>453</v>
      </c>
    </row>
    <row r="75" spans="1:14" ht="14">
      <c r="A75" s="149">
        <v>74</v>
      </c>
      <c r="B75" s="235" t="s">
        <v>49</v>
      </c>
      <c r="C75" s="231" t="s">
        <v>10</v>
      </c>
      <c r="D75" s="250" t="s">
        <v>623</v>
      </c>
      <c r="E75" s="281">
        <v>0</v>
      </c>
      <c r="F75" s="249">
        <v>3963.75</v>
      </c>
      <c r="G75" s="164">
        <f t="shared" si="8"/>
        <v>23.05</v>
      </c>
      <c r="H75" s="165">
        <f t="shared" si="9"/>
        <v>46.1</v>
      </c>
      <c r="I75" s="165">
        <f t="shared" si="10"/>
        <v>34.574999999999996</v>
      </c>
      <c r="J75" s="166">
        <f t="shared" si="11"/>
        <v>57.625</v>
      </c>
      <c r="K75" s="166">
        <f t="shared" si="13"/>
        <v>57.625</v>
      </c>
      <c r="L75" s="165">
        <f t="shared" si="12"/>
        <v>1.9909375</v>
      </c>
      <c r="M75" s="168">
        <f t="shared" si="7"/>
        <v>0</v>
      </c>
      <c r="N75" s="236" t="s">
        <v>453</v>
      </c>
    </row>
    <row r="76" spans="1:14" ht="14">
      <c r="A76" s="149">
        <v>75</v>
      </c>
      <c r="B76" s="235" t="s">
        <v>49</v>
      </c>
      <c r="C76" s="231" t="s">
        <v>10</v>
      </c>
      <c r="D76" s="250" t="s">
        <v>625</v>
      </c>
      <c r="E76" s="281">
        <v>0</v>
      </c>
      <c r="F76" s="249">
        <v>1000</v>
      </c>
      <c r="G76" s="164">
        <f t="shared" si="8"/>
        <v>6.1142857142857148</v>
      </c>
      <c r="H76" s="165">
        <f t="shared" si="9"/>
        <v>12.22857142857143</v>
      </c>
      <c r="I76" s="165">
        <f t="shared" si="10"/>
        <v>9.1714285714285708</v>
      </c>
      <c r="J76" s="166">
        <f t="shared" si="11"/>
        <v>15.285714285714285</v>
      </c>
      <c r="K76" s="166">
        <f t="shared" si="13"/>
        <v>15.285714285714285</v>
      </c>
      <c r="L76" s="165">
        <f t="shared" si="12"/>
        <v>1.25</v>
      </c>
      <c r="M76" s="168">
        <f t="shared" si="7"/>
        <v>0</v>
      </c>
      <c r="N76" s="236" t="s">
        <v>453</v>
      </c>
    </row>
    <row r="77" spans="1:14" ht="14">
      <c r="A77" s="149">
        <v>76</v>
      </c>
      <c r="B77" s="235" t="s">
        <v>49</v>
      </c>
      <c r="C77" s="231" t="s">
        <v>10</v>
      </c>
      <c r="D77" s="250" t="s">
        <v>627</v>
      </c>
      <c r="E77" s="281">
        <v>0</v>
      </c>
      <c r="F77" s="249">
        <v>315</v>
      </c>
      <c r="G77" s="164">
        <f t="shared" si="8"/>
        <v>2.2000000000000002</v>
      </c>
      <c r="H77" s="165">
        <f t="shared" si="9"/>
        <v>4.4000000000000004</v>
      </c>
      <c r="I77" s="165">
        <f t="shared" si="10"/>
        <v>3.3</v>
      </c>
      <c r="J77" s="166">
        <f t="shared" si="11"/>
        <v>5.5</v>
      </c>
      <c r="K77" s="166">
        <f t="shared" si="13"/>
        <v>5.5</v>
      </c>
      <c r="L77" s="165">
        <f t="shared" si="12"/>
        <v>1.0787500000000001</v>
      </c>
      <c r="M77" s="168">
        <f t="shared" si="7"/>
        <v>0</v>
      </c>
      <c r="N77" s="236" t="s">
        <v>453</v>
      </c>
    </row>
    <row r="78" spans="1:14" ht="14">
      <c r="A78" s="149">
        <v>77</v>
      </c>
      <c r="B78" s="235" t="s">
        <v>49</v>
      </c>
      <c r="C78" s="231" t="s">
        <v>10</v>
      </c>
      <c r="D78" s="250" t="s">
        <v>629</v>
      </c>
      <c r="E78" s="281">
        <v>0</v>
      </c>
      <c r="F78" s="249">
        <v>8373.75</v>
      </c>
      <c r="G78" s="164">
        <f t="shared" si="8"/>
        <v>48.25</v>
      </c>
      <c r="H78" s="165">
        <f t="shared" si="9"/>
        <v>96.5</v>
      </c>
      <c r="I78" s="165">
        <f t="shared" si="10"/>
        <v>72.375</v>
      </c>
      <c r="J78" s="166">
        <f t="shared" si="11"/>
        <v>120.625</v>
      </c>
      <c r="K78" s="166">
        <f t="shared" si="13"/>
        <v>120.625</v>
      </c>
      <c r="L78" s="165">
        <f t="shared" si="12"/>
        <v>3.0934374999999998</v>
      </c>
      <c r="M78" s="168">
        <f t="shared" si="7"/>
        <v>0</v>
      </c>
      <c r="N78" s="236" t="s">
        <v>453</v>
      </c>
    </row>
    <row r="79" spans="1:14" ht="14">
      <c r="A79" s="149">
        <v>78</v>
      </c>
      <c r="B79" s="235" t="s">
        <v>49</v>
      </c>
      <c r="C79" s="231" t="s">
        <v>10</v>
      </c>
      <c r="D79" s="250" t="s">
        <v>631</v>
      </c>
      <c r="E79" s="281">
        <v>0</v>
      </c>
      <c r="F79" s="249">
        <v>394.8</v>
      </c>
      <c r="G79" s="164">
        <f t="shared" si="8"/>
        <v>2.6560000000000006</v>
      </c>
      <c r="H79" s="165">
        <f t="shared" si="9"/>
        <v>5.3120000000000012</v>
      </c>
      <c r="I79" s="165">
        <f t="shared" si="10"/>
        <v>3.984</v>
      </c>
      <c r="J79" s="166">
        <f t="shared" si="11"/>
        <v>6.6400000000000006</v>
      </c>
      <c r="K79" s="166">
        <f t="shared" si="13"/>
        <v>6.6400000000000006</v>
      </c>
      <c r="L79" s="165">
        <f t="shared" si="12"/>
        <v>1.0987</v>
      </c>
      <c r="M79" s="168">
        <f t="shared" si="7"/>
        <v>0</v>
      </c>
      <c r="N79" s="236" t="s">
        <v>453</v>
      </c>
    </row>
    <row r="80" spans="1:14" ht="14">
      <c r="A80" s="149">
        <v>79</v>
      </c>
      <c r="B80" s="235" t="s">
        <v>49</v>
      </c>
      <c r="C80" s="231" t="s">
        <v>10</v>
      </c>
      <c r="D80" s="250" t="s">
        <v>633</v>
      </c>
      <c r="E80" s="281">
        <v>0</v>
      </c>
      <c r="F80" s="249">
        <v>2206.0500000000002</v>
      </c>
      <c r="G80" s="164">
        <f t="shared" si="8"/>
        <v>13.006</v>
      </c>
      <c r="H80" s="165">
        <f t="shared" si="9"/>
        <v>26.012</v>
      </c>
      <c r="I80" s="165">
        <f t="shared" si="10"/>
        <v>19.509</v>
      </c>
      <c r="J80" s="166">
        <f t="shared" si="11"/>
        <v>32.515000000000001</v>
      </c>
      <c r="K80" s="166">
        <f t="shared" si="13"/>
        <v>32.515000000000001</v>
      </c>
      <c r="L80" s="165">
        <f t="shared" si="12"/>
        <v>1.5515125000000001</v>
      </c>
      <c r="M80" s="168">
        <f t="shared" si="7"/>
        <v>0</v>
      </c>
      <c r="N80" s="236" t="s">
        <v>453</v>
      </c>
    </row>
    <row r="81" spans="1:14" ht="14">
      <c r="A81" s="149">
        <v>80</v>
      </c>
      <c r="B81" s="235" t="s">
        <v>49</v>
      </c>
      <c r="C81" s="231" t="s">
        <v>10</v>
      </c>
      <c r="D81" s="250" t="s">
        <v>635</v>
      </c>
      <c r="E81" s="281">
        <v>0</v>
      </c>
      <c r="F81" s="249">
        <v>700</v>
      </c>
      <c r="G81" s="164">
        <f t="shared" si="8"/>
        <v>4.4000000000000004</v>
      </c>
      <c r="H81" s="165">
        <f t="shared" si="9"/>
        <v>8.8000000000000007</v>
      </c>
      <c r="I81" s="165">
        <f t="shared" si="10"/>
        <v>6.6</v>
      </c>
      <c r="J81" s="166">
        <f t="shared" si="11"/>
        <v>11</v>
      </c>
      <c r="K81" s="166">
        <f t="shared" si="13"/>
        <v>11</v>
      </c>
      <c r="L81" s="165">
        <f t="shared" si="12"/>
        <v>1.175</v>
      </c>
      <c r="M81" s="168">
        <f t="shared" si="7"/>
        <v>0</v>
      </c>
      <c r="N81" s="236" t="s">
        <v>453</v>
      </c>
    </row>
    <row r="82" spans="1:14" ht="14">
      <c r="A82" s="149">
        <v>81</v>
      </c>
      <c r="B82" s="235" t="s">
        <v>49</v>
      </c>
      <c r="C82" s="231" t="s">
        <v>10</v>
      </c>
      <c r="D82" s="250" t="s">
        <v>638</v>
      </c>
      <c r="E82" s="281">
        <v>0</v>
      </c>
      <c r="F82" s="249">
        <v>500</v>
      </c>
      <c r="G82" s="164">
        <f t="shared" si="8"/>
        <v>3.2571428571428571</v>
      </c>
      <c r="H82" s="165">
        <f t="shared" si="9"/>
        <v>6.5142857142857142</v>
      </c>
      <c r="I82" s="165">
        <f t="shared" si="10"/>
        <v>4.8857142857142852</v>
      </c>
      <c r="J82" s="166">
        <f t="shared" si="11"/>
        <v>8.1428571428571423</v>
      </c>
      <c r="K82" s="166">
        <f t="shared" si="13"/>
        <v>8.1428571428571423</v>
      </c>
      <c r="L82" s="165">
        <f t="shared" si="12"/>
        <v>1.125</v>
      </c>
      <c r="M82" s="168">
        <f t="shared" si="7"/>
        <v>0</v>
      </c>
      <c r="N82" s="236" t="s">
        <v>453</v>
      </c>
    </row>
    <row r="83" spans="1:14" ht="14">
      <c r="A83" s="149">
        <v>82</v>
      </c>
      <c r="B83" s="235" t="s">
        <v>49</v>
      </c>
      <c r="C83" s="231" t="s">
        <v>10</v>
      </c>
      <c r="D83" s="250" t="s">
        <v>640</v>
      </c>
      <c r="E83" s="281">
        <v>0</v>
      </c>
      <c r="F83" s="249">
        <v>400</v>
      </c>
      <c r="G83" s="164">
        <f t="shared" si="8"/>
        <v>2.6857142857142859</v>
      </c>
      <c r="H83" s="165">
        <f t="shared" si="9"/>
        <v>5.3714285714285719</v>
      </c>
      <c r="I83" s="165">
        <f t="shared" si="10"/>
        <v>4.0285714285714285</v>
      </c>
      <c r="J83" s="166">
        <f t="shared" si="11"/>
        <v>6.7142857142857144</v>
      </c>
      <c r="K83" s="166">
        <f t="shared" si="13"/>
        <v>6.7142857142857144</v>
      </c>
      <c r="L83" s="165">
        <f t="shared" si="12"/>
        <v>1.1000000000000001</v>
      </c>
      <c r="M83" s="168">
        <f t="shared" si="7"/>
        <v>0</v>
      </c>
      <c r="N83" s="236" t="s">
        <v>453</v>
      </c>
    </row>
    <row r="84" spans="1:14" ht="14">
      <c r="A84" s="149">
        <v>83</v>
      </c>
      <c r="B84" s="235" t="s">
        <v>49</v>
      </c>
      <c r="C84" s="231" t="s">
        <v>10</v>
      </c>
      <c r="D84" s="250" t="s">
        <v>642</v>
      </c>
      <c r="E84" s="281">
        <v>0</v>
      </c>
      <c r="F84" s="249">
        <v>400</v>
      </c>
      <c r="G84" s="164">
        <f t="shared" si="8"/>
        <v>2.6857142857142859</v>
      </c>
      <c r="H84" s="165">
        <f t="shared" si="9"/>
        <v>5.3714285714285719</v>
      </c>
      <c r="I84" s="165">
        <f t="shared" si="10"/>
        <v>4.0285714285714285</v>
      </c>
      <c r="J84" s="166">
        <f t="shared" si="11"/>
        <v>6.7142857142857144</v>
      </c>
      <c r="K84" s="166">
        <f t="shared" si="13"/>
        <v>6.7142857142857144</v>
      </c>
      <c r="L84" s="165">
        <f t="shared" si="12"/>
        <v>1.1000000000000001</v>
      </c>
      <c r="M84" s="168">
        <f t="shared" si="7"/>
        <v>0</v>
      </c>
      <c r="N84" s="236" t="s">
        <v>453</v>
      </c>
    </row>
    <row r="85" spans="1:14" ht="14">
      <c r="A85" s="149">
        <v>84</v>
      </c>
      <c r="B85" s="235" t="s">
        <v>49</v>
      </c>
      <c r="C85" s="231" t="s">
        <v>10</v>
      </c>
      <c r="D85" s="250" t="s">
        <v>644</v>
      </c>
      <c r="E85" s="281">
        <v>0</v>
      </c>
      <c r="F85" s="249">
        <v>200</v>
      </c>
      <c r="G85" s="164">
        <f t="shared" si="8"/>
        <v>1.5428571428571429</v>
      </c>
      <c r="H85" s="165">
        <f t="shared" si="9"/>
        <v>3.0857142857142859</v>
      </c>
      <c r="I85" s="165">
        <f t="shared" si="10"/>
        <v>2.3142857142857141</v>
      </c>
      <c r="J85" s="166">
        <f t="shared" si="11"/>
        <v>3.8571428571428568</v>
      </c>
      <c r="K85" s="166">
        <f t="shared" si="13"/>
        <v>3.8571428571428568</v>
      </c>
      <c r="L85" s="165">
        <f t="shared" si="12"/>
        <v>1.05</v>
      </c>
      <c r="M85" s="168">
        <f t="shared" si="7"/>
        <v>0</v>
      </c>
      <c r="N85" s="236" t="s">
        <v>453</v>
      </c>
    </row>
    <row r="86" spans="1:14" ht="14">
      <c r="A86" s="149">
        <v>85</v>
      </c>
      <c r="B86" s="235" t="s">
        <v>49</v>
      </c>
      <c r="C86" s="231" t="s">
        <v>10</v>
      </c>
      <c r="D86" s="250" t="s">
        <v>646</v>
      </c>
      <c r="E86" s="281">
        <v>0</v>
      </c>
      <c r="F86" s="249">
        <v>350</v>
      </c>
      <c r="G86" s="164">
        <f t="shared" si="8"/>
        <v>2.4000000000000004</v>
      </c>
      <c r="H86" s="165">
        <f t="shared" si="9"/>
        <v>4.8000000000000007</v>
      </c>
      <c r="I86" s="165">
        <f t="shared" si="10"/>
        <v>3.5999999999999996</v>
      </c>
      <c r="J86" s="166">
        <f t="shared" si="11"/>
        <v>6</v>
      </c>
      <c r="K86" s="166">
        <f t="shared" si="13"/>
        <v>6</v>
      </c>
      <c r="L86" s="165">
        <f t="shared" si="12"/>
        <v>1.0874999999999999</v>
      </c>
      <c r="M86" s="168">
        <f t="shared" si="7"/>
        <v>0</v>
      </c>
      <c r="N86" s="236" t="s">
        <v>453</v>
      </c>
    </row>
    <row r="87" spans="1:14" ht="14">
      <c r="A87" s="149">
        <v>86</v>
      </c>
      <c r="B87" s="235" t="s">
        <v>49</v>
      </c>
      <c r="C87" s="231" t="s">
        <v>10</v>
      </c>
      <c r="D87" s="250" t="s">
        <v>648</v>
      </c>
      <c r="E87" s="281">
        <v>0</v>
      </c>
      <c r="F87" s="249">
        <v>1600</v>
      </c>
      <c r="G87" s="164">
        <f t="shared" si="8"/>
        <v>9.5428571428571427</v>
      </c>
      <c r="H87" s="165">
        <f t="shared" si="9"/>
        <v>19.085714285714285</v>
      </c>
      <c r="I87" s="165">
        <f t="shared" si="10"/>
        <v>14.314285714285715</v>
      </c>
      <c r="J87" s="166">
        <f t="shared" si="11"/>
        <v>23.857142857142858</v>
      </c>
      <c r="K87" s="166">
        <f t="shared" si="13"/>
        <v>23.857142857142858</v>
      </c>
      <c r="L87" s="165">
        <f t="shared" si="12"/>
        <v>1.4</v>
      </c>
      <c r="M87" s="168">
        <f t="shared" si="7"/>
        <v>0</v>
      </c>
      <c r="N87" s="236" t="s">
        <v>453</v>
      </c>
    </row>
    <row r="88" spans="1:14" ht="14">
      <c r="A88" s="149">
        <v>87</v>
      </c>
      <c r="B88" s="235" t="s">
        <v>49</v>
      </c>
      <c r="C88" s="231" t="s">
        <v>10</v>
      </c>
      <c r="D88" s="250" t="s">
        <v>650</v>
      </c>
      <c r="E88" s="281">
        <v>0</v>
      </c>
      <c r="F88" s="249">
        <v>2219</v>
      </c>
      <c r="G88" s="164">
        <f t="shared" si="8"/>
        <v>13.080000000000002</v>
      </c>
      <c r="H88" s="165">
        <f t="shared" si="9"/>
        <v>26.160000000000004</v>
      </c>
      <c r="I88" s="165">
        <f t="shared" si="10"/>
        <v>19.62</v>
      </c>
      <c r="J88" s="166">
        <f t="shared" si="11"/>
        <v>32.700000000000003</v>
      </c>
      <c r="K88" s="166">
        <f t="shared" si="13"/>
        <v>32.700000000000003</v>
      </c>
      <c r="L88" s="165">
        <f t="shared" si="12"/>
        <v>1.5547499999999999</v>
      </c>
      <c r="M88" s="168">
        <f t="shared" si="7"/>
        <v>0</v>
      </c>
      <c r="N88" s="236" t="s">
        <v>453</v>
      </c>
    </row>
    <row r="89" spans="1:14" ht="14">
      <c r="A89" s="149">
        <v>88</v>
      </c>
      <c r="B89" s="235" t="s">
        <v>49</v>
      </c>
      <c r="C89" s="231" t="s">
        <v>10</v>
      </c>
      <c r="D89" s="250" t="s">
        <v>652</v>
      </c>
      <c r="E89" s="281">
        <v>0</v>
      </c>
      <c r="F89" s="249">
        <v>450</v>
      </c>
      <c r="G89" s="164">
        <f t="shared" si="8"/>
        <v>2.9714285714285715</v>
      </c>
      <c r="H89" s="165">
        <f t="shared" si="9"/>
        <v>5.9428571428571431</v>
      </c>
      <c r="I89" s="165">
        <f t="shared" si="10"/>
        <v>4.4571428571428573</v>
      </c>
      <c r="J89" s="166">
        <f t="shared" si="11"/>
        <v>7.4285714285714288</v>
      </c>
      <c r="K89" s="166">
        <f t="shared" si="13"/>
        <v>7.4285714285714288</v>
      </c>
      <c r="L89" s="165">
        <f t="shared" si="12"/>
        <v>1.1125</v>
      </c>
      <c r="M89" s="168">
        <f t="shared" si="7"/>
        <v>0</v>
      </c>
      <c r="N89" s="236" t="s">
        <v>453</v>
      </c>
    </row>
    <row r="90" spans="1:14" ht="14">
      <c r="A90" s="149">
        <v>89</v>
      </c>
      <c r="B90" s="235" t="s">
        <v>50</v>
      </c>
      <c r="C90" s="231" t="s">
        <v>10</v>
      </c>
      <c r="D90" s="250" t="s">
        <v>654</v>
      </c>
      <c r="E90" s="281">
        <v>0</v>
      </c>
      <c r="F90" s="249">
        <v>315</v>
      </c>
      <c r="G90" s="164">
        <f t="shared" si="8"/>
        <v>2.2000000000000002</v>
      </c>
      <c r="H90" s="165">
        <f t="shared" si="9"/>
        <v>4.4000000000000004</v>
      </c>
      <c r="I90" s="165">
        <f t="shared" si="10"/>
        <v>3.3</v>
      </c>
      <c r="J90" s="166">
        <f t="shared" si="11"/>
        <v>5.5</v>
      </c>
      <c r="K90" s="166">
        <f t="shared" si="13"/>
        <v>5.5</v>
      </c>
      <c r="L90" s="165">
        <f t="shared" si="12"/>
        <v>1.0787500000000001</v>
      </c>
      <c r="M90" s="168">
        <f t="shared" si="7"/>
        <v>0</v>
      </c>
      <c r="N90" s="236" t="s">
        <v>453</v>
      </c>
    </row>
    <row r="91" spans="1:14" ht="14">
      <c r="A91" s="149">
        <v>90</v>
      </c>
      <c r="B91" s="235" t="s">
        <v>50</v>
      </c>
      <c r="C91" s="231" t="s">
        <v>10</v>
      </c>
      <c r="D91" s="250" t="s">
        <v>657</v>
      </c>
      <c r="E91" s="281">
        <v>0</v>
      </c>
      <c r="F91" s="249">
        <v>315</v>
      </c>
      <c r="G91" s="164">
        <f t="shared" si="8"/>
        <v>2.2000000000000002</v>
      </c>
      <c r="H91" s="165">
        <f t="shared" si="9"/>
        <v>4.4000000000000004</v>
      </c>
      <c r="I91" s="165">
        <f t="shared" si="10"/>
        <v>3.3</v>
      </c>
      <c r="J91" s="166">
        <f t="shared" si="11"/>
        <v>5.5</v>
      </c>
      <c r="K91" s="166">
        <f t="shared" si="13"/>
        <v>5.5</v>
      </c>
      <c r="L91" s="165">
        <f t="shared" si="12"/>
        <v>1.0787500000000001</v>
      </c>
      <c r="M91" s="168">
        <f t="shared" si="7"/>
        <v>0</v>
      </c>
      <c r="N91" s="236" t="s">
        <v>453</v>
      </c>
    </row>
    <row r="92" spans="1:14" ht="14">
      <c r="A92" s="149">
        <v>91</v>
      </c>
      <c r="B92" s="235" t="s">
        <v>50</v>
      </c>
      <c r="C92" s="231" t="s">
        <v>10</v>
      </c>
      <c r="D92" s="250" t="s">
        <v>659</v>
      </c>
      <c r="E92" s="281">
        <v>0</v>
      </c>
      <c r="F92" s="249">
        <v>3058.65</v>
      </c>
      <c r="G92" s="164">
        <f t="shared" si="8"/>
        <v>17.878</v>
      </c>
      <c r="H92" s="165">
        <f t="shared" si="9"/>
        <v>35.756</v>
      </c>
      <c r="I92" s="165">
        <f t="shared" si="10"/>
        <v>26.817</v>
      </c>
      <c r="J92" s="166">
        <f t="shared" si="11"/>
        <v>44.695</v>
      </c>
      <c r="K92" s="166">
        <f t="shared" si="13"/>
        <v>44.695</v>
      </c>
      <c r="L92" s="165">
        <f t="shared" si="12"/>
        <v>1.7646625</v>
      </c>
      <c r="M92" s="168">
        <f t="shared" si="7"/>
        <v>0</v>
      </c>
      <c r="N92" s="236" t="s">
        <v>453</v>
      </c>
    </row>
    <row r="93" spans="1:14" ht="14">
      <c r="A93" s="149">
        <v>92</v>
      </c>
      <c r="B93" s="235" t="s">
        <v>50</v>
      </c>
      <c r="C93" s="231" t="s">
        <v>10</v>
      </c>
      <c r="D93" s="250" t="s">
        <v>661</v>
      </c>
      <c r="E93" s="281">
        <v>0</v>
      </c>
      <c r="F93" s="249">
        <v>1074.1500000000001</v>
      </c>
      <c r="G93" s="164">
        <f t="shared" si="8"/>
        <v>6.5380000000000003</v>
      </c>
      <c r="H93" s="165">
        <f t="shared" si="9"/>
        <v>13.076000000000001</v>
      </c>
      <c r="I93" s="165">
        <f t="shared" si="10"/>
        <v>9.8069999999999986</v>
      </c>
      <c r="J93" s="166">
        <f t="shared" si="11"/>
        <v>16.344999999999999</v>
      </c>
      <c r="K93" s="166">
        <f t="shared" si="13"/>
        <v>16.344999999999999</v>
      </c>
      <c r="L93" s="165">
        <f t="shared" si="12"/>
        <v>1.2685375000000001</v>
      </c>
      <c r="M93" s="168">
        <f t="shared" si="7"/>
        <v>0</v>
      </c>
      <c r="N93" s="236" t="s">
        <v>453</v>
      </c>
    </row>
    <row r="94" spans="1:14" ht="14">
      <c r="A94" s="149">
        <v>93</v>
      </c>
      <c r="B94" s="235" t="s">
        <v>50</v>
      </c>
      <c r="C94" s="231" t="s">
        <v>10</v>
      </c>
      <c r="D94" s="250" t="s">
        <v>663</v>
      </c>
      <c r="E94" s="281">
        <v>0</v>
      </c>
      <c r="F94" s="249">
        <v>3000</v>
      </c>
      <c r="G94" s="164">
        <f t="shared" si="8"/>
        <v>17.542857142857141</v>
      </c>
      <c r="H94" s="165">
        <f t="shared" si="9"/>
        <v>35.085714285714282</v>
      </c>
      <c r="I94" s="165">
        <f t="shared" si="10"/>
        <v>26.314285714285713</v>
      </c>
      <c r="J94" s="166">
        <f t="shared" si="11"/>
        <v>43.857142857142854</v>
      </c>
      <c r="K94" s="166">
        <f t="shared" si="13"/>
        <v>43.857142857142854</v>
      </c>
      <c r="L94" s="165">
        <f t="shared" si="12"/>
        <v>1.75</v>
      </c>
      <c r="M94" s="168">
        <f t="shared" si="7"/>
        <v>0</v>
      </c>
      <c r="N94" s="236" t="s">
        <v>453</v>
      </c>
    </row>
    <row r="95" spans="1:14" ht="14">
      <c r="A95" s="149">
        <v>94</v>
      </c>
      <c r="B95" s="235" t="s">
        <v>50</v>
      </c>
      <c r="C95" s="231" t="s">
        <v>10</v>
      </c>
      <c r="D95" s="250" t="s">
        <v>665</v>
      </c>
      <c r="E95" s="281">
        <v>0</v>
      </c>
      <c r="F95" s="249">
        <v>600</v>
      </c>
      <c r="G95" s="164">
        <f t="shared" si="8"/>
        <v>3.8285714285714287</v>
      </c>
      <c r="H95" s="165">
        <f t="shared" si="9"/>
        <v>7.6571428571428575</v>
      </c>
      <c r="I95" s="165">
        <f t="shared" si="10"/>
        <v>5.7428571428571429</v>
      </c>
      <c r="J95" s="166">
        <f t="shared" si="11"/>
        <v>9.5714285714285712</v>
      </c>
      <c r="K95" s="166">
        <f t="shared" si="13"/>
        <v>9.5714285714285712</v>
      </c>
      <c r="L95" s="165">
        <f t="shared" si="12"/>
        <v>1.1499999999999999</v>
      </c>
      <c r="M95" s="168">
        <f t="shared" si="7"/>
        <v>0</v>
      </c>
      <c r="N95" s="236" t="s">
        <v>453</v>
      </c>
    </row>
    <row r="96" spans="1:14" ht="14">
      <c r="A96" s="149">
        <v>95</v>
      </c>
      <c r="B96" s="235" t="s">
        <v>50</v>
      </c>
      <c r="C96" s="231" t="s">
        <v>10</v>
      </c>
      <c r="D96" s="250" t="s">
        <v>667</v>
      </c>
      <c r="E96" s="281">
        <v>0</v>
      </c>
      <c r="F96" s="249">
        <v>2200</v>
      </c>
      <c r="G96" s="164">
        <f t="shared" si="8"/>
        <v>12.971428571428573</v>
      </c>
      <c r="H96" s="165">
        <f t="shared" si="9"/>
        <v>25.942857142857147</v>
      </c>
      <c r="I96" s="165">
        <f t="shared" si="10"/>
        <v>19.457142857142859</v>
      </c>
      <c r="J96" s="166">
        <f t="shared" si="11"/>
        <v>32.428571428571431</v>
      </c>
      <c r="K96" s="166">
        <f t="shared" si="13"/>
        <v>32.428571428571431</v>
      </c>
      <c r="L96" s="165">
        <f t="shared" si="12"/>
        <v>1.55</v>
      </c>
      <c r="M96" s="168">
        <f t="shared" si="7"/>
        <v>0</v>
      </c>
      <c r="N96" s="236" t="s">
        <v>453</v>
      </c>
    </row>
    <row r="97" spans="1:14" ht="14">
      <c r="A97" s="149">
        <v>96</v>
      </c>
      <c r="B97" s="235" t="s">
        <v>50</v>
      </c>
      <c r="C97" s="231" t="s">
        <v>10</v>
      </c>
      <c r="D97" s="248" t="s">
        <v>669</v>
      </c>
      <c r="E97" s="281">
        <v>0</v>
      </c>
      <c r="F97" s="249">
        <v>4000</v>
      </c>
      <c r="G97" s="164">
        <f t="shared" si="8"/>
        <v>23.25714285714286</v>
      </c>
      <c r="H97" s="165">
        <f t="shared" si="9"/>
        <v>46.51428571428572</v>
      </c>
      <c r="I97" s="165">
        <f t="shared" si="10"/>
        <v>34.885714285714286</v>
      </c>
      <c r="J97" s="166">
        <f t="shared" si="11"/>
        <v>58.142857142857146</v>
      </c>
      <c r="K97" s="166">
        <f t="shared" si="13"/>
        <v>58.142857142857146</v>
      </c>
      <c r="L97" s="165">
        <f t="shared" si="12"/>
        <v>2</v>
      </c>
      <c r="M97" s="168">
        <f t="shared" si="7"/>
        <v>0</v>
      </c>
      <c r="N97" s="236" t="s">
        <v>453</v>
      </c>
    </row>
    <row r="98" spans="1:14" ht="14">
      <c r="A98" s="149">
        <v>97</v>
      </c>
      <c r="B98" s="235" t="s">
        <v>50</v>
      </c>
      <c r="C98" s="231" t="s">
        <v>10</v>
      </c>
      <c r="D98" s="250" t="s">
        <v>671</v>
      </c>
      <c r="E98" s="281">
        <v>0</v>
      </c>
      <c r="F98" s="249">
        <v>1100</v>
      </c>
      <c r="G98" s="164">
        <f t="shared" si="8"/>
        <v>6.6857142857142868</v>
      </c>
      <c r="H98" s="165">
        <f t="shared" si="9"/>
        <v>13.371428571428574</v>
      </c>
      <c r="I98" s="165">
        <f t="shared" si="10"/>
        <v>10.028571428571428</v>
      </c>
      <c r="J98" s="166">
        <f t="shared" si="11"/>
        <v>16.714285714285715</v>
      </c>
      <c r="K98" s="166">
        <f t="shared" si="13"/>
        <v>16.714285714285715</v>
      </c>
      <c r="L98" s="165">
        <f t="shared" si="12"/>
        <v>1.2749999999999999</v>
      </c>
      <c r="M98" s="168">
        <f t="shared" si="7"/>
        <v>0</v>
      </c>
      <c r="N98" s="236" t="s">
        <v>453</v>
      </c>
    </row>
    <row r="99" spans="1:14" ht="14">
      <c r="A99" s="149">
        <v>98</v>
      </c>
      <c r="B99" s="235" t="s">
        <v>50</v>
      </c>
      <c r="C99" s="231" t="s">
        <v>10</v>
      </c>
      <c r="D99" s="250" t="s">
        <v>673</v>
      </c>
      <c r="E99" s="281">
        <v>0</v>
      </c>
      <c r="F99" s="249">
        <v>3500</v>
      </c>
      <c r="G99" s="164">
        <f t="shared" si="8"/>
        <v>20.400000000000002</v>
      </c>
      <c r="H99" s="165">
        <f t="shared" si="9"/>
        <v>40.800000000000004</v>
      </c>
      <c r="I99" s="165">
        <f t="shared" si="10"/>
        <v>30.599999999999998</v>
      </c>
      <c r="J99" s="166">
        <f t="shared" si="11"/>
        <v>51</v>
      </c>
      <c r="K99" s="166">
        <f t="shared" si="13"/>
        <v>51</v>
      </c>
      <c r="L99" s="165">
        <f t="shared" si="12"/>
        <v>1.875</v>
      </c>
      <c r="M99" s="168">
        <f t="shared" si="7"/>
        <v>0</v>
      </c>
      <c r="N99" s="236" t="s">
        <v>453</v>
      </c>
    </row>
    <row r="100" spans="1:14" ht="14">
      <c r="A100" s="149">
        <v>99</v>
      </c>
      <c r="B100" s="235" t="s">
        <v>50</v>
      </c>
      <c r="C100" s="231" t="s">
        <v>10</v>
      </c>
      <c r="D100" s="250" t="s">
        <v>675</v>
      </c>
      <c r="E100" s="281">
        <v>0</v>
      </c>
      <c r="F100" s="249">
        <v>150</v>
      </c>
      <c r="G100" s="164">
        <f t="shared" si="8"/>
        <v>1.2571428571428571</v>
      </c>
      <c r="H100" s="165">
        <f t="shared" si="9"/>
        <v>2.5142857142857142</v>
      </c>
      <c r="I100" s="165">
        <f t="shared" si="10"/>
        <v>1.8857142857142857</v>
      </c>
      <c r="J100" s="166">
        <f t="shared" si="11"/>
        <v>3.1428571428571428</v>
      </c>
      <c r="K100" s="166">
        <f t="shared" si="13"/>
        <v>3.1428571428571428</v>
      </c>
      <c r="L100" s="165">
        <f t="shared" si="12"/>
        <v>1.0375000000000001</v>
      </c>
      <c r="M100" s="168">
        <f t="shared" si="7"/>
        <v>0</v>
      </c>
      <c r="N100" s="236" t="s">
        <v>453</v>
      </c>
    </row>
    <row r="101" spans="1:14" ht="28">
      <c r="A101" s="149">
        <v>100</v>
      </c>
      <c r="B101" s="235" t="s">
        <v>49</v>
      </c>
      <c r="C101" s="231" t="s">
        <v>10</v>
      </c>
      <c r="D101" s="248" t="s">
        <v>677</v>
      </c>
      <c r="E101" s="281">
        <v>0</v>
      </c>
      <c r="F101" s="249">
        <v>3000</v>
      </c>
      <c r="G101" s="164">
        <f t="shared" si="8"/>
        <v>17.542857142857141</v>
      </c>
      <c r="H101" s="165">
        <f t="shared" si="9"/>
        <v>35.085714285714282</v>
      </c>
      <c r="I101" s="165">
        <f t="shared" si="10"/>
        <v>26.314285714285713</v>
      </c>
      <c r="J101" s="166">
        <f t="shared" si="11"/>
        <v>43.857142857142854</v>
      </c>
      <c r="K101" s="166">
        <f t="shared" si="13"/>
        <v>43.857142857142854</v>
      </c>
      <c r="L101" s="165">
        <f t="shared" si="12"/>
        <v>1.75</v>
      </c>
      <c r="M101" s="168">
        <f t="shared" si="7"/>
        <v>0</v>
      </c>
      <c r="N101" s="236" t="s">
        <v>453</v>
      </c>
    </row>
    <row r="102" spans="1:14" ht="14">
      <c r="A102" s="149">
        <v>101</v>
      </c>
      <c r="B102" s="235" t="s">
        <v>50</v>
      </c>
      <c r="C102" s="231" t="s">
        <v>10</v>
      </c>
      <c r="D102" s="250" t="s">
        <v>679</v>
      </c>
      <c r="E102" s="281">
        <v>0</v>
      </c>
      <c r="F102" s="249">
        <v>2400</v>
      </c>
      <c r="G102" s="164">
        <f t="shared" si="8"/>
        <v>14.114285714285714</v>
      </c>
      <c r="H102" s="165">
        <f t="shared" si="9"/>
        <v>28.228571428571428</v>
      </c>
      <c r="I102" s="165">
        <f t="shared" si="10"/>
        <v>21.171428571428571</v>
      </c>
      <c r="J102" s="166">
        <f t="shared" si="11"/>
        <v>35.285714285714285</v>
      </c>
      <c r="K102" s="166">
        <f t="shared" si="13"/>
        <v>35.285714285714285</v>
      </c>
      <c r="L102" s="165">
        <f t="shared" si="12"/>
        <v>1.6</v>
      </c>
      <c r="M102" s="168">
        <f t="shared" si="7"/>
        <v>0</v>
      </c>
      <c r="N102" s="236" t="s">
        <v>453</v>
      </c>
    </row>
    <row r="103" spans="1:14" ht="14">
      <c r="A103" s="149">
        <v>102</v>
      </c>
      <c r="B103" s="235" t="s">
        <v>50</v>
      </c>
      <c r="C103" s="231" t="s">
        <v>10</v>
      </c>
      <c r="D103" s="248" t="s">
        <v>681</v>
      </c>
      <c r="E103" s="281">
        <v>0</v>
      </c>
      <c r="F103" s="249">
        <v>4500</v>
      </c>
      <c r="G103" s="164">
        <f t="shared" si="8"/>
        <v>26.114285714285717</v>
      </c>
      <c r="H103" s="165">
        <f t="shared" si="9"/>
        <v>52.228571428571435</v>
      </c>
      <c r="I103" s="165">
        <f t="shared" si="10"/>
        <v>39.171428571428571</v>
      </c>
      <c r="J103" s="166">
        <f t="shared" si="11"/>
        <v>65.285714285714292</v>
      </c>
      <c r="K103" s="166">
        <f t="shared" si="13"/>
        <v>65.285714285714292</v>
      </c>
      <c r="L103" s="165">
        <f t="shared" si="12"/>
        <v>2.125</v>
      </c>
      <c r="M103" s="168">
        <f t="shared" si="7"/>
        <v>0</v>
      </c>
      <c r="N103" s="236" t="s">
        <v>453</v>
      </c>
    </row>
    <row r="104" spans="1:14" ht="14">
      <c r="A104" s="149">
        <v>103</v>
      </c>
      <c r="B104" s="235" t="s">
        <v>50</v>
      </c>
      <c r="C104" s="231" t="s">
        <v>10</v>
      </c>
      <c r="D104" s="250" t="s">
        <v>683</v>
      </c>
      <c r="E104" s="281">
        <v>0</v>
      </c>
      <c r="F104" s="249">
        <v>2000</v>
      </c>
      <c r="G104" s="164">
        <f t="shared" si="8"/>
        <v>11.828571428571429</v>
      </c>
      <c r="H104" s="165">
        <f t="shared" si="9"/>
        <v>23.657142857142858</v>
      </c>
      <c r="I104" s="165">
        <f t="shared" si="10"/>
        <v>17.742857142857144</v>
      </c>
      <c r="J104" s="166">
        <f t="shared" si="11"/>
        <v>29.571428571428573</v>
      </c>
      <c r="K104" s="166">
        <f t="shared" si="13"/>
        <v>29.571428571428573</v>
      </c>
      <c r="L104" s="165">
        <f t="shared" si="12"/>
        <v>1.5</v>
      </c>
      <c r="M104" s="168">
        <f t="shared" si="7"/>
        <v>0</v>
      </c>
      <c r="N104" s="236" t="s">
        <v>453</v>
      </c>
    </row>
    <row r="105" spans="1:14" ht="14">
      <c r="A105" s="149">
        <v>104</v>
      </c>
      <c r="B105" s="235" t="s">
        <v>50</v>
      </c>
      <c r="C105" s="231" t="s">
        <v>10</v>
      </c>
      <c r="D105" s="250" t="s">
        <v>685</v>
      </c>
      <c r="E105" s="281">
        <v>0</v>
      </c>
      <c r="F105" s="249">
        <v>4000</v>
      </c>
      <c r="G105" s="164">
        <f t="shared" si="8"/>
        <v>23.25714285714286</v>
      </c>
      <c r="H105" s="165">
        <f t="shared" si="9"/>
        <v>46.51428571428572</v>
      </c>
      <c r="I105" s="165">
        <f t="shared" si="10"/>
        <v>34.885714285714286</v>
      </c>
      <c r="J105" s="166">
        <f t="shared" si="11"/>
        <v>58.142857142857146</v>
      </c>
      <c r="K105" s="166">
        <f t="shared" si="13"/>
        <v>58.142857142857146</v>
      </c>
      <c r="L105" s="165">
        <f t="shared" si="12"/>
        <v>2</v>
      </c>
      <c r="M105" s="168">
        <f t="shared" si="7"/>
        <v>0</v>
      </c>
      <c r="N105" s="236" t="s">
        <v>453</v>
      </c>
    </row>
    <row r="106" spans="1:14" ht="14">
      <c r="A106" s="149">
        <v>105</v>
      </c>
      <c r="B106" s="235" t="s">
        <v>50</v>
      </c>
      <c r="C106" s="231" t="s">
        <v>10</v>
      </c>
      <c r="D106" s="250" t="s">
        <v>687</v>
      </c>
      <c r="E106" s="281">
        <v>0</v>
      </c>
      <c r="F106" s="249">
        <v>7500</v>
      </c>
      <c r="G106" s="164">
        <f t="shared" si="8"/>
        <v>43.25714285714286</v>
      </c>
      <c r="H106" s="165">
        <f t="shared" si="9"/>
        <v>86.51428571428572</v>
      </c>
      <c r="I106" s="165">
        <f t="shared" si="10"/>
        <v>64.885714285714286</v>
      </c>
      <c r="J106" s="166">
        <f t="shared" si="11"/>
        <v>108.14285714285714</v>
      </c>
      <c r="K106" s="166">
        <f t="shared" si="13"/>
        <v>108.14285714285714</v>
      </c>
      <c r="L106" s="165">
        <f t="shared" si="12"/>
        <v>2.875</v>
      </c>
      <c r="M106" s="168">
        <f t="shared" si="7"/>
        <v>0</v>
      </c>
      <c r="N106" s="236" t="s">
        <v>453</v>
      </c>
    </row>
    <row r="107" spans="1:14" ht="14">
      <c r="A107" s="149">
        <v>106</v>
      </c>
      <c r="B107" s="235" t="s">
        <v>50</v>
      </c>
      <c r="C107" s="231" t="s">
        <v>10</v>
      </c>
      <c r="D107" s="250" t="s">
        <v>689</v>
      </c>
      <c r="E107" s="281">
        <v>0</v>
      </c>
      <c r="F107" s="249">
        <v>3600</v>
      </c>
      <c r="G107" s="164">
        <f t="shared" si="8"/>
        <v>20.971428571428575</v>
      </c>
      <c r="H107" s="165">
        <f t="shared" si="9"/>
        <v>41.94285714285715</v>
      </c>
      <c r="I107" s="165">
        <f t="shared" si="10"/>
        <v>31.457142857142856</v>
      </c>
      <c r="J107" s="166">
        <f t="shared" si="11"/>
        <v>52.428571428571431</v>
      </c>
      <c r="K107" s="166">
        <f t="shared" si="13"/>
        <v>52.428571428571431</v>
      </c>
      <c r="L107" s="165">
        <f t="shared" si="12"/>
        <v>1.9</v>
      </c>
      <c r="M107" s="168">
        <f t="shared" si="7"/>
        <v>0</v>
      </c>
      <c r="N107" s="236" t="s">
        <v>453</v>
      </c>
    </row>
    <row r="108" spans="1:14" ht="14">
      <c r="A108" s="149">
        <v>107</v>
      </c>
      <c r="B108" s="235" t="s">
        <v>55</v>
      </c>
      <c r="C108" s="231" t="s">
        <v>10</v>
      </c>
      <c r="D108" s="250" t="s">
        <v>691</v>
      </c>
      <c r="E108" s="281">
        <v>0</v>
      </c>
      <c r="F108" s="249">
        <v>1500</v>
      </c>
      <c r="G108" s="164">
        <f t="shared" si="8"/>
        <v>8.9714285714285715</v>
      </c>
      <c r="H108" s="165">
        <f t="shared" si="9"/>
        <v>17.942857142857143</v>
      </c>
      <c r="I108" s="165">
        <f t="shared" si="10"/>
        <v>13.457142857142856</v>
      </c>
      <c r="J108" s="166">
        <f t="shared" si="11"/>
        <v>22.428571428571427</v>
      </c>
      <c r="K108" s="166">
        <f t="shared" si="13"/>
        <v>22.428571428571427</v>
      </c>
      <c r="L108" s="165">
        <f t="shared" si="12"/>
        <v>1.375</v>
      </c>
      <c r="M108" s="168">
        <f t="shared" si="7"/>
        <v>0</v>
      </c>
      <c r="N108" s="236" t="s">
        <v>453</v>
      </c>
    </row>
    <row r="109" spans="1:14" ht="14">
      <c r="A109" s="149">
        <v>108</v>
      </c>
      <c r="B109" s="235" t="s">
        <v>50</v>
      </c>
      <c r="C109" s="231" t="s">
        <v>10</v>
      </c>
      <c r="D109" s="250" t="s">
        <v>693</v>
      </c>
      <c r="E109" s="281">
        <v>0</v>
      </c>
      <c r="F109" s="249">
        <v>1400</v>
      </c>
      <c r="G109" s="164">
        <f t="shared" si="8"/>
        <v>8.4</v>
      </c>
      <c r="H109" s="165">
        <f t="shared" si="9"/>
        <v>16.8</v>
      </c>
      <c r="I109" s="165">
        <f t="shared" si="10"/>
        <v>12.6</v>
      </c>
      <c r="J109" s="166">
        <f t="shared" si="11"/>
        <v>21</v>
      </c>
      <c r="K109" s="166">
        <f t="shared" si="13"/>
        <v>21</v>
      </c>
      <c r="L109" s="165">
        <f t="shared" si="12"/>
        <v>1.35</v>
      </c>
      <c r="M109" s="168">
        <f t="shared" si="7"/>
        <v>0</v>
      </c>
      <c r="N109" s="236" t="s">
        <v>453</v>
      </c>
    </row>
    <row r="110" spans="1:14" ht="14">
      <c r="A110" s="149">
        <v>109</v>
      </c>
      <c r="B110" s="235" t="s">
        <v>52</v>
      </c>
      <c r="C110" s="231" t="s">
        <v>10</v>
      </c>
      <c r="D110" s="250" t="s">
        <v>695</v>
      </c>
      <c r="E110" s="281">
        <v>0</v>
      </c>
      <c r="F110" s="249">
        <v>2000</v>
      </c>
      <c r="G110" s="164">
        <f t="shared" si="8"/>
        <v>11.828571428571429</v>
      </c>
      <c r="H110" s="165">
        <f t="shared" si="9"/>
        <v>23.657142857142858</v>
      </c>
      <c r="I110" s="165">
        <f t="shared" si="10"/>
        <v>17.742857142857144</v>
      </c>
      <c r="J110" s="166">
        <f t="shared" si="11"/>
        <v>29.571428571428573</v>
      </c>
      <c r="K110" s="166">
        <f t="shared" si="13"/>
        <v>29.571428571428573</v>
      </c>
      <c r="L110" s="165">
        <f t="shared" si="12"/>
        <v>1.5</v>
      </c>
      <c r="M110" s="168">
        <f t="shared" si="7"/>
        <v>0</v>
      </c>
      <c r="N110" s="236" t="s">
        <v>453</v>
      </c>
    </row>
    <row r="111" spans="1:14" ht="14">
      <c r="A111" s="149">
        <v>110</v>
      </c>
      <c r="B111" s="235" t="s">
        <v>52</v>
      </c>
      <c r="C111" s="231" t="s">
        <v>10</v>
      </c>
      <c r="D111" s="250" t="s">
        <v>697</v>
      </c>
      <c r="E111" s="281">
        <v>0</v>
      </c>
      <c r="F111" s="249">
        <v>800</v>
      </c>
      <c r="G111" s="164">
        <f t="shared" si="8"/>
        <v>4.9714285714285715</v>
      </c>
      <c r="H111" s="165">
        <f t="shared" si="9"/>
        <v>9.9428571428571431</v>
      </c>
      <c r="I111" s="165">
        <f t="shared" si="10"/>
        <v>7.4571428571428573</v>
      </c>
      <c r="J111" s="166">
        <f t="shared" si="11"/>
        <v>12.428571428571429</v>
      </c>
      <c r="K111" s="166">
        <f t="shared" si="13"/>
        <v>12.428571428571429</v>
      </c>
      <c r="L111" s="165">
        <f t="shared" si="12"/>
        <v>1.2</v>
      </c>
      <c r="M111" s="168">
        <f t="shared" si="7"/>
        <v>0</v>
      </c>
      <c r="N111" s="236" t="s">
        <v>453</v>
      </c>
    </row>
    <row r="112" spans="1:14" ht="14">
      <c r="A112" s="149">
        <v>111</v>
      </c>
      <c r="B112" s="235" t="s">
        <v>50</v>
      </c>
      <c r="C112" s="231" t="s">
        <v>10</v>
      </c>
      <c r="D112" s="250" t="s">
        <v>699</v>
      </c>
      <c r="E112" s="281">
        <v>0</v>
      </c>
      <c r="F112" s="249">
        <v>4024.65</v>
      </c>
      <c r="G112" s="164">
        <f t="shared" si="8"/>
        <v>23.398000000000003</v>
      </c>
      <c r="H112" s="165">
        <f t="shared" si="9"/>
        <v>46.796000000000006</v>
      </c>
      <c r="I112" s="165">
        <f t="shared" si="10"/>
        <v>35.097000000000001</v>
      </c>
      <c r="J112" s="166">
        <f t="shared" si="11"/>
        <v>58.495000000000005</v>
      </c>
      <c r="K112" s="166">
        <f t="shared" si="13"/>
        <v>58.495000000000005</v>
      </c>
      <c r="L112" s="165">
        <f t="shared" si="12"/>
        <v>2.0061625000000003</v>
      </c>
      <c r="M112" s="168">
        <f t="shared" si="7"/>
        <v>0</v>
      </c>
      <c r="N112" s="236" t="s">
        <v>453</v>
      </c>
    </row>
    <row r="113" spans="1:14" ht="14">
      <c r="A113" s="149">
        <v>112</v>
      </c>
      <c r="B113" s="235" t="s">
        <v>50</v>
      </c>
      <c r="C113" s="231" t="s">
        <v>10</v>
      </c>
      <c r="D113" s="250" t="s">
        <v>702</v>
      </c>
      <c r="E113" s="281">
        <v>0</v>
      </c>
      <c r="F113" s="249">
        <v>315</v>
      </c>
      <c r="G113" s="164">
        <f t="shared" si="8"/>
        <v>2.2000000000000002</v>
      </c>
      <c r="H113" s="165">
        <f t="shared" si="9"/>
        <v>4.4000000000000004</v>
      </c>
      <c r="I113" s="165">
        <f t="shared" si="10"/>
        <v>3.3</v>
      </c>
      <c r="J113" s="166">
        <f t="shared" si="11"/>
        <v>5.5</v>
      </c>
      <c r="K113" s="166">
        <f t="shared" si="13"/>
        <v>5.5</v>
      </c>
      <c r="L113" s="165">
        <f t="shared" si="12"/>
        <v>1.0787500000000001</v>
      </c>
      <c r="M113" s="168">
        <f t="shared" si="7"/>
        <v>0</v>
      </c>
      <c r="N113" s="236" t="s">
        <v>453</v>
      </c>
    </row>
    <row r="114" spans="1:14" ht="14">
      <c r="A114" s="149">
        <v>113</v>
      </c>
      <c r="B114" s="235" t="s">
        <v>50</v>
      </c>
      <c r="C114" s="231" t="s">
        <v>10</v>
      </c>
      <c r="D114" s="250" t="s">
        <v>704</v>
      </c>
      <c r="E114" s="281">
        <v>0</v>
      </c>
      <c r="F114" s="249">
        <v>2118.9</v>
      </c>
      <c r="G114" s="164">
        <f t="shared" si="8"/>
        <v>12.508000000000001</v>
      </c>
      <c r="H114" s="165">
        <f t="shared" si="9"/>
        <v>25.016000000000002</v>
      </c>
      <c r="I114" s="165">
        <f t="shared" si="10"/>
        <v>18.762</v>
      </c>
      <c r="J114" s="166">
        <f t="shared" si="11"/>
        <v>31.270000000000003</v>
      </c>
      <c r="K114" s="166">
        <f t="shared" si="13"/>
        <v>31.270000000000003</v>
      </c>
      <c r="L114" s="165">
        <f t="shared" si="12"/>
        <v>1.529725</v>
      </c>
      <c r="M114" s="168">
        <f t="shared" si="7"/>
        <v>0</v>
      </c>
      <c r="N114" s="236" t="s">
        <v>453</v>
      </c>
    </row>
    <row r="115" spans="1:14" ht="14">
      <c r="A115" s="149">
        <v>114</v>
      </c>
      <c r="B115" s="235" t="s">
        <v>50</v>
      </c>
      <c r="C115" s="231" t="s">
        <v>10</v>
      </c>
      <c r="D115" s="250" t="s">
        <v>707</v>
      </c>
      <c r="E115" s="281">
        <v>0</v>
      </c>
      <c r="F115" s="249">
        <v>315</v>
      </c>
      <c r="G115" s="164">
        <f t="shared" si="8"/>
        <v>2.2000000000000002</v>
      </c>
      <c r="H115" s="165">
        <f t="shared" si="9"/>
        <v>4.4000000000000004</v>
      </c>
      <c r="I115" s="165">
        <f t="shared" si="10"/>
        <v>3.3</v>
      </c>
      <c r="J115" s="166">
        <f t="shared" si="11"/>
        <v>5.5</v>
      </c>
      <c r="K115" s="166">
        <f t="shared" si="13"/>
        <v>5.5</v>
      </c>
      <c r="L115" s="165">
        <f t="shared" si="12"/>
        <v>1.0787500000000001</v>
      </c>
      <c r="M115" s="168">
        <f t="shared" si="7"/>
        <v>0</v>
      </c>
      <c r="N115" s="236" t="s">
        <v>453</v>
      </c>
    </row>
    <row r="116" spans="1:14" ht="14">
      <c r="A116" s="149">
        <v>115</v>
      </c>
      <c r="B116" s="235" t="s">
        <v>50</v>
      </c>
      <c r="C116" s="231" t="s">
        <v>10</v>
      </c>
      <c r="D116" s="250" t="s">
        <v>709</v>
      </c>
      <c r="E116" s="281">
        <v>0</v>
      </c>
      <c r="F116" s="249">
        <v>315</v>
      </c>
      <c r="G116" s="164">
        <f t="shared" si="8"/>
        <v>2.2000000000000002</v>
      </c>
      <c r="H116" s="165">
        <f t="shared" si="9"/>
        <v>4.4000000000000004</v>
      </c>
      <c r="I116" s="165">
        <f t="shared" si="10"/>
        <v>3.3</v>
      </c>
      <c r="J116" s="166">
        <f t="shared" si="11"/>
        <v>5.5</v>
      </c>
      <c r="K116" s="166">
        <f t="shared" si="13"/>
        <v>5.5</v>
      </c>
      <c r="L116" s="165">
        <f t="shared" si="12"/>
        <v>1.0787500000000001</v>
      </c>
      <c r="M116" s="168">
        <f t="shared" si="7"/>
        <v>0</v>
      </c>
      <c r="N116" s="236" t="s">
        <v>453</v>
      </c>
    </row>
    <row r="117" spans="1:14" ht="14">
      <c r="A117" s="149">
        <v>116</v>
      </c>
      <c r="B117" s="235" t="s">
        <v>50</v>
      </c>
      <c r="C117" s="231" t="s">
        <v>10</v>
      </c>
      <c r="D117" s="250" t="s">
        <v>712</v>
      </c>
      <c r="E117" s="281">
        <v>0</v>
      </c>
      <c r="F117" s="249">
        <v>315</v>
      </c>
      <c r="G117" s="164">
        <f t="shared" si="8"/>
        <v>2.2000000000000002</v>
      </c>
      <c r="H117" s="165">
        <f t="shared" si="9"/>
        <v>4.4000000000000004</v>
      </c>
      <c r="I117" s="165">
        <f t="shared" si="10"/>
        <v>3.3</v>
      </c>
      <c r="J117" s="166">
        <f t="shared" si="11"/>
        <v>5.5</v>
      </c>
      <c r="K117" s="166">
        <f t="shared" si="13"/>
        <v>5.5</v>
      </c>
      <c r="L117" s="165">
        <f t="shared" si="12"/>
        <v>1.0787500000000001</v>
      </c>
      <c r="M117" s="168">
        <f t="shared" si="7"/>
        <v>0</v>
      </c>
      <c r="N117" s="236" t="s">
        <v>453</v>
      </c>
    </row>
    <row r="118" spans="1:14" ht="14">
      <c r="A118" s="149">
        <v>117</v>
      </c>
      <c r="B118" s="235" t="s">
        <v>50</v>
      </c>
      <c r="C118" s="231" t="s">
        <v>10</v>
      </c>
      <c r="D118" s="250" t="s">
        <v>714</v>
      </c>
      <c r="E118" s="281">
        <v>0</v>
      </c>
      <c r="F118" s="249">
        <v>315</v>
      </c>
      <c r="G118" s="164">
        <f t="shared" si="8"/>
        <v>2.2000000000000002</v>
      </c>
      <c r="H118" s="165">
        <f t="shared" si="9"/>
        <v>4.4000000000000004</v>
      </c>
      <c r="I118" s="165">
        <f t="shared" si="10"/>
        <v>3.3</v>
      </c>
      <c r="J118" s="166">
        <f t="shared" si="11"/>
        <v>5.5</v>
      </c>
      <c r="K118" s="166">
        <f t="shared" si="13"/>
        <v>5.5</v>
      </c>
      <c r="L118" s="165">
        <f t="shared" si="12"/>
        <v>1.0787500000000001</v>
      </c>
      <c r="M118" s="168">
        <f t="shared" si="7"/>
        <v>0</v>
      </c>
      <c r="N118" s="236" t="s">
        <v>453</v>
      </c>
    </row>
    <row r="119" spans="1:14" ht="14">
      <c r="A119" s="149">
        <v>118</v>
      </c>
      <c r="B119" s="235" t="s">
        <v>50</v>
      </c>
      <c r="C119" s="231" t="s">
        <v>10</v>
      </c>
      <c r="D119" s="250" t="s">
        <v>716</v>
      </c>
      <c r="E119" s="281">
        <v>0</v>
      </c>
      <c r="F119" s="249">
        <v>315</v>
      </c>
      <c r="G119" s="164">
        <f t="shared" si="8"/>
        <v>2.2000000000000002</v>
      </c>
      <c r="H119" s="165">
        <f t="shared" si="9"/>
        <v>4.4000000000000004</v>
      </c>
      <c r="I119" s="165">
        <f t="shared" si="10"/>
        <v>3.3</v>
      </c>
      <c r="J119" s="166">
        <f t="shared" si="11"/>
        <v>5.5</v>
      </c>
      <c r="K119" s="166">
        <f t="shared" si="13"/>
        <v>5.5</v>
      </c>
      <c r="L119" s="165">
        <f t="shared" si="12"/>
        <v>1.0787500000000001</v>
      </c>
      <c r="M119" s="168">
        <f t="shared" si="7"/>
        <v>0</v>
      </c>
      <c r="N119" s="236" t="s">
        <v>453</v>
      </c>
    </row>
    <row r="120" spans="1:14" ht="14">
      <c r="A120" s="149">
        <v>119</v>
      </c>
      <c r="B120" s="235" t="s">
        <v>50</v>
      </c>
      <c r="C120" s="231" t="s">
        <v>10</v>
      </c>
      <c r="D120" s="250" t="s">
        <v>718</v>
      </c>
      <c r="E120" s="281">
        <v>0</v>
      </c>
      <c r="F120" s="249">
        <v>9251.5499999999993</v>
      </c>
      <c r="G120" s="164">
        <f t="shared" si="8"/>
        <v>53.265999999999998</v>
      </c>
      <c r="H120" s="165">
        <f t="shared" si="9"/>
        <v>106.532</v>
      </c>
      <c r="I120" s="165">
        <f t="shared" si="10"/>
        <v>79.898999999999987</v>
      </c>
      <c r="J120" s="166">
        <f t="shared" si="11"/>
        <v>133.16499999999999</v>
      </c>
      <c r="K120" s="166">
        <f t="shared" si="13"/>
        <v>133.16499999999999</v>
      </c>
      <c r="L120" s="165">
        <f t="shared" si="12"/>
        <v>3.3128875</v>
      </c>
      <c r="M120" s="168">
        <f t="shared" si="7"/>
        <v>0</v>
      </c>
      <c r="N120" s="236" t="s">
        <v>453</v>
      </c>
    </row>
    <row r="121" spans="1:14" ht="14">
      <c r="A121" s="149">
        <v>120</v>
      </c>
      <c r="B121" s="235" t="s">
        <v>50</v>
      </c>
      <c r="C121" s="231" t="s">
        <v>10</v>
      </c>
      <c r="D121" s="250" t="s">
        <v>720</v>
      </c>
      <c r="E121" s="281">
        <v>0</v>
      </c>
      <c r="F121" s="249">
        <v>2160.9</v>
      </c>
      <c r="G121" s="164">
        <f t="shared" si="8"/>
        <v>12.748000000000001</v>
      </c>
      <c r="H121" s="165">
        <f t="shared" si="9"/>
        <v>25.496000000000002</v>
      </c>
      <c r="I121" s="165">
        <f t="shared" si="10"/>
        <v>19.122</v>
      </c>
      <c r="J121" s="166">
        <f t="shared" si="11"/>
        <v>31.87</v>
      </c>
      <c r="K121" s="166">
        <f t="shared" si="13"/>
        <v>31.87</v>
      </c>
      <c r="L121" s="165">
        <f t="shared" si="12"/>
        <v>1.540225</v>
      </c>
      <c r="M121" s="168">
        <f t="shared" si="7"/>
        <v>0</v>
      </c>
      <c r="N121" s="236" t="s">
        <v>453</v>
      </c>
    </row>
    <row r="122" spans="1:14" ht="14">
      <c r="A122" s="149">
        <v>121</v>
      </c>
      <c r="B122" s="235" t="s">
        <v>50</v>
      </c>
      <c r="C122" s="231" t="s">
        <v>10</v>
      </c>
      <c r="D122" s="250" t="s">
        <v>722</v>
      </c>
      <c r="E122" s="281">
        <v>0</v>
      </c>
      <c r="F122" s="249">
        <v>3195.15</v>
      </c>
      <c r="G122" s="164">
        <f t="shared" si="8"/>
        <v>18.658000000000001</v>
      </c>
      <c r="H122" s="165">
        <f t="shared" si="9"/>
        <v>37.316000000000003</v>
      </c>
      <c r="I122" s="165">
        <f t="shared" si="10"/>
        <v>27.987000000000002</v>
      </c>
      <c r="J122" s="166">
        <f t="shared" si="11"/>
        <v>46.645000000000003</v>
      </c>
      <c r="K122" s="166">
        <f t="shared" si="13"/>
        <v>46.645000000000003</v>
      </c>
      <c r="L122" s="165">
        <f t="shared" si="12"/>
        <v>1.7987875</v>
      </c>
      <c r="M122" s="168">
        <f t="shared" si="7"/>
        <v>0</v>
      </c>
      <c r="N122" s="236" t="s">
        <v>453</v>
      </c>
    </row>
    <row r="123" spans="1:14" ht="14">
      <c r="A123" s="149">
        <v>122</v>
      </c>
      <c r="B123" s="235" t="s">
        <v>50</v>
      </c>
      <c r="C123" s="231" t="s">
        <v>10</v>
      </c>
      <c r="D123" s="250" t="s">
        <v>724</v>
      </c>
      <c r="E123" s="281">
        <v>0</v>
      </c>
      <c r="F123" s="249">
        <v>315</v>
      </c>
      <c r="G123" s="164">
        <f t="shared" si="8"/>
        <v>2.2000000000000002</v>
      </c>
      <c r="H123" s="165">
        <f t="shared" si="9"/>
        <v>4.4000000000000004</v>
      </c>
      <c r="I123" s="165">
        <f t="shared" si="10"/>
        <v>3.3</v>
      </c>
      <c r="J123" s="166">
        <f t="shared" si="11"/>
        <v>5.5</v>
      </c>
      <c r="K123" s="166">
        <f t="shared" si="13"/>
        <v>5.5</v>
      </c>
      <c r="L123" s="165">
        <f t="shared" si="12"/>
        <v>1.0787500000000001</v>
      </c>
      <c r="M123" s="168">
        <f t="shared" si="7"/>
        <v>0</v>
      </c>
      <c r="N123" s="236" t="s">
        <v>453</v>
      </c>
    </row>
    <row r="124" spans="1:14" ht="14">
      <c r="A124" s="149">
        <v>123</v>
      </c>
      <c r="B124" s="235" t="s">
        <v>50</v>
      </c>
      <c r="C124" s="231" t="s">
        <v>10</v>
      </c>
      <c r="D124" s="250" t="s">
        <v>726</v>
      </c>
      <c r="E124" s="281">
        <v>0</v>
      </c>
      <c r="F124" s="249">
        <v>315</v>
      </c>
      <c r="G124" s="164">
        <f t="shared" si="8"/>
        <v>2.2000000000000002</v>
      </c>
      <c r="H124" s="165">
        <f t="shared" si="9"/>
        <v>4.4000000000000004</v>
      </c>
      <c r="I124" s="165">
        <f t="shared" si="10"/>
        <v>3.3</v>
      </c>
      <c r="J124" s="166">
        <f t="shared" si="11"/>
        <v>5.5</v>
      </c>
      <c r="K124" s="166">
        <f t="shared" si="13"/>
        <v>5.5</v>
      </c>
      <c r="L124" s="165">
        <f t="shared" si="12"/>
        <v>1.0787500000000001</v>
      </c>
      <c r="M124" s="168">
        <f t="shared" si="7"/>
        <v>0</v>
      </c>
      <c r="N124" s="236" t="s">
        <v>453</v>
      </c>
    </row>
    <row r="125" spans="1:14" ht="14">
      <c r="A125" s="149">
        <v>124</v>
      </c>
      <c r="B125" s="235" t="s">
        <v>50</v>
      </c>
      <c r="C125" s="231" t="s">
        <v>10</v>
      </c>
      <c r="D125" s="250" t="s">
        <v>728</v>
      </c>
      <c r="E125" s="281">
        <v>0</v>
      </c>
      <c r="F125" s="249">
        <v>315</v>
      </c>
      <c r="G125" s="164">
        <f t="shared" si="8"/>
        <v>2.2000000000000002</v>
      </c>
      <c r="H125" s="165">
        <f t="shared" si="9"/>
        <v>4.4000000000000004</v>
      </c>
      <c r="I125" s="165">
        <f t="shared" si="10"/>
        <v>3.3</v>
      </c>
      <c r="J125" s="166">
        <f t="shared" si="11"/>
        <v>5.5</v>
      </c>
      <c r="K125" s="166">
        <f t="shared" si="13"/>
        <v>5.5</v>
      </c>
      <c r="L125" s="165">
        <f t="shared" si="12"/>
        <v>1.0787500000000001</v>
      </c>
      <c r="M125" s="168">
        <f t="shared" si="7"/>
        <v>0</v>
      </c>
      <c r="N125" s="236" t="s">
        <v>453</v>
      </c>
    </row>
    <row r="126" spans="1:14" ht="14">
      <c r="A126" s="149">
        <v>125</v>
      </c>
      <c r="B126" s="235" t="s">
        <v>50</v>
      </c>
      <c r="C126" s="231" t="s">
        <v>10</v>
      </c>
      <c r="D126" s="250" t="s">
        <v>730</v>
      </c>
      <c r="E126" s="281">
        <v>0</v>
      </c>
      <c r="F126" s="249">
        <v>3232.95</v>
      </c>
      <c r="G126" s="164">
        <f t="shared" si="8"/>
        <v>18.873999999999999</v>
      </c>
      <c r="H126" s="165">
        <f t="shared" si="9"/>
        <v>37.747999999999998</v>
      </c>
      <c r="I126" s="165">
        <f t="shared" si="10"/>
        <v>28.310999999999996</v>
      </c>
      <c r="J126" s="166">
        <f t="shared" si="11"/>
        <v>47.184999999999995</v>
      </c>
      <c r="K126" s="166">
        <f t="shared" si="13"/>
        <v>47.184999999999995</v>
      </c>
      <c r="L126" s="165">
        <f t="shared" si="12"/>
        <v>1.8082374999999999</v>
      </c>
      <c r="M126" s="168">
        <f t="shared" si="7"/>
        <v>0</v>
      </c>
      <c r="N126" s="236" t="s">
        <v>453</v>
      </c>
    </row>
    <row r="127" spans="1:14" ht="14">
      <c r="A127" s="149">
        <v>126</v>
      </c>
      <c r="B127" s="235" t="s">
        <v>50</v>
      </c>
      <c r="C127" s="231" t="s">
        <v>10</v>
      </c>
      <c r="D127" s="250" t="s">
        <v>732</v>
      </c>
      <c r="E127" s="281">
        <v>0</v>
      </c>
      <c r="F127" s="249">
        <v>12000</v>
      </c>
      <c r="G127" s="164">
        <f t="shared" si="8"/>
        <v>68.971428571428575</v>
      </c>
      <c r="H127" s="165">
        <f t="shared" si="9"/>
        <v>137.94285714285715</v>
      </c>
      <c r="I127" s="165">
        <f t="shared" si="10"/>
        <v>103.45714285714284</v>
      </c>
      <c r="J127" s="166">
        <f t="shared" si="11"/>
        <v>172.42857142857142</v>
      </c>
      <c r="K127" s="166">
        <f t="shared" si="13"/>
        <v>172.42857142857142</v>
      </c>
      <c r="L127" s="165">
        <f t="shared" si="12"/>
        <v>4</v>
      </c>
      <c r="M127" s="168">
        <f t="shared" si="7"/>
        <v>0</v>
      </c>
      <c r="N127" s="236" t="s">
        <v>453</v>
      </c>
    </row>
    <row r="128" spans="1:14" ht="14">
      <c r="A128" s="149">
        <v>127</v>
      </c>
      <c r="B128" s="235" t="s">
        <v>50</v>
      </c>
      <c r="C128" s="231" t="s">
        <v>10</v>
      </c>
      <c r="D128" s="250" t="s">
        <v>734</v>
      </c>
      <c r="E128" s="281">
        <v>0</v>
      </c>
      <c r="F128" s="249">
        <v>315</v>
      </c>
      <c r="G128" s="164">
        <f t="shared" si="8"/>
        <v>2.2000000000000002</v>
      </c>
      <c r="H128" s="165">
        <f t="shared" si="9"/>
        <v>4.4000000000000004</v>
      </c>
      <c r="I128" s="165">
        <f t="shared" si="10"/>
        <v>3.3</v>
      </c>
      <c r="J128" s="166">
        <f t="shared" si="11"/>
        <v>5.5</v>
      </c>
      <c r="K128" s="166">
        <f t="shared" si="13"/>
        <v>5.5</v>
      </c>
      <c r="L128" s="165">
        <f t="shared" si="12"/>
        <v>1.0787500000000001</v>
      </c>
      <c r="M128" s="168">
        <f t="shared" si="7"/>
        <v>0</v>
      </c>
      <c r="N128" s="236" t="s">
        <v>453</v>
      </c>
    </row>
    <row r="129" spans="1:14" ht="14">
      <c r="A129" s="149">
        <v>128</v>
      </c>
      <c r="B129" s="235" t="s">
        <v>50</v>
      </c>
      <c r="C129" s="231" t="s">
        <v>10</v>
      </c>
      <c r="D129" s="250" t="s">
        <v>736</v>
      </c>
      <c r="E129" s="281">
        <v>0</v>
      </c>
      <c r="F129" s="249">
        <v>1577.1</v>
      </c>
      <c r="G129" s="164">
        <f t="shared" si="8"/>
        <v>9.411999999999999</v>
      </c>
      <c r="H129" s="165">
        <f t="shared" si="9"/>
        <v>18.823999999999998</v>
      </c>
      <c r="I129" s="165">
        <f t="shared" si="10"/>
        <v>14.117999999999999</v>
      </c>
      <c r="J129" s="166">
        <f t="shared" si="11"/>
        <v>23.529999999999998</v>
      </c>
      <c r="K129" s="166">
        <f t="shared" si="13"/>
        <v>23.529999999999998</v>
      </c>
      <c r="L129" s="165">
        <f t="shared" si="12"/>
        <v>1.3942749999999999</v>
      </c>
      <c r="M129" s="168">
        <f t="shared" si="7"/>
        <v>0</v>
      </c>
      <c r="N129" s="236" t="s">
        <v>453</v>
      </c>
    </row>
    <row r="130" spans="1:14" ht="14">
      <c r="A130" s="149">
        <v>129</v>
      </c>
      <c r="B130" s="235" t="s">
        <v>50</v>
      </c>
      <c r="C130" s="231" t="s">
        <v>10</v>
      </c>
      <c r="D130" s="250" t="s">
        <v>738</v>
      </c>
      <c r="E130" s="281">
        <v>0</v>
      </c>
      <c r="F130" s="249">
        <v>315</v>
      </c>
      <c r="G130" s="164">
        <f t="shared" si="8"/>
        <v>2.2000000000000002</v>
      </c>
      <c r="H130" s="165">
        <f t="shared" si="9"/>
        <v>4.4000000000000004</v>
      </c>
      <c r="I130" s="165">
        <f t="shared" si="10"/>
        <v>3.3</v>
      </c>
      <c r="J130" s="166">
        <f t="shared" si="11"/>
        <v>5.5</v>
      </c>
      <c r="K130" s="166">
        <f t="shared" si="13"/>
        <v>5.5</v>
      </c>
      <c r="L130" s="165">
        <f t="shared" si="12"/>
        <v>1.0787500000000001</v>
      </c>
      <c r="M130" s="168">
        <f t="shared" ref="M130:M193" si="14">E130/60</f>
        <v>0</v>
      </c>
      <c r="N130" s="236" t="s">
        <v>453</v>
      </c>
    </row>
    <row r="131" spans="1:14" ht="14">
      <c r="A131" s="149">
        <v>130</v>
      </c>
      <c r="B131" s="235" t="s">
        <v>50</v>
      </c>
      <c r="C131" s="231" t="s">
        <v>10</v>
      </c>
      <c r="D131" s="250" t="s">
        <v>740</v>
      </c>
      <c r="E131" s="281">
        <v>0</v>
      </c>
      <c r="F131" s="249">
        <v>315</v>
      </c>
      <c r="G131" s="164">
        <f t="shared" ref="G131:G194" si="15">(((F131/70)+1)*0.4)</f>
        <v>2.2000000000000002</v>
      </c>
      <c r="H131" s="165">
        <f t="shared" ref="H131:H194" si="16">G131*2</f>
        <v>4.4000000000000004</v>
      </c>
      <c r="I131" s="165">
        <f t="shared" ref="I131:I194" si="17">(((F131/70)+1)*0.6)</f>
        <v>3.3</v>
      </c>
      <c r="J131" s="166">
        <f t="shared" ref="J131:J194" si="18">I131+G131</f>
        <v>5.5</v>
      </c>
      <c r="K131" s="166">
        <f t="shared" si="13"/>
        <v>5.5</v>
      </c>
      <c r="L131" s="165">
        <f t="shared" ref="L131:L194" si="19">(F131/4000)+1</f>
        <v>1.0787500000000001</v>
      </c>
      <c r="M131" s="168">
        <f t="shared" si="14"/>
        <v>0</v>
      </c>
      <c r="N131" s="236" t="s">
        <v>453</v>
      </c>
    </row>
    <row r="132" spans="1:14" ht="14">
      <c r="A132" s="149">
        <v>131</v>
      </c>
      <c r="B132" s="235" t="s">
        <v>50</v>
      </c>
      <c r="C132" s="231" t="s">
        <v>10</v>
      </c>
      <c r="D132" s="250" t="s">
        <v>742</v>
      </c>
      <c r="E132" s="281">
        <v>0</v>
      </c>
      <c r="F132" s="249">
        <v>315</v>
      </c>
      <c r="G132" s="164">
        <f t="shared" si="15"/>
        <v>2.2000000000000002</v>
      </c>
      <c r="H132" s="165">
        <f t="shared" si="16"/>
        <v>4.4000000000000004</v>
      </c>
      <c r="I132" s="165">
        <f t="shared" si="17"/>
        <v>3.3</v>
      </c>
      <c r="J132" s="166">
        <f t="shared" si="18"/>
        <v>5.5</v>
      </c>
      <c r="K132" s="166">
        <f t="shared" ref="K132:K195" si="20">J132</f>
        <v>5.5</v>
      </c>
      <c r="L132" s="165">
        <f t="shared" si="19"/>
        <v>1.0787500000000001</v>
      </c>
      <c r="M132" s="168">
        <f t="shared" si="14"/>
        <v>0</v>
      </c>
      <c r="N132" s="236" t="s">
        <v>453</v>
      </c>
    </row>
    <row r="133" spans="1:14" ht="14">
      <c r="A133" s="149">
        <v>132</v>
      </c>
      <c r="B133" s="235" t="s">
        <v>50</v>
      </c>
      <c r="C133" s="231" t="s">
        <v>10</v>
      </c>
      <c r="D133" s="250" t="s">
        <v>744</v>
      </c>
      <c r="E133" s="281">
        <v>0</v>
      </c>
      <c r="F133" s="249">
        <v>520</v>
      </c>
      <c r="G133" s="164">
        <f t="shared" si="15"/>
        <v>3.3714285714285719</v>
      </c>
      <c r="H133" s="165">
        <f t="shared" si="16"/>
        <v>6.7428571428571438</v>
      </c>
      <c r="I133" s="165">
        <f t="shared" si="17"/>
        <v>5.0571428571428569</v>
      </c>
      <c r="J133" s="166">
        <f t="shared" si="18"/>
        <v>8.4285714285714288</v>
      </c>
      <c r="K133" s="166">
        <f t="shared" si="20"/>
        <v>8.4285714285714288</v>
      </c>
      <c r="L133" s="165">
        <f t="shared" si="19"/>
        <v>1.1299999999999999</v>
      </c>
      <c r="M133" s="168">
        <f t="shared" si="14"/>
        <v>0</v>
      </c>
      <c r="N133" s="236" t="s">
        <v>453</v>
      </c>
    </row>
    <row r="134" spans="1:14" ht="14">
      <c r="A134" s="149">
        <v>133</v>
      </c>
      <c r="B134" s="235" t="s">
        <v>50</v>
      </c>
      <c r="C134" s="231" t="s">
        <v>10</v>
      </c>
      <c r="D134" s="250" t="s">
        <v>746</v>
      </c>
      <c r="E134" s="281">
        <v>0</v>
      </c>
      <c r="F134" s="249">
        <v>3200</v>
      </c>
      <c r="G134" s="164">
        <f t="shared" si="15"/>
        <v>18.685714285714287</v>
      </c>
      <c r="H134" s="165">
        <f t="shared" si="16"/>
        <v>37.371428571428574</v>
      </c>
      <c r="I134" s="165">
        <f t="shared" si="17"/>
        <v>28.028571428571428</v>
      </c>
      <c r="J134" s="166">
        <f t="shared" si="18"/>
        <v>46.714285714285715</v>
      </c>
      <c r="K134" s="166">
        <f t="shared" si="20"/>
        <v>46.714285714285715</v>
      </c>
      <c r="L134" s="165">
        <f t="shared" si="19"/>
        <v>1.8</v>
      </c>
      <c r="M134" s="168">
        <f t="shared" si="14"/>
        <v>0</v>
      </c>
      <c r="N134" s="236" t="s">
        <v>453</v>
      </c>
    </row>
    <row r="135" spans="1:14" ht="14">
      <c r="A135" s="149">
        <v>134</v>
      </c>
      <c r="B135" s="235" t="s">
        <v>50</v>
      </c>
      <c r="C135" s="231" t="s">
        <v>10</v>
      </c>
      <c r="D135" s="250" t="s">
        <v>749</v>
      </c>
      <c r="E135" s="281">
        <v>0</v>
      </c>
      <c r="F135" s="249">
        <v>600</v>
      </c>
      <c r="G135" s="164">
        <f t="shared" si="15"/>
        <v>3.8285714285714287</v>
      </c>
      <c r="H135" s="165">
        <f t="shared" si="16"/>
        <v>7.6571428571428575</v>
      </c>
      <c r="I135" s="165">
        <f t="shared" si="17"/>
        <v>5.7428571428571429</v>
      </c>
      <c r="J135" s="166">
        <f t="shared" si="18"/>
        <v>9.5714285714285712</v>
      </c>
      <c r="K135" s="166">
        <f t="shared" si="20"/>
        <v>9.5714285714285712</v>
      </c>
      <c r="L135" s="165">
        <f t="shared" si="19"/>
        <v>1.1499999999999999</v>
      </c>
      <c r="M135" s="168">
        <f t="shared" si="14"/>
        <v>0</v>
      </c>
      <c r="N135" s="236" t="s">
        <v>453</v>
      </c>
    </row>
    <row r="136" spans="1:14" ht="14">
      <c r="A136" s="149">
        <v>135</v>
      </c>
      <c r="B136" s="235" t="s">
        <v>51</v>
      </c>
      <c r="C136" s="231" t="s">
        <v>10</v>
      </c>
      <c r="D136" s="250" t="s">
        <v>751</v>
      </c>
      <c r="E136" s="281">
        <v>0</v>
      </c>
      <c r="F136" s="249">
        <v>315</v>
      </c>
      <c r="G136" s="164">
        <f t="shared" si="15"/>
        <v>2.2000000000000002</v>
      </c>
      <c r="H136" s="165">
        <f t="shared" si="16"/>
        <v>4.4000000000000004</v>
      </c>
      <c r="I136" s="165">
        <f t="shared" si="17"/>
        <v>3.3</v>
      </c>
      <c r="J136" s="166">
        <f t="shared" si="18"/>
        <v>5.5</v>
      </c>
      <c r="K136" s="166">
        <f t="shared" si="20"/>
        <v>5.5</v>
      </c>
      <c r="L136" s="165">
        <f t="shared" si="19"/>
        <v>1.0787500000000001</v>
      </c>
      <c r="M136" s="168">
        <f t="shared" si="14"/>
        <v>0</v>
      </c>
      <c r="N136" s="236" t="s">
        <v>453</v>
      </c>
    </row>
    <row r="137" spans="1:14" ht="14">
      <c r="A137" s="149">
        <v>136</v>
      </c>
      <c r="B137" s="235" t="s">
        <v>51</v>
      </c>
      <c r="C137" s="231" t="s">
        <v>10</v>
      </c>
      <c r="D137" s="250" t="s">
        <v>754</v>
      </c>
      <c r="E137" s="281">
        <v>0</v>
      </c>
      <c r="F137" s="249">
        <v>3000</v>
      </c>
      <c r="G137" s="164">
        <f t="shared" si="15"/>
        <v>17.542857142857141</v>
      </c>
      <c r="H137" s="165">
        <f t="shared" si="16"/>
        <v>35.085714285714282</v>
      </c>
      <c r="I137" s="165">
        <f t="shared" si="17"/>
        <v>26.314285714285713</v>
      </c>
      <c r="J137" s="166">
        <f t="shared" si="18"/>
        <v>43.857142857142854</v>
      </c>
      <c r="K137" s="166">
        <f t="shared" si="20"/>
        <v>43.857142857142854</v>
      </c>
      <c r="L137" s="165">
        <f t="shared" si="19"/>
        <v>1.75</v>
      </c>
      <c r="M137" s="168">
        <f t="shared" si="14"/>
        <v>0</v>
      </c>
      <c r="N137" s="236" t="s">
        <v>453</v>
      </c>
    </row>
    <row r="138" spans="1:14" ht="14">
      <c r="A138" s="149">
        <v>137</v>
      </c>
      <c r="B138" s="235" t="s">
        <v>51</v>
      </c>
      <c r="C138" s="231" t="s">
        <v>10</v>
      </c>
      <c r="D138" s="250" t="s">
        <v>757</v>
      </c>
      <c r="E138" s="281">
        <v>0</v>
      </c>
      <c r="F138" s="249">
        <v>300</v>
      </c>
      <c r="G138" s="164">
        <f t="shared" si="15"/>
        <v>2.1142857142857143</v>
      </c>
      <c r="H138" s="165">
        <f t="shared" si="16"/>
        <v>4.2285714285714286</v>
      </c>
      <c r="I138" s="165">
        <f t="shared" si="17"/>
        <v>3.1714285714285713</v>
      </c>
      <c r="J138" s="166">
        <f t="shared" si="18"/>
        <v>5.2857142857142856</v>
      </c>
      <c r="K138" s="166">
        <f t="shared" si="20"/>
        <v>5.2857142857142856</v>
      </c>
      <c r="L138" s="165">
        <f t="shared" si="19"/>
        <v>1.075</v>
      </c>
      <c r="M138" s="168">
        <f t="shared" si="14"/>
        <v>0</v>
      </c>
      <c r="N138" s="236" t="s">
        <v>453</v>
      </c>
    </row>
    <row r="139" spans="1:14" ht="14">
      <c r="A139" s="149">
        <v>138</v>
      </c>
      <c r="B139" s="235" t="s">
        <v>51</v>
      </c>
      <c r="C139" s="231" t="s">
        <v>10</v>
      </c>
      <c r="D139" s="250" t="s">
        <v>759</v>
      </c>
      <c r="E139" s="281">
        <v>0</v>
      </c>
      <c r="F139" s="249">
        <v>2800</v>
      </c>
      <c r="G139" s="164">
        <f t="shared" si="15"/>
        <v>16.400000000000002</v>
      </c>
      <c r="H139" s="165">
        <f t="shared" si="16"/>
        <v>32.800000000000004</v>
      </c>
      <c r="I139" s="165">
        <f t="shared" si="17"/>
        <v>24.599999999999998</v>
      </c>
      <c r="J139" s="166">
        <f t="shared" si="18"/>
        <v>41</v>
      </c>
      <c r="K139" s="166">
        <f t="shared" si="20"/>
        <v>41</v>
      </c>
      <c r="L139" s="165">
        <f t="shared" si="19"/>
        <v>1.7</v>
      </c>
      <c r="M139" s="168">
        <f t="shared" si="14"/>
        <v>0</v>
      </c>
      <c r="N139" s="236" t="s">
        <v>453</v>
      </c>
    </row>
    <row r="140" spans="1:14" ht="14">
      <c r="A140" s="149">
        <v>139</v>
      </c>
      <c r="B140" s="235" t="s">
        <v>49</v>
      </c>
      <c r="C140" s="231" t="s">
        <v>10</v>
      </c>
      <c r="D140" s="250" t="s">
        <v>761</v>
      </c>
      <c r="E140" s="281">
        <v>0</v>
      </c>
      <c r="F140" s="249">
        <v>500</v>
      </c>
      <c r="G140" s="164">
        <f t="shared" si="15"/>
        <v>3.2571428571428571</v>
      </c>
      <c r="H140" s="165">
        <f t="shared" si="16"/>
        <v>6.5142857142857142</v>
      </c>
      <c r="I140" s="165">
        <f t="shared" si="17"/>
        <v>4.8857142857142852</v>
      </c>
      <c r="J140" s="166">
        <f t="shared" si="18"/>
        <v>8.1428571428571423</v>
      </c>
      <c r="K140" s="166">
        <f t="shared" si="20"/>
        <v>8.1428571428571423</v>
      </c>
      <c r="L140" s="165">
        <f t="shared" si="19"/>
        <v>1.125</v>
      </c>
      <c r="M140" s="168">
        <f t="shared" si="14"/>
        <v>0</v>
      </c>
      <c r="N140" s="236" t="s">
        <v>453</v>
      </c>
    </row>
    <row r="141" spans="1:14" ht="14">
      <c r="A141" s="149">
        <v>140</v>
      </c>
      <c r="B141" s="235" t="s">
        <v>51</v>
      </c>
      <c r="C141" s="231" t="s">
        <v>10</v>
      </c>
      <c r="D141" s="250" t="s">
        <v>764</v>
      </c>
      <c r="E141" s="281">
        <v>0</v>
      </c>
      <c r="F141" s="249">
        <v>900</v>
      </c>
      <c r="G141" s="164">
        <f t="shared" si="15"/>
        <v>5.5428571428571436</v>
      </c>
      <c r="H141" s="165">
        <f t="shared" si="16"/>
        <v>11.085714285714287</v>
      </c>
      <c r="I141" s="165">
        <f t="shared" si="17"/>
        <v>8.3142857142857149</v>
      </c>
      <c r="J141" s="166">
        <f t="shared" si="18"/>
        <v>13.857142857142858</v>
      </c>
      <c r="K141" s="166">
        <f t="shared" si="20"/>
        <v>13.857142857142858</v>
      </c>
      <c r="L141" s="165">
        <f t="shared" si="19"/>
        <v>1.2250000000000001</v>
      </c>
      <c r="M141" s="168">
        <f t="shared" si="14"/>
        <v>0</v>
      </c>
      <c r="N141" s="236" t="s">
        <v>453</v>
      </c>
    </row>
    <row r="142" spans="1:14" ht="14">
      <c r="A142" s="149">
        <v>141</v>
      </c>
      <c r="B142" s="235" t="s">
        <v>51</v>
      </c>
      <c r="C142" s="231" t="s">
        <v>10</v>
      </c>
      <c r="D142" s="250" t="s">
        <v>766</v>
      </c>
      <c r="E142" s="281">
        <v>0</v>
      </c>
      <c r="F142" s="249">
        <v>10500</v>
      </c>
      <c r="G142" s="164">
        <f t="shared" si="15"/>
        <v>60.400000000000006</v>
      </c>
      <c r="H142" s="165">
        <f t="shared" si="16"/>
        <v>120.80000000000001</v>
      </c>
      <c r="I142" s="165">
        <f t="shared" si="17"/>
        <v>90.6</v>
      </c>
      <c r="J142" s="166">
        <f t="shared" si="18"/>
        <v>151</v>
      </c>
      <c r="K142" s="166">
        <f t="shared" si="20"/>
        <v>151</v>
      </c>
      <c r="L142" s="165">
        <f t="shared" si="19"/>
        <v>3.625</v>
      </c>
      <c r="M142" s="168">
        <f t="shared" si="14"/>
        <v>0</v>
      </c>
      <c r="N142" s="236" t="s">
        <v>453</v>
      </c>
    </row>
    <row r="143" spans="1:14" ht="14">
      <c r="A143" s="149">
        <v>142</v>
      </c>
      <c r="B143" s="235" t="s">
        <v>51</v>
      </c>
      <c r="C143" s="231" t="s">
        <v>10</v>
      </c>
      <c r="D143" s="250" t="s">
        <v>768</v>
      </c>
      <c r="E143" s="281">
        <v>0</v>
      </c>
      <c r="F143" s="249">
        <v>700</v>
      </c>
      <c r="G143" s="164">
        <f t="shared" si="15"/>
        <v>4.4000000000000004</v>
      </c>
      <c r="H143" s="165">
        <f t="shared" si="16"/>
        <v>8.8000000000000007</v>
      </c>
      <c r="I143" s="165">
        <f t="shared" si="17"/>
        <v>6.6</v>
      </c>
      <c r="J143" s="166">
        <f t="shared" si="18"/>
        <v>11</v>
      </c>
      <c r="K143" s="166">
        <f t="shared" si="20"/>
        <v>11</v>
      </c>
      <c r="L143" s="165">
        <f t="shared" si="19"/>
        <v>1.175</v>
      </c>
      <c r="M143" s="168">
        <f t="shared" si="14"/>
        <v>0</v>
      </c>
      <c r="N143" s="236" t="s">
        <v>453</v>
      </c>
    </row>
    <row r="144" spans="1:14" ht="14">
      <c r="A144" s="149">
        <v>143</v>
      </c>
      <c r="B144" s="235" t="s">
        <v>51</v>
      </c>
      <c r="C144" s="231" t="s">
        <v>10</v>
      </c>
      <c r="D144" s="250" t="s">
        <v>771</v>
      </c>
      <c r="E144" s="281">
        <v>0</v>
      </c>
      <c r="F144" s="249">
        <v>1500</v>
      </c>
      <c r="G144" s="164">
        <f t="shared" si="15"/>
        <v>8.9714285714285715</v>
      </c>
      <c r="H144" s="165">
        <f t="shared" si="16"/>
        <v>17.942857142857143</v>
      </c>
      <c r="I144" s="165">
        <f t="shared" si="17"/>
        <v>13.457142857142856</v>
      </c>
      <c r="J144" s="166">
        <f t="shared" si="18"/>
        <v>22.428571428571427</v>
      </c>
      <c r="K144" s="166">
        <f t="shared" si="20"/>
        <v>22.428571428571427</v>
      </c>
      <c r="L144" s="165">
        <f t="shared" si="19"/>
        <v>1.375</v>
      </c>
      <c r="M144" s="168">
        <f t="shared" si="14"/>
        <v>0</v>
      </c>
      <c r="N144" s="236" t="s">
        <v>453</v>
      </c>
    </row>
    <row r="145" spans="1:14" ht="14">
      <c r="A145" s="149">
        <v>144</v>
      </c>
      <c r="B145" s="235" t="s">
        <v>51</v>
      </c>
      <c r="C145" s="231" t="s">
        <v>10</v>
      </c>
      <c r="D145" s="250" t="s">
        <v>773</v>
      </c>
      <c r="E145" s="281">
        <v>0</v>
      </c>
      <c r="F145" s="249">
        <v>3000</v>
      </c>
      <c r="G145" s="164">
        <f t="shared" si="15"/>
        <v>17.542857142857141</v>
      </c>
      <c r="H145" s="165">
        <f t="shared" si="16"/>
        <v>35.085714285714282</v>
      </c>
      <c r="I145" s="165">
        <f t="shared" si="17"/>
        <v>26.314285714285713</v>
      </c>
      <c r="J145" s="166">
        <f t="shared" si="18"/>
        <v>43.857142857142854</v>
      </c>
      <c r="K145" s="166">
        <f t="shared" si="20"/>
        <v>43.857142857142854</v>
      </c>
      <c r="L145" s="165">
        <f t="shared" si="19"/>
        <v>1.75</v>
      </c>
      <c r="M145" s="168">
        <f t="shared" si="14"/>
        <v>0</v>
      </c>
      <c r="N145" s="236" t="s">
        <v>453</v>
      </c>
    </row>
    <row r="146" spans="1:14" ht="14">
      <c r="A146" s="149">
        <v>145</v>
      </c>
      <c r="B146" s="235" t="s">
        <v>51</v>
      </c>
      <c r="C146" s="231" t="s">
        <v>10</v>
      </c>
      <c r="D146" s="250" t="s">
        <v>776</v>
      </c>
      <c r="E146" s="281">
        <v>0</v>
      </c>
      <c r="F146" s="249">
        <v>2500</v>
      </c>
      <c r="G146" s="164">
        <f t="shared" si="15"/>
        <v>14.685714285714287</v>
      </c>
      <c r="H146" s="165">
        <f t="shared" si="16"/>
        <v>29.371428571428574</v>
      </c>
      <c r="I146" s="165">
        <f t="shared" si="17"/>
        <v>22.028571428571428</v>
      </c>
      <c r="J146" s="166">
        <f t="shared" si="18"/>
        <v>36.714285714285715</v>
      </c>
      <c r="K146" s="166">
        <f t="shared" si="20"/>
        <v>36.714285714285715</v>
      </c>
      <c r="L146" s="165">
        <f t="shared" si="19"/>
        <v>1.625</v>
      </c>
      <c r="M146" s="168">
        <f t="shared" si="14"/>
        <v>0</v>
      </c>
      <c r="N146" s="236" t="s">
        <v>453</v>
      </c>
    </row>
    <row r="147" spans="1:14" ht="14">
      <c r="A147" s="149">
        <v>146</v>
      </c>
      <c r="B147" s="235" t="s">
        <v>51</v>
      </c>
      <c r="C147" s="231" t="s">
        <v>10</v>
      </c>
      <c r="D147" s="250" t="s">
        <v>779</v>
      </c>
      <c r="E147" s="281">
        <v>0</v>
      </c>
      <c r="F147" s="249">
        <v>2000</v>
      </c>
      <c r="G147" s="164">
        <f t="shared" si="15"/>
        <v>11.828571428571429</v>
      </c>
      <c r="H147" s="165">
        <f t="shared" si="16"/>
        <v>23.657142857142858</v>
      </c>
      <c r="I147" s="165">
        <f t="shared" si="17"/>
        <v>17.742857142857144</v>
      </c>
      <c r="J147" s="166">
        <f t="shared" si="18"/>
        <v>29.571428571428573</v>
      </c>
      <c r="K147" s="166">
        <f t="shared" si="20"/>
        <v>29.571428571428573</v>
      </c>
      <c r="L147" s="165">
        <f t="shared" si="19"/>
        <v>1.5</v>
      </c>
      <c r="M147" s="168">
        <f t="shared" si="14"/>
        <v>0</v>
      </c>
      <c r="N147" s="236" t="s">
        <v>453</v>
      </c>
    </row>
    <row r="148" spans="1:14" ht="14">
      <c r="A148" s="149">
        <v>147</v>
      </c>
      <c r="B148" s="235" t="s">
        <v>51</v>
      </c>
      <c r="C148" s="231" t="s">
        <v>10</v>
      </c>
      <c r="D148" s="250" t="s">
        <v>781</v>
      </c>
      <c r="E148" s="281">
        <v>0</v>
      </c>
      <c r="F148" s="249">
        <v>800</v>
      </c>
      <c r="G148" s="164">
        <f t="shared" si="15"/>
        <v>4.9714285714285715</v>
      </c>
      <c r="H148" s="165">
        <f t="shared" si="16"/>
        <v>9.9428571428571431</v>
      </c>
      <c r="I148" s="165">
        <f t="shared" si="17"/>
        <v>7.4571428571428573</v>
      </c>
      <c r="J148" s="166">
        <f t="shared" si="18"/>
        <v>12.428571428571429</v>
      </c>
      <c r="K148" s="166">
        <f t="shared" si="20"/>
        <v>12.428571428571429</v>
      </c>
      <c r="L148" s="165">
        <f t="shared" si="19"/>
        <v>1.2</v>
      </c>
      <c r="M148" s="168">
        <f t="shared" si="14"/>
        <v>0</v>
      </c>
      <c r="N148" s="236" t="s">
        <v>453</v>
      </c>
    </row>
    <row r="149" spans="1:14" ht="14">
      <c r="A149" s="149">
        <v>148</v>
      </c>
      <c r="B149" s="235" t="s">
        <v>51</v>
      </c>
      <c r="C149" s="231" t="s">
        <v>10</v>
      </c>
      <c r="D149" s="250" t="s">
        <v>783</v>
      </c>
      <c r="E149" s="281">
        <v>0</v>
      </c>
      <c r="F149" s="249">
        <v>2800</v>
      </c>
      <c r="G149" s="164">
        <f t="shared" si="15"/>
        <v>16.400000000000002</v>
      </c>
      <c r="H149" s="165">
        <f t="shared" si="16"/>
        <v>32.800000000000004</v>
      </c>
      <c r="I149" s="165">
        <f t="shared" si="17"/>
        <v>24.599999999999998</v>
      </c>
      <c r="J149" s="166">
        <f t="shared" si="18"/>
        <v>41</v>
      </c>
      <c r="K149" s="166">
        <f t="shared" si="20"/>
        <v>41</v>
      </c>
      <c r="L149" s="165">
        <f t="shared" si="19"/>
        <v>1.7</v>
      </c>
      <c r="M149" s="168">
        <f t="shared" si="14"/>
        <v>0</v>
      </c>
      <c r="N149" s="236" t="s">
        <v>453</v>
      </c>
    </row>
    <row r="150" spans="1:14" ht="14">
      <c r="A150" s="149">
        <v>149</v>
      </c>
      <c r="B150" s="235" t="s">
        <v>51</v>
      </c>
      <c r="C150" s="231" t="s">
        <v>10</v>
      </c>
      <c r="D150" s="250" t="s">
        <v>785</v>
      </c>
      <c r="E150" s="281">
        <v>0</v>
      </c>
      <c r="F150" s="249">
        <v>6800</v>
      </c>
      <c r="G150" s="164">
        <f t="shared" si="15"/>
        <v>39.25714285714286</v>
      </c>
      <c r="H150" s="165">
        <f t="shared" si="16"/>
        <v>78.51428571428572</v>
      </c>
      <c r="I150" s="165">
        <f t="shared" si="17"/>
        <v>58.885714285714279</v>
      </c>
      <c r="J150" s="166">
        <f t="shared" si="18"/>
        <v>98.142857142857139</v>
      </c>
      <c r="K150" s="166">
        <f t="shared" si="20"/>
        <v>98.142857142857139</v>
      </c>
      <c r="L150" s="165">
        <f t="shared" si="19"/>
        <v>2.7</v>
      </c>
      <c r="M150" s="168">
        <f t="shared" si="14"/>
        <v>0</v>
      </c>
      <c r="N150" s="236" t="s">
        <v>453</v>
      </c>
    </row>
    <row r="151" spans="1:14" ht="14">
      <c r="A151" s="149">
        <v>150</v>
      </c>
      <c r="B151" s="235" t="s">
        <v>51</v>
      </c>
      <c r="C151" s="231" t="s">
        <v>10</v>
      </c>
      <c r="D151" s="250" t="s">
        <v>787</v>
      </c>
      <c r="E151" s="281">
        <v>0</v>
      </c>
      <c r="F151" s="249">
        <v>1000</v>
      </c>
      <c r="G151" s="164">
        <f t="shared" si="15"/>
        <v>6.1142857142857148</v>
      </c>
      <c r="H151" s="165">
        <f t="shared" si="16"/>
        <v>12.22857142857143</v>
      </c>
      <c r="I151" s="165">
        <f t="shared" si="17"/>
        <v>9.1714285714285708</v>
      </c>
      <c r="J151" s="166">
        <f t="shared" si="18"/>
        <v>15.285714285714285</v>
      </c>
      <c r="K151" s="166">
        <f t="shared" si="20"/>
        <v>15.285714285714285</v>
      </c>
      <c r="L151" s="165">
        <f t="shared" si="19"/>
        <v>1.25</v>
      </c>
      <c r="M151" s="168">
        <f t="shared" si="14"/>
        <v>0</v>
      </c>
      <c r="N151" s="236" t="s">
        <v>453</v>
      </c>
    </row>
    <row r="152" spans="1:14" ht="14">
      <c r="A152" s="149">
        <v>151</v>
      </c>
      <c r="B152" s="235" t="s">
        <v>51</v>
      </c>
      <c r="C152" s="231" t="s">
        <v>10</v>
      </c>
      <c r="D152" s="250" t="s">
        <v>789</v>
      </c>
      <c r="E152" s="281">
        <v>0</v>
      </c>
      <c r="F152" s="249">
        <v>52487</v>
      </c>
      <c r="G152" s="164">
        <f t="shared" si="15"/>
        <v>300.3257142857143</v>
      </c>
      <c r="H152" s="165">
        <f t="shared" si="16"/>
        <v>600.6514285714286</v>
      </c>
      <c r="I152" s="165">
        <f t="shared" si="17"/>
        <v>450.48857142857139</v>
      </c>
      <c r="J152" s="166">
        <f t="shared" si="18"/>
        <v>750.81428571428569</v>
      </c>
      <c r="K152" s="166">
        <f t="shared" si="20"/>
        <v>750.81428571428569</v>
      </c>
      <c r="L152" s="165">
        <f t="shared" si="19"/>
        <v>14.12175</v>
      </c>
      <c r="M152" s="168">
        <f t="shared" si="14"/>
        <v>0</v>
      </c>
      <c r="N152" s="236" t="s">
        <v>453</v>
      </c>
    </row>
    <row r="153" spans="1:14" ht="14">
      <c r="A153" s="149">
        <v>152</v>
      </c>
      <c r="B153" s="235" t="s">
        <v>51</v>
      </c>
      <c r="C153" s="231" t="s">
        <v>10</v>
      </c>
      <c r="D153" s="250" t="s">
        <v>792</v>
      </c>
      <c r="E153" s="281">
        <v>0</v>
      </c>
      <c r="F153" s="249">
        <v>1522.5</v>
      </c>
      <c r="G153" s="164">
        <f t="shared" si="15"/>
        <v>9.1</v>
      </c>
      <c r="H153" s="165">
        <f t="shared" si="16"/>
        <v>18.2</v>
      </c>
      <c r="I153" s="165">
        <f t="shared" si="17"/>
        <v>13.65</v>
      </c>
      <c r="J153" s="166">
        <f t="shared" si="18"/>
        <v>22.75</v>
      </c>
      <c r="K153" s="166">
        <f t="shared" si="20"/>
        <v>22.75</v>
      </c>
      <c r="L153" s="165">
        <f t="shared" si="19"/>
        <v>1.380625</v>
      </c>
      <c r="M153" s="168">
        <f t="shared" si="14"/>
        <v>0</v>
      </c>
      <c r="N153" s="236" t="s">
        <v>453</v>
      </c>
    </row>
    <row r="154" spans="1:14" ht="14">
      <c r="A154" s="149">
        <v>153</v>
      </c>
      <c r="B154" s="235" t="s">
        <v>51</v>
      </c>
      <c r="C154" s="231" t="s">
        <v>10</v>
      </c>
      <c r="D154" s="250" t="s">
        <v>794</v>
      </c>
      <c r="E154" s="281">
        <v>0</v>
      </c>
      <c r="F154" s="249">
        <v>2833.95</v>
      </c>
      <c r="G154" s="164">
        <f t="shared" si="15"/>
        <v>16.594000000000001</v>
      </c>
      <c r="H154" s="165">
        <f t="shared" si="16"/>
        <v>33.188000000000002</v>
      </c>
      <c r="I154" s="165">
        <f t="shared" si="17"/>
        <v>24.890999999999998</v>
      </c>
      <c r="J154" s="166">
        <f t="shared" si="18"/>
        <v>41.484999999999999</v>
      </c>
      <c r="K154" s="166">
        <f t="shared" si="20"/>
        <v>41.484999999999999</v>
      </c>
      <c r="L154" s="165">
        <f t="shared" si="19"/>
        <v>1.7084874999999999</v>
      </c>
      <c r="M154" s="168">
        <f t="shared" si="14"/>
        <v>0</v>
      </c>
      <c r="N154" s="236" t="s">
        <v>453</v>
      </c>
    </row>
    <row r="155" spans="1:14" ht="14">
      <c r="A155" s="149">
        <v>154</v>
      </c>
      <c r="B155" s="235" t="s">
        <v>51</v>
      </c>
      <c r="C155" s="231" t="s">
        <v>10</v>
      </c>
      <c r="D155" s="250" t="s">
        <v>796</v>
      </c>
      <c r="E155" s="281">
        <v>0</v>
      </c>
      <c r="F155" s="249">
        <v>315</v>
      </c>
      <c r="G155" s="164">
        <f t="shared" si="15"/>
        <v>2.2000000000000002</v>
      </c>
      <c r="H155" s="165">
        <f t="shared" si="16"/>
        <v>4.4000000000000004</v>
      </c>
      <c r="I155" s="165">
        <f t="shared" si="17"/>
        <v>3.3</v>
      </c>
      <c r="J155" s="166">
        <f t="shared" si="18"/>
        <v>5.5</v>
      </c>
      <c r="K155" s="166">
        <f t="shared" si="20"/>
        <v>5.5</v>
      </c>
      <c r="L155" s="165">
        <f t="shared" si="19"/>
        <v>1.0787500000000001</v>
      </c>
      <c r="M155" s="168">
        <f t="shared" si="14"/>
        <v>0</v>
      </c>
      <c r="N155" s="236" t="s">
        <v>453</v>
      </c>
    </row>
    <row r="156" spans="1:14" ht="14">
      <c r="A156" s="149">
        <v>155</v>
      </c>
      <c r="B156" s="235" t="s">
        <v>51</v>
      </c>
      <c r="C156" s="231" t="s">
        <v>10</v>
      </c>
      <c r="D156" s="250" t="s">
        <v>4253</v>
      </c>
      <c r="E156" s="281">
        <v>0</v>
      </c>
      <c r="F156" s="249">
        <v>9372.2999999999993</v>
      </c>
      <c r="G156" s="164">
        <f t="shared" si="15"/>
        <v>53.955999999999996</v>
      </c>
      <c r="H156" s="165">
        <f t="shared" si="16"/>
        <v>107.91199999999999</v>
      </c>
      <c r="I156" s="165">
        <f t="shared" si="17"/>
        <v>80.933999999999983</v>
      </c>
      <c r="J156" s="166">
        <f t="shared" si="18"/>
        <v>134.88999999999999</v>
      </c>
      <c r="K156" s="166">
        <f t="shared" si="20"/>
        <v>134.88999999999999</v>
      </c>
      <c r="L156" s="165">
        <f t="shared" si="19"/>
        <v>3.3430749999999998</v>
      </c>
      <c r="M156" s="168">
        <f t="shared" si="14"/>
        <v>0</v>
      </c>
      <c r="N156" s="236" t="s">
        <v>453</v>
      </c>
    </row>
    <row r="157" spans="1:14" ht="14">
      <c r="A157" s="149">
        <v>156</v>
      </c>
      <c r="B157" s="235" t="s">
        <v>51</v>
      </c>
      <c r="C157" s="231" t="s">
        <v>10</v>
      </c>
      <c r="D157" s="250" t="s">
        <v>799</v>
      </c>
      <c r="E157" s="281">
        <v>0</v>
      </c>
      <c r="F157" s="249">
        <v>19684.349999999999</v>
      </c>
      <c r="G157" s="164">
        <f t="shared" si="15"/>
        <v>112.88200000000001</v>
      </c>
      <c r="H157" s="165">
        <f t="shared" si="16"/>
        <v>225.76400000000001</v>
      </c>
      <c r="I157" s="165">
        <f t="shared" si="17"/>
        <v>169.32299999999998</v>
      </c>
      <c r="J157" s="166">
        <f t="shared" si="18"/>
        <v>282.20499999999998</v>
      </c>
      <c r="K157" s="166">
        <f t="shared" si="20"/>
        <v>282.20499999999998</v>
      </c>
      <c r="L157" s="165">
        <f t="shared" si="19"/>
        <v>5.9210874999999996</v>
      </c>
      <c r="M157" s="168">
        <f t="shared" si="14"/>
        <v>0</v>
      </c>
      <c r="N157" s="236" t="s">
        <v>453</v>
      </c>
    </row>
    <row r="158" spans="1:14" ht="14">
      <c r="A158" s="149">
        <v>157</v>
      </c>
      <c r="B158" s="235" t="s">
        <v>51</v>
      </c>
      <c r="C158" s="231" t="s">
        <v>10</v>
      </c>
      <c r="D158" s="250" t="s">
        <v>802</v>
      </c>
      <c r="E158" s="281">
        <v>0</v>
      </c>
      <c r="F158" s="249">
        <v>2303.6999999999998</v>
      </c>
      <c r="G158" s="164">
        <f t="shared" si="15"/>
        <v>13.564</v>
      </c>
      <c r="H158" s="165">
        <f t="shared" si="16"/>
        <v>27.128</v>
      </c>
      <c r="I158" s="165">
        <f t="shared" si="17"/>
        <v>20.345999999999997</v>
      </c>
      <c r="J158" s="166">
        <f t="shared" si="18"/>
        <v>33.909999999999997</v>
      </c>
      <c r="K158" s="166">
        <f t="shared" si="20"/>
        <v>33.909999999999997</v>
      </c>
      <c r="L158" s="165">
        <f t="shared" si="19"/>
        <v>1.5759249999999998</v>
      </c>
      <c r="M158" s="168">
        <f t="shared" si="14"/>
        <v>0</v>
      </c>
      <c r="N158" s="236" t="s">
        <v>453</v>
      </c>
    </row>
    <row r="159" spans="1:14" ht="14">
      <c r="A159" s="149">
        <v>158</v>
      </c>
      <c r="B159" s="235" t="s">
        <v>51</v>
      </c>
      <c r="C159" s="231" t="s">
        <v>10</v>
      </c>
      <c r="D159" s="250" t="s">
        <v>804</v>
      </c>
      <c r="E159" s="281">
        <v>0</v>
      </c>
      <c r="F159" s="249">
        <v>2796.15</v>
      </c>
      <c r="G159" s="164">
        <f t="shared" si="15"/>
        <v>16.378</v>
      </c>
      <c r="H159" s="165">
        <f t="shared" si="16"/>
        <v>32.756</v>
      </c>
      <c r="I159" s="165">
        <f t="shared" si="17"/>
        <v>24.567</v>
      </c>
      <c r="J159" s="166">
        <f t="shared" si="18"/>
        <v>40.945</v>
      </c>
      <c r="K159" s="166">
        <f t="shared" si="20"/>
        <v>40.945</v>
      </c>
      <c r="L159" s="165">
        <f t="shared" si="19"/>
        <v>1.6990375</v>
      </c>
      <c r="M159" s="168">
        <f t="shared" si="14"/>
        <v>0</v>
      </c>
      <c r="N159" s="236" t="s">
        <v>453</v>
      </c>
    </row>
    <row r="160" spans="1:14" ht="14">
      <c r="A160" s="149">
        <v>159</v>
      </c>
      <c r="B160" s="235" t="s">
        <v>51</v>
      </c>
      <c r="C160" s="231" t="s">
        <v>10</v>
      </c>
      <c r="D160" s="250" t="s">
        <v>807</v>
      </c>
      <c r="E160" s="281">
        <v>0</v>
      </c>
      <c r="F160" s="249">
        <v>824.25</v>
      </c>
      <c r="G160" s="164">
        <f t="shared" si="15"/>
        <v>5.1100000000000003</v>
      </c>
      <c r="H160" s="165">
        <f t="shared" si="16"/>
        <v>10.220000000000001</v>
      </c>
      <c r="I160" s="165">
        <f t="shared" si="17"/>
        <v>7.665</v>
      </c>
      <c r="J160" s="166">
        <f t="shared" si="18"/>
        <v>12.775</v>
      </c>
      <c r="K160" s="166">
        <f t="shared" si="20"/>
        <v>12.775</v>
      </c>
      <c r="L160" s="165">
        <f t="shared" si="19"/>
        <v>1.2060625</v>
      </c>
      <c r="M160" s="168">
        <f t="shared" si="14"/>
        <v>0</v>
      </c>
      <c r="N160" s="236" t="s">
        <v>453</v>
      </c>
    </row>
    <row r="161" spans="1:14" ht="14">
      <c r="A161" s="149">
        <v>160</v>
      </c>
      <c r="B161" s="235" t="s">
        <v>51</v>
      </c>
      <c r="C161" s="231" t="s">
        <v>10</v>
      </c>
      <c r="D161" s="250" t="s">
        <v>810</v>
      </c>
      <c r="E161" s="281">
        <v>0</v>
      </c>
      <c r="F161" s="249">
        <v>11636.1</v>
      </c>
      <c r="G161" s="164">
        <f t="shared" si="15"/>
        <v>66.89200000000001</v>
      </c>
      <c r="H161" s="165">
        <f t="shared" si="16"/>
        <v>133.78400000000002</v>
      </c>
      <c r="I161" s="165">
        <f t="shared" si="17"/>
        <v>100.33800000000001</v>
      </c>
      <c r="J161" s="166">
        <f t="shared" si="18"/>
        <v>167.23000000000002</v>
      </c>
      <c r="K161" s="166">
        <f t="shared" si="20"/>
        <v>167.23000000000002</v>
      </c>
      <c r="L161" s="165">
        <f t="shared" si="19"/>
        <v>3.9090250000000002</v>
      </c>
      <c r="M161" s="168">
        <f t="shared" si="14"/>
        <v>0</v>
      </c>
      <c r="N161" s="236" t="s">
        <v>453</v>
      </c>
    </row>
    <row r="162" spans="1:14" ht="14">
      <c r="A162" s="149">
        <v>161</v>
      </c>
      <c r="B162" s="235" t="s">
        <v>51</v>
      </c>
      <c r="C162" s="231" t="s">
        <v>10</v>
      </c>
      <c r="D162" s="250" t="s">
        <v>812</v>
      </c>
      <c r="E162" s="281">
        <v>0</v>
      </c>
      <c r="F162" s="249">
        <v>2500</v>
      </c>
      <c r="G162" s="164">
        <f t="shared" si="15"/>
        <v>14.685714285714287</v>
      </c>
      <c r="H162" s="165">
        <f t="shared" si="16"/>
        <v>29.371428571428574</v>
      </c>
      <c r="I162" s="165">
        <f t="shared" si="17"/>
        <v>22.028571428571428</v>
      </c>
      <c r="J162" s="166">
        <f t="shared" si="18"/>
        <v>36.714285714285715</v>
      </c>
      <c r="K162" s="166">
        <f t="shared" si="20"/>
        <v>36.714285714285715</v>
      </c>
      <c r="L162" s="165">
        <f t="shared" si="19"/>
        <v>1.625</v>
      </c>
      <c r="M162" s="168">
        <f t="shared" si="14"/>
        <v>0</v>
      </c>
      <c r="N162" s="236" t="s">
        <v>453</v>
      </c>
    </row>
    <row r="163" spans="1:14" ht="14">
      <c r="A163" s="149">
        <v>162</v>
      </c>
      <c r="B163" s="235" t="s">
        <v>51</v>
      </c>
      <c r="C163" s="231" t="s">
        <v>10</v>
      </c>
      <c r="D163" s="250" t="s">
        <v>815</v>
      </c>
      <c r="E163" s="281">
        <v>0</v>
      </c>
      <c r="F163" s="249">
        <v>2600</v>
      </c>
      <c r="G163" s="164">
        <f t="shared" si="15"/>
        <v>15.25714285714286</v>
      </c>
      <c r="H163" s="165">
        <f t="shared" si="16"/>
        <v>30.51428571428572</v>
      </c>
      <c r="I163" s="165">
        <f t="shared" si="17"/>
        <v>22.885714285714286</v>
      </c>
      <c r="J163" s="166">
        <f t="shared" si="18"/>
        <v>38.142857142857146</v>
      </c>
      <c r="K163" s="166">
        <f t="shared" si="20"/>
        <v>38.142857142857146</v>
      </c>
      <c r="L163" s="165">
        <f t="shared" si="19"/>
        <v>1.65</v>
      </c>
      <c r="M163" s="168">
        <f t="shared" si="14"/>
        <v>0</v>
      </c>
      <c r="N163" s="236" t="s">
        <v>453</v>
      </c>
    </row>
    <row r="164" spans="1:14" ht="14">
      <c r="A164" s="149">
        <v>163</v>
      </c>
      <c r="B164" s="235" t="s">
        <v>51</v>
      </c>
      <c r="C164" s="231" t="s">
        <v>10</v>
      </c>
      <c r="D164" s="250" t="s">
        <v>817</v>
      </c>
      <c r="E164" s="281">
        <v>0</v>
      </c>
      <c r="F164" s="249">
        <v>250</v>
      </c>
      <c r="G164" s="164">
        <f t="shared" si="15"/>
        <v>1.8285714285714285</v>
      </c>
      <c r="H164" s="165">
        <f t="shared" si="16"/>
        <v>3.657142857142857</v>
      </c>
      <c r="I164" s="165">
        <f t="shared" si="17"/>
        <v>2.7428571428571424</v>
      </c>
      <c r="J164" s="166">
        <f t="shared" si="18"/>
        <v>4.5714285714285712</v>
      </c>
      <c r="K164" s="166">
        <f t="shared" si="20"/>
        <v>4.5714285714285712</v>
      </c>
      <c r="L164" s="165">
        <f t="shared" si="19"/>
        <v>1.0625</v>
      </c>
      <c r="M164" s="168">
        <f t="shared" si="14"/>
        <v>0</v>
      </c>
      <c r="N164" s="236" t="s">
        <v>453</v>
      </c>
    </row>
    <row r="165" spans="1:14" ht="14">
      <c r="A165" s="149">
        <v>164</v>
      </c>
      <c r="B165" s="235" t="s">
        <v>51</v>
      </c>
      <c r="C165" s="231" t="s">
        <v>10</v>
      </c>
      <c r="D165" s="250" t="s">
        <v>819</v>
      </c>
      <c r="E165" s="281">
        <v>0</v>
      </c>
      <c r="F165" s="249">
        <v>12000</v>
      </c>
      <c r="G165" s="164">
        <f t="shared" si="15"/>
        <v>68.971428571428575</v>
      </c>
      <c r="H165" s="165">
        <f t="shared" si="16"/>
        <v>137.94285714285715</v>
      </c>
      <c r="I165" s="165">
        <f t="shared" si="17"/>
        <v>103.45714285714284</v>
      </c>
      <c r="J165" s="166">
        <f t="shared" si="18"/>
        <v>172.42857142857142</v>
      </c>
      <c r="K165" s="166">
        <f t="shared" si="20"/>
        <v>172.42857142857142</v>
      </c>
      <c r="L165" s="165">
        <f t="shared" si="19"/>
        <v>4</v>
      </c>
      <c r="M165" s="168">
        <f t="shared" si="14"/>
        <v>0</v>
      </c>
      <c r="N165" s="236" t="s">
        <v>453</v>
      </c>
    </row>
    <row r="166" spans="1:14" ht="14">
      <c r="A166" s="149">
        <v>165</v>
      </c>
      <c r="B166" s="235" t="s">
        <v>51</v>
      </c>
      <c r="C166" s="231" t="s">
        <v>10</v>
      </c>
      <c r="D166" s="250" t="s">
        <v>821</v>
      </c>
      <c r="E166" s="281">
        <v>0</v>
      </c>
      <c r="F166" s="249">
        <v>3100</v>
      </c>
      <c r="G166" s="164">
        <f t="shared" si="15"/>
        <v>18.114285714285714</v>
      </c>
      <c r="H166" s="165">
        <f t="shared" si="16"/>
        <v>36.228571428571428</v>
      </c>
      <c r="I166" s="165">
        <f t="shared" si="17"/>
        <v>27.171428571428571</v>
      </c>
      <c r="J166" s="166">
        <f t="shared" si="18"/>
        <v>45.285714285714285</v>
      </c>
      <c r="K166" s="166">
        <f t="shared" si="20"/>
        <v>45.285714285714285</v>
      </c>
      <c r="L166" s="165">
        <f t="shared" si="19"/>
        <v>1.7749999999999999</v>
      </c>
      <c r="M166" s="168">
        <f t="shared" si="14"/>
        <v>0</v>
      </c>
      <c r="N166" s="236" t="s">
        <v>453</v>
      </c>
    </row>
    <row r="167" spans="1:14" ht="14">
      <c r="A167" s="149">
        <v>166</v>
      </c>
      <c r="B167" s="235" t="s">
        <v>51</v>
      </c>
      <c r="C167" s="231" t="s">
        <v>10</v>
      </c>
      <c r="D167" s="250" t="s">
        <v>823</v>
      </c>
      <c r="E167" s="281">
        <v>0</v>
      </c>
      <c r="F167" s="249">
        <v>300</v>
      </c>
      <c r="G167" s="164">
        <f t="shared" si="15"/>
        <v>2.1142857142857143</v>
      </c>
      <c r="H167" s="165">
        <f t="shared" si="16"/>
        <v>4.2285714285714286</v>
      </c>
      <c r="I167" s="165">
        <f t="shared" si="17"/>
        <v>3.1714285714285713</v>
      </c>
      <c r="J167" s="166">
        <f t="shared" si="18"/>
        <v>5.2857142857142856</v>
      </c>
      <c r="K167" s="166">
        <f t="shared" si="20"/>
        <v>5.2857142857142856</v>
      </c>
      <c r="L167" s="165">
        <f t="shared" si="19"/>
        <v>1.075</v>
      </c>
      <c r="M167" s="168">
        <f t="shared" si="14"/>
        <v>0</v>
      </c>
      <c r="N167" s="236" t="s">
        <v>453</v>
      </c>
    </row>
    <row r="168" spans="1:14" ht="14">
      <c r="A168" s="149">
        <v>167</v>
      </c>
      <c r="B168" s="235" t="s">
        <v>51</v>
      </c>
      <c r="C168" s="231" t="s">
        <v>10</v>
      </c>
      <c r="D168" s="252" t="s">
        <v>825</v>
      </c>
      <c r="E168" s="281">
        <v>0</v>
      </c>
      <c r="F168" s="249">
        <v>3500</v>
      </c>
      <c r="G168" s="164">
        <f t="shared" si="15"/>
        <v>20.400000000000002</v>
      </c>
      <c r="H168" s="165">
        <f t="shared" si="16"/>
        <v>40.800000000000004</v>
      </c>
      <c r="I168" s="165">
        <f t="shared" si="17"/>
        <v>30.599999999999998</v>
      </c>
      <c r="J168" s="166">
        <f t="shared" si="18"/>
        <v>51</v>
      </c>
      <c r="K168" s="166">
        <f t="shared" si="20"/>
        <v>51</v>
      </c>
      <c r="L168" s="165">
        <f t="shared" si="19"/>
        <v>1.875</v>
      </c>
      <c r="M168" s="168">
        <f t="shared" si="14"/>
        <v>0</v>
      </c>
      <c r="N168" s="236" t="s">
        <v>453</v>
      </c>
    </row>
    <row r="169" spans="1:14" ht="14">
      <c r="A169" s="149">
        <v>168</v>
      </c>
      <c r="B169" s="235" t="s">
        <v>51</v>
      </c>
      <c r="C169" s="231" t="s">
        <v>10</v>
      </c>
      <c r="D169" s="250" t="s">
        <v>827</v>
      </c>
      <c r="E169" s="281">
        <v>0</v>
      </c>
      <c r="F169" s="249">
        <v>150</v>
      </c>
      <c r="G169" s="164">
        <f t="shared" si="15"/>
        <v>1.2571428571428571</v>
      </c>
      <c r="H169" s="165">
        <f t="shared" si="16"/>
        <v>2.5142857142857142</v>
      </c>
      <c r="I169" s="165">
        <f t="shared" si="17"/>
        <v>1.8857142857142857</v>
      </c>
      <c r="J169" s="166">
        <f t="shared" si="18"/>
        <v>3.1428571428571428</v>
      </c>
      <c r="K169" s="166">
        <f t="shared" si="20"/>
        <v>3.1428571428571428</v>
      </c>
      <c r="L169" s="165">
        <f t="shared" si="19"/>
        <v>1.0375000000000001</v>
      </c>
      <c r="M169" s="168">
        <f t="shared" si="14"/>
        <v>0</v>
      </c>
      <c r="N169" s="236" t="s">
        <v>453</v>
      </c>
    </row>
    <row r="170" spans="1:14" ht="14">
      <c r="A170" s="149">
        <v>169</v>
      </c>
      <c r="B170" s="235" t="s">
        <v>52</v>
      </c>
      <c r="C170" s="231" t="s">
        <v>10</v>
      </c>
      <c r="D170" s="250" t="s">
        <v>829</v>
      </c>
      <c r="E170" s="281">
        <v>0</v>
      </c>
      <c r="F170" s="249">
        <v>1728.3</v>
      </c>
      <c r="G170" s="164">
        <f t="shared" si="15"/>
        <v>10.276</v>
      </c>
      <c r="H170" s="165">
        <f t="shared" si="16"/>
        <v>20.552</v>
      </c>
      <c r="I170" s="165">
        <f t="shared" si="17"/>
        <v>15.413999999999998</v>
      </c>
      <c r="J170" s="166">
        <f t="shared" si="18"/>
        <v>25.689999999999998</v>
      </c>
      <c r="K170" s="166">
        <f t="shared" si="20"/>
        <v>25.689999999999998</v>
      </c>
      <c r="L170" s="165">
        <f t="shared" si="19"/>
        <v>1.432075</v>
      </c>
      <c r="M170" s="168">
        <f t="shared" si="14"/>
        <v>0</v>
      </c>
      <c r="N170" s="236" t="s">
        <v>453</v>
      </c>
    </row>
    <row r="171" spans="1:14" ht="14">
      <c r="A171" s="149">
        <v>170</v>
      </c>
      <c r="B171" s="235" t="s">
        <v>52</v>
      </c>
      <c r="C171" s="231" t="s">
        <v>10</v>
      </c>
      <c r="D171" s="248" t="s">
        <v>831</v>
      </c>
      <c r="E171" s="281">
        <v>0</v>
      </c>
      <c r="F171" s="249">
        <v>100</v>
      </c>
      <c r="G171" s="164">
        <f t="shared" si="15"/>
        <v>0.97142857142857153</v>
      </c>
      <c r="H171" s="165">
        <f t="shared" si="16"/>
        <v>1.9428571428571431</v>
      </c>
      <c r="I171" s="165">
        <f t="shared" si="17"/>
        <v>1.4571428571428573</v>
      </c>
      <c r="J171" s="166">
        <f t="shared" si="18"/>
        <v>2.4285714285714288</v>
      </c>
      <c r="K171" s="166">
        <f t="shared" si="20"/>
        <v>2.4285714285714288</v>
      </c>
      <c r="L171" s="165">
        <f t="shared" si="19"/>
        <v>1.0249999999999999</v>
      </c>
      <c r="M171" s="168">
        <f t="shared" si="14"/>
        <v>0</v>
      </c>
      <c r="N171" s="236" t="s">
        <v>453</v>
      </c>
    </row>
    <row r="172" spans="1:14" ht="14">
      <c r="A172" s="149">
        <v>171</v>
      </c>
      <c r="B172" s="235" t="s">
        <v>52</v>
      </c>
      <c r="C172" s="231" t="s">
        <v>10</v>
      </c>
      <c r="D172" s="250" t="s">
        <v>833</v>
      </c>
      <c r="E172" s="281">
        <v>0</v>
      </c>
      <c r="F172" s="249">
        <v>2200</v>
      </c>
      <c r="G172" s="164">
        <f t="shared" si="15"/>
        <v>12.971428571428573</v>
      </c>
      <c r="H172" s="165">
        <f t="shared" si="16"/>
        <v>25.942857142857147</v>
      </c>
      <c r="I172" s="165">
        <f t="shared" si="17"/>
        <v>19.457142857142859</v>
      </c>
      <c r="J172" s="166">
        <f t="shared" si="18"/>
        <v>32.428571428571431</v>
      </c>
      <c r="K172" s="166">
        <f t="shared" si="20"/>
        <v>32.428571428571431</v>
      </c>
      <c r="L172" s="165">
        <f t="shared" si="19"/>
        <v>1.55</v>
      </c>
      <c r="M172" s="168">
        <f t="shared" si="14"/>
        <v>0</v>
      </c>
      <c r="N172" s="236" t="s">
        <v>453</v>
      </c>
    </row>
    <row r="173" spans="1:14" ht="14">
      <c r="A173" s="149">
        <v>172</v>
      </c>
      <c r="B173" s="235" t="s">
        <v>52</v>
      </c>
      <c r="C173" s="231" t="s">
        <v>10</v>
      </c>
      <c r="D173" s="250" t="s">
        <v>836</v>
      </c>
      <c r="E173" s="281">
        <v>0</v>
      </c>
      <c r="F173" s="249">
        <v>5500</v>
      </c>
      <c r="G173" s="164">
        <f t="shared" si="15"/>
        <v>31.828571428571429</v>
      </c>
      <c r="H173" s="165">
        <f t="shared" si="16"/>
        <v>63.657142857142858</v>
      </c>
      <c r="I173" s="165">
        <f t="shared" si="17"/>
        <v>47.74285714285714</v>
      </c>
      <c r="J173" s="166">
        <f t="shared" si="18"/>
        <v>79.571428571428569</v>
      </c>
      <c r="K173" s="166">
        <f t="shared" si="20"/>
        <v>79.571428571428569</v>
      </c>
      <c r="L173" s="165">
        <f t="shared" si="19"/>
        <v>2.375</v>
      </c>
      <c r="M173" s="168">
        <f t="shared" si="14"/>
        <v>0</v>
      </c>
      <c r="N173" s="236" t="s">
        <v>453</v>
      </c>
    </row>
    <row r="174" spans="1:14" ht="14">
      <c r="A174" s="149">
        <v>173</v>
      </c>
      <c r="B174" s="235" t="s">
        <v>52</v>
      </c>
      <c r="C174" s="231" t="s">
        <v>10</v>
      </c>
      <c r="D174" s="250" t="s">
        <v>838</v>
      </c>
      <c r="E174" s="281">
        <v>0</v>
      </c>
      <c r="F174" s="249">
        <v>800</v>
      </c>
      <c r="G174" s="164">
        <f t="shared" si="15"/>
        <v>4.9714285714285715</v>
      </c>
      <c r="H174" s="165">
        <f t="shared" si="16"/>
        <v>9.9428571428571431</v>
      </c>
      <c r="I174" s="165">
        <f t="shared" si="17"/>
        <v>7.4571428571428573</v>
      </c>
      <c r="J174" s="166">
        <f t="shared" si="18"/>
        <v>12.428571428571429</v>
      </c>
      <c r="K174" s="166">
        <f t="shared" si="20"/>
        <v>12.428571428571429</v>
      </c>
      <c r="L174" s="165">
        <f t="shared" si="19"/>
        <v>1.2</v>
      </c>
      <c r="M174" s="168">
        <f t="shared" si="14"/>
        <v>0</v>
      </c>
      <c r="N174" s="236" t="s">
        <v>453</v>
      </c>
    </row>
    <row r="175" spans="1:14" ht="14">
      <c r="A175" s="149">
        <v>174</v>
      </c>
      <c r="B175" s="235" t="s">
        <v>52</v>
      </c>
      <c r="C175" s="231" t="s">
        <v>10</v>
      </c>
      <c r="D175" s="250" t="s">
        <v>840</v>
      </c>
      <c r="E175" s="281">
        <v>0</v>
      </c>
      <c r="F175" s="249">
        <v>2000</v>
      </c>
      <c r="G175" s="164">
        <f t="shared" si="15"/>
        <v>11.828571428571429</v>
      </c>
      <c r="H175" s="165">
        <f t="shared" si="16"/>
        <v>23.657142857142858</v>
      </c>
      <c r="I175" s="165">
        <f t="shared" si="17"/>
        <v>17.742857142857144</v>
      </c>
      <c r="J175" s="166">
        <f t="shared" si="18"/>
        <v>29.571428571428573</v>
      </c>
      <c r="K175" s="166">
        <f t="shared" si="20"/>
        <v>29.571428571428573</v>
      </c>
      <c r="L175" s="165">
        <f t="shared" si="19"/>
        <v>1.5</v>
      </c>
      <c r="M175" s="168">
        <f t="shared" si="14"/>
        <v>0</v>
      </c>
      <c r="N175" s="236" t="s">
        <v>457</v>
      </c>
    </row>
    <row r="176" spans="1:14" ht="14">
      <c r="A176" s="149">
        <v>175</v>
      </c>
      <c r="B176" s="235" t="s">
        <v>52</v>
      </c>
      <c r="C176" s="231" t="s">
        <v>10</v>
      </c>
      <c r="D176" s="250" t="s">
        <v>842</v>
      </c>
      <c r="E176" s="281">
        <v>0</v>
      </c>
      <c r="F176" s="249">
        <v>500</v>
      </c>
      <c r="G176" s="164">
        <f t="shared" si="15"/>
        <v>3.2571428571428571</v>
      </c>
      <c r="H176" s="165">
        <f t="shared" si="16"/>
        <v>6.5142857142857142</v>
      </c>
      <c r="I176" s="165">
        <f t="shared" si="17"/>
        <v>4.8857142857142852</v>
      </c>
      <c r="J176" s="166">
        <f t="shared" si="18"/>
        <v>8.1428571428571423</v>
      </c>
      <c r="K176" s="166">
        <f t="shared" si="20"/>
        <v>8.1428571428571423</v>
      </c>
      <c r="L176" s="165">
        <f t="shared" si="19"/>
        <v>1.125</v>
      </c>
      <c r="M176" s="168">
        <f t="shared" si="14"/>
        <v>0</v>
      </c>
      <c r="N176" s="236" t="s">
        <v>453</v>
      </c>
    </row>
    <row r="177" spans="1:14" ht="14">
      <c r="A177" s="149">
        <v>176</v>
      </c>
      <c r="B177" s="235" t="s">
        <v>52</v>
      </c>
      <c r="C177" s="231" t="s">
        <v>10</v>
      </c>
      <c r="D177" s="248" t="s">
        <v>845</v>
      </c>
      <c r="E177" s="281">
        <v>0</v>
      </c>
      <c r="F177" s="249">
        <v>1000</v>
      </c>
      <c r="G177" s="164">
        <f t="shared" si="15"/>
        <v>6.1142857142857148</v>
      </c>
      <c r="H177" s="165">
        <f t="shared" si="16"/>
        <v>12.22857142857143</v>
      </c>
      <c r="I177" s="165">
        <f t="shared" si="17"/>
        <v>9.1714285714285708</v>
      </c>
      <c r="J177" s="166">
        <f t="shared" si="18"/>
        <v>15.285714285714285</v>
      </c>
      <c r="K177" s="166">
        <f t="shared" si="20"/>
        <v>15.285714285714285</v>
      </c>
      <c r="L177" s="165">
        <f t="shared" si="19"/>
        <v>1.25</v>
      </c>
      <c r="M177" s="168">
        <f t="shared" si="14"/>
        <v>0</v>
      </c>
      <c r="N177" s="236" t="s">
        <v>453</v>
      </c>
    </row>
    <row r="178" spans="1:14" ht="14">
      <c r="A178" s="149">
        <v>177</v>
      </c>
      <c r="B178" s="235" t="s">
        <v>52</v>
      </c>
      <c r="C178" s="231" t="s">
        <v>10</v>
      </c>
      <c r="D178" s="250" t="s">
        <v>847</v>
      </c>
      <c r="E178" s="281">
        <v>0</v>
      </c>
      <c r="F178" s="249">
        <v>1200</v>
      </c>
      <c r="G178" s="164">
        <f t="shared" si="15"/>
        <v>7.2571428571428571</v>
      </c>
      <c r="H178" s="165">
        <f t="shared" si="16"/>
        <v>14.514285714285714</v>
      </c>
      <c r="I178" s="165">
        <f t="shared" si="17"/>
        <v>10.885714285714284</v>
      </c>
      <c r="J178" s="166">
        <f t="shared" si="18"/>
        <v>18.142857142857142</v>
      </c>
      <c r="K178" s="166">
        <f t="shared" si="20"/>
        <v>18.142857142857142</v>
      </c>
      <c r="L178" s="165">
        <f t="shared" si="19"/>
        <v>1.3</v>
      </c>
      <c r="M178" s="168">
        <f t="shared" si="14"/>
        <v>0</v>
      </c>
      <c r="N178" s="236" t="s">
        <v>453</v>
      </c>
    </row>
    <row r="179" spans="1:14" ht="14">
      <c r="A179" s="149">
        <v>178</v>
      </c>
      <c r="B179" s="235" t="s">
        <v>52</v>
      </c>
      <c r="C179" s="231" t="s">
        <v>10</v>
      </c>
      <c r="D179" s="250" t="s">
        <v>849</v>
      </c>
      <c r="E179" s="281">
        <v>0</v>
      </c>
      <c r="F179" s="249">
        <v>1700</v>
      </c>
      <c r="G179" s="164">
        <f t="shared" si="15"/>
        <v>10.114285714285714</v>
      </c>
      <c r="H179" s="165">
        <f t="shared" si="16"/>
        <v>20.228571428571428</v>
      </c>
      <c r="I179" s="165">
        <f t="shared" si="17"/>
        <v>15.171428571428571</v>
      </c>
      <c r="J179" s="166">
        <f t="shared" si="18"/>
        <v>25.285714285714285</v>
      </c>
      <c r="K179" s="166">
        <f t="shared" si="20"/>
        <v>25.285714285714285</v>
      </c>
      <c r="L179" s="165">
        <f t="shared" si="19"/>
        <v>1.425</v>
      </c>
      <c r="M179" s="168">
        <f t="shared" si="14"/>
        <v>0</v>
      </c>
      <c r="N179" s="236" t="s">
        <v>453</v>
      </c>
    </row>
    <row r="180" spans="1:14" ht="14">
      <c r="A180" s="149">
        <v>179</v>
      </c>
      <c r="B180" s="235" t="s">
        <v>52</v>
      </c>
      <c r="C180" s="231" t="s">
        <v>10</v>
      </c>
      <c r="D180" s="250" t="s">
        <v>852</v>
      </c>
      <c r="E180" s="281">
        <v>0</v>
      </c>
      <c r="F180" s="249">
        <v>2000</v>
      </c>
      <c r="G180" s="164">
        <f t="shared" si="15"/>
        <v>11.828571428571429</v>
      </c>
      <c r="H180" s="165">
        <f t="shared" si="16"/>
        <v>23.657142857142858</v>
      </c>
      <c r="I180" s="165">
        <f t="shared" si="17"/>
        <v>17.742857142857144</v>
      </c>
      <c r="J180" s="166">
        <f t="shared" si="18"/>
        <v>29.571428571428573</v>
      </c>
      <c r="K180" s="166">
        <f t="shared" si="20"/>
        <v>29.571428571428573</v>
      </c>
      <c r="L180" s="165">
        <f t="shared" si="19"/>
        <v>1.5</v>
      </c>
      <c r="M180" s="168">
        <f t="shared" si="14"/>
        <v>0</v>
      </c>
      <c r="N180" s="236" t="s">
        <v>453</v>
      </c>
    </row>
    <row r="181" spans="1:14" ht="14">
      <c r="A181" s="149">
        <v>180</v>
      </c>
      <c r="B181" s="235" t="s">
        <v>52</v>
      </c>
      <c r="C181" s="231" t="s">
        <v>10</v>
      </c>
      <c r="D181" s="250" t="s">
        <v>855</v>
      </c>
      <c r="E181" s="281">
        <v>0</v>
      </c>
      <c r="F181" s="249">
        <v>1200</v>
      </c>
      <c r="G181" s="164">
        <f t="shared" si="15"/>
        <v>7.2571428571428571</v>
      </c>
      <c r="H181" s="165">
        <f t="shared" si="16"/>
        <v>14.514285714285714</v>
      </c>
      <c r="I181" s="165">
        <f t="shared" si="17"/>
        <v>10.885714285714284</v>
      </c>
      <c r="J181" s="166">
        <f t="shared" si="18"/>
        <v>18.142857142857142</v>
      </c>
      <c r="K181" s="166">
        <f t="shared" si="20"/>
        <v>18.142857142857142</v>
      </c>
      <c r="L181" s="165">
        <f t="shared" si="19"/>
        <v>1.3</v>
      </c>
      <c r="M181" s="168">
        <f t="shared" si="14"/>
        <v>0</v>
      </c>
      <c r="N181" s="236" t="s">
        <v>453</v>
      </c>
    </row>
    <row r="182" spans="1:14" ht="14">
      <c r="A182" s="149">
        <v>181</v>
      </c>
      <c r="B182" s="235" t="s">
        <v>52</v>
      </c>
      <c r="C182" s="231" t="s">
        <v>10</v>
      </c>
      <c r="D182" s="250" t="s">
        <v>857</v>
      </c>
      <c r="E182" s="281">
        <v>0</v>
      </c>
      <c r="F182" s="249">
        <v>200</v>
      </c>
      <c r="G182" s="164">
        <f t="shared" si="15"/>
        <v>1.5428571428571429</v>
      </c>
      <c r="H182" s="165">
        <f t="shared" si="16"/>
        <v>3.0857142857142859</v>
      </c>
      <c r="I182" s="165">
        <f t="shared" si="17"/>
        <v>2.3142857142857141</v>
      </c>
      <c r="J182" s="166">
        <f t="shared" si="18"/>
        <v>3.8571428571428568</v>
      </c>
      <c r="K182" s="166">
        <f t="shared" si="20"/>
        <v>3.8571428571428568</v>
      </c>
      <c r="L182" s="165">
        <f t="shared" si="19"/>
        <v>1.05</v>
      </c>
      <c r="M182" s="168">
        <f t="shared" si="14"/>
        <v>0</v>
      </c>
      <c r="N182" s="236" t="s">
        <v>453</v>
      </c>
    </row>
    <row r="183" spans="1:14" ht="14">
      <c r="A183" s="149">
        <v>182</v>
      </c>
      <c r="B183" s="235" t="s">
        <v>52</v>
      </c>
      <c r="C183" s="231" t="s">
        <v>10</v>
      </c>
      <c r="D183" s="250" t="s">
        <v>859</v>
      </c>
      <c r="E183" s="281">
        <v>0</v>
      </c>
      <c r="F183" s="249">
        <v>400</v>
      </c>
      <c r="G183" s="164">
        <f t="shared" si="15"/>
        <v>2.6857142857142859</v>
      </c>
      <c r="H183" s="165">
        <f t="shared" si="16"/>
        <v>5.3714285714285719</v>
      </c>
      <c r="I183" s="165">
        <f t="shared" si="17"/>
        <v>4.0285714285714285</v>
      </c>
      <c r="J183" s="166">
        <f t="shared" si="18"/>
        <v>6.7142857142857144</v>
      </c>
      <c r="K183" s="166">
        <f t="shared" si="20"/>
        <v>6.7142857142857144</v>
      </c>
      <c r="L183" s="165">
        <f t="shared" si="19"/>
        <v>1.1000000000000001</v>
      </c>
      <c r="M183" s="168">
        <f t="shared" si="14"/>
        <v>0</v>
      </c>
      <c r="N183" s="236" t="s">
        <v>453</v>
      </c>
    </row>
    <row r="184" spans="1:14" ht="14">
      <c r="A184" s="149">
        <v>183</v>
      </c>
      <c r="B184" s="235" t="s">
        <v>52</v>
      </c>
      <c r="C184" s="231" t="s">
        <v>10</v>
      </c>
      <c r="D184" s="250" t="s">
        <v>862</v>
      </c>
      <c r="E184" s="281">
        <v>0</v>
      </c>
      <c r="F184" s="249">
        <v>700</v>
      </c>
      <c r="G184" s="164">
        <f t="shared" si="15"/>
        <v>4.4000000000000004</v>
      </c>
      <c r="H184" s="165">
        <f t="shared" si="16"/>
        <v>8.8000000000000007</v>
      </c>
      <c r="I184" s="165">
        <f t="shared" si="17"/>
        <v>6.6</v>
      </c>
      <c r="J184" s="166">
        <f t="shared" si="18"/>
        <v>11</v>
      </c>
      <c r="K184" s="166">
        <f t="shared" si="20"/>
        <v>11</v>
      </c>
      <c r="L184" s="165">
        <f t="shared" si="19"/>
        <v>1.175</v>
      </c>
      <c r="M184" s="168">
        <f t="shared" si="14"/>
        <v>0</v>
      </c>
      <c r="N184" s="236" t="s">
        <v>453</v>
      </c>
    </row>
    <row r="185" spans="1:14" ht="14">
      <c r="A185" s="149">
        <v>184</v>
      </c>
      <c r="B185" s="235" t="s">
        <v>52</v>
      </c>
      <c r="C185" s="231" t="s">
        <v>10</v>
      </c>
      <c r="D185" s="250" t="s">
        <v>865</v>
      </c>
      <c r="E185" s="281">
        <v>0</v>
      </c>
      <c r="F185" s="249">
        <v>350</v>
      </c>
      <c r="G185" s="164">
        <f t="shared" si="15"/>
        <v>2.4000000000000004</v>
      </c>
      <c r="H185" s="165">
        <f t="shared" si="16"/>
        <v>4.8000000000000007</v>
      </c>
      <c r="I185" s="165">
        <f t="shared" si="17"/>
        <v>3.5999999999999996</v>
      </c>
      <c r="J185" s="166">
        <f t="shared" si="18"/>
        <v>6</v>
      </c>
      <c r="K185" s="166">
        <f t="shared" si="20"/>
        <v>6</v>
      </c>
      <c r="L185" s="165">
        <f t="shared" si="19"/>
        <v>1.0874999999999999</v>
      </c>
      <c r="M185" s="168">
        <f t="shared" si="14"/>
        <v>0</v>
      </c>
      <c r="N185" s="236" t="s">
        <v>453</v>
      </c>
    </row>
    <row r="186" spans="1:14" ht="14">
      <c r="A186" s="149">
        <v>185</v>
      </c>
      <c r="B186" s="235" t="s">
        <v>52</v>
      </c>
      <c r="C186" s="231" t="s">
        <v>10</v>
      </c>
      <c r="D186" s="250" t="s">
        <v>867</v>
      </c>
      <c r="E186" s="281">
        <v>0</v>
      </c>
      <c r="F186" s="249">
        <v>500</v>
      </c>
      <c r="G186" s="164">
        <f t="shared" si="15"/>
        <v>3.2571428571428571</v>
      </c>
      <c r="H186" s="165">
        <f t="shared" si="16"/>
        <v>6.5142857142857142</v>
      </c>
      <c r="I186" s="165">
        <f t="shared" si="17"/>
        <v>4.8857142857142852</v>
      </c>
      <c r="J186" s="166">
        <f t="shared" si="18"/>
        <v>8.1428571428571423</v>
      </c>
      <c r="K186" s="166">
        <f t="shared" si="20"/>
        <v>8.1428571428571423</v>
      </c>
      <c r="L186" s="165">
        <f t="shared" si="19"/>
        <v>1.125</v>
      </c>
      <c r="M186" s="168">
        <f t="shared" si="14"/>
        <v>0</v>
      </c>
      <c r="N186" s="236" t="s">
        <v>453</v>
      </c>
    </row>
    <row r="187" spans="1:14" ht="14">
      <c r="A187" s="149">
        <v>186</v>
      </c>
      <c r="B187" s="235" t="s">
        <v>52</v>
      </c>
      <c r="C187" s="231" t="s">
        <v>10</v>
      </c>
      <c r="D187" s="250" t="s">
        <v>869</v>
      </c>
      <c r="E187" s="281">
        <v>0</v>
      </c>
      <c r="F187" s="249">
        <v>300</v>
      </c>
      <c r="G187" s="164">
        <f t="shared" si="15"/>
        <v>2.1142857142857143</v>
      </c>
      <c r="H187" s="165">
        <f t="shared" si="16"/>
        <v>4.2285714285714286</v>
      </c>
      <c r="I187" s="165">
        <f t="shared" si="17"/>
        <v>3.1714285714285713</v>
      </c>
      <c r="J187" s="166">
        <f t="shared" si="18"/>
        <v>5.2857142857142856</v>
      </c>
      <c r="K187" s="166">
        <f t="shared" si="20"/>
        <v>5.2857142857142856</v>
      </c>
      <c r="L187" s="165">
        <f t="shared" si="19"/>
        <v>1.075</v>
      </c>
      <c r="M187" s="168">
        <f t="shared" si="14"/>
        <v>0</v>
      </c>
      <c r="N187" s="236" t="s">
        <v>453</v>
      </c>
    </row>
    <row r="188" spans="1:14" ht="14">
      <c r="A188" s="149">
        <v>187</v>
      </c>
      <c r="B188" s="235" t="s">
        <v>52</v>
      </c>
      <c r="C188" s="231" t="s">
        <v>10</v>
      </c>
      <c r="D188" s="250" t="s">
        <v>871</v>
      </c>
      <c r="E188" s="281">
        <v>0</v>
      </c>
      <c r="F188" s="249">
        <v>750</v>
      </c>
      <c r="G188" s="164">
        <f t="shared" si="15"/>
        <v>4.6857142857142859</v>
      </c>
      <c r="H188" s="165">
        <f t="shared" si="16"/>
        <v>9.3714285714285719</v>
      </c>
      <c r="I188" s="165">
        <f t="shared" si="17"/>
        <v>7.0285714285714276</v>
      </c>
      <c r="J188" s="166">
        <f t="shared" si="18"/>
        <v>11.714285714285714</v>
      </c>
      <c r="K188" s="166">
        <f t="shared" si="20"/>
        <v>11.714285714285714</v>
      </c>
      <c r="L188" s="165">
        <f t="shared" si="19"/>
        <v>1.1875</v>
      </c>
      <c r="M188" s="168">
        <f t="shared" si="14"/>
        <v>0</v>
      </c>
      <c r="N188" s="236" t="s">
        <v>453</v>
      </c>
    </row>
    <row r="189" spans="1:14" ht="14">
      <c r="A189" s="149">
        <v>188</v>
      </c>
      <c r="B189" s="235" t="s">
        <v>49</v>
      </c>
      <c r="C189" s="231" t="s">
        <v>10</v>
      </c>
      <c r="D189" s="250" t="s">
        <v>874</v>
      </c>
      <c r="E189" s="281">
        <v>0</v>
      </c>
      <c r="F189" s="249">
        <v>4000</v>
      </c>
      <c r="G189" s="164">
        <f t="shared" si="15"/>
        <v>23.25714285714286</v>
      </c>
      <c r="H189" s="165">
        <f t="shared" si="16"/>
        <v>46.51428571428572</v>
      </c>
      <c r="I189" s="165">
        <f t="shared" si="17"/>
        <v>34.885714285714286</v>
      </c>
      <c r="J189" s="166">
        <f t="shared" si="18"/>
        <v>58.142857142857146</v>
      </c>
      <c r="K189" s="166">
        <f t="shared" si="20"/>
        <v>58.142857142857146</v>
      </c>
      <c r="L189" s="165">
        <f t="shared" si="19"/>
        <v>2</v>
      </c>
      <c r="M189" s="168">
        <f t="shared" si="14"/>
        <v>0</v>
      </c>
      <c r="N189" s="236" t="s">
        <v>453</v>
      </c>
    </row>
    <row r="190" spans="1:14" ht="14">
      <c r="A190" s="149">
        <v>189</v>
      </c>
      <c r="B190" s="235" t="s">
        <v>52</v>
      </c>
      <c r="C190" s="231" t="s">
        <v>10</v>
      </c>
      <c r="D190" s="250" t="s">
        <v>876</v>
      </c>
      <c r="E190" s="281">
        <v>0</v>
      </c>
      <c r="F190" s="249">
        <v>1000</v>
      </c>
      <c r="G190" s="164">
        <f t="shared" si="15"/>
        <v>6.1142857142857148</v>
      </c>
      <c r="H190" s="165">
        <f t="shared" si="16"/>
        <v>12.22857142857143</v>
      </c>
      <c r="I190" s="165">
        <f t="shared" si="17"/>
        <v>9.1714285714285708</v>
      </c>
      <c r="J190" s="166">
        <f t="shared" si="18"/>
        <v>15.285714285714285</v>
      </c>
      <c r="K190" s="166">
        <f t="shared" si="20"/>
        <v>15.285714285714285</v>
      </c>
      <c r="L190" s="165">
        <f t="shared" si="19"/>
        <v>1.25</v>
      </c>
      <c r="M190" s="168">
        <f t="shared" si="14"/>
        <v>0</v>
      </c>
      <c r="N190" s="236" t="s">
        <v>453</v>
      </c>
    </row>
    <row r="191" spans="1:14" ht="14">
      <c r="A191" s="149">
        <v>190</v>
      </c>
      <c r="B191" s="235" t="s">
        <v>52</v>
      </c>
      <c r="C191" s="231" t="s">
        <v>10</v>
      </c>
      <c r="D191" s="248" t="s">
        <v>879</v>
      </c>
      <c r="E191" s="281">
        <v>0</v>
      </c>
      <c r="F191" s="249">
        <v>1800</v>
      </c>
      <c r="G191" s="164">
        <f t="shared" si="15"/>
        <v>10.685714285714287</v>
      </c>
      <c r="H191" s="165">
        <f t="shared" si="16"/>
        <v>21.371428571428574</v>
      </c>
      <c r="I191" s="165">
        <f t="shared" si="17"/>
        <v>16.028571428571428</v>
      </c>
      <c r="J191" s="166">
        <f t="shared" si="18"/>
        <v>26.714285714285715</v>
      </c>
      <c r="K191" s="166">
        <f t="shared" si="20"/>
        <v>26.714285714285715</v>
      </c>
      <c r="L191" s="165">
        <f t="shared" si="19"/>
        <v>1.45</v>
      </c>
      <c r="M191" s="168">
        <f t="shared" si="14"/>
        <v>0</v>
      </c>
      <c r="N191" s="236" t="s">
        <v>453</v>
      </c>
    </row>
    <row r="192" spans="1:14" ht="14">
      <c r="A192" s="149">
        <v>191</v>
      </c>
      <c r="B192" s="235" t="s">
        <v>52</v>
      </c>
      <c r="C192" s="231" t="s">
        <v>10</v>
      </c>
      <c r="D192" s="250" t="s">
        <v>882</v>
      </c>
      <c r="E192" s="281">
        <v>0</v>
      </c>
      <c r="F192" s="249">
        <v>800</v>
      </c>
      <c r="G192" s="164">
        <f t="shared" si="15"/>
        <v>4.9714285714285715</v>
      </c>
      <c r="H192" s="165">
        <f t="shared" si="16"/>
        <v>9.9428571428571431</v>
      </c>
      <c r="I192" s="165">
        <f t="shared" si="17"/>
        <v>7.4571428571428573</v>
      </c>
      <c r="J192" s="166">
        <f t="shared" si="18"/>
        <v>12.428571428571429</v>
      </c>
      <c r="K192" s="166">
        <f t="shared" si="20"/>
        <v>12.428571428571429</v>
      </c>
      <c r="L192" s="165">
        <f t="shared" si="19"/>
        <v>1.2</v>
      </c>
      <c r="M192" s="168">
        <f t="shared" si="14"/>
        <v>0</v>
      </c>
      <c r="N192" s="236" t="s">
        <v>453</v>
      </c>
    </row>
    <row r="193" spans="1:14" ht="14">
      <c r="A193" s="149">
        <v>192</v>
      </c>
      <c r="B193" s="235" t="s">
        <v>52</v>
      </c>
      <c r="C193" s="231" t="s">
        <v>10</v>
      </c>
      <c r="D193" s="248" t="s">
        <v>884</v>
      </c>
      <c r="E193" s="281">
        <v>0</v>
      </c>
      <c r="F193" s="249">
        <v>300</v>
      </c>
      <c r="G193" s="164">
        <f t="shared" si="15"/>
        <v>2.1142857142857143</v>
      </c>
      <c r="H193" s="165">
        <f t="shared" si="16"/>
        <v>4.2285714285714286</v>
      </c>
      <c r="I193" s="165">
        <f t="shared" si="17"/>
        <v>3.1714285714285713</v>
      </c>
      <c r="J193" s="166">
        <f t="shared" si="18"/>
        <v>5.2857142857142856</v>
      </c>
      <c r="K193" s="166">
        <f t="shared" si="20"/>
        <v>5.2857142857142856</v>
      </c>
      <c r="L193" s="165">
        <f t="shared" si="19"/>
        <v>1.075</v>
      </c>
      <c r="M193" s="168">
        <f t="shared" si="14"/>
        <v>0</v>
      </c>
      <c r="N193" s="236" t="s">
        <v>453</v>
      </c>
    </row>
    <row r="194" spans="1:14" ht="14">
      <c r="A194" s="149">
        <v>193</v>
      </c>
      <c r="B194" s="235" t="s">
        <v>52</v>
      </c>
      <c r="C194" s="231" t="s">
        <v>10</v>
      </c>
      <c r="D194" s="250" t="s">
        <v>886</v>
      </c>
      <c r="E194" s="281">
        <v>0</v>
      </c>
      <c r="F194" s="249">
        <v>4600</v>
      </c>
      <c r="G194" s="164">
        <f t="shared" si="15"/>
        <v>26.685714285714283</v>
      </c>
      <c r="H194" s="165">
        <f t="shared" si="16"/>
        <v>53.371428571428567</v>
      </c>
      <c r="I194" s="165">
        <f t="shared" si="17"/>
        <v>40.028571428571425</v>
      </c>
      <c r="J194" s="166">
        <f t="shared" si="18"/>
        <v>66.714285714285708</v>
      </c>
      <c r="K194" s="166">
        <f t="shared" si="20"/>
        <v>66.714285714285708</v>
      </c>
      <c r="L194" s="165">
        <f t="shared" si="19"/>
        <v>2.15</v>
      </c>
      <c r="M194" s="168">
        <f t="shared" ref="M194:M257" si="21">E194/60</f>
        <v>0</v>
      </c>
      <c r="N194" s="236" t="s">
        <v>453</v>
      </c>
    </row>
    <row r="195" spans="1:14" ht="14">
      <c r="A195" s="149">
        <v>194</v>
      </c>
      <c r="B195" s="235" t="s">
        <v>52</v>
      </c>
      <c r="C195" s="231" t="s">
        <v>10</v>
      </c>
      <c r="D195" s="250" t="s">
        <v>889</v>
      </c>
      <c r="E195" s="281">
        <v>0</v>
      </c>
      <c r="F195" s="249">
        <v>5700</v>
      </c>
      <c r="G195" s="164">
        <f t="shared" ref="G195:G258" si="22">(((F195/70)+1)*0.4)</f>
        <v>32.971428571428575</v>
      </c>
      <c r="H195" s="165">
        <f t="shared" ref="H195:H258" si="23">G195*2</f>
        <v>65.94285714285715</v>
      </c>
      <c r="I195" s="165">
        <f t="shared" ref="I195:I258" si="24">(((F195/70)+1)*0.6)</f>
        <v>49.457142857142856</v>
      </c>
      <c r="J195" s="166">
        <f t="shared" ref="J195:J258" si="25">I195+G195</f>
        <v>82.428571428571431</v>
      </c>
      <c r="K195" s="166">
        <f t="shared" si="20"/>
        <v>82.428571428571431</v>
      </c>
      <c r="L195" s="165">
        <f t="shared" ref="L195:L258" si="26">(F195/4000)+1</f>
        <v>2.4249999999999998</v>
      </c>
      <c r="M195" s="168">
        <f t="shared" si="21"/>
        <v>0</v>
      </c>
      <c r="N195" s="236" t="s">
        <v>453</v>
      </c>
    </row>
    <row r="196" spans="1:14" ht="14">
      <c r="A196" s="149">
        <v>195</v>
      </c>
      <c r="B196" s="235" t="s">
        <v>52</v>
      </c>
      <c r="C196" s="231" t="s">
        <v>10</v>
      </c>
      <c r="D196" s="250" t="s">
        <v>891</v>
      </c>
      <c r="E196" s="281">
        <v>0</v>
      </c>
      <c r="F196" s="249">
        <v>3700</v>
      </c>
      <c r="G196" s="164">
        <f t="shared" si="22"/>
        <v>21.542857142857144</v>
      </c>
      <c r="H196" s="165">
        <f t="shared" si="23"/>
        <v>43.085714285714289</v>
      </c>
      <c r="I196" s="165">
        <f t="shared" si="24"/>
        <v>32.31428571428571</v>
      </c>
      <c r="J196" s="166">
        <f t="shared" si="25"/>
        <v>53.857142857142854</v>
      </c>
      <c r="K196" s="166">
        <f t="shared" ref="K196:K259" si="27">J196</f>
        <v>53.857142857142854</v>
      </c>
      <c r="L196" s="165">
        <f t="shared" si="26"/>
        <v>1.925</v>
      </c>
      <c r="M196" s="168">
        <f t="shared" si="21"/>
        <v>0</v>
      </c>
      <c r="N196" s="236" t="s">
        <v>453</v>
      </c>
    </row>
    <row r="197" spans="1:14" ht="14">
      <c r="A197" s="149">
        <v>196</v>
      </c>
      <c r="B197" s="235" t="s">
        <v>52</v>
      </c>
      <c r="C197" s="231" t="s">
        <v>10</v>
      </c>
      <c r="D197" s="250" t="s">
        <v>893</v>
      </c>
      <c r="E197" s="281">
        <v>0</v>
      </c>
      <c r="F197" s="249">
        <v>2000</v>
      </c>
      <c r="G197" s="164">
        <f t="shared" si="22"/>
        <v>11.828571428571429</v>
      </c>
      <c r="H197" s="165">
        <f t="shared" si="23"/>
        <v>23.657142857142858</v>
      </c>
      <c r="I197" s="165">
        <f t="shared" si="24"/>
        <v>17.742857142857144</v>
      </c>
      <c r="J197" s="166">
        <f t="shared" si="25"/>
        <v>29.571428571428573</v>
      </c>
      <c r="K197" s="166">
        <f t="shared" si="27"/>
        <v>29.571428571428573</v>
      </c>
      <c r="L197" s="165">
        <f t="shared" si="26"/>
        <v>1.5</v>
      </c>
      <c r="M197" s="168">
        <f t="shared" si="21"/>
        <v>0</v>
      </c>
      <c r="N197" s="236" t="s">
        <v>453</v>
      </c>
    </row>
    <row r="198" spans="1:14" ht="14">
      <c r="A198" s="149">
        <v>197</v>
      </c>
      <c r="B198" s="235" t="s">
        <v>52</v>
      </c>
      <c r="C198" s="231" t="s">
        <v>10</v>
      </c>
      <c r="D198" s="250" t="s">
        <v>895</v>
      </c>
      <c r="E198" s="281">
        <v>0</v>
      </c>
      <c r="F198" s="249">
        <v>750</v>
      </c>
      <c r="G198" s="164">
        <f t="shared" si="22"/>
        <v>4.6857142857142859</v>
      </c>
      <c r="H198" s="165">
        <f t="shared" si="23"/>
        <v>9.3714285714285719</v>
      </c>
      <c r="I198" s="165">
        <f t="shared" si="24"/>
        <v>7.0285714285714276</v>
      </c>
      <c r="J198" s="166">
        <f t="shared" si="25"/>
        <v>11.714285714285714</v>
      </c>
      <c r="K198" s="166">
        <f t="shared" si="27"/>
        <v>11.714285714285714</v>
      </c>
      <c r="L198" s="165">
        <f t="shared" si="26"/>
        <v>1.1875</v>
      </c>
      <c r="M198" s="168">
        <f t="shared" si="21"/>
        <v>0</v>
      </c>
      <c r="N198" s="236" t="s">
        <v>453</v>
      </c>
    </row>
    <row r="199" spans="1:14" ht="14">
      <c r="A199" s="149">
        <v>198</v>
      </c>
      <c r="B199" s="235" t="s">
        <v>52</v>
      </c>
      <c r="C199" s="231" t="s">
        <v>10</v>
      </c>
      <c r="D199" s="250" t="s">
        <v>897</v>
      </c>
      <c r="E199" s="281">
        <v>0</v>
      </c>
      <c r="F199" s="249">
        <v>1100</v>
      </c>
      <c r="G199" s="164">
        <f t="shared" si="22"/>
        <v>6.6857142857142868</v>
      </c>
      <c r="H199" s="165">
        <f t="shared" si="23"/>
        <v>13.371428571428574</v>
      </c>
      <c r="I199" s="165">
        <f t="shared" si="24"/>
        <v>10.028571428571428</v>
      </c>
      <c r="J199" s="166">
        <f t="shared" si="25"/>
        <v>16.714285714285715</v>
      </c>
      <c r="K199" s="166">
        <f t="shared" si="27"/>
        <v>16.714285714285715</v>
      </c>
      <c r="L199" s="165">
        <f t="shared" si="26"/>
        <v>1.2749999999999999</v>
      </c>
      <c r="M199" s="168">
        <f t="shared" si="21"/>
        <v>0</v>
      </c>
      <c r="N199" s="236" t="s">
        <v>453</v>
      </c>
    </row>
    <row r="200" spans="1:14" ht="14">
      <c r="A200" s="149">
        <v>199</v>
      </c>
      <c r="B200" s="235" t="s">
        <v>52</v>
      </c>
      <c r="C200" s="231" t="s">
        <v>10</v>
      </c>
      <c r="D200" s="250" t="s">
        <v>899</v>
      </c>
      <c r="E200" s="281">
        <v>0</v>
      </c>
      <c r="F200" s="249">
        <v>2500</v>
      </c>
      <c r="G200" s="164">
        <f t="shared" si="22"/>
        <v>14.685714285714287</v>
      </c>
      <c r="H200" s="165">
        <f t="shared" si="23"/>
        <v>29.371428571428574</v>
      </c>
      <c r="I200" s="165">
        <f t="shared" si="24"/>
        <v>22.028571428571428</v>
      </c>
      <c r="J200" s="166">
        <f t="shared" si="25"/>
        <v>36.714285714285715</v>
      </c>
      <c r="K200" s="166">
        <f t="shared" si="27"/>
        <v>36.714285714285715</v>
      </c>
      <c r="L200" s="165">
        <f t="shared" si="26"/>
        <v>1.625</v>
      </c>
      <c r="M200" s="168">
        <f t="shared" si="21"/>
        <v>0</v>
      </c>
      <c r="N200" s="236" t="s">
        <v>453</v>
      </c>
    </row>
    <row r="201" spans="1:14" ht="14">
      <c r="A201" s="149">
        <v>200</v>
      </c>
      <c r="B201" s="235" t="s">
        <v>52</v>
      </c>
      <c r="C201" s="231" t="s">
        <v>10</v>
      </c>
      <c r="D201" s="250" t="s">
        <v>901</v>
      </c>
      <c r="E201" s="281">
        <v>0</v>
      </c>
      <c r="F201" s="249">
        <v>600</v>
      </c>
      <c r="G201" s="164">
        <f t="shared" si="22"/>
        <v>3.8285714285714287</v>
      </c>
      <c r="H201" s="165">
        <f t="shared" si="23"/>
        <v>7.6571428571428575</v>
      </c>
      <c r="I201" s="165">
        <f t="shared" si="24"/>
        <v>5.7428571428571429</v>
      </c>
      <c r="J201" s="166">
        <f t="shared" si="25"/>
        <v>9.5714285714285712</v>
      </c>
      <c r="K201" s="166">
        <f t="shared" si="27"/>
        <v>9.5714285714285712</v>
      </c>
      <c r="L201" s="165">
        <f t="shared" si="26"/>
        <v>1.1499999999999999</v>
      </c>
      <c r="M201" s="168">
        <f t="shared" si="21"/>
        <v>0</v>
      </c>
      <c r="N201" s="236" t="s">
        <v>453</v>
      </c>
    </row>
    <row r="202" spans="1:14" ht="14">
      <c r="A202" s="149">
        <v>201</v>
      </c>
      <c r="B202" s="235" t="s">
        <v>52</v>
      </c>
      <c r="C202" s="231" t="s">
        <v>10</v>
      </c>
      <c r="D202" s="250" t="s">
        <v>903</v>
      </c>
      <c r="E202" s="281">
        <v>0</v>
      </c>
      <c r="F202" s="249">
        <v>600</v>
      </c>
      <c r="G202" s="164">
        <f t="shared" si="22"/>
        <v>3.8285714285714287</v>
      </c>
      <c r="H202" s="165">
        <f t="shared" si="23"/>
        <v>7.6571428571428575</v>
      </c>
      <c r="I202" s="165">
        <f t="shared" si="24"/>
        <v>5.7428571428571429</v>
      </c>
      <c r="J202" s="166">
        <f t="shared" si="25"/>
        <v>9.5714285714285712</v>
      </c>
      <c r="K202" s="166">
        <f t="shared" si="27"/>
        <v>9.5714285714285712</v>
      </c>
      <c r="L202" s="165">
        <f t="shared" si="26"/>
        <v>1.1499999999999999</v>
      </c>
      <c r="M202" s="168">
        <f t="shared" si="21"/>
        <v>0</v>
      </c>
      <c r="N202" s="236" t="s">
        <v>453</v>
      </c>
    </row>
    <row r="203" spans="1:14" ht="14">
      <c r="A203" s="149">
        <v>202</v>
      </c>
      <c r="B203" s="235" t="s">
        <v>52</v>
      </c>
      <c r="C203" s="231" t="s">
        <v>10</v>
      </c>
      <c r="D203" s="250" t="s">
        <v>905</v>
      </c>
      <c r="E203" s="281">
        <v>0</v>
      </c>
      <c r="F203" s="249">
        <v>3000</v>
      </c>
      <c r="G203" s="164">
        <f t="shared" si="22"/>
        <v>17.542857142857141</v>
      </c>
      <c r="H203" s="165">
        <f t="shared" si="23"/>
        <v>35.085714285714282</v>
      </c>
      <c r="I203" s="165">
        <f t="shared" si="24"/>
        <v>26.314285714285713</v>
      </c>
      <c r="J203" s="166">
        <f t="shared" si="25"/>
        <v>43.857142857142854</v>
      </c>
      <c r="K203" s="166">
        <f t="shared" si="27"/>
        <v>43.857142857142854</v>
      </c>
      <c r="L203" s="165">
        <f t="shared" si="26"/>
        <v>1.75</v>
      </c>
      <c r="M203" s="168">
        <f t="shared" si="21"/>
        <v>0</v>
      </c>
      <c r="N203" s="236" t="s">
        <v>453</v>
      </c>
    </row>
    <row r="204" spans="1:14" ht="14">
      <c r="A204" s="149">
        <v>203</v>
      </c>
      <c r="B204" s="235" t="s">
        <v>52</v>
      </c>
      <c r="C204" s="231" t="s">
        <v>10</v>
      </c>
      <c r="D204" s="250" t="s">
        <v>907</v>
      </c>
      <c r="E204" s="281">
        <v>0</v>
      </c>
      <c r="F204" s="249">
        <v>3100</v>
      </c>
      <c r="G204" s="164">
        <f t="shared" si="22"/>
        <v>18.114285714285714</v>
      </c>
      <c r="H204" s="165">
        <f t="shared" si="23"/>
        <v>36.228571428571428</v>
      </c>
      <c r="I204" s="165">
        <f t="shared" si="24"/>
        <v>27.171428571428571</v>
      </c>
      <c r="J204" s="166">
        <f t="shared" si="25"/>
        <v>45.285714285714285</v>
      </c>
      <c r="K204" s="166">
        <f t="shared" si="27"/>
        <v>45.285714285714285</v>
      </c>
      <c r="L204" s="165">
        <f t="shared" si="26"/>
        <v>1.7749999999999999</v>
      </c>
      <c r="M204" s="168">
        <f t="shared" si="21"/>
        <v>0</v>
      </c>
      <c r="N204" s="236" t="s">
        <v>453</v>
      </c>
    </row>
    <row r="205" spans="1:14" ht="14">
      <c r="A205" s="149">
        <v>204</v>
      </c>
      <c r="B205" s="235" t="s">
        <v>52</v>
      </c>
      <c r="C205" s="231" t="s">
        <v>10</v>
      </c>
      <c r="D205" s="250" t="s">
        <v>909</v>
      </c>
      <c r="E205" s="281">
        <v>0</v>
      </c>
      <c r="F205" s="249">
        <v>4500</v>
      </c>
      <c r="G205" s="164">
        <f t="shared" si="22"/>
        <v>26.114285714285717</v>
      </c>
      <c r="H205" s="165">
        <f t="shared" si="23"/>
        <v>52.228571428571435</v>
      </c>
      <c r="I205" s="165">
        <f t="shared" si="24"/>
        <v>39.171428571428571</v>
      </c>
      <c r="J205" s="166">
        <f t="shared" si="25"/>
        <v>65.285714285714292</v>
      </c>
      <c r="K205" s="166">
        <f t="shared" si="27"/>
        <v>65.285714285714292</v>
      </c>
      <c r="L205" s="165">
        <f t="shared" si="26"/>
        <v>2.125</v>
      </c>
      <c r="M205" s="168">
        <f t="shared" si="21"/>
        <v>0</v>
      </c>
      <c r="N205" s="236" t="s">
        <v>453</v>
      </c>
    </row>
    <row r="206" spans="1:14" ht="14">
      <c r="A206" s="149">
        <v>205</v>
      </c>
      <c r="B206" s="235" t="s">
        <v>52</v>
      </c>
      <c r="C206" s="231" t="s">
        <v>10</v>
      </c>
      <c r="D206" s="250" t="s">
        <v>911</v>
      </c>
      <c r="E206" s="281">
        <v>0</v>
      </c>
      <c r="F206" s="249">
        <v>4800</v>
      </c>
      <c r="G206" s="164">
        <f t="shared" si="22"/>
        <v>27.828571428571429</v>
      </c>
      <c r="H206" s="165">
        <f t="shared" si="23"/>
        <v>55.657142857142858</v>
      </c>
      <c r="I206" s="165">
        <f t="shared" si="24"/>
        <v>41.74285714285714</v>
      </c>
      <c r="J206" s="166">
        <f t="shared" si="25"/>
        <v>69.571428571428569</v>
      </c>
      <c r="K206" s="166">
        <f t="shared" si="27"/>
        <v>69.571428571428569</v>
      </c>
      <c r="L206" s="165">
        <f t="shared" si="26"/>
        <v>2.2000000000000002</v>
      </c>
      <c r="M206" s="168">
        <f t="shared" si="21"/>
        <v>0</v>
      </c>
      <c r="N206" s="236" t="s">
        <v>453</v>
      </c>
    </row>
    <row r="207" spans="1:14" ht="14">
      <c r="A207" s="149">
        <v>206</v>
      </c>
      <c r="B207" s="235" t="s">
        <v>52</v>
      </c>
      <c r="C207" s="231" t="s">
        <v>10</v>
      </c>
      <c r="D207" s="250" t="s">
        <v>913</v>
      </c>
      <c r="E207" s="281">
        <v>0</v>
      </c>
      <c r="F207" s="249">
        <v>700</v>
      </c>
      <c r="G207" s="164">
        <f t="shared" si="22"/>
        <v>4.4000000000000004</v>
      </c>
      <c r="H207" s="165">
        <f t="shared" si="23"/>
        <v>8.8000000000000007</v>
      </c>
      <c r="I207" s="165">
        <f t="shared" si="24"/>
        <v>6.6</v>
      </c>
      <c r="J207" s="166">
        <f t="shared" si="25"/>
        <v>11</v>
      </c>
      <c r="K207" s="166">
        <f t="shared" si="27"/>
        <v>11</v>
      </c>
      <c r="L207" s="165">
        <f t="shared" si="26"/>
        <v>1.175</v>
      </c>
      <c r="M207" s="168">
        <f t="shared" si="21"/>
        <v>0</v>
      </c>
      <c r="N207" s="236" t="s">
        <v>453</v>
      </c>
    </row>
    <row r="208" spans="1:14" ht="14">
      <c r="A208" s="149">
        <v>207</v>
      </c>
      <c r="B208" s="235" t="s">
        <v>52</v>
      </c>
      <c r="C208" s="231" t="s">
        <v>10</v>
      </c>
      <c r="D208" s="250" t="s">
        <v>915</v>
      </c>
      <c r="E208" s="281">
        <v>0</v>
      </c>
      <c r="F208" s="249">
        <v>1500</v>
      </c>
      <c r="G208" s="164">
        <f t="shared" si="22"/>
        <v>8.9714285714285715</v>
      </c>
      <c r="H208" s="165">
        <f t="shared" si="23"/>
        <v>17.942857142857143</v>
      </c>
      <c r="I208" s="165">
        <f t="shared" si="24"/>
        <v>13.457142857142856</v>
      </c>
      <c r="J208" s="166">
        <f t="shared" si="25"/>
        <v>22.428571428571427</v>
      </c>
      <c r="K208" s="166">
        <f t="shared" si="27"/>
        <v>22.428571428571427</v>
      </c>
      <c r="L208" s="165">
        <f t="shared" si="26"/>
        <v>1.375</v>
      </c>
      <c r="M208" s="168">
        <f t="shared" si="21"/>
        <v>0</v>
      </c>
      <c r="N208" s="236" t="s">
        <v>453</v>
      </c>
    </row>
    <row r="209" spans="1:14" ht="14">
      <c r="A209" s="149">
        <v>208</v>
      </c>
      <c r="B209" s="235" t="s">
        <v>52</v>
      </c>
      <c r="C209" s="231" t="s">
        <v>10</v>
      </c>
      <c r="D209" s="250" t="s">
        <v>917</v>
      </c>
      <c r="E209" s="281">
        <v>0</v>
      </c>
      <c r="F209" s="249">
        <v>3100</v>
      </c>
      <c r="G209" s="164">
        <f t="shared" si="22"/>
        <v>18.114285714285714</v>
      </c>
      <c r="H209" s="165">
        <f t="shared" si="23"/>
        <v>36.228571428571428</v>
      </c>
      <c r="I209" s="165">
        <f t="shared" si="24"/>
        <v>27.171428571428571</v>
      </c>
      <c r="J209" s="166">
        <f t="shared" si="25"/>
        <v>45.285714285714285</v>
      </c>
      <c r="K209" s="166">
        <f t="shared" si="27"/>
        <v>45.285714285714285</v>
      </c>
      <c r="L209" s="165">
        <f t="shared" si="26"/>
        <v>1.7749999999999999</v>
      </c>
      <c r="M209" s="168">
        <f t="shared" si="21"/>
        <v>0</v>
      </c>
      <c r="N209" s="236" t="s">
        <v>453</v>
      </c>
    </row>
    <row r="210" spans="1:14" ht="14">
      <c r="A210" s="149">
        <v>209</v>
      </c>
      <c r="B210" s="235" t="s">
        <v>52</v>
      </c>
      <c r="C210" s="231" t="s">
        <v>10</v>
      </c>
      <c r="D210" s="250" t="s">
        <v>919</v>
      </c>
      <c r="E210" s="281">
        <v>0</v>
      </c>
      <c r="F210" s="249">
        <v>1150</v>
      </c>
      <c r="G210" s="164">
        <f t="shared" si="22"/>
        <v>6.9714285714285715</v>
      </c>
      <c r="H210" s="165">
        <f t="shared" si="23"/>
        <v>13.942857142857143</v>
      </c>
      <c r="I210" s="165">
        <f t="shared" si="24"/>
        <v>10.457142857142856</v>
      </c>
      <c r="J210" s="166">
        <f t="shared" si="25"/>
        <v>17.428571428571427</v>
      </c>
      <c r="K210" s="166">
        <f t="shared" si="27"/>
        <v>17.428571428571427</v>
      </c>
      <c r="L210" s="165">
        <f t="shared" si="26"/>
        <v>1.2875000000000001</v>
      </c>
      <c r="M210" s="168">
        <f t="shared" si="21"/>
        <v>0</v>
      </c>
      <c r="N210" s="236" t="s">
        <v>453</v>
      </c>
    </row>
    <row r="211" spans="1:14" ht="14">
      <c r="A211" s="149">
        <v>210</v>
      </c>
      <c r="B211" s="235" t="s">
        <v>52</v>
      </c>
      <c r="C211" s="231" t="s">
        <v>10</v>
      </c>
      <c r="D211" s="250" t="s">
        <v>921</v>
      </c>
      <c r="E211" s="281">
        <v>0</v>
      </c>
      <c r="F211" s="249">
        <v>500</v>
      </c>
      <c r="G211" s="164">
        <f t="shared" si="22"/>
        <v>3.2571428571428571</v>
      </c>
      <c r="H211" s="165">
        <f t="shared" si="23"/>
        <v>6.5142857142857142</v>
      </c>
      <c r="I211" s="165">
        <f t="shared" si="24"/>
        <v>4.8857142857142852</v>
      </c>
      <c r="J211" s="166">
        <f t="shared" si="25"/>
        <v>8.1428571428571423</v>
      </c>
      <c r="K211" s="166">
        <f t="shared" si="27"/>
        <v>8.1428571428571423</v>
      </c>
      <c r="L211" s="165">
        <f t="shared" si="26"/>
        <v>1.125</v>
      </c>
      <c r="M211" s="168">
        <f t="shared" si="21"/>
        <v>0</v>
      </c>
      <c r="N211" s="236" t="s">
        <v>453</v>
      </c>
    </row>
    <row r="212" spans="1:14" ht="14">
      <c r="A212" s="149">
        <v>211</v>
      </c>
      <c r="B212" s="235" t="s">
        <v>52</v>
      </c>
      <c r="C212" s="231" t="s">
        <v>10</v>
      </c>
      <c r="D212" s="250" t="s">
        <v>923</v>
      </c>
      <c r="E212" s="281">
        <v>0</v>
      </c>
      <c r="F212" s="249">
        <v>750</v>
      </c>
      <c r="G212" s="164">
        <f t="shared" si="22"/>
        <v>4.6857142857142859</v>
      </c>
      <c r="H212" s="165">
        <f t="shared" si="23"/>
        <v>9.3714285714285719</v>
      </c>
      <c r="I212" s="165">
        <f t="shared" si="24"/>
        <v>7.0285714285714276</v>
      </c>
      <c r="J212" s="166">
        <f t="shared" si="25"/>
        <v>11.714285714285714</v>
      </c>
      <c r="K212" s="166">
        <f t="shared" si="27"/>
        <v>11.714285714285714</v>
      </c>
      <c r="L212" s="165">
        <f t="shared" si="26"/>
        <v>1.1875</v>
      </c>
      <c r="M212" s="168">
        <f t="shared" si="21"/>
        <v>0</v>
      </c>
      <c r="N212" s="236" t="s">
        <v>453</v>
      </c>
    </row>
    <row r="213" spans="1:14" ht="14">
      <c r="A213" s="149">
        <v>212</v>
      </c>
      <c r="B213" s="235" t="s">
        <v>52</v>
      </c>
      <c r="C213" s="231" t="s">
        <v>10</v>
      </c>
      <c r="D213" s="250" t="s">
        <v>925</v>
      </c>
      <c r="E213" s="281">
        <v>0</v>
      </c>
      <c r="F213" s="249">
        <v>2500</v>
      </c>
      <c r="G213" s="164">
        <f t="shared" si="22"/>
        <v>14.685714285714287</v>
      </c>
      <c r="H213" s="165">
        <f t="shared" si="23"/>
        <v>29.371428571428574</v>
      </c>
      <c r="I213" s="165">
        <f t="shared" si="24"/>
        <v>22.028571428571428</v>
      </c>
      <c r="J213" s="166">
        <f t="shared" si="25"/>
        <v>36.714285714285715</v>
      </c>
      <c r="K213" s="166">
        <f t="shared" si="27"/>
        <v>36.714285714285715</v>
      </c>
      <c r="L213" s="165">
        <f t="shared" si="26"/>
        <v>1.625</v>
      </c>
      <c r="M213" s="168">
        <f t="shared" si="21"/>
        <v>0</v>
      </c>
      <c r="N213" s="236" t="s">
        <v>453</v>
      </c>
    </row>
    <row r="214" spans="1:14" ht="14">
      <c r="A214" s="149">
        <v>213</v>
      </c>
      <c r="B214" s="235" t="s">
        <v>52</v>
      </c>
      <c r="C214" s="231" t="s">
        <v>10</v>
      </c>
      <c r="D214" s="250" t="s">
        <v>927</v>
      </c>
      <c r="E214" s="281">
        <v>0</v>
      </c>
      <c r="F214" s="249">
        <v>1600</v>
      </c>
      <c r="G214" s="164">
        <f t="shared" si="22"/>
        <v>9.5428571428571427</v>
      </c>
      <c r="H214" s="165">
        <f t="shared" si="23"/>
        <v>19.085714285714285</v>
      </c>
      <c r="I214" s="165">
        <f t="shared" si="24"/>
        <v>14.314285714285715</v>
      </c>
      <c r="J214" s="166">
        <f t="shared" si="25"/>
        <v>23.857142857142858</v>
      </c>
      <c r="K214" s="166">
        <f t="shared" si="27"/>
        <v>23.857142857142858</v>
      </c>
      <c r="L214" s="165">
        <f t="shared" si="26"/>
        <v>1.4</v>
      </c>
      <c r="M214" s="168">
        <f t="shared" si="21"/>
        <v>0</v>
      </c>
      <c r="N214" s="236" t="s">
        <v>453</v>
      </c>
    </row>
    <row r="215" spans="1:14" ht="14">
      <c r="A215" s="149">
        <v>214</v>
      </c>
      <c r="B215" s="235" t="s">
        <v>52</v>
      </c>
      <c r="C215" s="231" t="s">
        <v>10</v>
      </c>
      <c r="D215" s="250" t="s">
        <v>929</v>
      </c>
      <c r="E215" s="281">
        <v>0</v>
      </c>
      <c r="F215" s="249">
        <v>2200</v>
      </c>
      <c r="G215" s="164">
        <f t="shared" si="22"/>
        <v>12.971428571428573</v>
      </c>
      <c r="H215" s="165">
        <f t="shared" si="23"/>
        <v>25.942857142857147</v>
      </c>
      <c r="I215" s="165">
        <f t="shared" si="24"/>
        <v>19.457142857142859</v>
      </c>
      <c r="J215" s="166">
        <f t="shared" si="25"/>
        <v>32.428571428571431</v>
      </c>
      <c r="K215" s="166">
        <f t="shared" si="27"/>
        <v>32.428571428571431</v>
      </c>
      <c r="L215" s="165">
        <f t="shared" si="26"/>
        <v>1.55</v>
      </c>
      <c r="M215" s="168">
        <f t="shared" si="21"/>
        <v>0</v>
      </c>
      <c r="N215" s="236" t="s">
        <v>453</v>
      </c>
    </row>
    <row r="216" spans="1:14" ht="14">
      <c r="A216" s="149">
        <v>215</v>
      </c>
      <c r="B216" s="235" t="s">
        <v>52</v>
      </c>
      <c r="C216" s="231" t="s">
        <v>10</v>
      </c>
      <c r="D216" s="250" t="s">
        <v>931</v>
      </c>
      <c r="E216" s="281">
        <v>0</v>
      </c>
      <c r="F216" s="249">
        <v>400</v>
      </c>
      <c r="G216" s="164">
        <f t="shared" si="22"/>
        <v>2.6857142857142859</v>
      </c>
      <c r="H216" s="165">
        <f t="shared" si="23"/>
        <v>5.3714285714285719</v>
      </c>
      <c r="I216" s="165">
        <f t="shared" si="24"/>
        <v>4.0285714285714285</v>
      </c>
      <c r="J216" s="166">
        <f t="shared" si="25"/>
        <v>6.7142857142857144</v>
      </c>
      <c r="K216" s="166">
        <f t="shared" si="27"/>
        <v>6.7142857142857144</v>
      </c>
      <c r="L216" s="165">
        <f t="shared" si="26"/>
        <v>1.1000000000000001</v>
      </c>
      <c r="M216" s="168">
        <f t="shared" si="21"/>
        <v>0</v>
      </c>
      <c r="N216" s="236" t="s">
        <v>453</v>
      </c>
    </row>
    <row r="217" spans="1:14" ht="14">
      <c r="A217" s="149">
        <v>216</v>
      </c>
      <c r="B217" s="235" t="s">
        <v>52</v>
      </c>
      <c r="C217" s="231" t="s">
        <v>10</v>
      </c>
      <c r="D217" s="250" t="s">
        <v>933</v>
      </c>
      <c r="E217" s="281">
        <v>0</v>
      </c>
      <c r="F217" s="249">
        <v>800</v>
      </c>
      <c r="G217" s="164">
        <f t="shared" si="22"/>
        <v>4.9714285714285715</v>
      </c>
      <c r="H217" s="165">
        <f t="shared" si="23"/>
        <v>9.9428571428571431</v>
      </c>
      <c r="I217" s="165">
        <f t="shared" si="24"/>
        <v>7.4571428571428573</v>
      </c>
      <c r="J217" s="166">
        <f t="shared" si="25"/>
        <v>12.428571428571429</v>
      </c>
      <c r="K217" s="166">
        <f t="shared" si="27"/>
        <v>12.428571428571429</v>
      </c>
      <c r="L217" s="165">
        <f t="shared" si="26"/>
        <v>1.2</v>
      </c>
      <c r="M217" s="168">
        <f t="shared" si="21"/>
        <v>0</v>
      </c>
      <c r="N217" s="236" t="s">
        <v>453</v>
      </c>
    </row>
    <row r="218" spans="1:14" ht="14">
      <c r="A218" s="149">
        <v>217</v>
      </c>
      <c r="B218" s="235" t="s">
        <v>52</v>
      </c>
      <c r="C218" s="231" t="s">
        <v>10</v>
      </c>
      <c r="D218" s="250" t="s">
        <v>935</v>
      </c>
      <c r="E218" s="281">
        <v>0</v>
      </c>
      <c r="F218" s="249">
        <v>300</v>
      </c>
      <c r="G218" s="164">
        <f t="shared" si="22"/>
        <v>2.1142857142857143</v>
      </c>
      <c r="H218" s="165">
        <f t="shared" si="23"/>
        <v>4.2285714285714286</v>
      </c>
      <c r="I218" s="165">
        <f t="shared" si="24"/>
        <v>3.1714285714285713</v>
      </c>
      <c r="J218" s="166">
        <f t="shared" si="25"/>
        <v>5.2857142857142856</v>
      </c>
      <c r="K218" s="166">
        <f t="shared" si="27"/>
        <v>5.2857142857142856</v>
      </c>
      <c r="L218" s="165">
        <f t="shared" si="26"/>
        <v>1.075</v>
      </c>
      <c r="M218" s="168">
        <f t="shared" si="21"/>
        <v>0</v>
      </c>
      <c r="N218" s="236" t="s">
        <v>453</v>
      </c>
    </row>
    <row r="219" spans="1:14" ht="14">
      <c r="A219" s="149">
        <v>218</v>
      </c>
      <c r="B219" s="235" t="s">
        <v>52</v>
      </c>
      <c r="C219" s="231" t="s">
        <v>10</v>
      </c>
      <c r="D219" s="250" t="s">
        <v>937</v>
      </c>
      <c r="E219" s="281">
        <v>0</v>
      </c>
      <c r="F219" s="249">
        <v>800</v>
      </c>
      <c r="G219" s="164">
        <f t="shared" si="22"/>
        <v>4.9714285714285715</v>
      </c>
      <c r="H219" s="165">
        <f t="shared" si="23"/>
        <v>9.9428571428571431</v>
      </c>
      <c r="I219" s="165">
        <f t="shared" si="24"/>
        <v>7.4571428571428573</v>
      </c>
      <c r="J219" s="166">
        <f t="shared" si="25"/>
        <v>12.428571428571429</v>
      </c>
      <c r="K219" s="166">
        <f t="shared" si="27"/>
        <v>12.428571428571429</v>
      </c>
      <c r="L219" s="165">
        <f t="shared" si="26"/>
        <v>1.2</v>
      </c>
      <c r="M219" s="168">
        <f t="shared" si="21"/>
        <v>0</v>
      </c>
      <c r="N219" s="236" t="s">
        <v>453</v>
      </c>
    </row>
    <row r="220" spans="1:14" ht="14">
      <c r="A220" s="149">
        <v>219</v>
      </c>
      <c r="B220" s="235" t="s">
        <v>52</v>
      </c>
      <c r="C220" s="231" t="s">
        <v>10</v>
      </c>
      <c r="D220" s="250" t="s">
        <v>939</v>
      </c>
      <c r="E220" s="281">
        <v>0</v>
      </c>
      <c r="F220" s="249">
        <v>650</v>
      </c>
      <c r="G220" s="164">
        <f t="shared" si="22"/>
        <v>4.1142857142857148</v>
      </c>
      <c r="H220" s="165">
        <f t="shared" si="23"/>
        <v>8.2285714285714295</v>
      </c>
      <c r="I220" s="165">
        <f t="shared" si="24"/>
        <v>6.1714285714285717</v>
      </c>
      <c r="J220" s="166">
        <f t="shared" si="25"/>
        <v>10.285714285714286</v>
      </c>
      <c r="K220" s="166">
        <f t="shared" si="27"/>
        <v>10.285714285714286</v>
      </c>
      <c r="L220" s="165">
        <f t="shared" si="26"/>
        <v>1.1625000000000001</v>
      </c>
      <c r="M220" s="168">
        <f t="shared" si="21"/>
        <v>0</v>
      </c>
      <c r="N220" s="236" t="s">
        <v>453</v>
      </c>
    </row>
    <row r="221" spans="1:14" ht="14">
      <c r="A221" s="149">
        <v>220</v>
      </c>
      <c r="B221" s="235" t="s">
        <v>52</v>
      </c>
      <c r="C221" s="231" t="s">
        <v>10</v>
      </c>
      <c r="D221" s="250" t="s">
        <v>941</v>
      </c>
      <c r="E221" s="281">
        <v>0</v>
      </c>
      <c r="F221" s="249">
        <v>3000</v>
      </c>
      <c r="G221" s="164">
        <f t="shared" si="22"/>
        <v>17.542857142857141</v>
      </c>
      <c r="H221" s="165">
        <f t="shared" si="23"/>
        <v>35.085714285714282</v>
      </c>
      <c r="I221" s="165">
        <f t="shared" si="24"/>
        <v>26.314285714285713</v>
      </c>
      <c r="J221" s="166">
        <f t="shared" si="25"/>
        <v>43.857142857142854</v>
      </c>
      <c r="K221" s="166">
        <f t="shared" si="27"/>
        <v>43.857142857142854</v>
      </c>
      <c r="L221" s="165">
        <f t="shared" si="26"/>
        <v>1.75</v>
      </c>
      <c r="M221" s="168">
        <f t="shared" si="21"/>
        <v>0</v>
      </c>
      <c r="N221" s="236" t="s">
        <v>453</v>
      </c>
    </row>
    <row r="222" spans="1:14" ht="14">
      <c r="A222" s="149">
        <v>221</v>
      </c>
      <c r="B222" s="235" t="s">
        <v>52</v>
      </c>
      <c r="C222" s="231" t="s">
        <v>10</v>
      </c>
      <c r="D222" s="250" t="s">
        <v>943</v>
      </c>
      <c r="E222" s="281">
        <v>0</v>
      </c>
      <c r="F222" s="249">
        <v>350</v>
      </c>
      <c r="G222" s="164">
        <f t="shared" si="22"/>
        <v>2.4000000000000004</v>
      </c>
      <c r="H222" s="165">
        <f t="shared" si="23"/>
        <v>4.8000000000000007</v>
      </c>
      <c r="I222" s="165">
        <f t="shared" si="24"/>
        <v>3.5999999999999996</v>
      </c>
      <c r="J222" s="166">
        <f t="shared" si="25"/>
        <v>6</v>
      </c>
      <c r="K222" s="166">
        <f t="shared" si="27"/>
        <v>6</v>
      </c>
      <c r="L222" s="165">
        <f t="shared" si="26"/>
        <v>1.0874999999999999</v>
      </c>
      <c r="M222" s="168">
        <f t="shared" si="21"/>
        <v>0</v>
      </c>
      <c r="N222" s="236" t="s">
        <v>453</v>
      </c>
    </row>
    <row r="223" spans="1:14" ht="14">
      <c r="A223" s="149">
        <v>222</v>
      </c>
      <c r="B223" s="235" t="s">
        <v>52</v>
      </c>
      <c r="C223" s="231" t="s">
        <v>10</v>
      </c>
      <c r="D223" s="250" t="s">
        <v>945</v>
      </c>
      <c r="E223" s="281">
        <v>0</v>
      </c>
      <c r="F223" s="249">
        <v>2500</v>
      </c>
      <c r="G223" s="164">
        <f t="shared" si="22"/>
        <v>14.685714285714287</v>
      </c>
      <c r="H223" s="165">
        <f t="shared" si="23"/>
        <v>29.371428571428574</v>
      </c>
      <c r="I223" s="165">
        <f t="shared" si="24"/>
        <v>22.028571428571428</v>
      </c>
      <c r="J223" s="166">
        <f t="shared" si="25"/>
        <v>36.714285714285715</v>
      </c>
      <c r="K223" s="166">
        <f t="shared" si="27"/>
        <v>36.714285714285715</v>
      </c>
      <c r="L223" s="165">
        <f t="shared" si="26"/>
        <v>1.625</v>
      </c>
      <c r="M223" s="168">
        <f t="shared" si="21"/>
        <v>0</v>
      </c>
      <c r="N223" s="236" t="s">
        <v>453</v>
      </c>
    </row>
    <row r="224" spans="1:14" ht="14">
      <c r="A224" s="149">
        <v>223</v>
      </c>
      <c r="B224" s="235" t="s">
        <v>52</v>
      </c>
      <c r="C224" s="231" t="s">
        <v>10</v>
      </c>
      <c r="D224" s="250" t="s">
        <v>947</v>
      </c>
      <c r="E224" s="281">
        <v>0</v>
      </c>
      <c r="F224" s="249">
        <v>1500</v>
      </c>
      <c r="G224" s="164">
        <f t="shared" si="22"/>
        <v>8.9714285714285715</v>
      </c>
      <c r="H224" s="165">
        <f t="shared" si="23"/>
        <v>17.942857142857143</v>
      </c>
      <c r="I224" s="165">
        <f t="shared" si="24"/>
        <v>13.457142857142856</v>
      </c>
      <c r="J224" s="166">
        <f t="shared" si="25"/>
        <v>22.428571428571427</v>
      </c>
      <c r="K224" s="166">
        <f t="shared" si="27"/>
        <v>22.428571428571427</v>
      </c>
      <c r="L224" s="165">
        <f t="shared" si="26"/>
        <v>1.375</v>
      </c>
      <c r="M224" s="168">
        <f t="shared" si="21"/>
        <v>0</v>
      </c>
      <c r="N224" s="236" t="s">
        <v>453</v>
      </c>
    </row>
    <row r="225" spans="1:14" ht="14">
      <c r="A225" s="149">
        <v>224</v>
      </c>
      <c r="B225" s="235" t="s">
        <v>52</v>
      </c>
      <c r="C225" s="231" t="s">
        <v>10</v>
      </c>
      <c r="D225" s="250" t="s">
        <v>949</v>
      </c>
      <c r="E225" s="281">
        <v>0</v>
      </c>
      <c r="F225" s="249">
        <v>450</v>
      </c>
      <c r="G225" s="164">
        <f t="shared" si="22"/>
        <v>2.9714285714285715</v>
      </c>
      <c r="H225" s="165">
        <f t="shared" si="23"/>
        <v>5.9428571428571431</v>
      </c>
      <c r="I225" s="165">
        <f t="shared" si="24"/>
        <v>4.4571428571428573</v>
      </c>
      <c r="J225" s="166">
        <f t="shared" si="25"/>
        <v>7.4285714285714288</v>
      </c>
      <c r="K225" s="166">
        <f t="shared" si="27"/>
        <v>7.4285714285714288</v>
      </c>
      <c r="L225" s="165">
        <f t="shared" si="26"/>
        <v>1.1125</v>
      </c>
      <c r="M225" s="168">
        <f t="shared" si="21"/>
        <v>0</v>
      </c>
      <c r="N225" s="236" t="s">
        <v>453</v>
      </c>
    </row>
    <row r="226" spans="1:14" ht="14">
      <c r="A226" s="149">
        <v>225</v>
      </c>
      <c r="B226" s="235" t="s">
        <v>52</v>
      </c>
      <c r="C226" s="231" t="s">
        <v>10</v>
      </c>
      <c r="D226" s="250" t="s">
        <v>951</v>
      </c>
      <c r="E226" s="281">
        <v>0</v>
      </c>
      <c r="F226" s="249">
        <v>1000</v>
      </c>
      <c r="G226" s="164">
        <f t="shared" si="22"/>
        <v>6.1142857142857148</v>
      </c>
      <c r="H226" s="165">
        <f t="shared" si="23"/>
        <v>12.22857142857143</v>
      </c>
      <c r="I226" s="165">
        <f t="shared" si="24"/>
        <v>9.1714285714285708</v>
      </c>
      <c r="J226" s="166">
        <f t="shared" si="25"/>
        <v>15.285714285714285</v>
      </c>
      <c r="K226" s="166">
        <f t="shared" si="27"/>
        <v>15.285714285714285</v>
      </c>
      <c r="L226" s="165">
        <f t="shared" si="26"/>
        <v>1.25</v>
      </c>
      <c r="M226" s="168">
        <f t="shared" si="21"/>
        <v>0</v>
      </c>
      <c r="N226" s="236" t="s">
        <v>453</v>
      </c>
    </row>
    <row r="227" spans="1:14" ht="14">
      <c r="A227" s="149">
        <v>226</v>
      </c>
      <c r="B227" s="235" t="s">
        <v>52</v>
      </c>
      <c r="C227" s="231" t="s">
        <v>10</v>
      </c>
      <c r="D227" s="250" t="s">
        <v>953</v>
      </c>
      <c r="E227" s="281">
        <v>0</v>
      </c>
      <c r="F227" s="249">
        <v>300</v>
      </c>
      <c r="G227" s="164">
        <f t="shared" si="22"/>
        <v>2.1142857142857143</v>
      </c>
      <c r="H227" s="165">
        <f t="shared" si="23"/>
        <v>4.2285714285714286</v>
      </c>
      <c r="I227" s="165">
        <f t="shared" si="24"/>
        <v>3.1714285714285713</v>
      </c>
      <c r="J227" s="166">
        <f t="shared" si="25"/>
        <v>5.2857142857142856</v>
      </c>
      <c r="K227" s="166">
        <f t="shared" si="27"/>
        <v>5.2857142857142856</v>
      </c>
      <c r="L227" s="165">
        <f t="shared" si="26"/>
        <v>1.075</v>
      </c>
      <c r="M227" s="168">
        <f t="shared" si="21"/>
        <v>0</v>
      </c>
      <c r="N227" s="236" t="s">
        <v>453</v>
      </c>
    </row>
    <row r="228" spans="1:14" ht="14">
      <c r="A228" s="149">
        <v>227</v>
      </c>
      <c r="B228" s="235" t="s">
        <v>52</v>
      </c>
      <c r="C228" s="231" t="s">
        <v>10</v>
      </c>
      <c r="D228" s="250" t="s">
        <v>955</v>
      </c>
      <c r="E228" s="281">
        <v>0</v>
      </c>
      <c r="F228" s="249">
        <v>300</v>
      </c>
      <c r="G228" s="164">
        <f t="shared" si="22"/>
        <v>2.1142857142857143</v>
      </c>
      <c r="H228" s="165">
        <f t="shared" si="23"/>
        <v>4.2285714285714286</v>
      </c>
      <c r="I228" s="165">
        <f t="shared" si="24"/>
        <v>3.1714285714285713</v>
      </c>
      <c r="J228" s="166">
        <f t="shared" si="25"/>
        <v>5.2857142857142856</v>
      </c>
      <c r="K228" s="166">
        <f t="shared" si="27"/>
        <v>5.2857142857142856</v>
      </c>
      <c r="L228" s="165">
        <f t="shared" si="26"/>
        <v>1.075</v>
      </c>
      <c r="M228" s="168">
        <f t="shared" si="21"/>
        <v>0</v>
      </c>
      <c r="N228" s="236" t="s">
        <v>453</v>
      </c>
    </row>
    <row r="229" spans="1:14" ht="14">
      <c r="A229" s="149">
        <v>228</v>
      </c>
      <c r="B229" s="235" t="s">
        <v>52</v>
      </c>
      <c r="C229" s="231" t="s">
        <v>10</v>
      </c>
      <c r="D229" s="250" t="s">
        <v>957</v>
      </c>
      <c r="E229" s="281">
        <v>0</v>
      </c>
      <c r="F229" s="249">
        <v>800</v>
      </c>
      <c r="G229" s="164">
        <f t="shared" si="22"/>
        <v>4.9714285714285715</v>
      </c>
      <c r="H229" s="165">
        <f t="shared" si="23"/>
        <v>9.9428571428571431</v>
      </c>
      <c r="I229" s="165">
        <f t="shared" si="24"/>
        <v>7.4571428571428573</v>
      </c>
      <c r="J229" s="166">
        <f t="shared" si="25"/>
        <v>12.428571428571429</v>
      </c>
      <c r="K229" s="166">
        <f t="shared" si="27"/>
        <v>12.428571428571429</v>
      </c>
      <c r="L229" s="165">
        <f t="shared" si="26"/>
        <v>1.2</v>
      </c>
      <c r="M229" s="168">
        <f t="shared" si="21"/>
        <v>0</v>
      </c>
      <c r="N229" s="236" t="s">
        <v>453</v>
      </c>
    </row>
    <row r="230" spans="1:14" ht="14">
      <c r="A230" s="149">
        <v>229</v>
      </c>
      <c r="B230" s="235" t="s">
        <v>52</v>
      </c>
      <c r="C230" s="231" t="s">
        <v>10</v>
      </c>
      <c r="D230" s="250" t="s">
        <v>959</v>
      </c>
      <c r="E230" s="281">
        <v>0</v>
      </c>
      <c r="F230" s="249">
        <v>350</v>
      </c>
      <c r="G230" s="164">
        <f t="shared" si="22"/>
        <v>2.4000000000000004</v>
      </c>
      <c r="H230" s="165">
        <f t="shared" si="23"/>
        <v>4.8000000000000007</v>
      </c>
      <c r="I230" s="165">
        <f t="shared" si="24"/>
        <v>3.5999999999999996</v>
      </c>
      <c r="J230" s="166">
        <f t="shared" si="25"/>
        <v>6</v>
      </c>
      <c r="K230" s="166">
        <f t="shared" si="27"/>
        <v>6</v>
      </c>
      <c r="L230" s="165">
        <f t="shared" si="26"/>
        <v>1.0874999999999999</v>
      </c>
      <c r="M230" s="168">
        <f t="shared" si="21"/>
        <v>0</v>
      </c>
      <c r="N230" s="236" t="s">
        <v>453</v>
      </c>
    </row>
    <row r="231" spans="1:14" ht="14">
      <c r="A231" s="149">
        <v>230</v>
      </c>
      <c r="B231" s="235" t="s">
        <v>52</v>
      </c>
      <c r="C231" s="231" t="s">
        <v>10</v>
      </c>
      <c r="D231" s="250" t="s">
        <v>961</v>
      </c>
      <c r="E231" s="281">
        <v>0</v>
      </c>
      <c r="F231" s="249">
        <v>350</v>
      </c>
      <c r="G231" s="164">
        <f t="shared" si="22"/>
        <v>2.4000000000000004</v>
      </c>
      <c r="H231" s="165">
        <f t="shared" si="23"/>
        <v>4.8000000000000007</v>
      </c>
      <c r="I231" s="165">
        <f t="shared" si="24"/>
        <v>3.5999999999999996</v>
      </c>
      <c r="J231" s="166">
        <f t="shared" si="25"/>
        <v>6</v>
      </c>
      <c r="K231" s="166">
        <f t="shared" si="27"/>
        <v>6</v>
      </c>
      <c r="L231" s="165">
        <f t="shared" si="26"/>
        <v>1.0874999999999999</v>
      </c>
      <c r="M231" s="168">
        <f t="shared" si="21"/>
        <v>0</v>
      </c>
      <c r="N231" s="236" t="s">
        <v>453</v>
      </c>
    </row>
    <row r="232" spans="1:14" ht="14">
      <c r="A232" s="149">
        <v>231</v>
      </c>
      <c r="B232" s="235" t="s">
        <v>52</v>
      </c>
      <c r="C232" s="231" t="s">
        <v>10</v>
      </c>
      <c r="D232" s="250" t="s">
        <v>963</v>
      </c>
      <c r="E232" s="281">
        <v>0</v>
      </c>
      <c r="F232" s="249">
        <v>800</v>
      </c>
      <c r="G232" s="164">
        <f t="shared" si="22"/>
        <v>4.9714285714285715</v>
      </c>
      <c r="H232" s="165">
        <f t="shared" si="23"/>
        <v>9.9428571428571431</v>
      </c>
      <c r="I232" s="165">
        <f t="shared" si="24"/>
        <v>7.4571428571428573</v>
      </c>
      <c r="J232" s="166">
        <f t="shared" si="25"/>
        <v>12.428571428571429</v>
      </c>
      <c r="K232" s="166">
        <f t="shared" si="27"/>
        <v>12.428571428571429</v>
      </c>
      <c r="L232" s="165">
        <f t="shared" si="26"/>
        <v>1.2</v>
      </c>
      <c r="M232" s="168">
        <f t="shared" si="21"/>
        <v>0</v>
      </c>
      <c r="N232" s="236" t="s">
        <v>453</v>
      </c>
    </row>
    <row r="233" spans="1:14" ht="14">
      <c r="A233" s="149">
        <v>232</v>
      </c>
      <c r="B233" s="235" t="s">
        <v>52</v>
      </c>
      <c r="C233" s="231" t="s">
        <v>10</v>
      </c>
      <c r="D233" s="250" t="s">
        <v>965</v>
      </c>
      <c r="E233" s="281">
        <v>0</v>
      </c>
      <c r="F233" s="249">
        <v>450</v>
      </c>
      <c r="G233" s="164">
        <f t="shared" si="22"/>
        <v>2.9714285714285715</v>
      </c>
      <c r="H233" s="165">
        <f t="shared" si="23"/>
        <v>5.9428571428571431</v>
      </c>
      <c r="I233" s="165">
        <f t="shared" si="24"/>
        <v>4.4571428571428573</v>
      </c>
      <c r="J233" s="166">
        <f t="shared" si="25"/>
        <v>7.4285714285714288</v>
      </c>
      <c r="K233" s="166">
        <f t="shared" si="27"/>
        <v>7.4285714285714288</v>
      </c>
      <c r="L233" s="165">
        <f t="shared" si="26"/>
        <v>1.1125</v>
      </c>
      <c r="M233" s="168">
        <f t="shared" si="21"/>
        <v>0</v>
      </c>
      <c r="N233" s="236" t="s">
        <v>453</v>
      </c>
    </row>
    <row r="234" spans="1:14" ht="14">
      <c r="A234" s="149">
        <v>233</v>
      </c>
      <c r="B234" s="235" t="s">
        <v>52</v>
      </c>
      <c r="C234" s="231" t="s">
        <v>10</v>
      </c>
      <c r="D234" s="250" t="s">
        <v>967</v>
      </c>
      <c r="E234" s="281">
        <v>0</v>
      </c>
      <c r="F234" s="249">
        <v>3500</v>
      </c>
      <c r="G234" s="164">
        <f t="shared" si="22"/>
        <v>20.400000000000002</v>
      </c>
      <c r="H234" s="165">
        <f t="shared" si="23"/>
        <v>40.800000000000004</v>
      </c>
      <c r="I234" s="165">
        <f t="shared" si="24"/>
        <v>30.599999999999998</v>
      </c>
      <c r="J234" s="166">
        <f t="shared" si="25"/>
        <v>51</v>
      </c>
      <c r="K234" s="166">
        <f t="shared" si="27"/>
        <v>51</v>
      </c>
      <c r="L234" s="165">
        <f t="shared" si="26"/>
        <v>1.875</v>
      </c>
      <c r="M234" s="168">
        <f t="shared" si="21"/>
        <v>0</v>
      </c>
      <c r="N234" s="236" t="s">
        <v>453</v>
      </c>
    </row>
    <row r="235" spans="1:14" ht="14">
      <c r="A235" s="149">
        <v>234</v>
      </c>
      <c r="B235" s="235" t="s">
        <v>52</v>
      </c>
      <c r="C235" s="231" t="s">
        <v>10</v>
      </c>
      <c r="D235" s="250" t="s">
        <v>969</v>
      </c>
      <c r="E235" s="281">
        <v>0</v>
      </c>
      <c r="F235" s="249">
        <v>300</v>
      </c>
      <c r="G235" s="164">
        <f t="shared" si="22"/>
        <v>2.1142857142857143</v>
      </c>
      <c r="H235" s="165">
        <f t="shared" si="23"/>
        <v>4.2285714285714286</v>
      </c>
      <c r="I235" s="165">
        <f t="shared" si="24"/>
        <v>3.1714285714285713</v>
      </c>
      <c r="J235" s="166">
        <f t="shared" si="25"/>
        <v>5.2857142857142856</v>
      </c>
      <c r="K235" s="166">
        <f t="shared" si="27"/>
        <v>5.2857142857142856</v>
      </c>
      <c r="L235" s="165">
        <f t="shared" si="26"/>
        <v>1.075</v>
      </c>
      <c r="M235" s="168">
        <f t="shared" si="21"/>
        <v>0</v>
      </c>
      <c r="N235" s="236" t="s">
        <v>453</v>
      </c>
    </row>
    <row r="236" spans="1:14" ht="14">
      <c r="A236" s="149">
        <v>235</v>
      </c>
      <c r="B236" s="235" t="s">
        <v>52</v>
      </c>
      <c r="C236" s="231" t="s">
        <v>10</v>
      </c>
      <c r="D236" s="250" t="s">
        <v>971</v>
      </c>
      <c r="E236" s="281">
        <v>0</v>
      </c>
      <c r="F236" s="249">
        <v>620</v>
      </c>
      <c r="G236" s="164">
        <f t="shared" si="22"/>
        <v>3.9428571428571431</v>
      </c>
      <c r="H236" s="165">
        <f t="shared" si="23"/>
        <v>7.8857142857142861</v>
      </c>
      <c r="I236" s="165">
        <f t="shared" si="24"/>
        <v>5.9142857142857146</v>
      </c>
      <c r="J236" s="166">
        <f t="shared" si="25"/>
        <v>9.8571428571428577</v>
      </c>
      <c r="K236" s="166">
        <f t="shared" si="27"/>
        <v>9.8571428571428577</v>
      </c>
      <c r="L236" s="165">
        <f t="shared" si="26"/>
        <v>1.155</v>
      </c>
      <c r="M236" s="168">
        <f t="shared" si="21"/>
        <v>0</v>
      </c>
      <c r="N236" s="236" t="s">
        <v>453</v>
      </c>
    </row>
    <row r="237" spans="1:14" ht="14">
      <c r="A237" s="149">
        <v>236</v>
      </c>
      <c r="B237" s="235" t="s">
        <v>52</v>
      </c>
      <c r="C237" s="231" t="s">
        <v>10</v>
      </c>
      <c r="D237" s="250" t="s">
        <v>973</v>
      </c>
      <c r="E237" s="281">
        <v>0</v>
      </c>
      <c r="F237" s="249">
        <v>900</v>
      </c>
      <c r="G237" s="164">
        <f t="shared" si="22"/>
        <v>5.5428571428571436</v>
      </c>
      <c r="H237" s="165">
        <f t="shared" si="23"/>
        <v>11.085714285714287</v>
      </c>
      <c r="I237" s="165">
        <f t="shared" si="24"/>
        <v>8.3142857142857149</v>
      </c>
      <c r="J237" s="166">
        <f t="shared" si="25"/>
        <v>13.857142857142858</v>
      </c>
      <c r="K237" s="166">
        <f t="shared" si="27"/>
        <v>13.857142857142858</v>
      </c>
      <c r="L237" s="165">
        <f t="shared" si="26"/>
        <v>1.2250000000000001</v>
      </c>
      <c r="M237" s="168">
        <f t="shared" si="21"/>
        <v>0</v>
      </c>
      <c r="N237" s="236" t="s">
        <v>453</v>
      </c>
    </row>
    <row r="238" spans="1:14" ht="14">
      <c r="A238" s="149">
        <v>237</v>
      </c>
      <c r="B238" s="235" t="s">
        <v>52</v>
      </c>
      <c r="C238" s="231" t="s">
        <v>10</v>
      </c>
      <c r="D238" s="250" t="s">
        <v>974</v>
      </c>
      <c r="E238" s="281">
        <v>0</v>
      </c>
      <c r="F238" s="249">
        <v>2200</v>
      </c>
      <c r="G238" s="164">
        <f t="shared" si="22"/>
        <v>12.971428571428573</v>
      </c>
      <c r="H238" s="165">
        <f t="shared" si="23"/>
        <v>25.942857142857147</v>
      </c>
      <c r="I238" s="165">
        <f t="shared" si="24"/>
        <v>19.457142857142859</v>
      </c>
      <c r="J238" s="166">
        <f t="shared" si="25"/>
        <v>32.428571428571431</v>
      </c>
      <c r="K238" s="166">
        <f t="shared" si="27"/>
        <v>32.428571428571431</v>
      </c>
      <c r="L238" s="165">
        <f t="shared" si="26"/>
        <v>1.55</v>
      </c>
      <c r="M238" s="168">
        <f t="shared" si="21"/>
        <v>0</v>
      </c>
      <c r="N238" s="236" t="s">
        <v>453</v>
      </c>
    </row>
    <row r="239" spans="1:14" ht="14">
      <c r="A239" s="149">
        <v>238</v>
      </c>
      <c r="B239" s="235" t="s">
        <v>52</v>
      </c>
      <c r="C239" s="231" t="s">
        <v>10</v>
      </c>
      <c r="D239" s="250" t="s">
        <v>976</v>
      </c>
      <c r="E239" s="281">
        <v>0</v>
      </c>
      <c r="F239" s="249">
        <v>300</v>
      </c>
      <c r="G239" s="164">
        <f t="shared" si="22"/>
        <v>2.1142857142857143</v>
      </c>
      <c r="H239" s="165">
        <f t="shared" si="23"/>
        <v>4.2285714285714286</v>
      </c>
      <c r="I239" s="165">
        <f t="shared" si="24"/>
        <v>3.1714285714285713</v>
      </c>
      <c r="J239" s="166">
        <f t="shared" si="25"/>
        <v>5.2857142857142856</v>
      </c>
      <c r="K239" s="166">
        <f t="shared" si="27"/>
        <v>5.2857142857142856</v>
      </c>
      <c r="L239" s="165">
        <f t="shared" si="26"/>
        <v>1.075</v>
      </c>
      <c r="M239" s="168">
        <f t="shared" si="21"/>
        <v>0</v>
      </c>
      <c r="N239" s="236" t="s">
        <v>453</v>
      </c>
    </row>
    <row r="240" spans="1:14" ht="14">
      <c r="A240" s="149">
        <v>239</v>
      </c>
      <c r="B240" s="235" t="s">
        <v>52</v>
      </c>
      <c r="C240" s="231" t="s">
        <v>10</v>
      </c>
      <c r="D240" s="250" t="s">
        <v>978</v>
      </c>
      <c r="E240" s="281">
        <v>0</v>
      </c>
      <c r="F240" s="249">
        <v>200</v>
      </c>
      <c r="G240" s="164">
        <f t="shared" si="22"/>
        <v>1.5428571428571429</v>
      </c>
      <c r="H240" s="165">
        <f t="shared" si="23"/>
        <v>3.0857142857142859</v>
      </c>
      <c r="I240" s="165">
        <f t="shared" si="24"/>
        <v>2.3142857142857141</v>
      </c>
      <c r="J240" s="166">
        <f t="shared" si="25"/>
        <v>3.8571428571428568</v>
      </c>
      <c r="K240" s="166">
        <f t="shared" si="27"/>
        <v>3.8571428571428568</v>
      </c>
      <c r="L240" s="165">
        <f t="shared" si="26"/>
        <v>1.05</v>
      </c>
      <c r="M240" s="168">
        <f t="shared" si="21"/>
        <v>0</v>
      </c>
      <c r="N240" s="236" t="s">
        <v>453</v>
      </c>
    </row>
    <row r="241" spans="1:14" ht="14">
      <c r="A241" s="149">
        <v>240</v>
      </c>
      <c r="B241" s="235" t="s">
        <v>52</v>
      </c>
      <c r="C241" s="231" t="s">
        <v>10</v>
      </c>
      <c r="D241" s="250" t="s">
        <v>980</v>
      </c>
      <c r="E241" s="281">
        <v>0</v>
      </c>
      <c r="F241" s="249">
        <v>200</v>
      </c>
      <c r="G241" s="164">
        <f t="shared" si="22"/>
        <v>1.5428571428571429</v>
      </c>
      <c r="H241" s="165">
        <f t="shared" si="23"/>
        <v>3.0857142857142859</v>
      </c>
      <c r="I241" s="165">
        <f t="shared" si="24"/>
        <v>2.3142857142857141</v>
      </c>
      <c r="J241" s="166">
        <f t="shared" si="25"/>
        <v>3.8571428571428568</v>
      </c>
      <c r="K241" s="166">
        <f t="shared" si="27"/>
        <v>3.8571428571428568</v>
      </c>
      <c r="L241" s="165">
        <f t="shared" si="26"/>
        <v>1.05</v>
      </c>
      <c r="M241" s="168">
        <f t="shared" si="21"/>
        <v>0</v>
      </c>
      <c r="N241" s="236" t="s">
        <v>453</v>
      </c>
    </row>
    <row r="242" spans="1:14" ht="14">
      <c r="A242" s="149">
        <v>241</v>
      </c>
      <c r="B242" s="235" t="s">
        <v>52</v>
      </c>
      <c r="C242" s="231" t="s">
        <v>10</v>
      </c>
      <c r="D242" s="250" t="s">
        <v>982</v>
      </c>
      <c r="E242" s="281">
        <v>0</v>
      </c>
      <c r="F242" s="249">
        <v>2600</v>
      </c>
      <c r="G242" s="164">
        <f t="shared" si="22"/>
        <v>15.25714285714286</v>
      </c>
      <c r="H242" s="165">
        <f t="shared" si="23"/>
        <v>30.51428571428572</v>
      </c>
      <c r="I242" s="165">
        <f t="shared" si="24"/>
        <v>22.885714285714286</v>
      </c>
      <c r="J242" s="166">
        <f t="shared" si="25"/>
        <v>38.142857142857146</v>
      </c>
      <c r="K242" s="166">
        <f t="shared" si="27"/>
        <v>38.142857142857146</v>
      </c>
      <c r="L242" s="165">
        <f t="shared" si="26"/>
        <v>1.65</v>
      </c>
      <c r="M242" s="168">
        <f t="shared" si="21"/>
        <v>0</v>
      </c>
      <c r="N242" s="236" t="s">
        <v>453</v>
      </c>
    </row>
    <row r="243" spans="1:14" ht="14">
      <c r="A243" s="149">
        <v>242</v>
      </c>
      <c r="B243" s="235" t="s">
        <v>52</v>
      </c>
      <c r="C243" s="231" t="s">
        <v>10</v>
      </c>
      <c r="D243" s="250" t="s">
        <v>984</v>
      </c>
      <c r="E243" s="281">
        <v>0</v>
      </c>
      <c r="F243" s="249">
        <v>2600</v>
      </c>
      <c r="G243" s="164">
        <f t="shared" si="22"/>
        <v>15.25714285714286</v>
      </c>
      <c r="H243" s="165">
        <f t="shared" si="23"/>
        <v>30.51428571428572</v>
      </c>
      <c r="I243" s="165">
        <f t="shared" si="24"/>
        <v>22.885714285714286</v>
      </c>
      <c r="J243" s="166">
        <f t="shared" si="25"/>
        <v>38.142857142857146</v>
      </c>
      <c r="K243" s="166">
        <f t="shared" si="27"/>
        <v>38.142857142857146</v>
      </c>
      <c r="L243" s="165">
        <f t="shared" si="26"/>
        <v>1.65</v>
      </c>
      <c r="M243" s="168">
        <f t="shared" si="21"/>
        <v>0</v>
      </c>
      <c r="N243" s="236" t="s">
        <v>453</v>
      </c>
    </row>
    <row r="244" spans="1:14" ht="14">
      <c r="A244" s="149">
        <v>243</v>
      </c>
      <c r="B244" s="235" t="s">
        <v>52</v>
      </c>
      <c r="C244" s="231" t="s">
        <v>10</v>
      </c>
      <c r="D244" s="250" t="s">
        <v>986</v>
      </c>
      <c r="E244" s="281">
        <v>0</v>
      </c>
      <c r="F244" s="249">
        <v>150</v>
      </c>
      <c r="G244" s="164">
        <f t="shared" si="22"/>
        <v>1.2571428571428571</v>
      </c>
      <c r="H244" s="165">
        <f t="shared" si="23"/>
        <v>2.5142857142857142</v>
      </c>
      <c r="I244" s="165">
        <f t="shared" si="24"/>
        <v>1.8857142857142857</v>
      </c>
      <c r="J244" s="166">
        <f t="shared" si="25"/>
        <v>3.1428571428571428</v>
      </c>
      <c r="K244" s="166">
        <f t="shared" si="27"/>
        <v>3.1428571428571428</v>
      </c>
      <c r="L244" s="165">
        <f t="shared" si="26"/>
        <v>1.0375000000000001</v>
      </c>
      <c r="M244" s="168">
        <f t="shared" si="21"/>
        <v>0</v>
      </c>
      <c r="N244" s="236" t="s">
        <v>453</v>
      </c>
    </row>
    <row r="245" spans="1:14" ht="14">
      <c r="A245" s="149">
        <v>244</v>
      </c>
      <c r="B245" s="235" t="s">
        <v>52</v>
      </c>
      <c r="C245" s="231" t="s">
        <v>10</v>
      </c>
      <c r="D245" s="250" t="s">
        <v>988</v>
      </c>
      <c r="E245" s="281">
        <v>0</v>
      </c>
      <c r="F245" s="249">
        <v>250</v>
      </c>
      <c r="G245" s="164">
        <f t="shared" si="22"/>
        <v>1.8285714285714285</v>
      </c>
      <c r="H245" s="165">
        <f t="shared" si="23"/>
        <v>3.657142857142857</v>
      </c>
      <c r="I245" s="165">
        <f t="shared" si="24"/>
        <v>2.7428571428571424</v>
      </c>
      <c r="J245" s="166">
        <f t="shared" si="25"/>
        <v>4.5714285714285712</v>
      </c>
      <c r="K245" s="166">
        <f t="shared" si="27"/>
        <v>4.5714285714285712</v>
      </c>
      <c r="L245" s="165">
        <f t="shared" si="26"/>
        <v>1.0625</v>
      </c>
      <c r="M245" s="168">
        <f t="shared" si="21"/>
        <v>0</v>
      </c>
      <c r="N245" s="236" t="s">
        <v>453</v>
      </c>
    </row>
    <row r="246" spans="1:14" ht="14">
      <c r="A246" s="149">
        <v>245</v>
      </c>
      <c r="B246" s="235" t="s">
        <v>52</v>
      </c>
      <c r="C246" s="231" t="s">
        <v>10</v>
      </c>
      <c r="D246" s="250" t="s">
        <v>4680</v>
      </c>
      <c r="E246" s="281">
        <v>0</v>
      </c>
      <c r="F246" s="249">
        <v>2500</v>
      </c>
      <c r="G246" s="164">
        <f t="shared" si="22"/>
        <v>14.685714285714287</v>
      </c>
      <c r="H246" s="165">
        <f t="shared" si="23"/>
        <v>29.371428571428574</v>
      </c>
      <c r="I246" s="165">
        <f t="shared" si="24"/>
        <v>22.028571428571428</v>
      </c>
      <c r="J246" s="166">
        <f t="shared" si="25"/>
        <v>36.714285714285715</v>
      </c>
      <c r="K246" s="166">
        <f t="shared" si="27"/>
        <v>36.714285714285715</v>
      </c>
      <c r="L246" s="165">
        <f t="shared" si="26"/>
        <v>1.625</v>
      </c>
      <c r="M246" s="168">
        <f t="shared" si="21"/>
        <v>0</v>
      </c>
      <c r="N246" s="236" t="s">
        <v>453</v>
      </c>
    </row>
    <row r="247" spans="1:14" ht="14">
      <c r="A247" s="149">
        <v>246</v>
      </c>
      <c r="B247" s="235" t="s">
        <v>52</v>
      </c>
      <c r="C247" s="231" t="s">
        <v>10</v>
      </c>
      <c r="D247" s="250" t="s">
        <v>4681</v>
      </c>
      <c r="E247" s="281">
        <v>0</v>
      </c>
      <c r="F247" s="249">
        <v>400</v>
      </c>
      <c r="G247" s="164">
        <f t="shared" si="22"/>
        <v>2.6857142857142859</v>
      </c>
      <c r="H247" s="165">
        <f t="shared" si="23"/>
        <v>5.3714285714285719</v>
      </c>
      <c r="I247" s="165">
        <f t="shared" si="24"/>
        <v>4.0285714285714285</v>
      </c>
      <c r="J247" s="166">
        <f t="shared" si="25"/>
        <v>6.7142857142857144</v>
      </c>
      <c r="K247" s="166">
        <f t="shared" si="27"/>
        <v>6.7142857142857144</v>
      </c>
      <c r="L247" s="165">
        <f t="shared" si="26"/>
        <v>1.1000000000000001</v>
      </c>
      <c r="M247" s="168">
        <f t="shared" si="21"/>
        <v>0</v>
      </c>
      <c r="N247" s="236" t="s">
        <v>453</v>
      </c>
    </row>
    <row r="248" spans="1:14" ht="14">
      <c r="A248" s="149">
        <v>247</v>
      </c>
      <c r="B248" s="235" t="s">
        <v>52</v>
      </c>
      <c r="C248" s="231" t="s">
        <v>10</v>
      </c>
      <c r="D248" s="250" t="s">
        <v>992</v>
      </c>
      <c r="E248" s="281">
        <v>0</v>
      </c>
      <c r="F248" s="249">
        <v>470.4</v>
      </c>
      <c r="G248" s="164">
        <f t="shared" si="22"/>
        <v>3.0880000000000001</v>
      </c>
      <c r="H248" s="165">
        <f t="shared" si="23"/>
        <v>6.1760000000000002</v>
      </c>
      <c r="I248" s="165">
        <f t="shared" si="24"/>
        <v>4.6319999999999997</v>
      </c>
      <c r="J248" s="166">
        <f t="shared" si="25"/>
        <v>7.72</v>
      </c>
      <c r="K248" s="166">
        <f t="shared" si="27"/>
        <v>7.72</v>
      </c>
      <c r="L248" s="165">
        <f t="shared" si="26"/>
        <v>1.1175999999999999</v>
      </c>
      <c r="M248" s="168">
        <f t="shared" si="21"/>
        <v>0</v>
      </c>
      <c r="N248" s="236" t="s">
        <v>453</v>
      </c>
    </row>
    <row r="249" spans="1:14" ht="14">
      <c r="A249" s="149">
        <v>248</v>
      </c>
      <c r="B249" s="235" t="s">
        <v>52</v>
      </c>
      <c r="C249" s="231" t="s">
        <v>10</v>
      </c>
      <c r="D249" s="250" t="s">
        <v>994</v>
      </c>
      <c r="E249" s="281">
        <v>0</v>
      </c>
      <c r="F249" s="249">
        <v>1384.95</v>
      </c>
      <c r="G249" s="164">
        <f t="shared" si="22"/>
        <v>8.3140000000000001</v>
      </c>
      <c r="H249" s="165">
        <f t="shared" si="23"/>
        <v>16.628</v>
      </c>
      <c r="I249" s="165">
        <f t="shared" si="24"/>
        <v>12.471</v>
      </c>
      <c r="J249" s="166">
        <f t="shared" si="25"/>
        <v>20.785</v>
      </c>
      <c r="K249" s="166">
        <f t="shared" si="27"/>
        <v>20.785</v>
      </c>
      <c r="L249" s="165">
        <f t="shared" si="26"/>
        <v>1.3462375</v>
      </c>
      <c r="M249" s="168">
        <f t="shared" si="21"/>
        <v>0</v>
      </c>
      <c r="N249" s="236" t="s">
        <v>453</v>
      </c>
    </row>
    <row r="250" spans="1:14" ht="14">
      <c r="A250" s="149">
        <v>249</v>
      </c>
      <c r="B250" s="235" t="s">
        <v>52</v>
      </c>
      <c r="C250" s="231" t="s">
        <v>10</v>
      </c>
      <c r="D250" s="250" t="s">
        <v>996</v>
      </c>
      <c r="E250" s="281">
        <v>0</v>
      </c>
      <c r="F250" s="249">
        <v>418.95</v>
      </c>
      <c r="G250" s="164">
        <f t="shared" si="22"/>
        <v>2.794</v>
      </c>
      <c r="H250" s="165">
        <f t="shared" si="23"/>
        <v>5.5880000000000001</v>
      </c>
      <c r="I250" s="165">
        <f t="shared" si="24"/>
        <v>4.1909999999999998</v>
      </c>
      <c r="J250" s="166">
        <f t="shared" si="25"/>
        <v>6.9849999999999994</v>
      </c>
      <c r="K250" s="166">
        <f t="shared" si="27"/>
        <v>6.9849999999999994</v>
      </c>
      <c r="L250" s="165">
        <f t="shared" si="26"/>
        <v>1.1047374999999999</v>
      </c>
      <c r="M250" s="168">
        <f t="shared" si="21"/>
        <v>0</v>
      </c>
      <c r="N250" s="236" t="s">
        <v>453</v>
      </c>
    </row>
    <row r="251" spans="1:14" ht="14">
      <c r="A251" s="149">
        <v>250</v>
      </c>
      <c r="B251" s="235" t="s">
        <v>52</v>
      </c>
      <c r="C251" s="231" t="s">
        <v>10</v>
      </c>
      <c r="D251" s="250" t="s">
        <v>998</v>
      </c>
      <c r="E251" s="281">
        <v>0</v>
      </c>
      <c r="F251" s="249">
        <v>528.15</v>
      </c>
      <c r="G251" s="164">
        <f t="shared" si="22"/>
        <v>3.4180000000000001</v>
      </c>
      <c r="H251" s="165">
        <f t="shared" si="23"/>
        <v>6.8360000000000003</v>
      </c>
      <c r="I251" s="165">
        <f t="shared" si="24"/>
        <v>5.1269999999999998</v>
      </c>
      <c r="J251" s="166">
        <f t="shared" si="25"/>
        <v>8.5449999999999999</v>
      </c>
      <c r="K251" s="166">
        <f t="shared" si="27"/>
        <v>8.5449999999999999</v>
      </c>
      <c r="L251" s="165">
        <f t="shared" si="26"/>
        <v>1.1320375</v>
      </c>
      <c r="M251" s="168">
        <f t="shared" si="21"/>
        <v>0</v>
      </c>
      <c r="N251" s="236" t="s">
        <v>453</v>
      </c>
    </row>
    <row r="252" spans="1:14" ht="14">
      <c r="A252" s="149">
        <v>251</v>
      </c>
      <c r="B252" s="235" t="s">
        <v>52</v>
      </c>
      <c r="C252" s="231" t="s">
        <v>10</v>
      </c>
      <c r="D252" s="250" t="s">
        <v>1000</v>
      </c>
      <c r="E252" s="281">
        <v>0</v>
      </c>
      <c r="F252" s="281">
        <v>0</v>
      </c>
      <c r="G252" s="164">
        <f t="shared" si="22"/>
        <v>0.4</v>
      </c>
      <c r="H252" s="165">
        <f t="shared" si="23"/>
        <v>0.8</v>
      </c>
      <c r="I252" s="165">
        <f t="shared" si="24"/>
        <v>0.6</v>
      </c>
      <c r="J252" s="166">
        <f t="shared" si="25"/>
        <v>1</v>
      </c>
      <c r="K252" s="166">
        <f t="shared" si="27"/>
        <v>1</v>
      </c>
      <c r="L252" s="165">
        <f t="shared" si="26"/>
        <v>1</v>
      </c>
      <c r="M252" s="168">
        <f t="shared" si="21"/>
        <v>0</v>
      </c>
      <c r="N252" s="236" t="s">
        <v>453</v>
      </c>
    </row>
    <row r="253" spans="1:14" ht="14">
      <c r="A253" s="149">
        <v>252</v>
      </c>
      <c r="B253" s="235" t="s">
        <v>52</v>
      </c>
      <c r="C253" s="231" t="s">
        <v>10</v>
      </c>
      <c r="D253" s="250" t="s">
        <v>1002</v>
      </c>
      <c r="E253" s="281">
        <v>250</v>
      </c>
      <c r="F253" s="281">
        <v>0</v>
      </c>
      <c r="G253" s="164">
        <f t="shared" si="22"/>
        <v>0.4</v>
      </c>
      <c r="H253" s="165">
        <f t="shared" si="23"/>
        <v>0.8</v>
      </c>
      <c r="I253" s="165">
        <f t="shared" si="24"/>
        <v>0.6</v>
      </c>
      <c r="J253" s="166">
        <f t="shared" si="25"/>
        <v>1</v>
      </c>
      <c r="K253" s="166">
        <f t="shared" si="27"/>
        <v>1</v>
      </c>
      <c r="L253" s="165">
        <f t="shared" si="26"/>
        <v>1</v>
      </c>
      <c r="M253" s="168">
        <f t="shared" si="21"/>
        <v>4.166666666666667</v>
      </c>
      <c r="N253" s="236" t="s">
        <v>453</v>
      </c>
    </row>
    <row r="254" spans="1:14" ht="14">
      <c r="A254" s="149">
        <v>253</v>
      </c>
      <c r="B254" s="235" t="s">
        <v>52</v>
      </c>
      <c r="C254" s="231" t="s">
        <v>10</v>
      </c>
      <c r="D254" s="250" t="s">
        <v>1004</v>
      </c>
      <c r="E254" s="281">
        <v>300</v>
      </c>
      <c r="F254" s="281">
        <v>0</v>
      </c>
      <c r="G254" s="164">
        <f t="shared" si="22"/>
        <v>0.4</v>
      </c>
      <c r="H254" s="165">
        <f t="shared" si="23"/>
        <v>0.8</v>
      </c>
      <c r="I254" s="165">
        <f t="shared" si="24"/>
        <v>0.6</v>
      </c>
      <c r="J254" s="166">
        <f t="shared" si="25"/>
        <v>1</v>
      </c>
      <c r="K254" s="166">
        <f t="shared" si="27"/>
        <v>1</v>
      </c>
      <c r="L254" s="165">
        <f t="shared" si="26"/>
        <v>1</v>
      </c>
      <c r="M254" s="168">
        <f t="shared" si="21"/>
        <v>5</v>
      </c>
      <c r="N254" s="236" t="s">
        <v>453</v>
      </c>
    </row>
    <row r="255" spans="1:14" ht="14">
      <c r="A255" s="149">
        <v>254</v>
      </c>
      <c r="B255" s="235" t="s">
        <v>52</v>
      </c>
      <c r="C255" s="231" t="s">
        <v>10</v>
      </c>
      <c r="D255" s="250" t="s">
        <v>1006</v>
      </c>
      <c r="E255" s="281">
        <v>280</v>
      </c>
      <c r="F255" s="281">
        <v>0</v>
      </c>
      <c r="G255" s="164">
        <f t="shared" si="22"/>
        <v>0.4</v>
      </c>
      <c r="H255" s="165">
        <f t="shared" si="23"/>
        <v>0.8</v>
      </c>
      <c r="I255" s="165">
        <f t="shared" si="24"/>
        <v>0.6</v>
      </c>
      <c r="J255" s="166">
        <f t="shared" si="25"/>
        <v>1</v>
      </c>
      <c r="K255" s="166">
        <f t="shared" si="27"/>
        <v>1</v>
      </c>
      <c r="L255" s="165">
        <f t="shared" si="26"/>
        <v>1</v>
      </c>
      <c r="M255" s="168">
        <f t="shared" si="21"/>
        <v>4.666666666666667</v>
      </c>
      <c r="N255" s="236" t="s">
        <v>453</v>
      </c>
    </row>
    <row r="256" spans="1:14" ht="14">
      <c r="A256" s="149">
        <v>255</v>
      </c>
      <c r="B256" s="235" t="s">
        <v>52</v>
      </c>
      <c r="C256" s="231" t="s">
        <v>10</v>
      </c>
      <c r="D256" s="250" t="s">
        <v>1008</v>
      </c>
      <c r="E256" s="281">
        <v>200</v>
      </c>
      <c r="F256" s="281">
        <v>0</v>
      </c>
      <c r="G256" s="164">
        <f t="shared" si="22"/>
        <v>0.4</v>
      </c>
      <c r="H256" s="165">
        <f t="shared" si="23"/>
        <v>0.8</v>
      </c>
      <c r="I256" s="165">
        <f t="shared" si="24"/>
        <v>0.6</v>
      </c>
      <c r="J256" s="166">
        <f t="shared" si="25"/>
        <v>1</v>
      </c>
      <c r="K256" s="166">
        <f t="shared" si="27"/>
        <v>1</v>
      </c>
      <c r="L256" s="165">
        <f t="shared" si="26"/>
        <v>1</v>
      </c>
      <c r="M256" s="168">
        <f t="shared" si="21"/>
        <v>3.3333333333333335</v>
      </c>
      <c r="N256" s="236" t="s">
        <v>453</v>
      </c>
    </row>
    <row r="257" spans="1:14" ht="14">
      <c r="A257" s="149">
        <v>256</v>
      </c>
      <c r="B257" s="235" t="s">
        <v>52</v>
      </c>
      <c r="C257" s="231" t="s">
        <v>10</v>
      </c>
      <c r="D257" s="250" t="s">
        <v>1010</v>
      </c>
      <c r="E257" s="281">
        <v>315</v>
      </c>
      <c r="F257" s="281">
        <v>0</v>
      </c>
      <c r="G257" s="164">
        <f t="shared" si="22"/>
        <v>0.4</v>
      </c>
      <c r="H257" s="165">
        <f t="shared" si="23"/>
        <v>0.8</v>
      </c>
      <c r="I257" s="165">
        <f t="shared" si="24"/>
        <v>0.6</v>
      </c>
      <c r="J257" s="166">
        <f t="shared" si="25"/>
        <v>1</v>
      </c>
      <c r="K257" s="166">
        <f t="shared" si="27"/>
        <v>1</v>
      </c>
      <c r="L257" s="165">
        <f t="shared" si="26"/>
        <v>1</v>
      </c>
      <c r="M257" s="168">
        <f t="shared" si="21"/>
        <v>5.25</v>
      </c>
      <c r="N257" s="236" t="s">
        <v>453</v>
      </c>
    </row>
    <row r="258" spans="1:14" ht="14">
      <c r="A258" s="149">
        <v>257</v>
      </c>
      <c r="B258" s="235" t="s">
        <v>52</v>
      </c>
      <c r="C258" s="231" t="s">
        <v>10</v>
      </c>
      <c r="D258" s="248" t="s">
        <v>1012</v>
      </c>
      <c r="E258" s="281">
        <v>0</v>
      </c>
      <c r="F258" s="249">
        <v>1000</v>
      </c>
      <c r="G258" s="164">
        <f t="shared" si="22"/>
        <v>6.1142857142857148</v>
      </c>
      <c r="H258" s="165">
        <f t="shared" si="23"/>
        <v>12.22857142857143</v>
      </c>
      <c r="I258" s="165">
        <f t="shared" si="24"/>
        <v>9.1714285714285708</v>
      </c>
      <c r="J258" s="166">
        <f t="shared" si="25"/>
        <v>15.285714285714285</v>
      </c>
      <c r="K258" s="166">
        <f t="shared" si="27"/>
        <v>15.285714285714285</v>
      </c>
      <c r="L258" s="165">
        <f t="shared" si="26"/>
        <v>1.25</v>
      </c>
      <c r="M258" s="168">
        <f t="shared" ref="M258:M321" si="28">E258/60</f>
        <v>0</v>
      </c>
      <c r="N258" s="236" t="s">
        <v>453</v>
      </c>
    </row>
    <row r="259" spans="1:14" ht="14">
      <c r="A259" s="149">
        <v>258</v>
      </c>
      <c r="B259" s="235" t="s">
        <v>52</v>
      </c>
      <c r="C259" s="231" t="s">
        <v>10</v>
      </c>
      <c r="D259" s="250" t="s">
        <v>1014</v>
      </c>
      <c r="E259" s="281">
        <v>0</v>
      </c>
      <c r="F259" s="249">
        <v>1200</v>
      </c>
      <c r="G259" s="164">
        <f t="shared" ref="G259:G322" si="29">(((F259/70)+1)*0.4)</f>
        <v>7.2571428571428571</v>
      </c>
      <c r="H259" s="165">
        <f t="shared" ref="H259:H322" si="30">G259*2</f>
        <v>14.514285714285714</v>
      </c>
      <c r="I259" s="165">
        <f t="shared" ref="I259:I322" si="31">(((F259/70)+1)*0.6)</f>
        <v>10.885714285714284</v>
      </c>
      <c r="J259" s="166">
        <f t="shared" ref="J259:J322" si="32">I259+G259</f>
        <v>18.142857142857142</v>
      </c>
      <c r="K259" s="166">
        <f t="shared" si="27"/>
        <v>18.142857142857142</v>
      </c>
      <c r="L259" s="165">
        <f t="shared" ref="L259:L322" si="33">(F259/4000)+1</f>
        <v>1.3</v>
      </c>
      <c r="M259" s="168">
        <f t="shared" si="28"/>
        <v>0</v>
      </c>
      <c r="N259" s="236" t="s">
        <v>453</v>
      </c>
    </row>
    <row r="260" spans="1:14" ht="14">
      <c r="A260" s="149">
        <v>259</v>
      </c>
      <c r="B260" s="235" t="s">
        <v>52</v>
      </c>
      <c r="C260" s="231" t="s">
        <v>10</v>
      </c>
      <c r="D260" s="250" t="s">
        <v>1016</v>
      </c>
      <c r="E260" s="281">
        <v>0</v>
      </c>
      <c r="F260" s="249">
        <v>2500</v>
      </c>
      <c r="G260" s="164">
        <f t="shared" si="29"/>
        <v>14.685714285714287</v>
      </c>
      <c r="H260" s="165">
        <f t="shared" si="30"/>
        <v>29.371428571428574</v>
      </c>
      <c r="I260" s="165">
        <f t="shared" si="31"/>
        <v>22.028571428571428</v>
      </c>
      <c r="J260" s="166">
        <f t="shared" si="32"/>
        <v>36.714285714285715</v>
      </c>
      <c r="K260" s="166">
        <f t="shared" ref="K260:K323" si="34">J260</f>
        <v>36.714285714285715</v>
      </c>
      <c r="L260" s="165">
        <f t="shared" si="33"/>
        <v>1.625</v>
      </c>
      <c r="M260" s="168">
        <f t="shared" si="28"/>
        <v>0</v>
      </c>
      <c r="N260" s="236" t="s">
        <v>453</v>
      </c>
    </row>
    <row r="261" spans="1:14" ht="14">
      <c r="A261" s="149">
        <v>260</v>
      </c>
      <c r="B261" s="235" t="s">
        <v>52</v>
      </c>
      <c r="C261" s="231" t="s">
        <v>10</v>
      </c>
      <c r="D261" s="248" t="s">
        <v>1018</v>
      </c>
      <c r="E261" s="281">
        <v>0</v>
      </c>
      <c r="F261" s="249">
        <v>3500</v>
      </c>
      <c r="G261" s="164">
        <f t="shared" si="29"/>
        <v>20.400000000000002</v>
      </c>
      <c r="H261" s="165">
        <f t="shared" si="30"/>
        <v>40.800000000000004</v>
      </c>
      <c r="I261" s="165">
        <f t="shared" si="31"/>
        <v>30.599999999999998</v>
      </c>
      <c r="J261" s="166">
        <f t="shared" si="32"/>
        <v>51</v>
      </c>
      <c r="K261" s="166">
        <f t="shared" si="34"/>
        <v>51</v>
      </c>
      <c r="L261" s="165">
        <f t="shared" si="33"/>
        <v>1.875</v>
      </c>
      <c r="M261" s="168">
        <f t="shared" si="28"/>
        <v>0</v>
      </c>
      <c r="N261" s="236" t="s">
        <v>453</v>
      </c>
    </row>
    <row r="262" spans="1:14" ht="14">
      <c r="A262" s="149">
        <v>261</v>
      </c>
      <c r="B262" s="235" t="s">
        <v>52</v>
      </c>
      <c r="C262" s="231" t="s">
        <v>10</v>
      </c>
      <c r="D262" s="248" t="s">
        <v>1020</v>
      </c>
      <c r="E262" s="281">
        <v>0</v>
      </c>
      <c r="F262" s="249">
        <v>2000</v>
      </c>
      <c r="G262" s="164">
        <f t="shared" si="29"/>
        <v>11.828571428571429</v>
      </c>
      <c r="H262" s="165">
        <f t="shared" si="30"/>
        <v>23.657142857142858</v>
      </c>
      <c r="I262" s="165">
        <f t="shared" si="31"/>
        <v>17.742857142857144</v>
      </c>
      <c r="J262" s="166">
        <f t="shared" si="32"/>
        <v>29.571428571428573</v>
      </c>
      <c r="K262" s="166">
        <f t="shared" si="34"/>
        <v>29.571428571428573</v>
      </c>
      <c r="L262" s="165">
        <f t="shared" si="33"/>
        <v>1.5</v>
      </c>
      <c r="M262" s="168">
        <f t="shared" si="28"/>
        <v>0</v>
      </c>
      <c r="N262" s="236" t="s">
        <v>453</v>
      </c>
    </row>
    <row r="263" spans="1:14" ht="14">
      <c r="A263" s="149">
        <v>262</v>
      </c>
      <c r="B263" s="235" t="s">
        <v>52</v>
      </c>
      <c r="C263" s="231" t="s">
        <v>10</v>
      </c>
      <c r="D263" s="248" t="s">
        <v>1022</v>
      </c>
      <c r="E263" s="281">
        <v>0</v>
      </c>
      <c r="F263" s="249">
        <v>2200</v>
      </c>
      <c r="G263" s="164">
        <f t="shared" si="29"/>
        <v>12.971428571428573</v>
      </c>
      <c r="H263" s="165">
        <f t="shared" si="30"/>
        <v>25.942857142857147</v>
      </c>
      <c r="I263" s="165">
        <f t="shared" si="31"/>
        <v>19.457142857142859</v>
      </c>
      <c r="J263" s="166">
        <f t="shared" si="32"/>
        <v>32.428571428571431</v>
      </c>
      <c r="K263" s="166">
        <f t="shared" si="34"/>
        <v>32.428571428571431</v>
      </c>
      <c r="L263" s="165">
        <f t="shared" si="33"/>
        <v>1.55</v>
      </c>
      <c r="M263" s="168">
        <f t="shared" si="28"/>
        <v>0</v>
      </c>
      <c r="N263" s="236" t="s">
        <v>453</v>
      </c>
    </row>
    <row r="264" spans="1:14" ht="14">
      <c r="A264" s="149">
        <v>263</v>
      </c>
      <c r="B264" s="235" t="s">
        <v>52</v>
      </c>
      <c r="C264" s="231" t="s">
        <v>10</v>
      </c>
      <c r="D264" s="250" t="s">
        <v>1024</v>
      </c>
      <c r="E264" s="281">
        <v>0</v>
      </c>
      <c r="F264" s="249">
        <v>1200</v>
      </c>
      <c r="G264" s="164">
        <f t="shared" si="29"/>
        <v>7.2571428571428571</v>
      </c>
      <c r="H264" s="165">
        <f t="shared" si="30"/>
        <v>14.514285714285714</v>
      </c>
      <c r="I264" s="165">
        <f t="shared" si="31"/>
        <v>10.885714285714284</v>
      </c>
      <c r="J264" s="166">
        <f t="shared" si="32"/>
        <v>18.142857142857142</v>
      </c>
      <c r="K264" s="166">
        <f t="shared" si="34"/>
        <v>18.142857142857142</v>
      </c>
      <c r="L264" s="165">
        <f t="shared" si="33"/>
        <v>1.3</v>
      </c>
      <c r="M264" s="168">
        <f t="shared" si="28"/>
        <v>0</v>
      </c>
      <c r="N264" s="236" t="s">
        <v>457</v>
      </c>
    </row>
    <row r="265" spans="1:14" ht="14">
      <c r="A265" s="149">
        <v>264</v>
      </c>
      <c r="B265" s="235" t="s">
        <v>52</v>
      </c>
      <c r="C265" s="231" t="s">
        <v>10</v>
      </c>
      <c r="D265" s="250" t="s">
        <v>1026</v>
      </c>
      <c r="E265" s="281">
        <v>0</v>
      </c>
      <c r="F265" s="249">
        <v>400</v>
      </c>
      <c r="G265" s="164">
        <f t="shared" si="29"/>
        <v>2.6857142857142859</v>
      </c>
      <c r="H265" s="165">
        <f t="shared" si="30"/>
        <v>5.3714285714285719</v>
      </c>
      <c r="I265" s="165">
        <f t="shared" si="31"/>
        <v>4.0285714285714285</v>
      </c>
      <c r="J265" s="166">
        <f t="shared" si="32"/>
        <v>6.7142857142857144</v>
      </c>
      <c r="K265" s="166">
        <f t="shared" si="34"/>
        <v>6.7142857142857144</v>
      </c>
      <c r="L265" s="165">
        <f t="shared" si="33"/>
        <v>1.1000000000000001</v>
      </c>
      <c r="M265" s="168">
        <f t="shared" si="28"/>
        <v>0</v>
      </c>
      <c r="N265" s="236" t="s">
        <v>453</v>
      </c>
    </row>
    <row r="266" spans="1:14" ht="14">
      <c r="A266" s="149">
        <v>265</v>
      </c>
      <c r="B266" s="235" t="s">
        <v>52</v>
      </c>
      <c r="C266" s="231" t="s">
        <v>10</v>
      </c>
      <c r="D266" s="248" t="s">
        <v>1028</v>
      </c>
      <c r="E266" s="281">
        <v>0</v>
      </c>
      <c r="F266" s="249">
        <v>650</v>
      </c>
      <c r="G266" s="164">
        <f t="shared" si="29"/>
        <v>4.1142857142857148</v>
      </c>
      <c r="H266" s="165">
        <f t="shared" si="30"/>
        <v>8.2285714285714295</v>
      </c>
      <c r="I266" s="165">
        <f t="shared" si="31"/>
        <v>6.1714285714285717</v>
      </c>
      <c r="J266" s="166">
        <f t="shared" si="32"/>
        <v>10.285714285714286</v>
      </c>
      <c r="K266" s="166">
        <f t="shared" si="34"/>
        <v>10.285714285714286</v>
      </c>
      <c r="L266" s="165">
        <f t="shared" si="33"/>
        <v>1.1625000000000001</v>
      </c>
      <c r="M266" s="168">
        <f t="shared" si="28"/>
        <v>0</v>
      </c>
      <c r="N266" s="236" t="s">
        <v>453</v>
      </c>
    </row>
    <row r="267" spans="1:14" ht="14">
      <c r="A267" s="149">
        <v>266</v>
      </c>
      <c r="B267" s="235" t="s">
        <v>52</v>
      </c>
      <c r="C267" s="231" t="s">
        <v>10</v>
      </c>
      <c r="D267" s="250" t="s">
        <v>1030</v>
      </c>
      <c r="E267" s="281">
        <v>0</v>
      </c>
      <c r="F267" s="249">
        <v>500</v>
      </c>
      <c r="G267" s="164">
        <f t="shared" si="29"/>
        <v>3.2571428571428571</v>
      </c>
      <c r="H267" s="165">
        <f t="shared" si="30"/>
        <v>6.5142857142857142</v>
      </c>
      <c r="I267" s="165">
        <f t="shared" si="31"/>
        <v>4.8857142857142852</v>
      </c>
      <c r="J267" s="166">
        <f t="shared" si="32"/>
        <v>8.1428571428571423</v>
      </c>
      <c r="K267" s="166">
        <f t="shared" si="34"/>
        <v>8.1428571428571423</v>
      </c>
      <c r="L267" s="165">
        <f t="shared" si="33"/>
        <v>1.125</v>
      </c>
      <c r="M267" s="168">
        <f t="shared" si="28"/>
        <v>0</v>
      </c>
      <c r="N267" s="236" t="s">
        <v>457</v>
      </c>
    </row>
    <row r="268" spans="1:14" ht="14">
      <c r="A268" s="149">
        <v>267</v>
      </c>
      <c r="B268" s="235" t="s">
        <v>52</v>
      </c>
      <c r="C268" s="231" t="s">
        <v>10</v>
      </c>
      <c r="D268" s="250" t="s">
        <v>1032</v>
      </c>
      <c r="E268" s="281">
        <v>0</v>
      </c>
      <c r="F268" s="249">
        <v>2200</v>
      </c>
      <c r="G268" s="164">
        <f t="shared" si="29"/>
        <v>12.971428571428573</v>
      </c>
      <c r="H268" s="165">
        <f t="shared" si="30"/>
        <v>25.942857142857147</v>
      </c>
      <c r="I268" s="165">
        <f t="shared" si="31"/>
        <v>19.457142857142859</v>
      </c>
      <c r="J268" s="166">
        <f t="shared" si="32"/>
        <v>32.428571428571431</v>
      </c>
      <c r="K268" s="166">
        <f t="shared" si="34"/>
        <v>32.428571428571431</v>
      </c>
      <c r="L268" s="165">
        <f t="shared" si="33"/>
        <v>1.55</v>
      </c>
      <c r="M268" s="168">
        <f t="shared" si="28"/>
        <v>0</v>
      </c>
      <c r="N268" s="236" t="s">
        <v>453</v>
      </c>
    </row>
    <row r="269" spans="1:14" ht="14">
      <c r="A269" s="149">
        <v>268</v>
      </c>
      <c r="B269" s="235" t="s">
        <v>52</v>
      </c>
      <c r="C269" s="231" t="s">
        <v>10</v>
      </c>
      <c r="D269" s="250" t="s">
        <v>1034</v>
      </c>
      <c r="E269" s="281">
        <v>0</v>
      </c>
      <c r="F269" s="249">
        <v>2500</v>
      </c>
      <c r="G269" s="164">
        <f t="shared" si="29"/>
        <v>14.685714285714287</v>
      </c>
      <c r="H269" s="165">
        <f t="shared" si="30"/>
        <v>29.371428571428574</v>
      </c>
      <c r="I269" s="165">
        <f t="shared" si="31"/>
        <v>22.028571428571428</v>
      </c>
      <c r="J269" s="166">
        <f t="shared" si="32"/>
        <v>36.714285714285715</v>
      </c>
      <c r="K269" s="166">
        <f t="shared" si="34"/>
        <v>36.714285714285715</v>
      </c>
      <c r="L269" s="165">
        <f t="shared" si="33"/>
        <v>1.625</v>
      </c>
      <c r="M269" s="168">
        <f t="shared" si="28"/>
        <v>0</v>
      </c>
      <c r="N269" s="236" t="s">
        <v>453</v>
      </c>
    </row>
    <row r="270" spans="1:14" ht="14">
      <c r="A270" s="149">
        <v>269</v>
      </c>
      <c r="B270" s="235" t="s">
        <v>52</v>
      </c>
      <c r="C270" s="231" t="s">
        <v>10</v>
      </c>
      <c r="D270" s="250" t="s">
        <v>1036</v>
      </c>
      <c r="E270" s="281">
        <v>0</v>
      </c>
      <c r="F270" s="249">
        <v>500</v>
      </c>
      <c r="G270" s="164">
        <f t="shared" si="29"/>
        <v>3.2571428571428571</v>
      </c>
      <c r="H270" s="165">
        <f t="shared" si="30"/>
        <v>6.5142857142857142</v>
      </c>
      <c r="I270" s="165">
        <f t="shared" si="31"/>
        <v>4.8857142857142852</v>
      </c>
      <c r="J270" s="166">
        <f t="shared" si="32"/>
        <v>8.1428571428571423</v>
      </c>
      <c r="K270" s="166">
        <f t="shared" si="34"/>
        <v>8.1428571428571423</v>
      </c>
      <c r="L270" s="165">
        <f t="shared" si="33"/>
        <v>1.125</v>
      </c>
      <c r="M270" s="168">
        <f t="shared" si="28"/>
        <v>0</v>
      </c>
      <c r="N270" s="236" t="s">
        <v>453</v>
      </c>
    </row>
    <row r="271" spans="1:14" ht="14">
      <c r="A271" s="149">
        <v>270</v>
      </c>
      <c r="B271" s="235" t="s">
        <v>52</v>
      </c>
      <c r="C271" s="231" t="s">
        <v>10</v>
      </c>
      <c r="D271" s="248" t="s">
        <v>1038</v>
      </c>
      <c r="E271" s="281">
        <v>0</v>
      </c>
      <c r="F271" s="249">
        <v>1400</v>
      </c>
      <c r="G271" s="164">
        <f t="shared" si="29"/>
        <v>8.4</v>
      </c>
      <c r="H271" s="165">
        <f t="shared" si="30"/>
        <v>16.8</v>
      </c>
      <c r="I271" s="165">
        <f t="shared" si="31"/>
        <v>12.6</v>
      </c>
      <c r="J271" s="166">
        <f t="shared" si="32"/>
        <v>21</v>
      </c>
      <c r="K271" s="166">
        <f t="shared" si="34"/>
        <v>21</v>
      </c>
      <c r="L271" s="165">
        <f t="shared" si="33"/>
        <v>1.35</v>
      </c>
      <c r="M271" s="168">
        <f t="shared" si="28"/>
        <v>0</v>
      </c>
      <c r="N271" s="236" t="s">
        <v>453</v>
      </c>
    </row>
    <row r="272" spans="1:14" ht="14">
      <c r="A272" s="149">
        <v>271</v>
      </c>
      <c r="B272" s="235" t="s">
        <v>52</v>
      </c>
      <c r="C272" s="231" t="s">
        <v>10</v>
      </c>
      <c r="D272" s="250" t="s">
        <v>1040</v>
      </c>
      <c r="E272" s="281">
        <v>0</v>
      </c>
      <c r="F272" s="249">
        <v>1200</v>
      </c>
      <c r="G272" s="164">
        <f t="shared" si="29"/>
        <v>7.2571428571428571</v>
      </c>
      <c r="H272" s="165">
        <f t="shared" si="30"/>
        <v>14.514285714285714</v>
      </c>
      <c r="I272" s="165">
        <f t="shared" si="31"/>
        <v>10.885714285714284</v>
      </c>
      <c r="J272" s="166">
        <f t="shared" si="32"/>
        <v>18.142857142857142</v>
      </c>
      <c r="K272" s="166">
        <f t="shared" si="34"/>
        <v>18.142857142857142</v>
      </c>
      <c r="L272" s="165">
        <f t="shared" si="33"/>
        <v>1.3</v>
      </c>
      <c r="M272" s="168">
        <f t="shared" si="28"/>
        <v>0</v>
      </c>
      <c r="N272" s="236" t="s">
        <v>453</v>
      </c>
    </row>
    <row r="273" spans="1:14" ht="14">
      <c r="A273" s="149">
        <v>272</v>
      </c>
      <c r="B273" s="235" t="s">
        <v>52</v>
      </c>
      <c r="C273" s="231" t="s">
        <v>10</v>
      </c>
      <c r="D273" s="250" t="s">
        <v>1042</v>
      </c>
      <c r="E273" s="281">
        <v>0</v>
      </c>
      <c r="F273" s="249">
        <v>2500</v>
      </c>
      <c r="G273" s="164">
        <f t="shared" si="29"/>
        <v>14.685714285714287</v>
      </c>
      <c r="H273" s="165">
        <f t="shared" si="30"/>
        <v>29.371428571428574</v>
      </c>
      <c r="I273" s="165">
        <f t="shared" si="31"/>
        <v>22.028571428571428</v>
      </c>
      <c r="J273" s="166">
        <f t="shared" si="32"/>
        <v>36.714285714285715</v>
      </c>
      <c r="K273" s="166">
        <f t="shared" si="34"/>
        <v>36.714285714285715</v>
      </c>
      <c r="L273" s="165">
        <f t="shared" si="33"/>
        <v>1.625</v>
      </c>
      <c r="M273" s="168">
        <f t="shared" si="28"/>
        <v>0</v>
      </c>
      <c r="N273" s="236" t="s">
        <v>453</v>
      </c>
    </row>
    <row r="274" spans="1:14" ht="14">
      <c r="A274" s="149">
        <v>273</v>
      </c>
      <c r="B274" s="235" t="s">
        <v>52</v>
      </c>
      <c r="C274" s="231" t="s">
        <v>10</v>
      </c>
      <c r="D274" s="248" t="s">
        <v>1044</v>
      </c>
      <c r="E274" s="281">
        <v>0</v>
      </c>
      <c r="F274" s="249">
        <v>2200</v>
      </c>
      <c r="G274" s="164">
        <f t="shared" si="29"/>
        <v>12.971428571428573</v>
      </c>
      <c r="H274" s="165">
        <f t="shared" si="30"/>
        <v>25.942857142857147</v>
      </c>
      <c r="I274" s="165">
        <f t="shared" si="31"/>
        <v>19.457142857142859</v>
      </c>
      <c r="J274" s="166">
        <f t="shared" si="32"/>
        <v>32.428571428571431</v>
      </c>
      <c r="K274" s="166">
        <f t="shared" si="34"/>
        <v>32.428571428571431</v>
      </c>
      <c r="L274" s="165">
        <f t="shared" si="33"/>
        <v>1.55</v>
      </c>
      <c r="M274" s="168">
        <f t="shared" si="28"/>
        <v>0</v>
      </c>
      <c r="N274" s="236" t="s">
        <v>453</v>
      </c>
    </row>
    <row r="275" spans="1:14" ht="14">
      <c r="A275" s="149">
        <v>274</v>
      </c>
      <c r="B275" s="235" t="s">
        <v>52</v>
      </c>
      <c r="C275" s="231" t="s">
        <v>10</v>
      </c>
      <c r="D275" s="250" t="s">
        <v>1046</v>
      </c>
      <c r="E275" s="281">
        <v>0</v>
      </c>
      <c r="F275" s="249">
        <v>500</v>
      </c>
      <c r="G275" s="164">
        <f t="shared" si="29"/>
        <v>3.2571428571428571</v>
      </c>
      <c r="H275" s="165">
        <f t="shared" si="30"/>
        <v>6.5142857142857142</v>
      </c>
      <c r="I275" s="165">
        <f t="shared" si="31"/>
        <v>4.8857142857142852</v>
      </c>
      <c r="J275" s="166">
        <f t="shared" si="32"/>
        <v>8.1428571428571423</v>
      </c>
      <c r="K275" s="166">
        <f t="shared" si="34"/>
        <v>8.1428571428571423</v>
      </c>
      <c r="L275" s="165">
        <f t="shared" si="33"/>
        <v>1.125</v>
      </c>
      <c r="M275" s="168">
        <f t="shared" si="28"/>
        <v>0</v>
      </c>
      <c r="N275" s="236" t="s">
        <v>453</v>
      </c>
    </row>
    <row r="276" spans="1:14" ht="14">
      <c r="A276" s="149">
        <v>275</v>
      </c>
      <c r="B276" s="235" t="s">
        <v>52</v>
      </c>
      <c r="C276" s="231" t="s">
        <v>10</v>
      </c>
      <c r="D276" s="250" t="s">
        <v>1048</v>
      </c>
      <c r="E276" s="281">
        <v>0</v>
      </c>
      <c r="F276" s="249">
        <v>230</v>
      </c>
      <c r="G276" s="164">
        <f t="shared" si="29"/>
        <v>1.7142857142857144</v>
      </c>
      <c r="H276" s="165">
        <f t="shared" si="30"/>
        <v>3.4285714285714288</v>
      </c>
      <c r="I276" s="165">
        <f t="shared" si="31"/>
        <v>2.5714285714285712</v>
      </c>
      <c r="J276" s="166">
        <f t="shared" si="32"/>
        <v>4.2857142857142856</v>
      </c>
      <c r="K276" s="166">
        <f t="shared" si="34"/>
        <v>4.2857142857142856</v>
      </c>
      <c r="L276" s="165">
        <f t="shared" si="33"/>
        <v>1.0575000000000001</v>
      </c>
      <c r="M276" s="168">
        <f t="shared" si="28"/>
        <v>0</v>
      </c>
      <c r="N276" s="236" t="s">
        <v>453</v>
      </c>
    </row>
    <row r="277" spans="1:14" ht="14">
      <c r="A277" s="149">
        <v>276</v>
      </c>
      <c r="B277" s="235" t="s">
        <v>52</v>
      </c>
      <c r="C277" s="231" t="s">
        <v>10</v>
      </c>
      <c r="D277" s="250" t="s">
        <v>1050</v>
      </c>
      <c r="E277" s="281">
        <v>0</v>
      </c>
      <c r="F277" s="249">
        <v>500</v>
      </c>
      <c r="G277" s="164">
        <f t="shared" si="29"/>
        <v>3.2571428571428571</v>
      </c>
      <c r="H277" s="165">
        <f t="shared" si="30"/>
        <v>6.5142857142857142</v>
      </c>
      <c r="I277" s="165">
        <f t="shared" si="31"/>
        <v>4.8857142857142852</v>
      </c>
      <c r="J277" s="166">
        <f t="shared" si="32"/>
        <v>8.1428571428571423</v>
      </c>
      <c r="K277" s="166">
        <f t="shared" si="34"/>
        <v>8.1428571428571423</v>
      </c>
      <c r="L277" s="165">
        <f t="shared" si="33"/>
        <v>1.125</v>
      </c>
      <c r="M277" s="168">
        <f t="shared" si="28"/>
        <v>0</v>
      </c>
      <c r="N277" s="236" t="s">
        <v>453</v>
      </c>
    </row>
    <row r="278" spans="1:14" ht="14">
      <c r="A278" s="149">
        <v>277</v>
      </c>
      <c r="B278" s="235" t="s">
        <v>52</v>
      </c>
      <c r="C278" s="231" t="s">
        <v>10</v>
      </c>
      <c r="D278" s="250" t="s">
        <v>1052</v>
      </c>
      <c r="E278" s="281">
        <v>0</v>
      </c>
      <c r="F278" s="249">
        <v>2700</v>
      </c>
      <c r="G278" s="164">
        <f t="shared" si="29"/>
        <v>15.828571428571429</v>
      </c>
      <c r="H278" s="165">
        <f t="shared" si="30"/>
        <v>31.657142857142858</v>
      </c>
      <c r="I278" s="165">
        <f t="shared" si="31"/>
        <v>23.74285714285714</v>
      </c>
      <c r="J278" s="166">
        <f t="shared" si="32"/>
        <v>39.571428571428569</v>
      </c>
      <c r="K278" s="166">
        <f t="shared" si="34"/>
        <v>39.571428571428569</v>
      </c>
      <c r="L278" s="165">
        <f t="shared" si="33"/>
        <v>1.675</v>
      </c>
      <c r="M278" s="168">
        <f t="shared" si="28"/>
        <v>0</v>
      </c>
      <c r="N278" s="236" t="s">
        <v>453</v>
      </c>
    </row>
    <row r="279" spans="1:14" ht="14">
      <c r="A279" s="149">
        <v>278</v>
      </c>
      <c r="B279" s="235" t="s">
        <v>51</v>
      </c>
      <c r="C279" s="231" t="s">
        <v>10</v>
      </c>
      <c r="D279" s="250" t="s">
        <v>1054</v>
      </c>
      <c r="E279" s="281">
        <v>0</v>
      </c>
      <c r="F279" s="249">
        <v>250</v>
      </c>
      <c r="G279" s="164">
        <f t="shared" si="29"/>
        <v>1.8285714285714285</v>
      </c>
      <c r="H279" s="165">
        <f t="shared" si="30"/>
        <v>3.657142857142857</v>
      </c>
      <c r="I279" s="165">
        <f t="shared" si="31"/>
        <v>2.7428571428571424</v>
      </c>
      <c r="J279" s="166">
        <f t="shared" si="32"/>
        <v>4.5714285714285712</v>
      </c>
      <c r="K279" s="166">
        <f t="shared" si="34"/>
        <v>4.5714285714285712</v>
      </c>
      <c r="L279" s="165">
        <f t="shared" si="33"/>
        <v>1.0625</v>
      </c>
      <c r="M279" s="168">
        <f t="shared" si="28"/>
        <v>0</v>
      </c>
      <c r="N279" s="236" t="s">
        <v>453</v>
      </c>
    </row>
    <row r="280" spans="1:14" ht="14">
      <c r="A280" s="149">
        <v>279</v>
      </c>
      <c r="B280" s="235" t="s">
        <v>52</v>
      </c>
      <c r="C280" s="231" t="s">
        <v>10</v>
      </c>
      <c r="D280" s="250" t="s">
        <v>4682</v>
      </c>
      <c r="E280" s="281">
        <v>0</v>
      </c>
      <c r="F280" s="249">
        <v>2500</v>
      </c>
      <c r="G280" s="164">
        <f t="shared" si="29"/>
        <v>14.685714285714287</v>
      </c>
      <c r="H280" s="165">
        <f t="shared" si="30"/>
        <v>29.371428571428574</v>
      </c>
      <c r="I280" s="165">
        <f t="shared" si="31"/>
        <v>22.028571428571428</v>
      </c>
      <c r="J280" s="166">
        <f t="shared" si="32"/>
        <v>36.714285714285715</v>
      </c>
      <c r="K280" s="166">
        <f t="shared" si="34"/>
        <v>36.714285714285715</v>
      </c>
      <c r="L280" s="165">
        <f t="shared" si="33"/>
        <v>1.625</v>
      </c>
      <c r="M280" s="168">
        <f t="shared" si="28"/>
        <v>0</v>
      </c>
      <c r="N280" s="236" t="s">
        <v>453</v>
      </c>
    </row>
    <row r="281" spans="1:14" ht="14">
      <c r="A281" s="149">
        <v>280</v>
      </c>
      <c r="B281" s="235" t="s">
        <v>52</v>
      </c>
      <c r="C281" s="231" t="s">
        <v>10</v>
      </c>
      <c r="D281" s="250" t="s">
        <v>1057</v>
      </c>
      <c r="E281" s="281">
        <v>0</v>
      </c>
      <c r="F281" s="249">
        <v>800</v>
      </c>
      <c r="G281" s="164">
        <f t="shared" si="29"/>
        <v>4.9714285714285715</v>
      </c>
      <c r="H281" s="165">
        <f t="shared" si="30"/>
        <v>9.9428571428571431</v>
      </c>
      <c r="I281" s="165">
        <f t="shared" si="31"/>
        <v>7.4571428571428573</v>
      </c>
      <c r="J281" s="166">
        <f t="shared" si="32"/>
        <v>12.428571428571429</v>
      </c>
      <c r="K281" s="166">
        <f t="shared" si="34"/>
        <v>12.428571428571429</v>
      </c>
      <c r="L281" s="165">
        <f t="shared" si="33"/>
        <v>1.2</v>
      </c>
      <c r="M281" s="168">
        <f t="shared" si="28"/>
        <v>0</v>
      </c>
      <c r="N281" s="236" t="s">
        <v>453</v>
      </c>
    </row>
    <row r="282" spans="1:14" ht="14">
      <c r="A282" s="149">
        <v>281</v>
      </c>
      <c r="B282" s="235" t="s">
        <v>52</v>
      </c>
      <c r="C282" s="231" t="s">
        <v>10</v>
      </c>
      <c r="D282" s="250" t="s">
        <v>1060</v>
      </c>
      <c r="E282" s="281">
        <v>0</v>
      </c>
      <c r="F282" s="249">
        <v>300</v>
      </c>
      <c r="G282" s="164">
        <f t="shared" si="29"/>
        <v>2.1142857142857143</v>
      </c>
      <c r="H282" s="165">
        <f t="shared" si="30"/>
        <v>4.2285714285714286</v>
      </c>
      <c r="I282" s="165">
        <f t="shared" si="31"/>
        <v>3.1714285714285713</v>
      </c>
      <c r="J282" s="166">
        <f t="shared" si="32"/>
        <v>5.2857142857142856</v>
      </c>
      <c r="K282" s="166">
        <f t="shared" si="34"/>
        <v>5.2857142857142856</v>
      </c>
      <c r="L282" s="165">
        <f t="shared" si="33"/>
        <v>1.075</v>
      </c>
      <c r="M282" s="168">
        <f t="shared" si="28"/>
        <v>0</v>
      </c>
      <c r="N282" s="236" t="s">
        <v>453</v>
      </c>
    </row>
    <row r="283" spans="1:14" ht="14">
      <c r="A283" s="149">
        <v>282</v>
      </c>
      <c r="B283" s="235" t="s">
        <v>52</v>
      </c>
      <c r="C283" s="231" t="s">
        <v>10</v>
      </c>
      <c r="D283" s="250" t="s">
        <v>1062</v>
      </c>
      <c r="E283" s="281">
        <v>0</v>
      </c>
      <c r="F283" s="249">
        <v>2700</v>
      </c>
      <c r="G283" s="164">
        <f t="shared" si="29"/>
        <v>15.828571428571429</v>
      </c>
      <c r="H283" s="165">
        <f t="shared" si="30"/>
        <v>31.657142857142858</v>
      </c>
      <c r="I283" s="165">
        <f t="shared" si="31"/>
        <v>23.74285714285714</v>
      </c>
      <c r="J283" s="166">
        <f t="shared" si="32"/>
        <v>39.571428571428569</v>
      </c>
      <c r="K283" s="166">
        <f t="shared" si="34"/>
        <v>39.571428571428569</v>
      </c>
      <c r="L283" s="165">
        <f t="shared" si="33"/>
        <v>1.675</v>
      </c>
      <c r="M283" s="168">
        <f t="shared" si="28"/>
        <v>0</v>
      </c>
      <c r="N283" s="236" t="s">
        <v>453</v>
      </c>
    </row>
    <row r="284" spans="1:14" ht="14">
      <c r="A284" s="149">
        <v>283</v>
      </c>
      <c r="B284" s="235" t="s">
        <v>52</v>
      </c>
      <c r="C284" s="231" t="s">
        <v>10</v>
      </c>
      <c r="D284" s="250" t="s">
        <v>1065</v>
      </c>
      <c r="E284" s="281">
        <v>0</v>
      </c>
      <c r="F284" s="249">
        <v>2000</v>
      </c>
      <c r="G284" s="164">
        <f t="shared" si="29"/>
        <v>11.828571428571429</v>
      </c>
      <c r="H284" s="165">
        <f t="shared" si="30"/>
        <v>23.657142857142858</v>
      </c>
      <c r="I284" s="165">
        <f t="shared" si="31"/>
        <v>17.742857142857144</v>
      </c>
      <c r="J284" s="166">
        <f t="shared" si="32"/>
        <v>29.571428571428573</v>
      </c>
      <c r="K284" s="166">
        <f t="shared" si="34"/>
        <v>29.571428571428573</v>
      </c>
      <c r="L284" s="165">
        <f t="shared" si="33"/>
        <v>1.5</v>
      </c>
      <c r="M284" s="168">
        <f t="shared" si="28"/>
        <v>0</v>
      </c>
      <c r="N284" s="236" t="s">
        <v>453</v>
      </c>
    </row>
    <row r="285" spans="1:14" ht="14">
      <c r="A285" s="149">
        <v>284</v>
      </c>
      <c r="B285" s="235" t="s">
        <v>52</v>
      </c>
      <c r="C285" s="231" t="s">
        <v>10</v>
      </c>
      <c r="D285" s="248" t="s">
        <v>1068</v>
      </c>
      <c r="E285" s="281">
        <v>0</v>
      </c>
      <c r="F285" s="249">
        <v>2500</v>
      </c>
      <c r="G285" s="164">
        <f t="shared" si="29"/>
        <v>14.685714285714287</v>
      </c>
      <c r="H285" s="165">
        <f t="shared" si="30"/>
        <v>29.371428571428574</v>
      </c>
      <c r="I285" s="165">
        <f t="shared" si="31"/>
        <v>22.028571428571428</v>
      </c>
      <c r="J285" s="166">
        <f t="shared" si="32"/>
        <v>36.714285714285715</v>
      </c>
      <c r="K285" s="166">
        <f t="shared" si="34"/>
        <v>36.714285714285715</v>
      </c>
      <c r="L285" s="165">
        <f t="shared" si="33"/>
        <v>1.625</v>
      </c>
      <c r="M285" s="168">
        <f t="shared" si="28"/>
        <v>0</v>
      </c>
      <c r="N285" s="236" t="s">
        <v>453</v>
      </c>
    </row>
    <row r="286" spans="1:14" ht="14">
      <c r="A286" s="149">
        <v>285</v>
      </c>
      <c r="B286" s="235" t="s">
        <v>52</v>
      </c>
      <c r="C286" s="231" t="s">
        <v>10</v>
      </c>
      <c r="D286" s="250" t="s">
        <v>1070</v>
      </c>
      <c r="E286" s="281">
        <v>0</v>
      </c>
      <c r="F286" s="249">
        <v>1400</v>
      </c>
      <c r="G286" s="164">
        <f t="shared" si="29"/>
        <v>8.4</v>
      </c>
      <c r="H286" s="165">
        <f t="shared" si="30"/>
        <v>16.8</v>
      </c>
      <c r="I286" s="165">
        <f t="shared" si="31"/>
        <v>12.6</v>
      </c>
      <c r="J286" s="166">
        <f t="shared" si="32"/>
        <v>21</v>
      </c>
      <c r="K286" s="166">
        <f t="shared" si="34"/>
        <v>21</v>
      </c>
      <c r="L286" s="165">
        <f t="shared" si="33"/>
        <v>1.35</v>
      </c>
      <c r="M286" s="168">
        <f t="shared" si="28"/>
        <v>0</v>
      </c>
      <c r="N286" s="236" t="s">
        <v>453</v>
      </c>
    </row>
    <row r="287" spans="1:14" ht="14">
      <c r="A287" s="149">
        <v>286</v>
      </c>
      <c r="B287" s="235" t="s">
        <v>52</v>
      </c>
      <c r="C287" s="231" t="s">
        <v>10</v>
      </c>
      <c r="D287" s="250" t="s">
        <v>1072</v>
      </c>
      <c r="E287" s="281">
        <v>0</v>
      </c>
      <c r="F287" s="249">
        <v>900</v>
      </c>
      <c r="G287" s="164">
        <f t="shared" si="29"/>
        <v>5.5428571428571436</v>
      </c>
      <c r="H287" s="165">
        <f t="shared" si="30"/>
        <v>11.085714285714287</v>
      </c>
      <c r="I287" s="165">
        <f t="shared" si="31"/>
        <v>8.3142857142857149</v>
      </c>
      <c r="J287" s="166">
        <f t="shared" si="32"/>
        <v>13.857142857142858</v>
      </c>
      <c r="K287" s="166">
        <f t="shared" si="34"/>
        <v>13.857142857142858</v>
      </c>
      <c r="L287" s="165">
        <f t="shared" si="33"/>
        <v>1.2250000000000001</v>
      </c>
      <c r="M287" s="168">
        <f t="shared" si="28"/>
        <v>0</v>
      </c>
      <c r="N287" s="236" t="s">
        <v>453</v>
      </c>
    </row>
    <row r="288" spans="1:14" ht="14">
      <c r="A288" s="149">
        <v>287</v>
      </c>
      <c r="B288" s="235" t="s">
        <v>52</v>
      </c>
      <c r="C288" s="231" t="s">
        <v>10</v>
      </c>
      <c r="D288" s="250" t="s">
        <v>1074</v>
      </c>
      <c r="E288" s="281">
        <v>0</v>
      </c>
      <c r="F288" s="249">
        <v>3000</v>
      </c>
      <c r="G288" s="164">
        <f t="shared" si="29"/>
        <v>17.542857142857141</v>
      </c>
      <c r="H288" s="165">
        <f t="shared" si="30"/>
        <v>35.085714285714282</v>
      </c>
      <c r="I288" s="165">
        <f t="shared" si="31"/>
        <v>26.314285714285713</v>
      </c>
      <c r="J288" s="166">
        <f t="shared" si="32"/>
        <v>43.857142857142854</v>
      </c>
      <c r="K288" s="166">
        <f t="shared" si="34"/>
        <v>43.857142857142854</v>
      </c>
      <c r="L288" s="165">
        <f t="shared" si="33"/>
        <v>1.75</v>
      </c>
      <c r="M288" s="168">
        <f t="shared" si="28"/>
        <v>0</v>
      </c>
      <c r="N288" s="236" t="s">
        <v>453</v>
      </c>
    </row>
    <row r="289" spans="1:14" ht="14">
      <c r="A289" s="149">
        <v>288</v>
      </c>
      <c r="B289" s="235" t="s">
        <v>52</v>
      </c>
      <c r="C289" s="231" t="s">
        <v>10</v>
      </c>
      <c r="D289" s="250" t="s">
        <v>1077</v>
      </c>
      <c r="E289" s="281">
        <v>0</v>
      </c>
      <c r="F289" s="249">
        <v>1000</v>
      </c>
      <c r="G289" s="164">
        <f t="shared" si="29"/>
        <v>6.1142857142857148</v>
      </c>
      <c r="H289" s="165">
        <f t="shared" si="30"/>
        <v>12.22857142857143</v>
      </c>
      <c r="I289" s="165">
        <f t="shared" si="31"/>
        <v>9.1714285714285708</v>
      </c>
      <c r="J289" s="166">
        <f t="shared" si="32"/>
        <v>15.285714285714285</v>
      </c>
      <c r="K289" s="166">
        <f t="shared" si="34"/>
        <v>15.285714285714285</v>
      </c>
      <c r="L289" s="165">
        <f t="shared" si="33"/>
        <v>1.25</v>
      </c>
      <c r="M289" s="168">
        <f t="shared" si="28"/>
        <v>0</v>
      </c>
      <c r="N289" s="236" t="s">
        <v>453</v>
      </c>
    </row>
    <row r="290" spans="1:14" ht="14">
      <c r="A290" s="149">
        <v>289</v>
      </c>
      <c r="B290" s="235" t="s">
        <v>52</v>
      </c>
      <c r="C290" s="231" t="s">
        <v>10</v>
      </c>
      <c r="D290" s="250" t="s">
        <v>1079</v>
      </c>
      <c r="E290" s="281">
        <v>0</v>
      </c>
      <c r="F290" s="249">
        <v>300</v>
      </c>
      <c r="G290" s="164">
        <f t="shared" si="29"/>
        <v>2.1142857142857143</v>
      </c>
      <c r="H290" s="165">
        <f t="shared" si="30"/>
        <v>4.2285714285714286</v>
      </c>
      <c r="I290" s="165">
        <f t="shared" si="31"/>
        <v>3.1714285714285713</v>
      </c>
      <c r="J290" s="166">
        <f t="shared" si="32"/>
        <v>5.2857142857142856</v>
      </c>
      <c r="K290" s="166">
        <f t="shared" si="34"/>
        <v>5.2857142857142856</v>
      </c>
      <c r="L290" s="165">
        <f t="shared" si="33"/>
        <v>1.075</v>
      </c>
      <c r="M290" s="168">
        <f t="shared" si="28"/>
        <v>0</v>
      </c>
      <c r="N290" s="236" t="s">
        <v>453</v>
      </c>
    </row>
    <row r="291" spans="1:14" ht="14">
      <c r="A291" s="149">
        <v>290</v>
      </c>
      <c r="B291" s="235" t="s">
        <v>52</v>
      </c>
      <c r="C291" s="231" t="s">
        <v>10</v>
      </c>
      <c r="D291" s="250" t="s">
        <v>1081</v>
      </c>
      <c r="E291" s="281">
        <v>0</v>
      </c>
      <c r="F291" s="249">
        <v>600</v>
      </c>
      <c r="G291" s="164">
        <f t="shared" si="29"/>
        <v>3.8285714285714287</v>
      </c>
      <c r="H291" s="165">
        <f t="shared" si="30"/>
        <v>7.6571428571428575</v>
      </c>
      <c r="I291" s="165">
        <f t="shared" si="31"/>
        <v>5.7428571428571429</v>
      </c>
      <c r="J291" s="166">
        <f t="shared" si="32"/>
        <v>9.5714285714285712</v>
      </c>
      <c r="K291" s="166">
        <f t="shared" si="34"/>
        <v>9.5714285714285712</v>
      </c>
      <c r="L291" s="165">
        <f t="shared" si="33"/>
        <v>1.1499999999999999</v>
      </c>
      <c r="M291" s="168">
        <f t="shared" si="28"/>
        <v>0</v>
      </c>
      <c r="N291" s="236" t="s">
        <v>453</v>
      </c>
    </row>
    <row r="292" spans="1:14" ht="14">
      <c r="A292" s="149">
        <v>291</v>
      </c>
      <c r="B292" s="235" t="s">
        <v>52</v>
      </c>
      <c r="C292" s="231" t="s">
        <v>10</v>
      </c>
      <c r="D292" s="250" t="s">
        <v>1083</v>
      </c>
      <c r="E292" s="281">
        <v>0</v>
      </c>
      <c r="F292" s="249">
        <v>350</v>
      </c>
      <c r="G292" s="164">
        <f t="shared" si="29"/>
        <v>2.4000000000000004</v>
      </c>
      <c r="H292" s="165">
        <f t="shared" si="30"/>
        <v>4.8000000000000007</v>
      </c>
      <c r="I292" s="165">
        <f t="shared" si="31"/>
        <v>3.5999999999999996</v>
      </c>
      <c r="J292" s="166">
        <f t="shared" si="32"/>
        <v>6</v>
      </c>
      <c r="K292" s="166">
        <f t="shared" si="34"/>
        <v>6</v>
      </c>
      <c r="L292" s="165">
        <f t="shared" si="33"/>
        <v>1.0874999999999999</v>
      </c>
      <c r="M292" s="168">
        <f t="shared" si="28"/>
        <v>0</v>
      </c>
      <c r="N292" s="236" t="s">
        <v>453</v>
      </c>
    </row>
    <row r="293" spans="1:14" ht="14">
      <c r="A293" s="149">
        <v>292</v>
      </c>
      <c r="B293" s="235" t="s">
        <v>52</v>
      </c>
      <c r="C293" s="231" t="s">
        <v>10</v>
      </c>
      <c r="D293" s="250" t="s">
        <v>1085</v>
      </c>
      <c r="E293" s="281">
        <v>0</v>
      </c>
      <c r="F293" s="249">
        <v>200</v>
      </c>
      <c r="G293" s="164">
        <f t="shared" si="29"/>
        <v>1.5428571428571429</v>
      </c>
      <c r="H293" s="165">
        <f t="shared" si="30"/>
        <v>3.0857142857142859</v>
      </c>
      <c r="I293" s="165">
        <f t="shared" si="31"/>
        <v>2.3142857142857141</v>
      </c>
      <c r="J293" s="166">
        <f t="shared" si="32"/>
        <v>3.8571428571428568</v>
      </c>
      <c r="K293" s="166">
        <f t="shared" si="34"/>
        <v>3.8571428571428568</v>
      </c>
      <c r="L293" s="165">
        <f t="shared" si="33"/>
        <v>1.05</v>
      </c>
      <c r="M293" s="168">
        <f t="shared" si="28"/>
        <v>0</v>
      </c>
      <c r="N293" s="236" t="s">
        <v>453</v>
      </c>
    </row>
    <row r="294" spans="1:14" ht="14">
      <c r="A294" s="149">
        <v>293</v>
      </c>
      <c r="B294" s="235" t="s">
        <v>52</v>
      </c>
      <c r="C294" s="231" t="s">
        <v>10</v>
      </c>
      <c r="D294" s="250" t="s">
        <v>1087</v>
      </c>
      <c r="E294" s="281">
        <v>0</v>
      </c>
      <c r="F294" s="249">
        <v>4500</v>
      </c>
      <c r="G294" s="164">
        <f t="shared" si="29"/>
        <v>26.114285714285717</v>
      </c>
      <c r="H294" s="165">
        <f t="shared" si="30"/>
        <v>52.228571428571435</v>
      </c>
      <c r="I294" s="165">
        <f t="shared" si="31"/>
        <v>39.171428571428571</v>
      </c>
      <c r="J294" s="166">
        <f t="shared" si="32"/>
        <v>65.285714285714292</v>
      </c>
      <c r="K294" s="166">
        <f t="shared" si="34"/>
        <v>65.285714285714292</v>
      </c>
      <c r="L294" s="165">
        <f t="shared" si="33"/>
        <v>2.125</v>
      </c>
      <c r="M294" s="168">
        <f t="shared" si="28"/>
        <v>0</v>
      </c>
      <c r="N294" s="236" t="s">
        <v>453</v>
      </c>
    </row>
    <row r="295" spans="1:14" ht="14">
      <c r="A295" s="149">
        <v>294</v>
      </c>
      <c r="B295" s="235" t="s">
        <v>52</v>
      </c>
      <c r="C295" s="231" t="s">
        <v>10</v>
      </c>
      <c r="D295" s="250" t="s">
        <v>1089</v>
      </c>
      <c r="E295" s="281">
        <v>0</v>
      </c>
      <c r="F295" s="249">
        <v>200</v>
      </c>
      <c r="G295" s="164">
        <f t="shared" si="29"/>
        <v>1.5428571428571429</v>
      </c>
      <c r="H295" s="165">
        <f t="shared" si="30"/>
        <v>3.0857142857142859</v>
      </c>
      <c r="I295" s="165">
        <f t="shared" si="31"/>
        <v>2.3142857142857141</v>
      </c>
      <c r="J295" s="166">
        <f t="shared" si="32"/>
        <v>3.8571428571428568</v>
      </c>
      <c r="K295" s="166">
        <f t="shared" si="34"/>
        <v>3.8571428571428568</v>
      </c>
      <c r="L295" s="165">
        <f t="shared" si="33"/>
        <v>1.05</v>
      </c>
      <c r="M295" s="168">
        <f t="shared" si="28"/>
        <v>0</v>
      </c>
      <c r="N295" s="236" t="s">
        <v>453</v>
      </c>
    </row>
    <row r="296" spans="1:14" ht="14">
      <c r="A296" s="149">
        <v>295</v>
      </c>
      <c r="B296" s="235" t="s">
        <v>52</v>
      </c>
      <c r="C296" s="231" t="s">
        <v>10</v>
      </c>
      <c r="D296" s="250" t="s">
        <v>1091</v>
      </c>
      <c r="E296" s="281">
        <v>0</v>
      </c>
      <c r="F296" s="249">
        <v>2700</v>
      </c>
      <c r="G296" s="164">
        <f t="shared" si="29"/>
        <v>15.828571428571429</v>
      </c>
      <c r="H296" s="165">
        <f t="shared" si="30"/>
        <v>31.657142857142858</v>
      </c>
      <c r="I296" s="165">
        <f t="shared" si="31"/>
        <v>23.74285714285714</v>
      </c>
      <c r="J296" s="166">
        <f t="shared" si="32"/>
        <v>39.571428571428569</v>
      </c>
      <c r="K296" s="166">
        <f t="shared" si="34"/>
        <v>39.571428571428569</v>
      </c>
      <c r="L296" s="165">
        <f t="shared" si="33"/>
        <v>1.675</v>
      </c>
      <c r="M296" s="168">
        <f t="shared" si="28"/>
        <v>0</v>
      </c>
      <c r="N296" s="236" t="s">
        <v>453</v>
      </c>
    </row>
    <row r="297" spans="1:14" ht="28">
      <c r="A297" s="149">
        <v>296</v>
      </c>
      <c r="B297" s="235" t="s">
        <v>52</v>
      </c>
      <c r="C297" s="231" t="s">
        <v>10</v>
      </c>
      <c r="D297" s="248" t="s">
        <v>1093</v>
      </c>
      <c r="E297" s="281">
        <v>0</v>
      </c>
      <c r="F297" s="249">
        <v>2800</v>
      </c>
      <c r="G297" s="164">
        <f t="shared" si="29"/>
        <v>16.400000000000002</v>
      </c>
      <c r="H297" s="165">
        <f t="shared" si="30"/>
        <v>32.800000000000004</v>
      </c>
      <c r="I297" s="165">
        <f t="shared" si="31"/>
        <v>24.599999999999998</v>
      </c>
      <c r="J297" s="166">
        <f t="shared" si="32"/>
        <v>41</v>
      </c>
      <c r="K297" s="166">
        <f t="shared" si="34"/>
        <v>41</v>
      </c>
      <c r="L297" s="165">
        <f t="shared" si="33"/>
        <v>1.7</v>
      </c>
      <c r="M297" s="168">
        <f t="shared" si="28"/>
        <v>0</v>
      </c>
      <c r="N297" s="236" t="s">
        <v>453</v>
      </c>
    </row>
    <row r="298" spans="1:14" ht="28">
      <c r="A298" s="149">
        <v>297</v>
      </c>
      <c r="B298" s="235" t="s">
        <v>52</v>
      </c>
      <c r="C298" s="231" t="s">
        <v>10</v>
      </c>
      <c r="D298" s="248" t="s">
        <v>1096</v>
      </c>
      <c r="E298" s="281">
        <v>0</v>
      </c>
      <c r="F298" s="249">
        <v>2300</v>
      </c>
      <c r="G298" s="164">
        <f t="shared" si="29"/>
        <v>13.542857142857143</v>
      </c>
      <c r="H298" s="165">
        <f t="shared" si="30"/>
        <v>27.085714285714285</v>
      </c>
      <c r="I298" s="165">
        <f t="shared" si="31"/>
        <v>20.314285714285713</v>
      </c>
      <c r="J298" s="166">
        <f t="shared" si="32"/>
        <v>33.857142857142854</v>
      </c>
      <c r="K298" s="166">
        <f t="shared" si="34"/>
        <v>33.857142857142854</v>
      </c>
      <c r="L298" s="165">
        <f t="shared" si="33"/>
        <v>1.575</v>
      </c>
      <c r="M298" s="168">
        <f t="shared" si="28"/>
        <v>0</v>
      </c>
      <c r="N298" s="236" t="s">
        <v>453</v>
      </c>
    </row>
    <row r="299" spans="1:14" ht="14">
      <c r="A299" s="149">
        <v>298</v>
      </c>
      <c r="B299" s="235" t="s">
        <v>52</v>
      </c>
      <c r="C299" s="231" t="s">
        <v>10</v>
      </c>
      <c r="D299" s="250" t="s">
        <v>1098</v>
      </c>
      <c r="E299" s="281">
        <v>0</v>
      </c>
      <c r="F299" s="249">
        <v>3000</v>
      </c>
      <c r="G299" s="164">
        <f t="shared" si="29"/>
        <v>17.542857142857141</v>
      </c>
      <c r="H299" s="165">
        <f t="shared" si="30"/>
        <v>35.085714285714282</v>
      </c>
      <c r="I299" s="165">
        <f t="shared" si="31"/>
        <v>26.314285714285713</v>
      </c>
      <c r="J299" s="166">
        <f t="shared" si="32"/>
        <v>43.857142857142854</v>
      </c>
      <c r="K299" s="166">
        <f t="shared" si="34"/>
        <v>43.857142857142854</v>
      </c>
      <c r="L299" s="165">
        <f t="shared" si="33"/>
        <v>1.75</v>
      </c>
      <c r="M299" s="168">
        <f t="shared" si="28"/>
        <v>0</v>
      </c>
      <c r="N299" s="236" t="s">
        <v>453</v>
      </c>
    </row>
    <row r="300" spans="1:14" ht="14">
      <c r="A300" s="149">
        <v>299</v>
      </c>
      <c r="B300" s="235" t="s">
        <v>52</v>
      </c>
      <c r="C300" s="231" t="s">
        <v>10</v>
      </c>
      <c r="D300" s="250" t="s">
        <v>1100</v>
      </c>
      <c r="E300" s="281">
        <v>0</v>
      </c>
      <c r="F300" s="249">
        <v>500</v>
      </c>
      <c r="G300" s="164">
        <f t="shared" si="29"/>
        <v>3.2571428571428571</v>
      </c>
      <c r="H300" s="165">
        <f t="shared" si="30"/>
        <v>6.5142857142857142</v>
      </c>
      <c r="I300" s="165">
        <f t="shared" si="31"/>
        <v>4.8857142857142852</v>
      </c>
      <c r="J300" s="166">
        <f t="shared" si="32"/>
        <v>8.1428571428571423</v>
      </c>
      <c r="K300" s="166">
        <f t="shared" si="34"/>
        <v>8.1428571428571423</v>
      </c>
      <c r="L300" s="165">
        <f t="shared" si="33"/>
        <v>1.125</v>
      </c>
      <c r="M300" s="168">
        <f t="shared" si="28"/>
        <v>0</v>
      </c>
      <c r="N300" s="236" t="s">
        <v>453</v>
      </c>
    </row>
    <row r="301" spans="1:14" ht="14">
      <c r="A301" s="149">
        <v>300</v>
      </c>
      <c r="B301" s="235" t="s">
        <v>52</v>
      </c>
      <c r="C301" s="231" t="s">
        <v>10</v>
      </c>
      <c r="D301" s="250" t="s">
        <v>1102</v>
      </c>
      <c r="E301" s="281">
        <v>0</v>
      </c>
      <c r="F301" s="249">
        <v>500</v>
      </c>
      <c r="G301" s="164">
        <f t="shared" si="29"/>
        <v>3.2571428571428571</v>
      </c>
      <c r="H301" s="165">
        <f t="shared" si="30"/>
        <v>6.5142857142857142</v>
      </c>
      <c r="I301" s="165">
        <f t="shared" si="31"/>
        <v>4.8857142857142852</v>
      </c>
      <c r="J301" s="166">
        <f t="shared" si="32"/>
        <v>8.1428571428571423</v>
      </c>
      <c r="K301" s="166">
        <f t="shared" si="34"/>
        <v>8.1428571428571423</v>
      </c>
      <c r="L301" s="165">
        <f t="shared" si="33"/>
        <v>1.125</v>
      </c>
      <c r="M301" s="168">
        <f t="shared" si="28"/>
        <v>0</v>
      </c>
      <c r="N301" s="236" t="s">
        <v>453</v>
      </c>
    </row>
    <row r="302" spans="1:14" ht="14">
      <c r="A302" s="149">
        <v>301</v>
      </c>
      <c r="B302" s="235" t="s">
        <v>52</v>
      </c>
      <c r="C302" s="231" t="s">
        <v>10</v>
      </c>
      <c r="D302" s="250" t="s">
        <v>1104</v>
      </c>
      <c r="E302" s="281">
        <v>0</v>
      </c>
      <c r="F302" s="249">
        <v>1800</v>
      </c>
      <c r="G302" s="164">
        <f t="shared" si="29"/>
        <v>10.685714285714287</v>
      </c>
      <c r="H302" s="165">
        <f t="shared" si="30"/>
        <v>21.371428571428574</v>
      </c>
      <c r="I302" s="165">
        <f t="shared" si="31"/>
        <v>16.028571428571428</v>
      </c>
      <c r="J302" s="166">
        <f t="shared" si="32"/>
        <v>26.714285714285715</v>
      </c>
      <c r="K302" s="166">
        <f t="shared" si="34"/>
        <v>26.714285714285715</v>
      </c>
      <c r="L302" s="165">
        <f t="shared" si="33"/>
        <v>1.45</v>
      </c>
      <c r="M302" s="168">
        <f t="shared" si="28"/>
        <v>0</v>
      </c>
      <c r="N302" s="236" t="s">
        <v>453</v>
      </c>
    </row>
    <row r="303" spans="1:14" ht="14">
      <c r="A303" s="149">
        <v>302</v>
      </c>
      <c r="B303" s="235" t="s">
        <v>52</v>
      </c>
      <c r="C303" s="231" t="s">
        <v>10</v>
      </c>
      <c r="D303" s="250" t="s">
        <v>1106</v>
      </c>
      <c r="E303" s="281">
        <v>0</v>
      </c>
      <c r="F303" s="249">
        <v>1500</v>
      </c>
      <c r="G303" s="164">
        <f t="shared" si="29"/>
        <v>8.9714285714285715</v>
      </c>
      <c r="H303" s="165">
        <f t="shared" si="30"/>
        <v>17.942857142857143</v>
      </c>
      <c r="I303" s="165">
        <f t="shared" si="31"/>
        <v>13.457142857142856</v>
      </c>
      <c r="J303" s="166">
        <f t="shared" si="32"/>
        <v>22.428571428571427</v>
      </c>
      <c r="K303" s="166">
        <f t="shared" si="34"/>
        <v>22.428571428571427</v>
      </c>
      <c r="L303" s="165">
        <f t="shared" si="33"/>
        <v>1.375</v>
      </c>
      <c r="M303" s="168">
        <f t="shared" si="28"/>
        <v>0</v>
      </c>
      <c r="N303" s="236" t="s">
        <v>453</v>
      </c>
    </row>
    <row r="304" spans="1:14" ht="14">
      <c r="A304" s="149">
        <v>303</v>
      </c>
      <c r="B304" s="235" t="s">
        <v>52</v>
      </c>
      <c r="C304" s="231" t="s">
        <v>10</v>
      </c>
      <c r="D304" s="250" t="s">
        <v>1108</v>
      </c>
      <c r="E304" s="281">
        <v>0</v>
      </c>
      <c r="F304" s="249">
        <v>2500</v>
      </c>
      <c r="G304" s="164">
        <f t="shared" si="29"/>
        <v>14.685714285714287</v>
      </c>
      <c r="H304" s="165">
        <f t="shared" si="30"/>
        <v>29.371428571428574</v>
      </c>
      <c r="I304" s="165">
        <f t="shared" si="31"/>
        <v>22.028571428571428</v>
      </c>
      <c r="J304" s="166">
        <f t="shared" si="32"/>
        <v>36.714285714285715</v>
      </c>
      <c r="K304" s="166">
        <f t="shared" si="34"/>
        <v>36.714285714285715</v>
      </c>
      <c r="L304" s="165">
        <f t="shared" si="33"/>
        <v>1.625</v>
      </c>
      <c r="M304" s="168">
        <f t="shared" si="28"/>
        <v>0</v>
      </c>
      <c r="N304" s="236" t="s">
        <v>453</v>
      </c>
    </row>
    <row r="305" spans="1:14" ht="14">
      <c r="A305" s="149">
        <v>304</v>
      </c>
      <c r="B305" s="235" t="s">
        <v>52</v>
      </c>
      <c r="C305" s="231" t="s">
        <v>10</v>
      </c>
      <c r="D305" s="250" t="s">
        <v>1110</v>
      </c>
      <c r="E305" s="281">
        <v>0</v>
      </c>
      <c r="F305" s="249">
        <v>23812</v>
      </c>
      <c r="G305" s="164">
        <f t="shared" si="29"/>
        <v>136.46857142857144</v>
      </c>
      <c r="H305" s="165">
        <f t="shared" si="30"/>
        <v>272.93714285714287</v>
      </c>
      <c r="I305" s="165">
        <f t="shared" si="31"/>
        <v>204.70285714285714</v>
      </c>
      <c r="J305" s="166">
        <f t="shared" si="32"/>
        <v>341.17142857142858</v>
      </c>
      <c r="K305" s="166">
        <f t="shared" si="34"/>
        <v>341.17142857142858</v>
      </c>
      <c r="L305" s="165">
        <f t="shared" si="33"/>
        <v>6.9530000000000003</v>
      </c>
      <c r="M305" s="168">
        <f t="shared" si="28"/>
        <v>0</v>
      </c>
      <c r="N305" s="236" t="s">
        <v>453</v>
      </c>
    </row>
    <row r="306" spans="1:14" ht="14">
      <c r="A306" s="149">
        <v>305</v>
      </c>
      <c r="B306" s="235" t="s">
        <v>52</v>
      </c>
      <c r="C306" s="231" t="s">
        <v>10</v>
      </c>
      <c r="D306" s="250" t="s">
        <v>1112</v>
      </c>
      <c r="E306" s="281">
        <v>0</v>
      </c>
      <c r="F306" s="249">
        <v>800</v>
      </c>
      <c r="G306" s="164">
        <f t="shared" si="29"/>
        <v>4.9714285714285715</v>
      </c>
      <c r="H306" s="165">
        <f t="shared" si="30"/>
        <v>9.9428571428571431</v>
      </c>
      <c r="I306" s="165">
        <f t="shared" si="31"/>
        <v>7.4571428571428573</v>
      </c>
      <c r="J306" s="166">
        <f t="shared" si="32"/>
        <v>12.428571428571429</v>
      </c>
      <c r="K306" s="166">
        <f t="shared" si="34"/>
        <v>12.428571428571429</v>
      </c>
      <c r="L306" s="165">
        <f t="shared" si="33"/>
        <v>1.2</v>
      </c>
      <c r="M306" s="168">
        <f t="shared" si="28"/>
        <v>0</v>
      </c>
      <c r="N306" s="236" t="s">
        <v>453</v>
      </c>
    </row>
    <row r="307" spans="1:14" ht="14">
      <c r="A307" s="149">
        <v>306</v>
      </c>
      <c r="B307" s="235" t="s">
        <v>52</v>
      </c>
      <c r="C307" s="231" t="s">
        <v>10</v>
      </c>
      <c r="D307" s="250" t="s">
        <v>1114</v>
      </c>
      <c r="E307" s="281">
        <v>0</v>
      </c>
      <c r="F307" s="249">
        <v>41006</v>
      </c>
      <c r="G307" s="164">
        <f t="shared" si="29"/>
        <v>234.72</v>
      </c>
      <c r="H307" s="165">
        <f t="shared" si="30"/>
        <v>469.44</v>
      </c>
      <c r="I307" s="165">
        <f t="shared" si="31"/>
        <v>352.08</v>
      </c>
      <c r="J307" s="166">
        <f t="shared" si="32"/>
        <v>586.79999999999995</v>
      </c>
      <c r="K307" s="166">
        <f t="shared" si="34"/>
        <v>586.79999999999995</v>
      </c>
      <c r="L307" s="165">
        <f t="shared" si="33"/>
        <v>11.2515</v>
      </c>
      <c r="M307" s="168">
        <f t="shared" si="28"/>
        <v>0</v>
      </c>
      <c r="N307" s="236" t="s">
        <v>453</v>
      </c>
    </row>
    <row r="308" spans="1:14" ht="14">
      <c r="A308" s="149">
        <v>307</v>
      </c>
      <c r="B308" s="235" t="s">
        <v>52</v>
      </c>
      <c r="C308" s="231" t="s">
        <v>10</v>
      </c>
      <c r="D308" s="250" t="s">
        <v>1116</v>
      </c>
      <c r="E308" s="281">
        <v>0</v>
      </c>
      <c r="F308" s="249">
        <v>150</v>
      </c>
      <c r="G308" s="164">
        <f t="shared" si="29"/>
        <v>1.2571428571428571</v>
      </c>
      <c r="H308" s="165">
        <f t="shared" si="30"/>
        <v>2.5142857142857142</v>
      </c>
      <c r="I308" s="165">
        <f t="shared" si="31"/>
        <v>1.8857142857142857</v>
      </c>
      <c r="J308" s="166">
        <f t="shared" si="32"/>
        <v>3.1428571428571428</v>
      </c>
      <c r="K308" s="166">
        <f t="shared" si="34"/>
        <v>3.1428571428571428</v>
      </c>
      <c r="L308" s="165">
        <f t="shared" si="33"/>
        <v>1.0375000000000001</v>
      </c>
      <c r="M308" s="168">
        <f t="shared" si="28"/>
        <v>0</v>
      </c>
      <c r="N308" s="236" t="s">
        <v>453</v>
      </c>
    </row>
    <row r="309" spans="1:14" ht="14">
      <c r="A309" s="149">
        <v>308</v>
      </c>
      <c r="B309" s="235" t="s">
        <v>52</v>
      </c>
      <c r="C309" s="231" t="s">
        <v>10</v>
      </c>
      <c r="D309" s="250" t="s">
        <v>1118</v>
      </c>
      <c r="E309" s="281">
        <v>0</v>
      </c>
      <c r="F309" s="249">
        <v>4100</v>
      </c>
      <c r="G309" s="164">
        <f t="shared" si="29"/>
        <v>23.828571428571429</v>
      </c>
      <c r="H309" s="165">
        <f t="shared" si="30"/>
        <v>47.657142857142858</v>
      </c>
      <c r="I309" s="165">
        <f t="shared" si="31"/>
        <v>35.74285714285714</v>
      </c>
      <c r="J309" s="166">
        <f t="shared" si="32"/>
        <v>59.571428571428569</v>
      </c>
      <c r="K309" s="166">
        <f t="shared" si="34"/>
        <v>59.571428571428569</v>
      </c>
      <c r="L309" s="165">
        <f t="shared" si="33"/>
        <v>2.0249999999999999</v>
      </c>
      <c r="M309" s="168">
        <f t="shared" si="28"/>
        <v>0</v>
      </c>
      <c r="N309" s="236" t="s">
        <v>453</v>
      </c>
    </row>
    <row r="310" spans="1:14" ht="14">
      <c r="A310" s="149">
        <v>309</v>
      </c>
      <c r="B310" s="235" t="s">
        <v>52</v>
      </c>
      <c r="C310" s="231" t="s">
        <v>10</v>
      </c>
      <c r="D310" s="250" t="s">
        <v>1120</v>
      </c>
      <c r="E310" s="281">
        <v>0</v>
      </c>
      <c r="F310" s="249">
        <v>500</v>
      </c>
      <c r="G310" s="164">
        <f t="shared" si="29"/>
        <v>3.2571428571428571</v>
      </c>
      <c r="H310" s="165">
        <f t="shared" si="30"/>
        <v>6.5142857142857142</v>
      </c>
      <c r="I310" s="165">
        <f t="shared" si="31"/>
        <v>4.8857142857142852</v>
      </c>
      <c r="J310" s="166">
        <f t="shared" si="32"/>
        <v>8.1428571428571423</v>
      </c>
      <c r="K310" s="166">
        <f t="shared" si="34"/>
        <v>8.1428571428571423</v>
      </c>
      <c r="L310" s="165">
        <f t="shared" si="33"/>
        <v>1.125</v>
      </c>
      <c r="M310" s="168">
        <f t="shared" si="28"/>
        <v>0</v>
      </c>
      <c r="N310" s="236" t="s">
        <v>453</v>
      </c>
    </row>
    <row r="311" spans="1:14" ht="14">
      <c r="A311" s="149">
        <v>310</v>
      </c>
      <c r="B311" s="235" t="s">
        <v>52</v>
      </c>
      <c r="C311" s="231" t="s">
        <v>10</v>
      </c>
      <c r="D311" s="250" t="s">
        <v>1122</v>
      </c>
      <c r="E311" s="281">
        <v>0</v>
      </c>
      <c r="F311" s="249">
        <v>700</v>
      </c>
      <c r="G311" s="164">
        <f t="shared" si="29"/>
        <v>4.4000000000000004</v>
      </c>
      <c r="H311" s="165">
        <f t="shared" si="30"/>
        <v>8.8000000000000007</v>
      </c>
      <c r="I311" s="165">
        <f t="shared" si="31"/>
        <v>6.6</v>
      </c>
      <c r="J311" s="166">
        <f t="shared" si="32"/>
        <v>11</v>
      </c>
      <c r="K311" s="166">
        <f t="shared" si="34"/>
        <v>11</v>
      </c>
      <c r="L311" s="165">
        <f t="shared" si="33"/>
        <v>1.175</v>
      </c>
      <c r="M311" s="168">
        <f t="shared" si="28"/>
        <v>0</v>
      </c>
      <c r="N311" s="236" t="s">
        <v>453</v>
      </c>
    </row>
    <row r="312" spans="1:14" ht="14">
      <c r="A312" s="149">
        <v>311</v>
      </c>
      <c r="B312" s="235" t="s">
        <v>52</v>
      </c>
      <c r="C312" s="231" t="s">
        <v>10</v>
      </c>
      <c r="D312" s="248" t="s">
        <v>1124</v>
      </c>
      <c r="E312" s="281">
        <v>0</v>
      </c>
      <c r="F312" s="249">
        <v>4000</v>
      </c>
      <c r="G312" s="164">
        <f t="shared" si="29"/>
        <v>23.25714285714286</v>
      </c>
      <c r="H312" s="165">
        <f t="shared" si="30"/>
        <v>46.51428571428572</v>
      </c>
      <c r="I312" s="165">
        <f t="shared" si="31"/>
        <v>34.885714285714286</v>
      </c>
      <c r="J312" s="166">
        <f t="shared" si="32"/>
        <v>58.142857142857146</v>
      </c>
      <c r="K312" s="166">
        <f t="shared" si="34"/>
        <v>58.142857142857146</v>
      </c>
      <c r="L312" s="165">
        <f t="shared" si="33"/>
        <v>2</v>
      </c>
      <c r="M312" s="168">
        <f t="shared" si="28"/>
        <v>0</v>
      </c>
      <c r="N312" s="236" t="s">
        <v>453</v>
      </c>
    </row>
    <row r="313" spans="1:14" ht="28">
      <c r="A313" s="149">
        <v>312</v>
      </c>
      <c r="B313" s="235" t="s">
        <v>52</v>
      </c>
      <c r="C313" s="231" t="s">
        <v>10</v>
      </c>
      <c r="D313" s="248" t="s">
        <v>1126</v>
      </c>
      <c r="E313" s="281">
        <v>0</v>
      </c>
      <c r="F313" s="249">
        <v>2000</v>
      </c>
      <c r="G313" s="164">
        <f t="shared" si="29"/>
        <v>11.828571428571429</v>
      </c>
      <c r="H313" s="165">
        <f t="shared" si="30"/>
        <v>23.657142857142858</v>
      </c>
      <c r="I313" s="165">
        <f t="shared" si="31"/>
        <v>17.742857142857144</v>
      </c>
      <c r="J313" s="166">
        <f t="shared" si="32"/>
        <v>29.571428571428573</v>
      </c>
      <c r="K313" s="166">
        <f t="shared" si="34"/>
        <v>29.571428571428573</v>
      </c>
      <c r="L313" s="165">
        <f t="shared" si="33"/>
        <v>1.5</v>
      </c>
      <c r="M313" s="168">
        <f t="shared" si="28"/>
        <v>0</v>
      </c>
      <c r="N313" s="236" t="s">
        <v>453</v>
      </c>
    </row>
    <row r="314" spans="1:14" ht="14">
      <c r="A314" s="149">
        <v>313</v>
      </c>
      <c r="B314" s="235" t="s">
        <v>52</v>
      </c>
      <c r="C314" s="231" t="s">
        <v>10</v>
      </c>
      <c r="D314" s="248" t="s">
        <v>1128</v>
      </c>
      <c r="E314" s="281">
        <v>0</v>
      </c>
      <c r="F314" s="249">
        <v>700</v>
      </c>
      <c r="G314" s="164">
        <f t="shared" si="29"/>
        <v>4.4000000000000004</v>
      </c>
      <c r="H314" s="165">
        <f t="shared" si="30"/>
        <v>8.8000000000000007</v>
      </c>
      <c r="I314" s="165">
        <f t="shared" si="31"/>
        <v>6.6</v>
      </c>
      <c r="J314" s="166">
        <f t="shared" si="32"/>
        <v>11</v>
      </c>
      <c r="K314" s="166">
        <f t="shared" si="34"/>
        <v>11</v>
      </c>
      <c r="L314" s="165">
        <f t="shared" si="33"/>
        <v>1.175</v>
      </c>
      <c r="M314" s="168">
        <f t="shared" si="28"/>
        <v>0</v>
      </c>
      <c r="N314" s="236" t="s">
        <v>453</v>
      </c>
    </row>
    <row r="315" spans="1:14" ht="14">
      <c r="A315" s="149">
        <v>314</v>
      </c>
      <c r="B315" s="235" t="s">
        <v>52</v>
      </c>
      <c r="C315" s="231" t="s">
        <v>10</v>
      </c>
      <c r="D315" s="248" t="s">
        <v>1130</v>
      </c>
      <c r="E315" s="281">
        <v>0</v>
      </c>
      <c r="F315" s="249">
        <v>1750</v>
      </c>
      <c r="G315" s="164">
        <f t="shared" si="29"/>
        <v>10.4</v>
      </c>
      <c r="H315" s="165">
        <f t="shared" si="30"/>
        <v>20.8</v>
      </c>
      <c r="I315" s="165">
        <f t="shared" si="31"/>
        <v>15.6</v>
      </c>
      <c r="J315" s="166">
        <f t="shared" si="32"/>
        <v>26</v>
      </c>
      <c r="K315" s="166">
        <f t="shared" si="34"/>
        <v>26</v>
      </c>
      <c r="L315" s="165">
        <f t="shared" si="33"/>
        <v>1.4375</v>
      </c>
      <c r="M315" s="168">
        <f t="shared" si="28"/>
        <v>0</v>
      </c>
      <c r="N315" s="236" t="s">
        <v>453</v>
      </c>
    </row>
    <row r="316" spans="1:14" ht="14">
      <c r="A316" s="149">
        <v>315</v>
      </c>
      <c r="B316" s="235" t="s">
        <v>52</v>
      </c>
      <c r="C316" s="231" t="s">
        <v>10</v>
      </c>
      <c r="D316" s="250" t="s">
        <v>1132</v>
      </c>
      <c r="E316" s="281">
        <v>0</v>
      </c>
      <c r="F316" s="249">
        <v>800</v>
      </c>
      <c r="G316" s="164">
        <f t="shared" si="29"/>
        <v>4.9714285714285715</v>
      </c>
      <c r="H316" s="165">
        <f t="shared" si="30"/>
        <v>9.9428571428571431</v>
      </c>
      <c r="I316" s="165">
        <f t="shared" si="31"/>
        <v>7.4571428571428573</v>
      </c>
      <c r="J316" s="166">
        <f t="shared" si="32"/>
        <v>12.428571428571429</v>
      </c>
      <c r="K316" s="166">
        <f t="shared" si="34"/>
        <v>12.428571428571429</v>
      </c>
      <c r="L316" s="165">
        <f t="shared" si="33"/>
        <v>1.2</v>
      </c>
      <c r="M316" s="168">
        <f t="shared" si="28"/>
        <v>0</v>
      </c>
      <c r="N316" s="236" t="s">
        <v>453</v>
      </c>
    </row>
    <row r="317" spans="1:14" ht="14">
      <c r="A317" s="149">
        <v>316</v>
      </c>
      <c r="B317" s="235" t="s">
        <v>52</v>
      </c>
      <c r="C317" s="231" t="s">
        <v>10</v>
      </c>
      <c r="D317" s="250" t="s">
        <v>1134</v>
      </c>
      <c r="E317" s="281">
        <v>0</v>
      </c>
      <c r="F317" s="249">
        <v>1500</v>
      </c>
      <c r="G317" s="164">
        <f t="shared" si="29"/>
        <v>8.9714285714285715</v>
      </c>
      <c r="H317" s="165">
        <f t="shared" si="30"/>
        <v>17.942857142857143</v>
      </c>
      <c r="I317" s="165">
        <f t="shared" si="31"/>
        <v>13.457142857142856</v>
      </c>
      <c r="J317" s="166">
        <f t="shared" si="32"/>
        <v>22.428571428571427</v>
      </c>
      <c r="K317" s="166">
        <f t="shared" si="34"/>
        <v>22.428571428571427</v>
      </c>
      <c r="L317" s="165">
        <f t="shared" si="33"/>
        <v>1.375</v>
      </c>
      <c r="M317" s="168">
        <f t="shared" si="28"/>
        <v>0</v>
      </c>
      <c r="N317" s="236" t="s">
        <v>453</v>
      </c>
    </row>
    <row r="318" spans="1:14" ht="14">
      <c r="A318" s="149">
        <v>317</v>
      </c>
      <c r="B318" s="235" t="s">
        <v>52</v>
      </c>
      <c r="C318" s="231" t="s">
        <v>10</v>
      </c>
      <c r="D318" s="250" t="s">
        <v>1136</v>
      </c>
      <c r="E318" s="281">
        <v>0</v>
      </c>
      <c r="F318" s="249">
        <v>1000</v>
      </c>
      <c r="G318" s="164">
        <f t="shared" si="29"/>
        <v>6.1142857142857148</v>
      </c>
      <c r="H318" s="165">
        <f t="shared" si="30"/>
        <v>12.22857142857143</v>
      </c>
      <c r="I318" s="165">
        <f t="shared" si="31"/>
        <v>9.1714285714285708</v>
      </c>
      <c r="J318" s="166">
        <f t="shared" si="32"/>
        <v>15.285714285714285</v>
      </c>
      <c r="K318" s="166">
        <f t="shared" si="34"/>
        <v>15.285714285714285</v>
      </c>
      <c r="L318" s="165">
        <f t="shared" si="33"/>
        <v>1.25</v>
      </c>
      <c r="M318" s="168">
        <f t="shared" si="28"/>
        <v>0</v>
      </c>
      <c r="N318" s="236" t="s">
        <v>453</v>
      </c>
    </row>
    <row r="319" spans="1:14" ht="14">
      <c r="A319" s="149">
        <v>318</v>
      </c>
      <c r="B319" s="235" t="s">
        <v>52</v>
      </c>
      <c r="C319" s="231" t="s">
        <v>10</v>
      </c>
      <c r="D319" s="239" t="s">
        <v>1137</v>
      </c>
      <c r="E319" s="281">
        <v>0</v>
      </c>
      <c r="F319" s="249">
        <v>800</v>
      </c>
      <c r="G319" s="164">
        <f t="shared" si="29"/>
        <v>4.9714285714285715</v>
      </c>
      <c r="H319" s="165">
        <f t="shared" si="30"/>
        <v>9.9428571428571431</v>
      </c>
      <c r="I319" s="165">
        <f t="shared" si="31"/>
        <v>7.4571428571428573</v>
      </c>
      <c r="J319" s="166">
        <f t="shared" si="32"/>
        <v>12.428571428571429</v>
      </c>
      <c r="K319" s="166">
        <f t="shared" si="34"/>
        <v>12.428571428571429</v>
      </c>
      <c r="L319" s="165">
        <f t="shared" si="33"/>
        <v>1.2</v>
      </c>
      <c r="M319" s="168">
        <f t="shared" si="28"/>
        <v>0</v>
      </c>
      <c r="N319" s="236" t="s">
        <v>453</v>
      </c>
    </row>
    <row r="320" spans="1:14" ht="14">
      <c r="A320" s="149">
        <v>319</v>
      </c>
      <c r="B320" s="235" t="s">
        <v>52</v>
      </c>
      <c r="C320" s="231" t="s">
        <v>10</v>
      </c>
      <c r="D320" s="239" t="s">
        <v>1139</v>
      </c>
      <c r="E320" s="281">
        <v>0</v>
      </c>
      <c r="F320" s="249">
        <v>500</v>
      </c>
      <c r="G320" s="164">
        <f t="shared" si="29"/>
        <v>3.2571428571428571</v>
      </c>
      <c r="H320" s="165">
        <f t="shared" si="30"/>
        <v>6.5142857142857142</v>
      </c>
      <c r="I320" s="165">
        <f t="shared" si="31"/>
        <v>4.8857142857142852</v>
      </c>
      <c r="J320" s="166">
        <f t="shared" si="32"/>
        <v>8.1428571428571423</v>
      </c>
      <c r="K320" s="166">
        <f t="shared" si="34"/>
        <v>8.1428571428571423</v>
      </c>
      <c r="L320" s="165">
        <f t="shared" si="33"/>
        <v>1.125</v>
      </c>
      <c r="M320" s="168">
        <f t="shared" si="28"/>
        <v>0</v>
      </c>
      <c r="N320" s="236" t="s">
        <v>453</v>
      </c>
    </row>
    <row r="321" spans="1:14" ht="14">
      <c r="A321" s="149">
        <v>320</v>
      </c>
      <c r="B321" s="235" t="s">
        <v>52</v>
      </c>
      <c r="C321" s="231" t="s">
        <v>10</v>
      </c>
      <c r="D321" s="239" t="s">
        <v>1141</v>
      </c>
      <c r="E321" s="281">
        <v>0</v>
      </c>
      <c r="F321" s="249">
        <v>1000</v>
      </c>
      <c r="G321" s="164">
        <f t="shared" si="29"/>
        <v>6.1142857142857148</v>
      </c>
      <c r="H321" s="165">
        <f t="shared" si="30"/>
        <v>12.22857142857143</v>
      </c>
      <c r="I321" s="165">
        <f t="shared" si="31"/>
        <v>9.1714285714285708</v>
      </c>
      <c r="J321" s="166">
        <f t="shared" si="32"/>
        <v>15.285714285714285</v>
      </c>
      <c r="K321" s="166">
        <f t="shared" si="34"/>
        <v>15.285714285714285</v>
      </c>
      <c r="L321" s="165">
        <f t="shared" si="33"/>
        <v>1.25</v>
      </c>
      <c r="M321" s="168">
        <f t="shared" si="28"/>
        <v>0</v>
      </c>
      <c r="N321" s="236" t="s">
        <v>453</v>
      </c>
    </row>
    <row r="322" spans="1:14" ht="14">
      <c r="A322" s="149">
        <v>321</v>
      </c>
      <c r="B322" s="235" t="s">
        <v>52</v>
      </c>
      <c r="C322" s="231" t="s">
        <v>10</v>
      </c>
      <c r="D322" s="239" t="s">
        <v>1143</v>
      </c>
      <c r="E322" s="281">
        <v>0</v>
      </c>
      <c r="F322" s="249">
        <v>2050</v>
      </c>
      <c r="G322" s="164">
        <f t="shared" si="29"/>
        <v>12.114285714285714</v>
      </c>
      <c r="H322" s="165">
        <f t="shared" si="30"/>
        <v>24.228571428571428</v>
      </c>
      <c r="I322" s="165">
        <f t="shared" si="31"/>
        <v>18.171428571428571</v>
      </c>
      <c r="J322" s="166">
        <f t="shared" si="32"/>
        <v>30.285714285714285</v>
      </c>
      <c r="K322" s="166">
        <f t="shared" si="34"/>
        <v>30.285714285714285</v>
      </c>
      <c r="L322" s="165">
        <f t="shared" si="33"/>
        <v>1.5125</v>
      </c>
      <c r="M322" s="168">
        <f t="shared" ref="M322:M385" si="35">E322/60</f>
        <v>0</v>
      </c>
      <c r="N322" s="236" t="s">
        <v>453</v>
      </c>
    </row>
    <row r="323" spans="1:14" ht="14">
      <c r="A323" s="149">
        <v>322</v>
      </c>
      <c r="B323" s="235" t="s">
        <v>52</v>
      </c>
      <c r="C323" s="231" t="s">
        <v>10</v>
      </c>
      <c r="D323" s="239" t="s">
        <v>1145</v>
      </c>
      <c r="E323" s="281">
        <v>0</v>
      </c>
      <c r="F323" s="249">
        <v>7500</v>
      </c>
      <c r="G323" s="164">
        <f t="shared" ref="G323:G386" si="36">(((F323/70)+1)*0.4)</f>
        <v>43.25714285714286</v>
      </c>
      <c r="H323" s="165">
        <f t="shared" ref="H323:H386" si="37">G323*2</f>
        <v>86.51428571428572</v>
      </c>
      <c r="I323" s="165">
        <f t="shared" ref="I323:I386" si="38">(((F323/70)+1)*0.6)</f>
        <v>64.885714285714286</v>
      </c>
      <c r="J323" s="166">
        <f t="shared" ref="J323:J386" si="39">I323+G323</f>
        <v>108.14285714285714</v>
      </c>
      <c r="K323" s="166">
        <f t="shared" si="34"/>
        <v>108.14285714285714</v>
      </c>
      <c r="L323" s="165">
        <f t="shared" ref="L323:L386" si="40">(F323/4000)+1</f>
        <v>2.875</v>
      </c>
      <c r="M323" s="168">
        <f t="shared" si="35"/>
        <v>0</v>
      </c>
      <c r="N323" s="236" t="s">
        <v>453</v>
      </c>
    </row>
    <row r="324" spans="1:14" ht="14">
      <c r="A324" s="149">
        <v>323</v>
      </c>
      <c r="B324" s="235" t="s">
        <v>52</v>
      </c>
      <c r="C324" s="231" t="s">
        <v>10</v>
      </c>
      <c r="D324" s="239" t="s">
        <v>1147</v>
      </c>
      <c r="E324" s="281">
        <v>0</v>
      </c>
      <c r="F324" s="249">
        <v>1000</v>
      </c>
      <c r="G324" s="164">
        <f t="shared" si="36"/>
        <v>6.1142857142857148</v>
      </c>
      <c r="H324" s="165">
        <f t="shared" si="37"/>
        <v>12.22857142857143</v>
      </c>
      <c r="I324" s="165">
        <f t="shared" si="38"/>
        <v>9.1714285714285708</v>
      </c>
      <c r="J324" s="166">
        <f t="shared" si="39"/>
        <v>15.285714285714285</v>
      </c>
      <c r="K324" s="166">
        <f t="shared" ref="K324:K387" si="41">J324</f>
        <v>15.285714285714285</v>
      </c>
      <c r="L324" s="165">
        <f t="shared" si="40"/>
        <v>1.25</v>
      </c>
      <c r="M324" s="168">
        <f t="shared" si="35"/>
        <v>0</v>
      </c>
      <c r="N324" s="236" t="s">
        <v>453</v>
      </c>
    </row>
    <row r="325" spans="1:14" ht="14">
      <c r="A325" s="149">
        <v>324</v>
      </c>
      <c r="B325" s="235" t="s">
        <v>52</v>
      </c>
      <c r="C325" s="231" t="s">
        <v>10</v>
      </c>
      <c r="D325" s="250" t="s">
        <v>1149</v>
      </c>
      <c r="E325" s="281">
        <v>0</v>
      </c>
      <c r="F325" s="249">
        <v>2153</v>
      </c>
      <c r="G325" s="164">
        <f t="shared" si="36"/>
        <v>12.702857142857143</v>
      </c>
      <c r="H325" s="165">
        <f t="shared" si="37"/>
        <v>25.405714285714286</v>
      </c>
      <c r="I325" s="165">
        <f t="shared" si="38"/>
        <v>19.054285714285712</v>
      </c>
      <c r="J325" s="166">
        <f t="shared" si="39"/>
        <v>31.757142857142853</v>
      </c>
      <c r="K325" s="166">
        <f t="shared" si="41"/>
        <v>31.757142857142853</v>
      </c>
      <c r="L325" s="165">
        <f t="shared" si="40"/>
        <v>1.5382500000000001</v>
      </c>
      <c r="M325" s="168">
        <f t="shared" si="35"/>
        <v>0</v>
      </c>
      <c r="N325" s="236" t="s">
        <v>453</v>
      </c>
    </row>
    <row r="326" spans="1:14" ht="14">
      <c r="A326" s="149">
        <v>325</v>
      </c>
      <c r="B326" s="235" t="s">
        <v>52</v>
      </c>
      <c r="C326" s="231" t="s">
        <v>10</v>
      </c>
      <c r="D326" s="250" t="s">
        <v>1151</v>
      </c>
      <c r="E326" s="281">
        <v>0</v>
      </c>
      <c r="F326" s="249">
        <v>2600</v>
      </c>
      <c r="G326" s="164">
        <f t="shared" si="36"/>
        <v>15.25714285714286</v>
      </c>
      <c r="H326" s="165">
        <f t="shared" si="37"/>
        <v>30.51428571428572</v>
      </c>
      <c r="I326" s="165">
        <f t="shared" si="38"/>
        <v>22.885714285714286</v>
      </c>
      <c r="J326" s="166">
        <f t="shared" si="39"/>
        <v>38.142857142857146</v>
      </c>
      <c r="K326" s="166">
        <f t="shared" si="41"/>
        <v>38.142857142857146</v>
      </c>
      <c r="L326" s="165">
        <f t="shared" si="40"/>
        <v>1.65</v>
      </c>
      <c r="M326" s="168">
        <f t="shared" si="35"/>
        <v>0</v>
      </c>
      <c r="N326" s="236" t="s">
        <v>453</v>
      </c>
    </row>
    <row r="327" spans="1:14" ht="14">
      <c r="A327" s="149">
        <v>326</v>
      </c>
      <c r="B327" s="235" t="s">
        <v>52</v>
      </c>
      <c r="C327" s="231" t="s">
        <v>10</v>
      </c>
      <c r="D327" s="250" t="s">
        <v>1153</v>
      </c>
      <c r="E327" s="281">
        <v>0</v>
      </c>
      <c r="F327" s="249">
        <v>3500</v>
      </c>
      <c r="G327" s="164">
        <f t="shared" si="36"/>
        <v>20.400000000000002</v>
      </c>
      <c r="H327" s="165">
        <f t="shared" si="37"/>
        <v>40.800000000000004</v>
      </c>
      <c r="I327" s="165">
        <f t="shared" si="38"/>
        <v>30.599999999999998</v>
      </c>
      <c r="J327" s="166">
        <f t="shared" si="39"/>
        <v>51</v>
      </c>
      <c r="K327" s="166">
        <f t="shared" si="41"/>
        <v>51</v>
      </c>
      <c r="L327" s="165">
        <f t="shared" si="40"/>
        <v>1.875</v>
      </c>
      <c r="M327" s="168">
        <f t="shared" si="35"/>
        <v>0</v>
      </c>
      <c r="N327" s="236" t="s">
        <v>453</v>
      </c>
    </row>
    <row r="328" spans="1:14" ht="14">
      <c r="A328" s="149">
        <v>327</v>
      </c>
      <c r="B328" s="235" t="s">
        <v>52</v>
      </c>
      <c r="C328" s="231" t="s">
        <v>10</v>
      </c>
      <c r="D328" s="250" t="s">
        <v>1155</v>
      </c>
      <c r="E328" s="281">
        <v>0</v>
      </c>
      <c r="F328" s="249">
        <v>500</v>
      </c>
      <c r="G328" s="164">
        <f t="shared" si="36"/>
        <v>3.2571428571428571</v>
      </c>
      <c r="H328" s="165">
        <f t="shared" si="37"/>
        <v>6.5142857142857142</v>
      </c>
      <c r="I328" s="165">
        <f t="shared" si="38"/>
        <v>4.8857142857142852</v>
      </c>
      <c r="J328" s="166">
        <f t="shared" si="39"/>
        <v>8.1428571428571423</v>
      </c>
      <c r="K328" s="166">
        <f t="shared" si="41"/>
        <v>8.1428571428571423</v>
      </c>
      <c r="L328" s="165">
        <f t="shared" si="40"/>
        <v>1.125</v>
      </c>
      <c r="M328" s="168">
        <f t="shared" si="35"/>
        <v>0</v>
      </c>
      <c r="N328" s="236" t="s">
        <v>453</v>
      </c>
    </row>
    <row r="329" spans="1:14" ht="14">
      <c r="A329" s="149">
        <v>328</v>
      </c>
      <c r="B329" s="235" t="s">
        <v>52</v>
      </c>
      <c r="C329" s="231" t="s">
        <v>10</v>
      </c>
      <c r="D329" s="250" t="s">
        <v>1157</v>
      </c>
      <c r="E329" s="281">
        <v>0</v>
      </c>
      <c r="F329" s="249">
        <v>350</v>
      </c>
      <c r="G329" s="164">
        <f t="shared" si="36"/>
        <v>2.4000000000000004</v>
      </c>
      <c r="H329" s="165">
        <f t="shared" si="37"/>
        <v>4.8000000000000007</v>
      </c>
      <c r="I329" s="165">
        <f t="shared" si="38"/>
        <v>3.5999999999999996</v>
      </c>
      <c r="J329" s="166">
        <f t="shared" si="39"/>
        <v>6</v>
      </c>
      <c r="K329" s="166">
        <f t="shared" si="41"/>
        <v>6</v>
      </c>
      <c r="L329" s="165">
        <f t="shared" si="40"/>
        <v>1.0874999999999999</v>
      </c>
      <c r="M329" s="168">
        <f t="shared" si="35"/>
        <v>0</v>
      </c>
      <c r="N329" s="236" t="s">
        <v>453</v>
      </c>
    </row>
    <row r="330" spans="1:14" ht="14">
      <c r="A330" s="149">
        <v>329</v>
      </c>
      <c r="B330" s="235" t="s">
        <v>52</v>
      </c>
      <c r="C330" s="231" t="s">
        <v>10</v>
      </c>
      <c r="D330" s="250" t="s">
        <v>1159</v>
      </c>
      <c r="E330" s="281">
        <v>0</v>
      </c>
      <c r="F330" s="249">
        <v>2500</v>
      </c>
      <c r="G330" s="164">
        <f t="shared" si="36"/>
        <v>14.685714285714287</v>
      </c>
      <c r="H330" s="165">
        <f t="shared" si="37"/>
        <v>29.371428571428574</v>
      </c>
      <c r="I330" s="165">
        <f t="shared" si="38"/>
        <v>22.028571428571428</v>
      </c>
      <c r="J330" s="166">
        <f t="shared" si="39"/>
        <v>36.714285714285715</v>
      </c>
      <c r="K330" s="166">
        <f t="shared" si="41"/>
        <v>36.714285714285715</v>
      </c>
      <c r="L330" s="165">
        <f t="shared" si="40"/>
        <v>1.625</v>
      </c>
      <c r="M330" s="168">
        <f t="shared" si="35"/>
        <v>0</v>
      </c>
      <c r="N330" s="236" t="s">
        <v>453</v>
      </c>
    </row>
    <row r="331" spans="1:14" ht="14">
      <c r="A331" s="149">
        <v>330</v>
      </c>
      <c r="B331" s="235" t="s">
        <v>52</v>
      </c>
      <c r="C331" s="231" t="s">
        <v>10</v>
      </c>
      <c r="D331" s="250" t="s">
        <v>1161</v>
      </c>
      <c r="E331" s="281">
        <v>0</v>
      </c>
      <c r="F331" s="249">
        <v>2150</v>
      </c>
      <c r="G331" s="164">
        <f t="shared" si="36"/>
        <v>12.685714285714287</v>
      </c>
      <c r="H331" s="165">
        <f t="shared" si="37"/>
        <v>25.371428571428574</v>
      </c>
      <c r="I331" s="165">
        <f t="shared" si="38"/>
        <v>19.028571428571428</v>
      </c>
      <c r="J331" s="166">
        <f t="shared" si="39"/>
        <v>31.714285714285715</v>
      </c>
      <c r="K331" s="166">
        <f t="shared" si="41"/>
        <v>31.714285714285715</v>
      </c>
      <c r="L331" s="165">
        <f t="shared" si="40"/>
        <v>1.5375000000000001</v>
      </c>
      <c r="M331" s="168">
        <f t="shared" si="35"/>
        <v>0</v>
      </c>
      <c r="N331" s="236" t="s">
        <v>453</v>
      </c>
    </row>
    <row r="332" spans="1:14" ht="14">
      <c r="A332" s="149">
        <v>331</v>
      </c>
      <c r="B332" s="235" t="s">
        <v>52</v>
      </c>
      <c r="C332" s="231" t="s">
        <v>10</v>
      </c>
      <c r="D332" s="250" t="s">
        <v>1163</v>
      </c>
      <c r="E332" s="281">
        <v>0</v>
      </c>
      <c r="F332" s="249">
        <v>800</v>
      </c>
      <c r="G332" s="164">
        <f t="shared" si="36"/>
        <v>4.9714285714285715</v>
      </c>
      <c r="H332" s="165">
        <f t="shared" si="37"/>
        <v>9.9428571428571431</v>
      </c>
      <c r="I332" s="165">
        <f t="shared" si="38"/>
        <v>7.4571428571428573</v>
      </c>
      <c r="J332" s="166">
        <f t="shared" si="39"/>
        <v>12.428571428571429</v>
      </c>
      <c r="K332" s="166">
        <f t="shared" si="41"/>
        <v>12.428571428571429</v>
      </c>
      <c r="L332" s="165">
        <f t="shared" si="40"/>
        <v>1.2</v>
      </c>
      <c r="M332" s="168">
        <f t="shared" si="35"/>
        <v>0</v>
      </c>
      <c r="N332" s="236" t="s">
        <v>453</v>
      </c>
    </row>
    <row r="333" spans="1:14" ht="14">
      <c r="A333" s="149">
        <v>332</v>
      </c>
      <c r="B333" s="235" t="s">
        <v>52</v>
      </c>
      <c r="C333" s="231" t="s">
        <v>10</v>
      </c>
      <c r="D333" s="250" t="s">
        <v>1165</v>
      </c>
      <c r="E333" s="281">
        <v>0</v>
      </c>
      <c r="F333" s="249">
        <v>950</v>
      </c>
      <c r="G333" s="164">
        <f t="shared" si="36"/>
        <v>5.8285714285714292</v>
      </c>
      <c r="H333" s="165">
        <f t="shared" si="37"/>
        <v>11.657142857142858</v>
      </c>
      <c r="I333" s="165">
        <f t="shared" si="38"/>
        <v>8.742857142857142</v>
      </c>
      <c r="J333" s="166">
        <f t="shared" si="39"/>
        <v>14.571428571428571</v>
      </c>
      <c r="K333" s="166">
        <f t="shared" si="41"/>
        <v>14.571428571428571</v>
      </c>
      <c r="L333" s="165">
        <f t="shared" si="40"/>
        <v>1.2375</v>
      </c>
      <c r="M333" s="168">
        <f t="shared" si="35"/>
        <v>0</v>
      </c>
      <c r="N333" s="236" t="s">
        <v>453</v>
      </c>
    </row>
    <row r="334" spans="1:14" ht="14">
      <c r="A334" s="149">
        <v>333</v>
      </c>
      <c r="B334" s="235" t="s">
        <v>52</v>
      </c>
      <c r="C334" s="231" t="s">
        <v>10</v>
      </c>
      <c r="D334" s="250" t="s">
        <v>1167</v>
      </c>
      <c r="E334" s="281">
        <v>0</v>
      </c>
      <c r="F334" s="249">
        <v>1800</v>
      </c>
      <c r="G334" s="164">
        <f t="shared" si="36"/>
        <v>10.685714285714287</v>
      </c>
      <c r="H334" s="165">
        <f t="shared" si="37"/>
        <v>21.371428571428574</v>
      </c>
      <c r="I334" s="165">
        <f t="shared" si="38"/>
        <v>16.028571428571428</v>
      </c>
      <c r="J334" s="166">
        <f t="shared" si="39"/>
        <v>26.714285714285715</v>
      </c>
      <c r="K334" s="166">
        <f t="shared" si="41"/>
        <v>26.714285714285715</v>
      </c>
      <c r="L334" s="165">
        <f t="shared" si="40"/>
        <v>1.45</v>
      </c>
      <c r="M334" s="168">
        <f t="shared" si="35"/>
        <v>0</v>
      </c>
      <c r="N334" s="236" t="s">
        <v>453</v>
      </c>
    </row>
    <row r="335" spans="1:14" ht="14">
      <c r="A335" s="149">
        <v>334</v>
      </c>
      <c r="B335" s="235" t="s">
        <v>52</v>
      </c>
      <c r="C335" s="231" t="s">
        <v>10</v>
      </c>
      <c r="D335" s="250" t="s">
        <v>1169</v>
      </c>
      <c r="E335" s="281">
        <v>0</v>
      </c>
      <c r="F335" s="249">
        <v>1000</v>
      </c>
      <c r="G335" s="164">
        <f t="shared" si="36"/>
        <v>6.1142857142857148</v>
      </c>
      <c r="H335" s="165">
        <f t="shared" si="37"/>
        <v>12.22857142857143</v>
      </c>
      <c r="I335" s="165">
        <f t="shared" si="38"/>
        <v>9.1714285714285708</v>
      </c>
      <c r="J335" s="166">
        <f t="shared" si="39"/>
        <v>15.285714285714285</v>
      </c>
      <c r="K335" s="166">
        <f t="shared" si="41"/>
        <v>15.285714285714285</v>
      </c>
      <c r="L335" s="165">
        <f t="shared" si="40"/>
        <v>1.25</v>
      </c>
      <c r="M335" s="168">
        <f t="shared" si="35"/>
        <v>0</v>
      </c>
      <c r="N335" s="236" t="s">
        <v>453</v>
      </c>
    </row>
    <row r="336" spans="1:14" ht="14">
      <c r="A336" s="149">
        <v>335</v>
      </c>
      <c r="B336" s="235" t="s">
        <v>52</v>
      </c>
      <c r="C336" s="231" t="s">
        <v>10</v>
      </c>
      <c r="D336" s="250" t="s">
        <v>1171</v>
      </c>
      <c r="E336" s="281">
        <v>0</v>
      </c>
      <c r="F336" s="249">
        <v>380</v>
      </c>
      <c r="G336" s="164">
        <f t="shared" si="36"/>
        <v>2.5714285714285716</v>
      </c>
      <c r="H336" s="165">
        <f t="shared" si="37"/>
        <v>5.1428571428571432</v>
      </c>
      <c r="I336" s="165">
        <f t="shared" si="38"/>
        <v>3.8571428571428572</v>
      </c>
      <c r="J336" s="166">
        <f t="shared" si="39"/>
        <v>6.4285714285714288</v>
      </c>
      <c r="K336" s="166">
        <f t="shared" si="41"/>
        <v>6.4285714285714288</v>
      </c>
      <c r="L336" s="165">
        <f t="shared" si="40"/>
        <v>1.095</v>
      </c>
      <c r="M336" s="168">
        <f t="shared" si="35"/>
        <v>0</v>
      </c>
      <c r="N336" s="236" t="s">
        <v>453</v>
      </c>
    </row>
    <row r="337" spans="1:14" ht="14">
      <c r="A337" s="149">
        <v>336</v>
      </c>
      <c r="B337" s="235" t="s">
        <v>52</v>
      </c>
      <c r="C337" s="231" t="s">
        <v>10</v>
      </c>
      <c r="D337" s="250" t="s">
        <v>1173</v>
      </c>
      <c r="E337" s="281">
        <v>0</v>
      </c>
      <c r="F337" s="249">
        <v>500</v>
      </c>
      <c r="G337" s="164">
        <f t="shared" si="36"/>
        <v>3.2571428571428571</v>
      </c>
      <c r="H337" s="165">
        <f t="shared" si="37"/>
        <v>6.5142857142857142</v>
      </c>
      <c r="I337" s="165">
        <f t="shared" si="38"/>
        <v>4.8857142857142852</v>
      </c>
      <c r="J337" s="166">
        <f t="shared" si="39"/>
        <v>8.1428571428571423</v>
      </c>
      <c r="K337" s="166">
        <f t="shared" si="41"/>
        <v>8.1428571428571423</v>
      </c>
      <c r="L337" s="165">
        <f t="shared" si="40"/>
        <v>1.125</v>
      </c>
      <c r="M337" s="168">
        <f t="shared" si="35"/>
        <v>0</v>
      </c>
      <c r="N337" s="236" t="s">
        <v>453</v>
      </c>
    </row>
    <row r="338" spans="1:14" ht="14">
      <c r="A338" s="149">
        <v>337</v>
      </c>
      <c r="B338" s="235" t="s">
        <v>52</v>
      </c>
      <c r="C338" s="231" t="s">
        <v>10</v>
      </c>
      <c r="D338" s="250" t="s">
        <v>1175</v>
      </c>
      <c r="E338" s="281">
        <v>0</v>
      </c>
      <c r="F338" s="249">
        <v>1200</v>
      </c>
      <c r="G338" s="164">
        <f t="shared" si="36"/>
        <v>7.2571428571428571</v>
      </c>
      <c r="H338" s="165">
        <f t="shared" si="37"/>
        <v>14.514285714285714</v>
      </c>
      <c r="I338" s="165">
        <f t="shared" si="38"/>
        <v>10.885714285714284</v>
      </c>
      <c r="J338" s="166">
        <f t="shared" si="39"/>
        <v>18.142857142857142</v>
      </c>
      <c r="K338" s="166">
        <f t="shared" si="41"/>
        <v>18.142857142857142</v>
      </c>
      <c r="L338" s="165">
        <f t="shared" si="40"/>
        <v>1.3</v>
      </c>
      <c r="M338" s="168">
        <f t="shared" si="35"/>
        <v>0</v>
      </c>
      <c r="N338" s="236" t="s">
        <v>453</v>
      </c>
    </row>
    <row r="339" spans="1:14" ht="14">
      <c r="A339" s="149">
        <v>338</v>
      </c>
      <c r="B339" s="235" t="s">
        <v>52</v>
      </c>
      <c r="C339" s="231" t="s">
        <v>10</v>
      </c>
      <c r="D339" s="250" t="s">
        <v>1177</v>
      </c>
      <c r="E339" s="281">
        <v>0</v>
      </c>
      <c r="F339" s="249">
        <v>500</v>
      </c>
      <c r="G339" s="164">
        <f t="shared" si="36"/>
        <v>3.2571428571428571</v>
      </c>
      <c r="H339" s="165">
        <f t="shared" si="37"/>
        <v>6.5142857142857142</v>
      </c>
      <c r="I339" s="165">
        <f t="shared" si="38"/>
        <v>4.8857142857142852</v>
      </c>
      <c r="J339" s="166">
        <f t="shared" si="39"/>
        <v>8.1428571428571423</v>
      </c>
      <c r="K339" s="166">
        <f t="shared" si="41"/>
        <v>8.1428571428571423</v>
      </c>
      <c r="L339" s="165">
        <f t="shared" si="40"/>
        <v>1.125</v>
      </c>
      <c r="M339" s="168">
        <f t="shared" si="35"/>
        <v>0</v>
      </c>
      <c r="N339" s="236" t="s">
        <v>453</v>
      </c>
    </row>
    <row r="340" spans="1:14" ht="14">
      <c r="A340" s="149">
        <v>339</v>
      </c>
      <c r="B340" s="235" t="s">
        <v>52</v>
      </c>
      <c r="C340" s="231" t="s">
        <v>10</v>
      </c>
      <c r="D340" s="250" t="s">
        <v>1179</v>
      </c>
      <c r="E340" s="281">
        <v>0</v>
      </c>
      <c r="F340" s="249">
        <v>600</v>
      </c>
      <c r="G340" s="164">
        <f t="shared" si="36"/>
        <v>3.8285714285714287</v>
      </c>
      <c r="H340" s="165">
        <f t="shared" si="37"/>
        <v>7.6571428571428575</v>
      </c>
      <c r="I340" s="165">
        <f t="shared" si="38"/>
        <v>5.7428571428571429</v>
      </c>
      <c r="J340" s="166">
        <f t="shared" si="39"/>
        <v>9.5714285714285712</v>
      </c>
      <c r="K340" s="166">
        <f t="shared" si="41"/>
        <v>9.5714285714285712</v>
      </c>
      <c r="L340" s="165">
        <f t="shared" si="40"/>
        <v>1.1499999999999999</v>
      </c>
      <c r="M340" s="168">
        <f t="shared" si="35"/>
        <v>0</v>
      </c>
      <c r="N340" s="236" t="s">
        <v>453</v>
      </c>
    </row>
    <row r="341" spans="1:14" ht="14">
      <c r="A341" s="149">
        <v>340</v>
      </c>
      <c r="B341" s="235" t="s">
        <v>52</v>
      </c>
      <c r="C341" s="231" t="s">
        <v>10</v>
      </c>
      <c r="D341" s="250" t="s">
        <v>1181</v>
      </c>
      <c r="E341" s="281">
        <v>0</v>
      </c>
      <c r="F341" s="249">
        <v>800</v>
      </c>
      <c r="G341" s="164">
        <f t="shared" si="36"/>
        <v>4.9714285714285715</v>
      </c>
      <c r="H341" s="165">
        <f t="shared" si="37"/>
        <v>9.9428571428571431</v>
      </c>
      <c r="I341" s="165">
        <f t="shared" si="38"/>
        <v>7.4571428571428573</v>
      </c>
      <c r="J341" s="166">
        <f t="shared" si="39"/>
        <v>12.428571428571429</v>
      </c>
      <c r="K341" s="166">
        <f t="shared" si="41"/>
        <v>12.428571428571429</v>
      </c>
      <c r="L341" s="165">
        <f t="shared" si="40"/>
        <v>1.2</v>
      </c>
      <c r="M341" s="168">
        <f t="shared" si="35"/>
        <v>0</v>
      </c>
      <c r="N341" s="236" t="s">
        <v>453</v>
      </c>
    </row>
    <row r="342" spans="1:14" ht="14">
      <c r="A342" s="149">
        <v>341</v>
      </c>
      <c r="B342" s="235" t="s">
        <v>52</v>
      </c>
      <c r="C342" s="231" t="s">
        <v>10</v>
      </c>
      <c r="D342" s="250" t="s">
        <v>1183</v>
      </c>
      <c r="E342" s="281">
        <v>0</v>
      </c>
      <c r="F342" s="249">
        <v>1800</v>
      </c>
      <c r="G342" s="164">
        <f t="shared" si="36"/>
        <v>10.685714285714287</v>
      </c>
      <c r="H342" s="165">
        <f t="shared" si="37"/>
        <v>21.371428571428574</v>
      </c>
      <c r="I342" s="165">
        <f t="shared" si="38"/>
        <v>16.028571428571428</v>
      </c>
      <c r="J342" s="166">
        <f t="shared" si="39"/>
        <v>26.714285714285715</v>
      </c>
      <c r="K342" s="166">
        <f t="shared" si="41"/>
        <v>26.714285714285715</v>
      </c>
      <c r="L342" s="165">
        <f t="shared" si="40"/>
        <v>1.45</v>
      </c>
      <c r="M342" s="168">
        <f t="shared" si="35"/>
        <v>0</v>
      </c>
      <c r="N342" s="236" t="s">
        <v>453</v>
      </c>
    </row>
    <row r="343" spans="1:14" ht="14">
      <c r="A343" s="149">
        <v>342</v>
      </c>
      <c r="B343" s="235" t="s">
        <v>52</v>
      </c>
      <c r="C343" s="231" t="s">
        <v>10</v>
      </c>
      <c r="D343" s="250" t="s">
        <v>1185</v>
      </c>
      <c r="E343" s="281">
        <v>0</v>
      </c>
      <c r="F343" s="249">
        <v>800</v>
      </c>
      <c r="G343" s="164">
        <f t="shared" si="36"/>
        <v>4.9714285714285715</v>
      </c>
      <c r="H343" s="165">
        <f t="shared" si="37"/>
        <v>9.9428571428571431</v>
      </c>
      <c r="I343" s="165">
        <f t="shared" si="38"/>
        <v>7.4571428571428573</v>
      </c>
      <c r="J343" s="166">
        <f t="shared" si="39"/>
        <v>12.428571428571429</v>
      </c>
      <c r="K343" s="166">
        <f t="shared" si="41"/>
        <v>12.428571428571429</v>
      </c>
      <c r="L343" s="165">
        <f t="shared" si="40"/>
        <v>1.2</v>
      </c>
      <c r="M343" s="168">
        <f t="shared" si="35"/>
        <v>0</v>
      </c>
      <c r="N343" s="236" t="s">
        <v>453</v>
      </c>
    </row>
    <row r="344" spans="1:14" ht="14">
      <c r="A344" s="149">
        <v>343</v>
      </c>
      <c r="B344" s="235" t="s">
        <v>52</v>
      </c>
      <c r="C344" s="231" t="s">
        <v>10</v>
      </c>
      <c r="D344" s="250" t="s">
        <v>1187</v>
      </c>
      <c r="E344" s="281">
        <v>0</v>
      </c>
      <c r="F344" s="249">
        <v>500</v>
      </c>
      <c r="G344" s="164">
        <f t="shared" si="36"/>
        <v>3.2571428571428571</v>
      </c>
      <c r="H344" s="165">
        <f t="shared" si="37"/>
        <v>6.5142857142857142</v>
      </c>
      <c r="I344" s="165">
        <f t="shared" si="38"/>
        <v>4.8857142857142852</v>
      </c>
      <c r="J344" s="166">
        <f t="shared" si="39"/>
        <v>8.1428571428571423</v>
      </c>
      <c r="K344" s="166">
        <f t="shared" si="41"/>
        <v>8.1428571428571423</v>
      </c>
      <c r="L344" s="165">
        <f t="shared" si="40"/>
        <v>1.125</v>
      </c>
      <c r="M344" s="168">
        <f t="shared" si="35"/>
        <v>0</v>
      </c>
      <c r="N344" s="236" t="s">
        <v>453</v>
      </c>
    </row>
    <row r="345" spans="1:14" ht="14">
      <c r="A345" s="149">
        <v>344</v>
      </c>
      <c r="B345" s="235" t="s">
        <v>52</v>
      </c>
      <c r="C345" s="231" t="s">
        <v>10</v>
      </c>
      <c r="D345" s="250" t="s">
        <v>1189</v>
      </c>
      <c r="E345" s="281">
        <v>0</v>
      </c>
      <c r="F345" s="249">
        <v>600</v>
      </c>
      <c r="G345" s="164">
        <f t="shared" si="36"/>
        <v>3.8285714285714287</v>
      </c>
      <c r="H345" s="165">
        <f t="shared" si="37"/>
        <v>7.6571428571428575</v>
      </c>
      <c r="I345" s="165">
        <f t="shared" si="38"/>
        <v>5.7428571428571429</v>
      </c>
      <c r="J345" s="166">
        <f t="shared" si="39"/>
        <v>9.5714285714285712</v>
      </c>
      <c r="K345" s="166">
        <f t="shared" si="41"/>
        <v>9.5714285714285712</v>
      </c>
      <c r="L345" s="165">
        <f t="shared" si="40"/>
        <v>1.1499999999999999</v>
      </c>
      <c r="M345" s="168">
        <f t="shared" si="35"/>
        <v>0</v>
      </c>
      <c r="N345" s="236" t="s">
        <v>453</v>
      </c>
    </row>
    <row r="346" spans="1:14" ht="14">
      <c r="A346" s="149">
        <v>345</v>
      </c>
      <c r="B346" s="235" t="s">
        <v>52</v>
      </c>
      <c r="C346" s="231" t="s">
        <v>10</v>
      </c>
      <c r="D346" s="250" t="s">
        <v>1191</v>
      </c>
      <c r="E346" s="281">
        <v>0</v>
      </c>
      <c r="F346" s="249">
        <v>2500</v>
      </c>
      <c r="G346" s="164">
        <f t="shared" si="36"/>
        <v>14.685714285714287</v>
      </c>
      <c r="H346" s="165">
        <f t="shared" si="37"/>
        <v>29.371428571428574</v>
      </c>
      <c r="I346" s="165">
        <f t="shared" si="38"/>
        <v>22.028571428571428</v>
      </c>
      <c r="J346" s="166">
        <f t="shared" si="39"/>
        <v>36.714285714285715</v>
      </c>
      <c r="K346" s="166">
        <f t="shared" si="41"/>
        <v>36.714285714285715</v>
      </c>
      <c r="L346" s="165">
        <f t="shared" si="40"/>
        <v>1.625</v>
      </c>
      <c r="M346" s="168">
        <f t="shared" si="35"/>
        <v>0</v>
      </c>
      <c r="N346" s="236" t="s">
        <v>453</v>
      </c>
    </row>
    <row r="347" spans="1:14" ht="14">
      <c r="A347" s="149">
        <v>346</v>
      </c>
      <c r="B347" s="235" t="s">
        <v>52</v>
      </c>
      <c r="C347" s="231" t="s">
        <v>10</v>
      </c>
      <c r="D347" s="250" t="s">
        <v>1193</v>
      </c>
      <c r="E347" s="281">
        <v>0</v>
      </c>
      <c r="F347" s="249">
        <v>700</v>
      </c>
      <c r="G347" s="164">
        <f t="shared" si="36"/>
        <v>4.4000000000000004</v>
      </c>
      <c r="H347" s="165">
        <f t="shared" si="37"/>
        <v>8.8000000000000007</v>
      </c>
      <c r="I347" s="165">
        <f t="shared" si="38"/>
        <v>6.6</v>
      </c>
      <c r="J347" s="166">
        <f t="shared" si="39"/>
        <v>11</v>
      </c>
      <c r="K347" s="166">
        <f t="shared" si="41"/>
        <v>11</v>
      </c>
      <c r="L347" s="165">
        <f t="shared" si="40"/>
        <v>1.175</v>
      </c>
      <c r="M347" s="168">
        <f t="shared" si="35"/>
        <v>0</v>
      </c>
      <c r="N347" s="236" t="s">
        <v>453</v>
      </c>
    </row>
    <row r="348" spans="1:14" ht="14">
      <c r="A348" s="149">
        <v>347</v>
      </c>
      <c r="B348" s="235" t="s">
        <v>52</v>
      </c>
      <c r="C348" s="231" t="s">
        <v>10</v>
      </c>
      <c r="D348" s="250" t="s">
        <v>1195</v>
      </c>
      <c r="E348" s="281">
        <v>0</v>
      </c>
      <c r="F348" s="249">
        <v>400</v>
      </c>
      <c r="G348" s="164">
        <f t="shared" si="36"/>
        <v>2.6857142857142859</v>
      </c>
      <c r="H348" s="165">
        <f t="shared" si="37"/>
        <v>5.3714285714285719</v>
      </c>
      <c r="I348" s="165">
        <f t="shared" si="38"/>
        <v>4.0285714285714285</v>
      </c>
      <c r="J348" s="166">
        <f t="shared" si="39"/>
        <v>6.7142857142857144</v>
      </c>
      <c r="K348" s="166">
        <f t="shared" si="41"/>
        <v>6.7142857142857144</v>
      </c>
      <c r="L348" s="165">
        <f t="shared" si="40"/>
        <v>1.1000000000000001</v>
      </c>
      <c r="M348" s="168">
        <f t="shared" si="35"/>
        <v>0</v>
      </c>
      <c r="N348" s="236" t="s">
        <v>453</v>
      </c>
    </row>
    <row r="349" spans="1:14" ht="14">
      <c r="A349" s="149">
        <v>348</v>
      </c>
      <c r="B349" s="235" t="s">
        <v>52</v>
      </c>
      <c r="C349" s="231" t="s">
        <v>10</v>
      </c>
      <c r="D349" s="250" t="s">
        <v>1197</v>
      </c>
      <c r="E349" s="281">
        <v>0</v>
      </c>
      <c r="F349" s="249">
        <v>400</v>
      </c>
      <c r="G349" s="164">
        <f t="shared" si="36"/>
        <v>2.6857142857142859</v>
      </c>
      <c r="H349" s="165">
        <f t="shared" si="37"/>
        <v>5.3714285714285719</v>
      </c>
      <c r="I349" s="165">
        <f t="shared" si="38"/>
        <v>4.0285714285714285</v>
      </c>
      <c r="J349" s="166">
        <f t="shared" si="39"/>
        <v>6.7142857142857144</v>
      </c>
      <c r="K349" s="166">
        <f t="shared" si="41"/>
        <v>6.7142857142857144</v>
      </c>
      <c r="L349" s="165">
        <f t="shared" si="40"/>
        <v>1.1000000000000001</v>
      </c>
      <c r="M349" s="168">
        <f t="shared" si="35"/>
        <v>0</v>
      </c>
      <c r="N349" s="236" t="s">
        <v>453</v>
      </c>
    </row>
    <row r="350" spans="1:14" ht="14">
      <c r="A350" s="149">
        <v>349</v>
      </c>
      <c r="B350" s="235" t="s">
        <v>52</v>
      </c>
      <c r="C350" s="231" t="s">
        <v>10</v>
      </c>
      <c r="D350" s="250" t="s">
        <v>1199</v>
      </c>
      <c r="E350" s="281">
        <v>0</v>
      </c>
      <c r="F350" s="249">
        <v>900</v>
      </c>
      <c r="G350" s="164">
        <f t="shared" si="36"/>
        <v>5.5428571428571436</v>
      </c>
      <c r="H350" s="165">
        <f t="shared" si="37"/>
        <v>11.085714285714287</v>
      </c>
      <c r="I350" s="165">
        <f t="shared" si="38"/>
        <v>8.3142857142857149</v>
      </c>
      <c r="J350" s="166">
        <f t="shared" si="39"/>
        <v>13.857142857142858</v>
      </c>
      <c r="K350" s="166">
        <f t="shared" si="41"/>
        <v>13.857142857142858</v>
      </c>
      <c r="L350" s="165">
        <f t="shared" si="40"/>
        <v>1.2250000000000001</v>
      </c>
      <c r="M350" s="168">
        <f t="shared" si="35"/>
        <v>0</v>
      </c>
      <c r="N350" s="236" t="s">
        <v>453</v>
      </c>
    </row>
    <row r="351" spans="1:14" ht="14">
      <c r="A351" s="149">
        <v>350</v>
      </c>
      <c r="B351" s="235" t="s">
        <v>52</v>
      </c>
      <c r="C351" s="231" t="s">
        <v>10</v>
      </c>
      <c r="D351" s="250" t="s">
        <v>1201</v>
      </c>
      <c r="E351" s="281">
        <v>0</v>
      </c>
      <c r="F351" s="249">
        <v>150</v>
      </c>
      <c r="G351" s="164">
        <f t="shared" si="36"/>
        <v>1.2571428571428571</v>
      </c>
      <c r="H351" s="165">
        <f t="shared" si="37"/>
        <v>2.5142857142857142</v>
      </c>
      <c r="I351" s="165">
        <f t="shared" si="38"/>
        <v>1.8857142857142857</v>
      </c>
      <c r="J351" s="166">
        <f t="shared" si="39"/>
        <v>3.1428571428571428</v>
      </c>
      <c r="K351" s="166">
        <f t="shared" si="41"/>
        <v>3.1428571428571428</v>
      </c>
      <c r="L351" s="165">
        <f t="shared" si="40"/>
        <v>1.0375000000000001</v>
      </c>
      <c r="M351" s="168">
        <f t="shared" si="35"/>
        <v>0</v>
      </c>
      <c r="N351" s="236" t="s">
        <v>453</v>
      </c>
    </row>
    <row r="352" spans="1:14" ht="14">
      <c r="A352" s="149">
        <v>351</v>
      </c>
      <c r="B352" s="235" t="s">
        <v>52</v>
      </c>
      <c r="C352" s="231" t="s">
        <v>10</v>
      </c>
      <c r="D352" s="250" t="s">
        <v>1203</v>
      </c>
      <c r="E352" s="281">
        <v>0</v>
      </c>
      <c r="F352" s="249">
        <v>250</v>
      </c>
      <c r="G352" s="164">
        <f t="shared" si="36"/>
        <v>1.8285714285714285</v>
      </c>
      <c r="H352" s="165">
        <f t="shared" si="37"/>
        <v>3.657142857142857</v>
      </c>
      <c r="I352" s="165">
        <f t="shared" si="38"/>
        <v>2.7428571428571424</v>
      </c>
      <c r="J352" s="166">
        <f t="shared" si="39"/>
        <v>4.5714285714285712</v>
      </c>
      <c r="K352" s="166">
        <f t="shared" si="41"/>
        <v>4.5714285714285712</v>
      </c>
      <c r="L352" s="165">
        <f t="shared" si="40"/>
        <v>1.0625</v>
      </c>
      <c r="M352" s="168">
        <f t="shared" si="35"/>
        <v>0</v>
      </c>
      <c r="N352" s="236" t="s">
        <v>453</v>
      </c>
    </row>
    <row r="353" spans="1:14" ht="14">
      <c r="A353" s="149">
        <v>352</v>
      </c>
      <c r="B353" s="235" t="s">
        <v>52</v>
      </c>
      <c r="C353" s="231" t="s">
        <v>10</v>
      </c>
      <c r="D353" s="250" t="s">
        <v>1205</v>
      </c>
      <c r="E353" s="281">
        <v>0</v>
      </c>
      <c r="F353" s="249">
        <v>100</v>
      </c>
      <c r="G353" s="164">
        <f t="shared" si="36"/>
        <v>0.97142857142857153</v>
      </c>
      <c r="H353" s="165">
        <f t="shared" si="37"/>
        <v>1.9428571428571431</v>
      </c>
      <c r="I353" s="165">
        <f t="shared" si="38"/>
        <v>1.4571428571428573</v>
      </c>
      <c r="J353" s="166">
        <f t="shared" si="39"/>
        <v>2.4285714285714288</v>
      </c>
      <c r="K353" s="166">
        <f t="shared" si="41"/>
        <v>2.4285714285714288</v>
      </c>
      <c r="L353" s="165">
        <f t="shared" si="40"/>
        <v>1.0249999999999999</v>
      </c>
      <c r="M353" s="168">
        <f t="shared" si="35"/>
        <v>0</v>
      </c>
      <c r="N353" s="236" t="s">
        <v>453</v>
      </c>
    </row>
    <row r="354" spans="1:14" ht="14">
      <c r="A354" s="149">
        <v>353</v>
      </c>
      <c r="B354" s="235" t="s">
        <v>52</v>
      </c>
      <c r="C354" s="231" t="s">
        <v>10</v>
      </c>
      <c r="D354" s="250" t="s">
        <v>1207</v>
      </c>
      <c r="E354" s="281">
        <v>0</v>
      </c>
      <c r="F354" s="249">
        <v>350</v>
      </c>
      <c r="G354" s="164">
        <f t="shared" si="36"/>
        <v>2.4000000000000004</v>
      </c>
      <c r="H354" s="165">
        <f t="shared" si="37"/>
        <v>4.8000000000000007</v>
      </c>
      <c r="I354" s="165">
        <f t="shared" si="38"/>
        <v>3.5999999999999996</v>
      </c>
      <c r="J354" s="166">
        <f t="shared" si="39"/>
        <v>6</v>
      </c>
      <c r="K354" s="166">
        <f t="shared" si="41"/>
        <v>6</v>
      </c>
      <c r="L354" s="165">
        <f t="shared" si="40"/>
        <v>1.0874999999999999</v>
      </c>
      <c r="M354" s="168">
        <f t="shared" si="35"/>
        <v>0</v>
      </c>
      <c r="N354" s="236" t="s">
        <v>453</v>
      </c>
    </row>
    <row r="355" spans="1:14" ht="14">
      <c r="A355" s="149">
        <v>354</v>
      </c>
      <c r="B355" s="235" t="s">
        <v>52</v>
      </c>
      <c r="C355" s="231" t="s">
        <v>10</v>
      </c>
      <c r="D355" s="250" t="s">
        <v>1209</v>
      </c>
      <c r="E355" s="281">
        <v>0</v>
      </c>
      <c r="F355" s="249">
        <v>5000</v>
      </c>
      <c r="G355" s="164">
        <f t="shared" si="36"/>
        <v>28.971428571428575</v>
      </c>
      <c r="H355" s="165">
        <f t="shared" si="37"/>
        <v>57.94285714285715</v>
      </c>
      <c r="I355" s="165">
        <f t="shared" si="38"/>
        <v>43.457142857142856</v>
      </c>
      <c r="J355" s="166">
        <f t="shared" si="39"/>
        <v>72.428571428571431</v>
      </c>
      <c r="K355" s="166">
        <f t="shared" si="41"/>
        <v>72.428571428571431</v>
      </c>
      <c r="L355" s="165">
        <f t="shared" si="40"/>
        <v>2.25</v>
      </c>
      <c r="M355" s="168">
        <f t="shared" si="35"/>
        <v>0</v>
      </c>
      <c r="N355" s="236" t="s">
        <v>453</v>
      </c>
    </row>
    <row r="356" spans="1:14" ht="14">
      <c r="A356" s="149">
        <v>355</v>
      </c>
      <c r="B356" s="235" t="s">
        <v>52</v>
      </c>
      <c r="C356" s="231" t="s">
        <v>10</v>
      </c>
      <c r="D356" s="250" t="s">
        <v>1211</v>
      </c>
      <c r="E356" s="281">
        <v>0</v>
      </c>
      <c r="F356" s="249">
        <v>450</v>
      </c>
      <c r="G356" s="164">
        <f t="shared" si="36"/>
        <v>2.9714285714285715</v>
      </c>
      <c r="H356" s="165">
        <f t="shared" si="37"/>
        <v>5.9428571428571431</v>
      </c>
      <c r="I356" s="165">
        <f t="shared" si="38"/>
        <v>4.4571428571428573</v>
      </c>
      <c r="J356" s="166">
        <f t="shared" si="39"/>
        <v>7.4285714285714288</v>
      </c>
      <c r="K356" s="166">
        <f t="shared" si="41"/>
        <v>7.4285714285714288</v>
      </c>
      <c r="L356" s="165">
        <f t="shared" si="40"/>
        <v>1.1125</v>
      </c>
      <c r="M356" s="168">
        <f t="shared" si="35"/>
        <v>0</v>
      </c>
      <c r="N356" s="236" t="s">
        <v>453</v>
      </c>
    </row>
    <row r="357" spans="1:14" ht="14">
      <c r="A357" s="149">
        <v>356</v>
      </c>
      <c r="B357" s="235" t="s">
        <v>52</v>
      </c>
      <c r="C357" s="231" t="s">
        <v>10</v>
      </c>
      <c r="D357" s="250" t="s">
        <v>1213</v>
      </c>
      <c r="E357" s="281">
        <v>0</v>
      </c>
      <c r="F357" s="249">
        <v>200</v>
      </c>
      <c r="G357" s="164">
        <f t="shared" si="36"/>
        <v>1.5428571428571429</v>
      </c>
      <c r="H357" s="165">
        <f t="shared" si="37"/>
        <v>3.0857142857142859</v>
      </c>
      <c r="I357" s="165">
        <f t="shared" si="38"/>
        <v>2.3142857142857141</v>
      </c>
      <c r="J357" s="166">
        <f t="shared" si="39"/>
        <v>3.8571428571428568</v>
      </c>
      <c r="K357" s="166">
        <f t="shared" si="41"/>
        <v>3.8571428571428568</v>
      </c>
      <c r="L357" s="165">
        <f t="shared" si="40"/>
        <v>1.05</v>
      </c>
      <c r="M357" s="168">
        <f t="shared" si="35"/>
        <v>0</v>
      </c>
      <c r="N357" s="236" t="s">
        <v>453</v>
      </c>
    </row>
    <row r="358" spans="1:14" ht="14">
      <c r="A358" s="149">
        <v>357</v>
      </c>
      <c r="B358" s="235" t="s">
        <v>52</v>
      </c>
      <c r="C358" s="231" t="s">
        <v>10</v>
      </c>
      <c r="D358" s="250" t="s">
        <v>1215</v>
      </c>
      <c r="E358" s="281">
        <v>0</v>
      </c>
      <c r="F358" s="249">
        <v>650</v>
      </c>
      <c r="G358" s="164">
        <f t="shared" si="36"/>
        <v>4.1142857142857148</v>
      </c>
      <c r="H358" s="165">
        <f t="shared" si="37"/>
        <v>8.2285714285714295</v>
      </c>
      <c r="I358" s="165">
        <f t="shared" si="38"/>
        <v>6.1714285714285717</v>
      </c>
      <c r="J358" s="166">
        <f t="shared" si="39"/>
        <v>10.285714285714286</v>
      </c>
      <c r="K358" s="166">
        <f t="shared" si="41"/>
        <v>10.285714285714286</v>
      </c>
      <c r="L358" s="165">
        <f t="shared" si="40"/>
        <v>1.1625000000000001</v>
      </c>
      <c r="M358" s="168">
        <f t="shared" si="35"/>
        <v>0</v>
      </c>
      <c r="N358" s="236" t="s">
        <v>453</v>
      </c>
    </row>
    <row r="359" spans="1:14" ht="14">
      <c r="A359" s="149">
        <v>358</v>
      </c>
      <c r="B359" s="235" t="s">
        <v>52</v>
      </c>
      <c r="C359" s="231" t="s">
        <v>10</v>
      </c>
      <c r="D359" s="250" t="s">
        <v>1217</v>
      </c>
      <c r="E359" s="281">
        <v>0</v>
      </c>
      <c r="F359" s="249">
        <v>400</v>
      </c>
      <c r="G359" s="164">
        <f t="shared" si="36"/>
        <v>2.6857142857142859</v>
      </c>
      <c r="H359" s="165">
        <f t="shared" si="37"/>
        <v>5.3714285714285719</v>
      </c>
      <c r="I359" s="165">
        <f t="shared" si="38"/>
        <v>4.0285714285714285</v>
      </c>
      <c r="J359" s="166">
        <f t="shared" si="39"/>
        <v>6.7142857142857144</v>
      </c>
      <c r="K359" s="166">
        <f t="shared" si="41"/>
        <v>6.7142857142857144</v>
      </c>
      <c r="L359" s="165">
        <f t="shared" si="40"/>
        <v>1.1000000000000001</v>
      </c>
      <c r="M359" s="168">
        <f t="shared" si="35"/>
        <v>0</v>
      </c>
      <c r="N359" s="236" t="s">
        <v>453</v>
      </c>
    </row>
    <row r="360" spans="1:14" ht="14">
      <c r="A360" s="149">
        <v>359</v>
      </c>
      <c r="B360" s="235" t="s">
        <v>52</v>
      </c>
      <c r="C360" s="231" t="s">
        <v>10</v>
      </c>
      <c r="D360" s="250" t="s">
        <v>1219</v>
      </c>
      <c r="E360" s="281">
        <v>0</v>
      </c>
      <c r="F360" s="249">
        <v>500</v>
      </c>
      <c r="G360" s="164">
        <f t="shared" si="36"/>
        <v>3.2571428571428571</v>
      </c>
      <c r="H360" s="165">
        <f t="shared" si="37"/>
        <v>6.5142857142857142</v>
      </c>
      <c r="I360" s="165">
        <f t="shared" si="38"/>
        <v>4.8857142857142852</v>
      </c>
      <c r="J360" s="166">
        <f t="shared" si="39"/>
        <v>8.1428571428571423</v>
      </c>
      <c r="K360" s="166">
        <f t="shared" si="41"/>
        <v>8.1428571428571423</v>
      </c>
      <c r="L360" s="165">
        <f t="shared" si="40"/>
        <v>1.125</v>
      </c>
      <c r="M360" s="168">
        <f t="shared" si="35"/>
        <v>0</v>
      </c>
      <c r="N360" s="236" t="s">
        <v>453</v>
      </c>
    </row>
    <row r="361" spans="1:14" ht="14">
      <c r="A361" s="149">
        <v>360</v>
      </c>
      <c r="B361" s="235" t="s">
        <v>52</v>
      </c>
      <c r="C361" s="231" t="s">
        <v>10</v>
      </c>
      <c r="D361" s="250" t="s">
        <v>1221</v>
      </c>
      <c r="E361" s="281">
        <v>0</v>
      </c>
      <c r="F361" s="249">
        <v>1800</v>
      </c>
      <c r="G361" s="164">
        <f t="shared" si="36"/>
        <v>10.685714285714287</v>
      </c>
      <c r="H361" s="165">
        <f t="shared" si="37"/>
        <v>21.371428571428574</v>
      </c>
      <c r="I361" s="165">
        <f t="shared" si="38"/>
        <v>16.028571428571428</v>
      </c>
      <c r="J361" s="166">
        <f t="shared" si="39"/>
        <v>26.714285714285715</v>
      </c>
      <c r="K361" s="166">
        <f t="shared" si="41"/>
        <v>26.714285714285715</v>
      </c>
      <c r="L361" s="165">
        <f t="shared" si="40"/>
        <v>1.45</v>
      </c>
      <c r="M361" s="168">
        <f t="shared" si="35"/>
        <v>0</v>
      </c>
      <c r="N361" s="236" t="s">
        <v>453</v>
      </c>
    </row>
    <row r="362" spans="1:14" ht="14">
      <c r="A362" s="149">
        <v>361</v>
      </c>
      <c r="B362" s="235" t="s">
        <v>52</v>
      </c>
      <c r="C362" s="231" t="s">
        <v>10</v>
      </c>
      <c r="D362" s="250" t="s">
        <v>1223</v>
      </c>
      <c r="E362" s="281">
        <v>0</v>
      </c>
      <c r="F362" s="249">
        <v>800</v>
      </c>
      <c r="G362" s="164">
        <f t="shared" si="36"/>
        <v>4.9714285714285715</v>
      </c>
      <c r="H362" s="165">
        <f t="shared" si="37"/>
        <v>9.9428571428571431</v>
      </c>
      <c r="I362" s="165">
        <f t="shared" si="38"/>
        <v>7.4571428571428573</v>
      </c>
      <c r="J362" s="166">
        <f t="shared" si="39"/>
        <v>12.428571428571429</v>
      </c>
      <c r="K362" s="166">
        <f t="shared" si="41"/>
        <v>12.428571428571429</v>
      </c>
      <c r="L362" s="165">
        <f t="shared" si="40"/>
        <v>1.2</v>
      </c>
      <c r="M362" s="168">
        <f t="shared" si="35"/>
        <v>0</v>
      </c>
      <c r="N362" s="236" t="s">
        <v>453</v>
      </c>
    </row>
    <row r="363" spans="1:14" ht="14">
      <c r="A363" s="149">
        <v>362</v>
      </c>
      <c r="B363" s="235" t="s">
        <v>52</v>
      </c>
      <c r="C363" s="231" t="s">
        <v>10</v>
      </c>
      <c r="D363" s="250" t="s">
        <v>1225</v>
      </c>
      <c r="E363" s="281">
        <v>0</v>
      </c>
      <c r="F363" s="249">
        <v>700</v>
      </c>
      <c r="G363" s="164">
        <f t="shared" si="36"/>
        <v>4.4000000000000004</v>
      </c>
      <c r="H363" s="165">
        <f t="shared" si="37"/>
        <v>8.8000000000000007</v>
      </c>
      <c r="I363" s="165">
        <f t="shared" si="38"/>
        <v>6.6</v>
      </c>
      <c r="J363" s="166">
        <f t="shared" si="39"/>
        <v>11</v>
      </c>
      <c r="K363" s="166">
        <f t="shared" si="41"/>
        <v>11</v>
      </c>
      <c r="L363" s="165">
        <f t="shared" si="40"/>
        <v>1.175</v>
      </c>
      <c r="M363" s="168">
        <f t="shared" si="35"/>
        <v>0</v>
      </c>
      <c r="N363" s="236" t="s">
        <v>453</v>
      </c>
    </row>
    <row r="364" spans="1:14" ht="14">
      <c r="A364" s="149">
        <v>363</v>
      </c>
      <c r="B364" s="235" t="s">
        <v>52</v>
      </c>
      <c r="C364" s="231" t="s">
        <v>10</v>
      </c>
      <c r="D364" s="250" t="s">
        <v>1227</v>
      </c>
      <c r="E364" s="281">
        <v>0</v>
      </c>
      <c r="F364" s="249">
        <v>2150</v>
      </c>
      <c r="G364" s="164">
        <f t="shared" si="36"/>
        <v>12.685714285714287</v>
      </c>
      <c r="H364" s="165">
        <f t="shared" si="37"/>
        <v>25.371428571428574</v>
      </c>
      <c r="I364" s="165">
        <f t="shared" si="38"/>
        <v>19.028571428571428</v>
      </c>
      <c r="J364" s="166">
        <f t="shared" si="39"/>
        <v>31.714285714285715</v>
      </c>
      <c r="K364" s="166">
        <f t="shared" si="41"/>
        <v>31.714285714285715</v>
      </c>
      <c r="L364" s="165">
        <f t="shared" si="40"/>
        <v>1.5375000000000001</v>
      </c>
      <c r="M364" s="168">
        <f t="shared" si="35"/>
        <v>0</v>
      </c>
      <c r="N364" s="236" t="s">
        <v>453</v>
      </c>
    </row>
    <row r="365" spans="1:14" ht="14">
      <c r="A365" s="149">
        <v>364</v>
      </c>
      <c r="B365" s="235" t="s">
        <v>52</v>
      </c>
      <c r="C365" s="231" t="s">
        <v>10</v>
      </c>
      <c r="D365" s="250" t="s">
        <v>1229</v>
      </c>
      <c r="E365" s="281">
        <v>0</v>
      </c>
      <c r="F365" s="249">
        <v>850</v>
      </c>
      <c r="G365" s="164">
        <f t="shared" si="36"/>
        <v>5.2571428571428571</v>
      </c>
      <c r="H365" s="165">
        <f t="shared" si="37"/>
        <v>10.514285714285714</v>
      </c>
      <c r="I365" s="165">
        <f t="shared" si="38"/>
        <v>7.8857142857142852</v>
      </c>
      <c r="J365" s="166">
        <f t="shared" si="39"/>
        <v>13.142857142857142</v>
      </c>
      <c r="K365" s="166">
        <f t="shared" si="41"/>
        <v>13.142857142857142</v>
      </c>
      <c r="L365" s="165">
        <f t="shared" si="40"/>
        <v>1.2124999999999999</v>
      </c>
      <c r="M365" s="168">
        <f t="shared" si="35"/>
        <v>0</v>
      </c>
      <c r="N365" s="236" t="s">
        <v>453</v>
      </c>
    </row>
    <row r="366" spans="1:14" ht="14">
      <c r="A366" s="149">
        <v>365</v>
      </c>
      <c r="B366" s="235" t="s">
        <v>52</v>
      </c>
      <c r="C366" s="231" t="s">
        <v>10</v>
      </c>
      <c r="D366" s="250" t="s">
        <v>1231</v>
      </c>
      <c r="E366" s="281">
        <v>0</v>
      </c>
      <c r="F366" s="249">
        <v>150</v>
      </c>
      <c r="G366" s="164">
        <f t="shared" si="36"/>
        <v>1.2571428571428571</v>
      </c>
      <c r="H366" s="165">
        <f t="shared" si="37"/>
        <v>2.5142857142857142</v>
      </c>
      <c r="I366" s="165">
        <f t="shared" si="38"/>
        <v>1.8857142857142857</v>
      </c>
      <c r="J366" s="166">
        <f t="shared" si="39"/>
        <v>3.1428571428571428</v>
      </c>
      <c r="K366" s="166">
        <f t="shared" si="41"/>
        <v>3.1428571428571428</v>
      </c>
      <c r="L366" s="165">
        <f t="shared" si="40"/>
        <v>1.0375000000000001</v>
      </c>
      <c r="M366" s="168">
        <f t="shared" si="35"/>
        <v>0</v>
      </c>
      <c r="N366" s="236" t="s">
        <v>453</v>
      </c>
    </row>
    <row r="367" spans="1:14" ht="14">
      <c r="A367" s="149">
        <v>366</v>
      </c>
      <c r="B367" s="235" t="s">
        <v>52</v>
      </c>
      <c r="C367" s="231" t="s">
        <v>10</v>
      </c>
      <c r="D367" s="250" t="s">
        <v>1233</v>
      </c>
      <c r="E367" s="281">
        <v>0</v>
      </c>
      <c r="F367" s="249">
        <v>60</v>
      </c>
      <c r="G367" s="164">
        <f t="shared" si="36"/>
        <v>0.74285714285714288</v>
      </c>
      <c r="H367" s="165">
        <f t="shared" si="37"/>
        <v>1.4857142857142858</v>
      </c>
      <c r="I367" s="165">
        <f t="shared" si="38"/>
        <v>1.1142857142857143</v>
      </c>
      <c r="J367" s="166">
        <f t="shared" si="39"/>
        <v>1.8571428571428572</v>
      </c>
      <c r="K367" s="166">
        <f t="shared" si="41"/>
        <v>1.8571428571428572</v>
      </c>
      <c r="L367" s="165">
        <f t="shared" si="40"/>
        <v>1.0149999999999999</v>
      </c>
      <c r="M367" s="168">
        <f t="shared" si="35"/>
        <v>0</v>
      </c>
      <c r="N367" s="236" t="s">
        <v>453</v>
      </c>
    </row>
    <row r="368" spans="1:14" ht="14">
      <c r="A368" s="149">
        <v>367</v>
      </c>
      <c r="B368" s="235" t="s">
        <v>52</v>
      </c>
      <c r="C368" s="231" t="s">
        <v>10</v>
      </c>
      <c r="D368" s="250" t="s">
        <v>1235</v>
      </c>
      <c r="E368" s="281">
        <v>0</v>
      </c>
      <c r="F368" s="249">
        <v>500</v>
      </c>
      <c r="G368" s="164">
        <f t="shared" si="36"/>
        <v>3.2571428571428571</v>
      </c>
      <c r="H368" s="165">
        <f t="shared" si="37"/>
        <v>6.5142857142857142</v>
      </c>
      <c r="I368" s="165">
        <f t="shared" si="38"/>
        <v>4.8857142857142852</v>
      </c>
      <c r="J368" s="166">
        <f t="shared" si="39"/>
        <v>8.1428571428571423</v>
      </c>
      <c r="K368" s="166">
        <f t="shared" si="41"/>
        <v>8.1428571428571423</v>
      </c>
      <c r="L368" s="165">
        <f t="shared" si="40"/>
        <v>1.125</v>
      </c>
      <c r="M368" s="168">
        <f t="shared" si="35"/>
        <v>0</v>
      </c>
      <c r="N368" s="236" t="s">
        <v>453</v>
      </c>
    </row>
    <row r="369" spans="1:14" ht="14">
      <c r="A369" s="149">
        <v>368</v>
      </c>
      <c r="B369" s="235" t="s">
        <v>52</v>
      </c>
      <c r="C369" s="231" t="s">
        <v>10</v>
      </c>
      <c r="D369" s="250" t="s">
        <v>1237</v>
      </c>
      <c r="E369" s="281">
        <v>0</v>
      </c>
      <c r="F369" s="249">
        <v>600</v>
      </c>
      <c r="G369" s="164">
        <f t="shared" si="36"/>
        <v>3.8285714285714287</v>
      </c>
      <c r="H369" s="165">
        <f t="shared" si="37"/>
        <v>7.6571428571428575</v>
      </c>
      <c r="I369" s="165">
        <f t="shared" si="38"/>
        <v>5.7428571428571429</v>
      </c>
      <c r="J369" s="166">
        <f t="shared" si="39"/>
        <v>9.5714285714285712</v>
      </c>
      <c r="K369" s="166">
        <f t="shared" si="41"/>
        <v>9.5714285714285712</v>
      </c>
      <c r="L369" s="165">
        <f t="shared" si="40"/>
        <v>1.1499999999999999</v>
      </c>
      <c r="M369" s="168">
        <f t="shared" si="35"/>
        <v>0</v>
      </c>
      <c r="N369" s="236" t="s">
        <v>453</v>
      </c>
    </row>
    <row r="370" spans="1:14" ht="14">
      <c r="A370" s="149">
        <v>369</v>
      </c>
      <c r="B370" s="235" t="s">
        <v>52</v>
      </c>
      <c r="C370" s="231" t="s">
        <v>10</v>
      </c>
      <c r="D370" s="250" t="s">
        <v>1239</v>
      </c>
      <c r="E370" s="281">
        <v>0</v>
      </c>
      <c r="F370" s="249">
        <v>250</v>
      </c>
      <c r="G370" s="164">
        <f t="shared" si="36"/>
        <v>1.8285714285714285</v>
      </c>
      <c r="H370" s="165">
        <f t="shared" si="37"/>
        <v>3.657142857142857</v>
      </c>
      <c r="I370" s="165">
        <f t="shared" si="38"/>
        <v>2.7428571428571424</v>
      </c>
      <c r="J370" s="166">
        <f t="shared" si="39"/>
        <v>4.5714285714285712</v>
      </c>
      <c r="K370" s="166">
        <f t="shared" si="41"/>
        <v>4.5714285714285712</v>
      </c>
      <c r="L370" s="165">
        <f t="shared" si="40"/>
        <v>1.0625</v>
      </c>
      <c r="M370" s="168">
        <f t="shared" si="35"/>
        <v>0</v>
      </c>
      <c r="N370" s="236" t="s">
        <v>453</v>
      </c>
    </row>
    <row r="371" spans="1:14" ht="14">
      <c r="A371" s="149">
        <v>370</v>
      </c>
      <c r="B371" s="235" t="s">
        <v>52</v>
      </c>
      <c r="C371" s="231" t="s">
        <v>10</v>
      </c>
      <c r="D371" s="250" t="s">
        <v>1241</v>
      </c>
      <c r="E371" s="281">
        <v>0</v>
      </c>
      <c r="F371" s="249">
        <v>1000</v>
      </c>
      <c r="G371" s="164">
        <f t="shared" si="36"/>
        <v>6.1142857142857148</v>
      </c>
      <c r="H371" s="165">
        <f t="shared" si="37"/>
        <v>12.22857142857143</v>
      </c>
      <c r="I371" s="165">
        <f t="shared" si="38"/>
        <v>9.1714285714285708</v>
      </c>
      <c r="J371" s="166">
        <f t="shared" si="39"/>
        <v>15.285714285714285</v>
      </c>
      <c r="K371" s="166">
        <f t="shared" si="41"/>
        <v>15.285714285714285</v>
      </c>
      <c r="L371" s="165">
        <f t="shared" si="40"/>
        <v>1.25</v>
      </c>
      <c r="M371" s="168">
        <f t="shared" si="35"/>
        <v>0</v>
      </c>
      <c r="N371" s="236" t="s">
        <v>453</v>
      </c>
    </row>
    <row r="372" spans="1:14" ht="14">
      <c r="A372" s="149">
        <v>371</v>
      </c>
      <c r="B372" s="235" t="s">
        <v>52</v>
      </c>
      <c r="C372" s="231" t="s">
        <v>10</v>
      </c>
      <c r="D372" s="250" t="s">
        <v>1243</v>
      </c>
      <c r="E372" s="281">
        <v>0</v>
      </c>
      <c r="F372" s="249">
        <v>3000</v>
      </c>
      <c r="G372" s="164">
        <f t="shared" si="36"/>
        <v>17.542857142857141</v>
      </c>
      <c r="H372" s="165">
        <f t="shared" si="37"/>
        <v>35.085714285714282</v>
      </c>
      <c r="I372" s="165">
        <f t="shared" si="38"/>
        <v>26.314285714285713</v>
      </c>
      <c r="J372" s="166">
        <f t="shared" si="39"/>
        <v>43.857142857142854</v>
      </c>
      <c r="K372" s="166">
        <f t="shared" si="41"/>
        <v>43.857142857142854</v>
      </c>
      <c r="L372" s="165">
        <f t="shared" si="40"/>
        <v>1.75</v>
      </c>
      <c r="M372" s="168">
        <f t="shared" si="35"/>
        <v>0</v>
      </c>
      <c r="N372" s="236" t="s">
        <v>453</v>
      </c>
    </row>
    <row r="373" spans="1:14" ht="14">
      <c r="A373" s="149">
        <v>372</v>
      </c>
      <c r="B373" s="235" t="s">
        <v>52</v>
      </c>
      <c r="C373" s="231" t="s">
        <v>10</v>
      </c>
      <c r="D373" s="250" t="s">
        <v>1245</v>
      </c>
      <c r="E373" s="281">
        <v>0</v>
      </c>
      <c r="F373" s="249">
        <v>200</v>
      </c>
      <c r="G373" s="164">
        <f t="shared" si="36"/>
        <v>1.5428571428571429</v>
      </c>
      <c r="H373" s="165">
        <f t="shared" si="37"/>
        <v>3.0857142857142859</v>
      </c>
      <c r="I373" s="165">
        <f t="shared" si="38"/>
        <v>2.3142857142857141</v>
      </c>
      <c r="J373" s="166">
        <f t="shared" si="39"/>
        <v>3.8571428571428568</v>
      </c>
      <c r="K373" s="166">
        <f t="shared" si="41"/>
        <v>3.8571428571428568</v>
      </c>
      <c r="L373" s="165">
        <f t="shared" si="40"/>
        <v>1.05</v>
      </c>
      <c r="M373" s="168">
        <f t="shared" si="35"/>
        <v>0</v>
      </c>
      <c r="N373" s="236" t="s">
        <v>453</v>
      </c>
    </row>
    <row r="374" spans="1:14" ht="14">
      <c r="A374" s="149">
        <v>373</v>
      </c>
      <c r="B374" s="235" t="s">
        <v>52</v>
      </c>
      <c r="C374" s="231" t="s">
        <v>10</v>
      </c>
      <c r="D374" s="250" t="s">
        <v>1247</v>
      </c>
      <c r="E374" s="281">
        <v>0</v>
      </c>
      <c r="F374" s="249">
        <v>300</v>
      </c>
      <c r="G374" s="164">
        <f t="shared" si="36"/>
        <v>2.1142857142857143</v>
      </c>
      <c r="H374" s="165">
        <f t="shared" si="37"/>
        <v>4.2285714285714286</v>
      </c>
      <c r="I374" s="165">
        <f t="shared" si="38"/>
        <v>3.1714285714285713</v>
      </c>
      <c r="J374" s="166">
        <f t="shared" si="39"/>
        <v>5.2857142857142856</v>
      </c>
      <c r="K374" s="166">
        <f t="shared" si="41"/>
        <v>5.2857142857142856</v>
      </c>
      <c r="L374" s="165">
        <f t="shared" si="40"/>
        <v>1.075</v>
      </c>
      <c r="M374" s="168">
        <f t="shared" si="35"/>
        <v>0</v>
      </c>
      <c r="N374" s="236" t="s">
        <v>453</v>
      </c>
    </row>
    <row r="375" spans="1:14" ht="14">
      <c r="A375" s="149">
        <v>374</v>
      </c>
      <c r="B375" s="235" t="s">
        <v>52</v>
      </c>
      <c r="C375" s="231" t="s">
        <v>10</v>
      </c>
      <c r="D375" s="250" t="s">
        <v>1249</v>
      </c>
      <c r="E375" s="281">
        <v>0</v>
      </c>
      <c r="F375" s="249">
        <v>600</v>
      </c>
      <c r="G375" s="164">
        <f t="shared" si="36"/>
        <v>3.8285714285714287</v>
      </c>
      <c r="H375" s="165">
        <f t="shared" si="37"/>
        <v>7.6571428571428575</v>
      </c>
      <c r="I375" s="165">
        <f t="shared" si="38"/>
        <v>5.7428571428571429</v>
      </c>
      <c r="J375" s="166">
        <f t="shared" si="39"/>
        <v>9.5714285714285712</v>
      </c>
      <c r="K375" s="166">
        <f t="shared" si="41"/>
        <v>9.5714285714285712</v>
      </c>
      <c r="L375" s="165">
        <f t="shared" si="40"/>
        <v>1.1499999999999999</v>
      </c>
      <c r="M375" s="168">
        <f t="shared" si="35"/>
        <v>0</v>
      </c>
      <c r="N375" s="236" t="s">
        <v>453</v>
      </c>
    </row>
    <row r="376" spans="1:14" ht="14">
      <c r="A376" s="149">
        <v>375</v>
      </c>
      <c r="B376" s="235" t="s">
        <v>52</v>
      </c>
      <c r="C376" s="231" t="s">
        <v>10</v>
      </c>
      <c r="D376" s="250" t="s">
        <v>1251</v>
      </c>
      <c r="E376" s="281">
        <v>0</v>
      </c>
      <c r="F376" s="249">
        <v>300</v>
      </c>
      <c r="G376" s="164">
        <f t="shared" si="36"/>
        <v>2.1142857142857143</v>
      </c>
      <c r="H376" s="165">
        <f t="shared" si="37"/>
        <v>4.2285714285714286</v>
      </c>
      <c r="I376" s="165">
        <f t="shared" si="38"/>
        <v>3.1714285714285713</v>
      </c>
      <c r="J376" s="166">
        <f t="shared" si="39"/>
        <v>5.2857142857142856</v>
      </c>
      <c r="K376" s="166">
        <f t="shared" si="41"/>
        <v>5.2857142857142856</v>
      </c>
      <c r="L376" s="165">
        <f t="shared" si="40"/>
        <v>1.075</v>
      </c>
      <c r="M376" s="168">
        <f t="shared" si="35"/>
        <v>0</v>
      </c>
      <c r="N376" s="236" t="s">
        <v>453</v>
      </c>
    </row>
    <row r="377" spans="1:14" ht="14">
      <c r="A377" s="149">
        <v>376</v>
      </c>
      <c r="B377" s="235" t="s">
        <v>52</v>
      </c>
      <c r="C377" s="231" t="s">
        <v>10</v>
      </c>
      <c r="D377" s="250" t="s">
        <v>1253</v>
      </c>
      <c r="E377" s="281">
        <v>0</v>
      </c>
      <c r="F377" s="249">
        <v>500</v>
      </c>
      <c r="G377" s="164">
        <f t="shared" si="36"/>
        <v>3.2571428571428571</v>
      </c>
      <c r="H377" s="165">
        <f t="shared" si="37"/>
        <v>6.5142857142857142</v>
      </c>
      <c r="I377" s="165">
        <f t="shared" si="38"/>
        <v>4.8857142857142852</v>
      </c>
      <c r="J377" s="166">
        <f t="shared" si="39"/>
        <v>8.1428571428571423</v>
      </c>
      <c r="K377" s="166">
        <f t="shared" si="41"/>
        <v>8.1428571428571423</v>
      </c>
      <c r="L377" s="165">
        <f t="shared" si="40"/>
        <v>1.125</v>
      </c>
      <c r="M377" s="168">
        <f t="shared" si="35"/>
        <v>0</v>
      </c>
      <c r="N377" s="236" t="s">
        <v>453</v>
      </c>
    </row>
    <row r="378" spans="1:14" ht="14">
      <c r="A378" s="149">
        <v>377</v>
      </c>
      <c r="B378" s="235" t="s">
        <v>52</v>
      </c>
      <c r="C378" s="231" t="s">
        <v>10</v>
      </c>
      <c r="D378" s="250" t="s">
        <v>1255</v>
      </c>
      <c r="E378" s="281">
        <v>0</v>
      </c>
      <c r="F378" s="249">
        <v>150</v>
      </c>
      <c r="G378" s="164">
        <f t="shared" si="36"/>
        <v>1.2571428571428571</v>
      </c>
      <c r="H378" s="165">
        <f t="shared" si="37"/>
        <v>2.5142857142857142</v>
      </c>
      <c r="I378" s="165">
        <f t="shared" si="38"/>
        <v>1.8857142857142857</v>
      </c>
      <c r="J378" s="166">
        <f t="shared" si="39"/>
        <v>3.1428571428571428</v>
      </c>
      <c r="K378" s="166">
        <f t="shared" si="41"/>
        <v>3.1428571428571428</v>
      </c>
      <c r="L378" s="165">
        <f t="shared" si="40"/>
        <v>1.0375000000000001</v>
      </c>
      <c r="M378" s="168">
        <f t="shared" si="35"/>
        <v>0</v>
      </c>
      <c r="N378" s="236" t="s">
        <v>453</v>
      </c>
    </row>
    <row r="379" spans="1:14" ht="14">
      <c r="A379" s="149">
        <v>378</v>
      </c>
      <c r="B379" s="235" t="s">
        <v>52</v>
      </c>
      <c r="C379" s="231" t="s">
        <v>10</v>
      </c>
      <c r="D379" s="250" t="s">
        <v>1257</v>
      </c>
      <c r="E379" s="281">
        <v>0</v>
      </c>
      <c r="F379" s="249">
        <v>400</v>
      </c>
      <c r="G379" s="164">
        <f t="shared" si="36"/>
        <v>2.6857142857142859</v>
      </c>
      <c r="H379" s="165">
        <f t="shared" si="37"/>
        <v>5.3714285714285719</v>
      </c>
      <c r="I379" s="165">
        <f t="shared" si="38"/>
        <v>4.0285714285714285</v>
      </c>
      <c r="J379" s="166">
        <f t="shared" si="39"/>
        <v>6.7142857142857144</v>
      </c>
      <c r="K379" s="166">
        <f t="shared" si="41"/>
        <v>6.7142857142857144</v>
      </c>
      <c r="L379" s="165">
        <f t="shared" si="40"/>
        <v>1.1000000000000001</v>
      </c>
      <c r="M379" s="168">
        <f t="shared" si="35"/>
        <v>0</v>
      </c>
      <c r="N379" s="236" t="s">
        <v>453</v>
      </c>
    </row>
    <row r="380" spans="1:14" ht="14">
      <c r="A380" s="149">
        <v>379</v>
      </c>
      <c r="B380" s="235" t="s">
        <v>52</v>
      </c>
      <c r="C380" s="231" t="s">
        <v>10</v>
      </c>
      <c r="D380" s="250" t="s">
        <v>1259</v>
      </c>
      <c r="E380" s="281">
        <v>0</v>
      </c>
      <c r="F380" s="249">
        <v>2000</v>
      </c>
      <c r="G380" s="164">
        <f t="shared" si="36"/>
        <v>11.828571428571429</v>
      </c>
      <c r="H380" s="165">
        <f t="shared" si="37"/>
        <v>23.657142857142858</v>
      </c>
      <c r="I380" s="165">
        <f t="shared" si="38"/>
        <v>17.742857142857144</v>
      </c>
      <c r="J380" s="166">
        <f t="shared" si="39"/>
        <v>29.571428571428573</v>
      </c>
      <c r="K380" s="166">
        <f t="shared" si="41"/>
        <v>29.571428571428573</v>
      </c>
      <c r="L380" s="165">
        <f t="shared" si="40"/>
        <v>1.5</v>
      </c>
      <c r="M380" s="168">
        <f t="shared" si="35"/>
        <v>0</v>
      </c>
      <c r="N380" s="236" t="s">
        <v>453</v>
      </c>
    </row>
    <row r="381" spans="1:14" ht="14">
      <c r="A381" s="149">
        <v>380</v>
      </c>
      <c r="B381" s="235" t="s">
        <v>52</v>
      </c>
      <c r="C381" s="231" t="s">
        <v>10</v>
      </c>
      <c r="D381" s="250" t="s">
        <v>1261</v>
      </c>
      <c r="E381" s="281">
        <v>0</v>
      </c>
      <c r="F381" s="249">
        <v>750</v>
      </c>
      <c r="G381" s="164">
        <f t="shared" si="36"/>
        <v>4.6857142857142859</v>
      </c>
      <c r="H381" s="165">
        <f t="shared" si="37"/>
        <v>9.3714285714285719</v>
      </c>
      <c r="I381" s="165">
        <f t="shared" si="38"/>
        <v>7.0285714285714276</v>
      </c>
      <c r="J381" s="166">
        <f t="shared" si="39"/>
        <v>11.714285714285714</v>
      </c>
      <c r="K381" s="166">
        <f t="shared" si="41"/>
        <v>11.714285714285714</v>
      </c>
      <c r="L381" s="165">
        <f t="shared" si="40"/>
        <v>1.1875</v>
      </c>
      <c r="M381" s="168">
        <f t="shared" si="35"/>
        <v>0</v>
      </c>
      <c r="N381" s="236" t="s">
        <v>453</v>
      </c>
    </row>
    <row r="382" spans="1:14" ht="14">
      <c r="A382" s="149">
        <v>381</v>
      </c>
      <c r="B382" s="235" t="s">
        <v>52</v>
      </c>
      <c r="C382" s="231" t="s">
        <v>10</v>
      </c>
      <c r="D382" s="250" t="s">
        <v>4683</v>
      </c>
      <c r="E382" s="281">
        <v>0</v>
      </c>
      <c r="F382" s="249">
        <v>200</v>
      </c>
      <c r="G382" s="164">
        <f t="shared" si="36"/>
        <v>1.5428571428571429</v>
      </c>
      <c r="H382" s="165">
        <f t="shared" si="37"/>
        <v>3.0857142857142859</v>
      </c>
      <c r="I382" s="165">
        <f t="shared" si="38"/>
        <v>2.3142857142857141</v>
      </c>
      <c r="J382" s="166">
        <f t="shared" si="39"/>
        <v>3.8571428571428568</v>
      </c>
      <c r="K382" s="166">
        <f t="shared" si="41"/>
        <v>3.8571428571428568</v>
      </c>
      <c r="L382" s="165">
        <f t="shared" si="40"/>
        <v>1.05</v>
      </c>
      <c r="M382" s="168">
        <f t="shared" si="35"/>
        <v>0</v>
      </c>
      <c r="N382" s="236" t="s">
        <v>453</v>
      </c>
    </row>
    <row r="383" spans="1:14" ht="14">
      <c r="A383" s="149">
        <v>382</v>
      </c>
      <c r="B383" s="235" t="s">
        <v>52</v>
      </c>
      <c r="C383" s="231" t="s">
        <v>10</v>
      </c>
      <c r="D383" s="250" t="s">
        <v>1264</v>
      </c>
      <c r="E383" s="281">
        <v>0</v>
      </c>
      <c r="F383" s="249">
        <v>300</v>
      </c>
      <c r="G383" s="164">
        <f t="shared" si="36"/>
        <v>2.1142857142857143</v>
      </c>
      <c r="H383" s="165">
        <f t="shared" si="37"/>
        <v>4.2285714285714286</v>
      </c>
      <c r="I383" s="165">
        <f t="shared" si="38"/>
        <v>3.1714285714285713</v>
      </c>
      <c r="J383" s="166">
        <f t="shared" si="39"/>
        <v>5.2857142857142856</v>
      </c>
      <c r="K383" s="166">
        <f t="shared" si="41"/>
        <v>5.2857142857142856</v>
      </c>
      <c r="L383" s="165">
        <f t="shared" si="40"/>
        <v>1.075</v>
      </c>
      <c r="M383" s="168">
        <f t="shared" si="35"/>
        <v>0</v>
      </c>
      <c r="N383" s="236" t="s">
        <v>453</v>
      </c>
    </row>
    <row r="384" spans="1:14" ht="14">
      <c r="A384" s="149">
        <v>383</v>
      </c>
      <c r="B384" s="235" t="s">
        <v>52</v>
      </c>
      <c r="C384" s="231" t="s">
        <v>10</v>
      </c>
      <c r="D384" s="250" t="s">
        <v>1266</v>
      </c>
      <c r="E384" s="281">
        <v>0</v>
      </c>
      <c r="F384" s="249">
        <v>350</v>
      </c>
      <c r="G384" s="164">
        <f t="shared" si="36"/>
        <v>2.4000000000000004</v>
      </c>
      <c r="H384" s="165">
        <f t="shared" si="37"/>
        <v>4.8000000000000007</v>
      </c>
      <c r="I384" s="165">
        <f t="shared" si="38"/>
        <v>3.5999999999999996</v>
      </c>
      <c r="J384" s="166">
        <f t="shared" si="39"/>
        <v>6</v>
      </c>
      <c r="K384" s="166">
        <f t="shared" si="41"/>
        <v>6</v>
      </c>
      <c r="L384" s="165">
        <f t="shared" si="40"/>
        <v>1.0874999999999999</v>
      </c>
      <c r="M384" s="168">
        <f t="shared" si="35"/>
        <v>0</v>
      </c>
      <c r="N384" s="236" t="s">
        <v>453</v>
      </c>
    </row>
    <row r="385" spans="1:14" ht="14">
      <c r="A385" s="149">
        <v>384</v>
      </c>
      <c r="B385" s="235" t="s">
        <v>52</v>
      </c>
      <c r="C385" s="231" t="s">
        <v>10</v>
      </c>
      <c r="D385" s="250" t="s">
        <v>1664</v>
      </c>
      <c r="E385" s="281">
        <v>0</v>
      </c>
      <c r="F385" s="249">
        <v>600</v>
      </c>
      <c r="G385" s="164">
        <f t="shared" si="36"/>
        <v>3.8285714285714287</v>
      </c>
      <c r="H385" s="165">
        <f t="shared" si="37"/>
        <v>7.6571428571428575</v>
      </c>
      <c r="I385" s="165">
        <f t="shared" si="38"/>
        <v>5.7428571428571429</v>
      </c>
      <c r="J385" s="166">
        <f t="shared" si="39"/>
        <v>9.5714285714285712</v>
      </c>
      <c r="K385" s="166">
        <f t="shared" si="41"/>
        <v>9.5714285714285712</v>
      </c>
      <c r="L385" s="165">
        <f t="shared" si="40"/>
        <v>1.1499999999999999</v>
      </c>
      <c r="M385" s="168">
        <f t="shared" si="35"/>
        <v>0</v>
      </c>
      <c r="N385" s="236" t="s">
        <v>453</v>
      </c>
    </row>
    <row r="386" spans="1:14" ht="14">
      <c r="A386" s="149">
        <v>385</v>
      </c>
      <c r="B386" s="235" t="s">
        <v>52</v>
      </c>
      <c r="C386" s="231" t="s">
        <v>10</v>
      </c>
      <c r="D386" s="250" t="s">
        <v>1269</v>
      </c>
      <c r="E386" s="281">
        <v>0</v>
      </c>
      <c r="F386" s="249">
        <v>800</v>
      </c>
      <c r="G386" s="164">
        <f t="shared" si="36"/>
        <v>4.9714285714285715</v>
      </c>
      <c r="H386" s="165">
        <f t="shared" si="37"/>
        <v>9.9428571428571431</v>
      </c>
      <c r="I386" s="165">
        <f t="shared" si="38"/>
        <v>7.4571428571428573</v>
      </c>
      <c r="J386" s="166">
        <f t="shared" si="39"/>
        <v>12.428571428571429</v>
      </c>
      <c r="K386" s="166">
        <f t="shared" si="41"/>
        <v>12.428571428571429</v>
      </c>
      <c r="L386" s="165">
        <f t="shared" si="40"/>
        <v>1.2</v>
      </c>
      <c r="M386" s="168">
        <f t="shared" ref="M386:M449" si="42">E386/60</f>
        <v>0</v>
      </c>
      <c r="N386" s="236" t="s">
        <v>453</v>
      </c>
    </row>
    <row r="387" spans="1:14" ht="14">
      <c r="A387" s="149">
        <v>386</v>
      </c>
      <c r="B387" s="235" t="s">
        <v>52</v>
      </c>
      <c r="C387" s="231" t="s">
        <v>10</v>
      </c>
      <c r="D387" s="250" t="s">
        <v>1271</v>
      </c>
      <c r="E387" s="281">
        <v>0</v>
      </c>
      <c r="F387" s="249">
        <v>400</v>
      </c>
      <c r="G387" s="164">
        <f t="shared" ref="G387:G450" si="43">(((F387/70)+1)*0.4)</f>
        <v>2.6857142857142859</v>
      </c>
      <c r="H387" s="165">
        <f t="shared" ref="H387:H450" si="44">G387*2</f>
        <v>5.3714285714285719</v>
      </c>
      <c r="I387" s="165">
        <f t="shared" ref="I387:I450" si="45">(((F387/70)+1)*0.6)</f>
        <v>4.0285714285714285</v>
      </c>
      <c r="J387" s="166">
        <f t="shared" ref="J387:J450" si="46">I387+G387</f>
        <v>6.7142857142857144</v>
      </c>
      <c r="K387" s="166">
        <f t="shared" si="41"/>
        <v>6.7142857142857144</v>
      </c>
      <c r="L387" s="165">
        <f t="shared" ref="L387:L450" si="47">(F387/4000)+1</f>
        <v>1.1000000000000001</v>
      </c>
      <c r="M387" s="168">
        <f t="shared" si="42"/>
        <v>0</v>
      </c>
      <c r="N387" s="236" t="s">
        <v>453</v>
      </c>
    </row>
    <row r="388" spans="1:14" ht="14">
      <c r="A388" s="149">
        <v>387</v>
      </c>
      <c r="B388" s="235" t="s">
        <v>52</v>
      </c>
      <c r="C388" s="231" t="s">
        <v>10</v>
      </c>
      <c r="D388" s="250" t="s">
        <v>1273</v>
      </c>
      <c r="E388" s="281">
        <v>0</v>
      </c>
      <c r="F388" s="249">
        <v>5000</v>
      </c>
      <c r="G388" s="164">
        <f t="shared" si="43"/>
        <v>28.971428571428575</v>
      </c>
      <c r="H388" s="165">
        <f t="shared" si="44"/>
        <v>57.94285714285715</v>
      </c>
      <c r="I388" s="165">
        <f t="shared" si="45"/>
        <v>43.457142857142856</v>
      </c>
      <c r="J388" s="166">
        <f t="shared" si="46"/>
        <v>72.428571428571431</v>
      </c>
      <c r="K388" s="166">
        <f t="shared" ref="K388:K451" si="48">J388</f>
        <v>72.428571428571431</v>
      </c>
      <c r="L388" s="165">
        <f t="shared" si="47"/>
        <v>2.25</v>
      </c>
      <c r="M388" s="168">
        <f t="shared" si="42"/>
        <v>0</v>
      </c>
      <c r="N388" s="236" t="s">
        <v>453</v>
      </c>
    </row>
    <row r="389" spans="1:14" ht="14">
      <c r="A389" s="149">
        <v>388</v>
      </c>
      <c r="B389" s="235" t="s">
        <v>52</v>
      </c>
      <c r="C389" s="231" t="s">
        <v>10</v>
      </c>
      <c r="D389" s="250" t="s">
        <v>4667</v>
      </c>
      <c r="E389" s="281">
        <v>0</v>
      </c>
      <c r="F389" s="249">
        <v>400</v>
      </c>
      <c r="G389" s="164">
        <f t="shared" si="43"/>
        <v>2.6857142857142859</v>
      </c>
      <c r="H389" s="165">
        <f t="shared" si="44"/>
        <v>5.3714285714285719</v>
      </c>
      <c r="I389" s="165">
        <f t="shared" si="45"/>
        <v>4.0285714285714285</v>
      </c>
      <c r="J389" s="166">
        <f t="shared" si="46"/>
        <v>6.7142857142857144</v>
      </c>
      <c r="K389" s="166">
        <f t="shared" si="48"/>
        <v>6.7142857142857144</v>
      </c>
      <c r="L389" s="165">
        <f t="shared" si="47"/>
        <v>1.1000000000000001</v>
      </c>
      <c r="M389" s="168">
        <f t="shared" si="42"/>
        <v>0</v>
      </c>
      <c r="N389" s="236" t="s">
        <v>453</v>
      </c>
    </row>
    <row r="390" spans="1:14" ht="14">
      <c r="A390" s="149">
        <v>389</v>
      </c>
      <c r="B390" s="235" t="s">
        <v>52</v>
      </c>
      <c r="C390" s="231" t="s">
        <v>10</v>
      </c>
      <c r="D390" s="250" t="s">
        <v>1276</v>
      </c>
      <c r="E390" s="281">
        <v>0</v>
      </c>
      <c r="F390" s="249">
        <v>2800</v>
      </c>
      <c r="G390" s="164">
        <f t="shared" si="43"/>
        <v>16.400000000000002</v>
      </c>
      <c r="H390" s="165">
        <f t="shared" si="44"/>
        <v>32.800000000000004</v>
      </c>
      <c r="I390" s="165">
        <f t="shared" si="45"/>
        <v>24.599999999999998</v>
      </c>
      <c r="J390" s="166">
        <f t="shared" si="46"/>
        <v>41</v>
      </c>
      <c r="K390" s="166">
        <f t="shared" si="48"/>
        <v>41</v>
      </c>
      <c r="L390" s="165">
        <f t="shared" si="47"/>
        <v>1.7</v>
      </c>
      <c r="M390" s="168">
        <f t="shared" si="42"/>
        <v>0</v>
      </c>
      <c r="N390" s="236" t="s">
        <v>453</v>
      </c>
    </row>
    <row r="391" spans="1:14" ht="14">
      <c r="A391" s="149">
        <v>390</v>
      </c>
      <c r="B391" s="235" t="s">
        <v>52</v>
      </c>
      <c r="C391" s="231" t="s">
        <v>10</v>
      </c>
      <c r="D391" s="250" t="s">
        <v>1278</v>
      </c>
      <c r="E391" s="281">
        <v>0</v>
      </c>
      <c r="F391" s="249">
        <v>800</v>
      </c>
      <c r="G391" s="164">
        <f t="shared" si="43"/>
        <v>4.9714285714285715</v>
      </c>
      <c r="H391" s="165">
        <f t="shared" si="44"/>
        <v>9.9428571428571431</v>
      </c>
      <c r="I391" s="165">
        <f t="shared" si="45"/>
        <v>7.4571428571428573</v>
      </c>
      <c r="J391" s="166">
        <f t="shared" si="46"/>
        <v>12.428571428571429</v>
      </c>
      <c r="K391" s="166">
        <f t="shared" si="48"/>
        <v>12.428571428571429</v>
      </c>
      <c r="L391" s="165">
        <f t="shared" si="47"/>
        <v>1.2</v>
      </c>
      <c r="M391" s="168">
        <f t="shared" si="42"/>
        <v>0</v>
      </c>
      <c r="N391" s="236" t="s">
        <v>453</v>
      </c>
    </row>
    <row r="392" spans="1:14" ht="14">
      <c r="A392" s="149">
        <v>391</v>
      </c>
      <c r="B392" s="235" t="s">
        <v>52</v>
      </c>
      <c r="C392" s="231" t="s">
        <v>10</v>
      </c>
      <c r="D392" s="250" t="s">
        <v>1280</v>
      </c>
      <c r="E392" s="281">
        <v>0</v>
      </c>
      <c r="F392" s="249">
        <v>600</v>
      </c>
      <c r="G392" s="164">
        <f t="shared" si="43"/>
        <v>3.8285714285714287</v>
      </c>
      <c r="H392" s="165">
        <f t="shared" si="44"/>
        <v>7.6571428571428575</v>
      </c>
      <c r="I392" s="165">
        <f t="shared" si="45"/>
        <v>5.7428571428571429</v>
      </c>
      <c r="J392" s="166">
        <f t="shared" si="46"/>
        <v>9.5714285714285712</v>
      </c>
      <c r="K392" s="166">
        <f t="shared" si="48"/>
        <v>9.5714285714285712</v>
      </c>
      <c r="L392" s="165">
        <f t="shared" si="47"/>
        <v>1.1499999999999999</v>
      </c>
      <c r="M392" s="168">
        <f t="shared" si="42"/>
        <v>0</v>
      </c>
      <c r="N392" s="236" t="s">
        <v>453</v>
      </c>
    </row>
    <row r="393" spans="1:14" ht="14">
      <c r="A393" s="149">
        <v>392</v>
      </c>
      <c r="B393" s="235" t="s">
        <v>52</v>
      </c>
      <c r="C393" s="231" t="s">
        <v>10</v>
      </c>
      <c r="D393" s="250" t="s">
        <v>1282</v>
      </c>
      <c r="E393" s="281">
        <v>0</v>
      </c>
      <c r="F393" s="249">
        <v>900</v>
      </c>
      <c r="G393" s="164">
        <f t="shared" si="43"/>
        <v>5.5428571428571436</v>
      </c>
      <c r="H393" s="165">
        <f t="shared" si="44"/>
        <v>11.085714285714287</v>
      </c>
      <c r="I393" s="165">
        <f t="shared" si="45"/>
        <v>8.3142857142857149</v>
      </c>
      <c r="J393" s="166">
        <f t="shared" si="46"/>
        <v>13.857142857142858</v>
      </c>
      <c r="K393" s="166">
        <f t="shared" si="48"/>
        <v>13.857142857142858</v>
      </c>
      <c r="L393" s="165">
        <f t="shared" si="47"/>
        <v>1.2250000000000001</v>
      </c>
      <c r="M393" s="168">
        <f t="shared" si="42"/>
        <v>0</v>
      </c>
      <c r="N393" s="236" t="s">
        <v>453</v>
      </c>
    </row>
    <row r="394" spans="1:14" ht="14">
      <c r="A394" s="149">
        <v>393</v>
      </c>
      <c r="B394" s="235" t="s">
        <v>52</v>
      </c>
      <c r="C394" s="231" t="s">
        <v>10</v>
      </c>
      <c r="D394" s="250" t="s">
        <v>1284</v>
      </c>
      <c r="E394" s="281">
        <v>0</v>
      </c>
      <c r="F394" s="249">
        <v>500</v>
      </c>
      <c r="G394" s="164">
        <f t="shared" si="43"/>
        <v>3.2571428571428571</v>
      </c>
      <c r="H394" s="165">
        <f t="shared" si="44"/>
        <v>6.5142857142857142</v>
      </c>
      <c r="I394" s="165">
        <f t="shared" si="45"/>
        <v>4.8857142857142852</v>
      </c>
      <c r="J394" s="166">
        <f t="shared" si="46"/>
        <v>8.1428571428571423</v>
      </c>
      <c r="K394" s="166">
        <f t="shared" si="48"/>
        <v>8.1428571428571423</v>
      </c>
      <c r="L394" s="165">
        <f t="shared" si="47"/>
        <v>1.125</v>
      </c>
      <c r="M394" s="168">
        <f t="shared" si="42"/>
        <v>0</v>
      </c>
      <c r="N394" s="236" t="s">
        <v>453</v>
      </c>
    </row>
    <row r="395" spans="1:14" ht="14">
      <c r="A395" s="149">
        <v>394</v>
      </c>
      <c r="B395" s="235" t="s">
        <v>52</v>
      </c>
      <c r="C395" s="231" t="s">
        <v>10</v>
      </c>
      <c r="D395" s="250" t="s">
        <v>1286</v>
      </c>
      <c r="E395" s="281">
        <v>0</v>
      </c>
      <c r="F395" s="249">
        <v>700</v>
      </c>
      <c r="G395" s="164">
        <f t="shared" si="43"/>
        <v>4.4000000000000004</v>
      </c>
      <c r="H395" s="165">
        <f t="shared" si="44"/>
        <v>8.8000000000000007</v>
      </c>
      <c r="I395" s="165">
        <f t="shared" si="45"/>
        <v>6.6</v>
      </c>
      <c r="J395" s="166">
        <f t="shared" si="46"/>
        <v>11</v>
      </c>
      <c r="K395" s="166">
        <f t="shared" si="48"/>
        <v>11</v>
      </c>
      <c r="L395" s="165">
        <f t="shared" si="47"/>
        <v>1.175</v>
      </c>
      <c r="M395" s="168">
        <f t="shared" si="42"/>
        <v>0</v>
      </c>
      <c r="N395" s="236" t="s">
        <v>453</v>
      </c>
    </row>
    <row r="396" spans="1:14" ht="14">
      <c r="A396" s="149">
        <v>395</v>
      </c>
      <c r="B396" s="235" t="s">
        <v>52</v>
      </c>
      <c r="C396" s="231" t="s">
        <v>10</v>
      </c>
      <c r="D396" s="250" t="s">
        <v>1288</v>
      </c>
      <c r="E396" s="281">
        <v>0</v>
      </c>
      <c r="F396" s="249">
        <v>500</v>
      </c>
      <c r="G396" s="164">
        <f t="shared" si="43"/>
        <v>3.2571428571428571</v>
      </c>
      <c r="H396" s="165">
        <f t="shared" si="44"/>
        <v>6.5142857142857142</v>
      </c>
      <c r="I396" s="165">
        <f t="shared" si="45"/>
        <v>4.8857142857142852</v>
      </c>
      <c r="J396" s="166">
        <f t="shared" si="46"/>
        <v>8.1428571428571423</v>
      </c>
      <c r="K396" s="166">
        <f t="shared" si="48"/>
        <v>8.1428571428571423</v>
      </c>
      <c r="L396" s="165">
        <f t="shared" si="47"/>
        <v>1.125</v>
      </c>
      <c r="M396" s="168">
        <f t="shared" si="42"/>
        <v>0</v>
      </c>
      <c r="N396" s="236" t="s">
        <v>453</v>
      </c>
    </row>
    <row r="397" spans="1:14" ht="14">
      <c r="A397" s="149">
        <v>396</v>
      </c>
      <c r="B397" s="235" t="s">
        <v>52</v>
      </c>
      <c r="C397" s="231" t="s">
        <v>10</v>
      </c>
      <c r="D397" s="250" t="s">
        <v>1290</v>
      </c>
      <c r="E397" s="281">
        <v>0</v>
      </c>
      <c r="F397" s="249">
        <v>1555</v>
      </c>
      <c r="G397" s="164">
        <f t="shared" si="43"/>
        <v>9.2857142857142865</v>
      </c>
      <c r="H397" s="165">
        <f t="shared" si="44"/>
        <v>18.571428571428573</v>
      </c>
      <c r="I397" s="165">
        <f t="shared" si="45"/>
        <v>13.928571428571429</v>
      </c>
      <c r="J397" s="166">
        <f t="shared" si="46"/>
        <v>23.214285714285715</v>
      </c>
      <c r="K397" s="166">
        <f t="shared" si="48"/>
        <v>23.214285714285715</v>
      </c>
      <c r="L397" s="165">
        <f t="shared" si="47"/>
        <v>1.3887499999999999</v>
      </c>
      <c r="M397" s="168">
        <f t="shared" si="42"/>
        <v>0</v>
      </c>
      <c r="N397" s="236" t="s">
        <v>453</v>
      </c>
    </row>
    <row r="398" spans="1:14" ht="14">
      <c r="A398" s="149">
        <v>397</v>
      </c>
      <c r="B398" s="235" t="s">
        <v>52</v>
      </c>
      <c r="C398" s="231" t="s">
        <v>10</v>
      </c>
      <c r="D398" s="250" t="s">
        <v>1292</v>
      </c>
      <c r="E398" s="281">
        <v>0</v>
      </c>
      <c r="F398" s="249">
        <v>300</v>
      </c>
      <c r="G398" s="164">
        <f t="shared" si="43"/>
        <v>2.1142857142857143</v>
      </c>
      <c r="H398" s="165">
        <f t="shared" si="44"/>
        <v>4.2285714285714286</v>
      </c>
      <c r="I398" s="165">
        <f t="shared" si="45"/>
        <v>3.1714285714285713</v>
      </c>
      <c r="J398" s="166">
        <f t="shared" si="46"/>
        <v>5.2857142857142856</v>
      </c>
      <c r="K398" s="166">
        <f t="shared" si="48"/>
        <v>5.2857142857142856</v>
      </c>
      <c r="L398" s="165">
        <f t="shared" si="47"/>
        <v>1.075</v>
      </c>
      <c r="M398" s="168">
        <f t="shared" si="42"/>
        <v>0</v>
      </c>
      <c r="N398" s="236" t="s">
        <v>453</v>
      </c>
    </row>
    <row r="399" spans="1:14" ht="14">
      <c r="A399" s="149">
        <v>398</v>
      </c>
      <c r="B399" s="235" t="s">
        <v>52</v>
      </c>
      <c r="C399" s="231" t="s">
        <v>10</v>
      </c>
      <c r="D399" s="250" t="s">
        <v>1294</v>
      </c>
      <c r="E399" s="281">
        <v>0</v>
      </c>
      <c r="F399" s="249">
        <v>1500</v>
      </c>
      <c r="G399" s="164">
        <f t="shared" si="43"/>
        <v>8.9714285714285715</v>
      </c>
      <c r="H399" s="165">
        <f t="shared" si="44"/>
        <v>17.942857142857143</v>
      </c>
      <c r="I399" s="165">
        <f t="shared" si="45"/>
        <v>13.457142857142856</v>
      </c>
      <c r="J399" s="166">
        <f t="shared" si="46"/>
        <v>22.428571428571427</v>
      </c>
      <c r="K399" s="166">
        <f t="shared" si="48"/>
        <v>22.428571428571427</v>
      </c>
      <c r="L399" s="165">
        <f t="shared" si="47"/>
        <v>1.375</v>
      </c>
      <c r="M399" s="168">
        <f t="shared" si="42"/>
        <v>0</v>
      </c>
      <c r="N399" s="236" t="s">
        <v>453</v>
      </c>
    </row>
    <row r="400" spans="1:14" ht="14">
      <c r="A400" s="149">
        <v>399</v>
      </c>
      <c r="B400" s="235" t="s">
        <v>52</v>
      </c>
      <c r="C400" s="231" t="s">
        <v>10</v>
      </c>
      <c r="D400" s="250" t="s">
        <v>1296</v>
      </c>
      <c r="E400" s="281">
        <v>0</v>
      </c>
      <c r="F400" s="249">
        <v>1500</v>
      </c>
      <c r="G400" s="164">
        <f t="shared" si="43"/>
        <v>8.9714285714285715</v>
      </c>
      <c r="H400" s="165">
        <f t="shared" si="44"/>
        <v>17.942857142857143</v>
      </c>
      <c r="I400" s="165">
        <f t="shared" si="45"/>
        <v>13.457142857142856</v>
      </c>
      <c r="J400" s="166">
        <f t="shared" si="46"/>
        <v>22.428571428571427</v>
      </c>
      <c r="K400" s="166">
        <f t="shared" si="48"/>
        <v>22.428571428571427</v>
      </c>
      <c r="L400" s="165">
        <f t="shared" si="47"/>
        <v>1.375</v>
      </c>
      <c r="M400" s="168">
        <f t="shared" si="42"/>
        <v>0</v>
      </c>
      <c r="N400" s="236" t="s">
        <v>453</v>
      </c>
    </row>
    <row r="401" spans="1:14" ht="14">
      <c r="A401" s="149">
        <v>400</v>
      </c>
      <c r="B401" s="235" t="s">
        <v>52</v>
      </c>
      <c r="C401" s="231" t="s">
        <v>10</v>
      </c>
      <c r="D401" s="250" t="s">
        <v>1298</v>
      </c>
      <c r="E401" s="281">
        <v>0</v>
      </c>
      <c r="F401" s="249">
        <v>600</v>
      </c>
      <c r="G401" s="164">
        <f t="shared" si="43"/>
        <v>3.8285714285714287</v>
      </c>
      <c r="H401" s="165">
        <f t="shared" si="44"/>
        <v>7.6571428571428575</v>
      </c>
      <c r="I401" s="165">
        <f t="shared" si="45"/>
        <v>5.7428571428571429</v>
      </c>
      <c r="J401" s="166">
        <f t="shared" si="46"/>
        <v>9.5714285714285712</v>
      </c>
      <c r="K401" s="166">
        <f t="shared" si="48"/>
        <v>9.5714285714285712</v>
      </c>
      <c r="L401" s="165">
        <f t="shared" si="47"/>
        <v>1.1499999999999999</v>
      </c>
      <c r="M401" s="168">
        <f t="shared" si="42"/>
        <v>0</v>
      </c>
      <c r="N401" s="236" t="s">
        <v>453</v>
      </c>
    </row>
    <row r="402" spans="1:14" ht="14">
      <c r="A402" s="149">
        <v>401</v>
      </c>
      <c r="B402" s="235" t="s">
        <v>52</v>
      </c>
      <c r="C402" s="231" t="s">
        <v>10</v>
      </c>
      <c r="D402" s="250" t="s">
        <v>1300</v>
      </c>
      <c r="E402" s="281">
        <v>0</v>
      </c>
      <c r="F402" s="249">
        <v>1400</v>
      </c>
      <c r="G402" s="164">
        <f t="shared" si="43"/>
        <v>8.4</v>
      </c>
      <c r="H402" s="165">
        <f t="shared" si="44"/>
        <v>16.8</v>
      </c>
      <c r="I402" s="165">
        <f t="shared" si="45"/>
        <v>12.6</v>
      </c>
      <c r="J402" s="166">
        <f t="shared" si="46"/>
        <v>21</v>
      </c>
      <c r="K402" s="166">
        <f t="shared" si="48"/>
        <v>21</v>
      </c>
      <c r="L402" s="165">
        <f t="shared" si="47"/>
        <v>1.35</v>
      </c>
      <c r="M402" s="168">
        <f t="shared" si="42"/>
        <v>0</v>
      </c>
      <c r="N402" s="236" t="s">
        <v>453</v>
      </c>
    </row>
    <row r="403" spans="1:14" ht="14">
      <c r="A403" s="149">
        <v>402</v>
      </c>
      <c r="B403" s="235" t="s">
        <v>52</v>
      </c>
      <c r="C403" s="231" t="s">
        <v>10</v>
      </c>
      <c r="D403" s="250" t="s">
        <v>1302</v>
      </c>
      <c r="E403" s="281">
        <v>0</v>
      </c>
      <c r="F403" s="249">
        <v>250</v>
      </c>
      <c r="G403" s="164">
        <f t="shared" si="43"/>
        <v>1.8285714285714285</v>
      </c>
      <c r="H403" s="165">
        <f t="shared" si="44"/>
        <v>3.657142857142857</v>
      </c>
      <c r="I403" s="165">
        <f t="shared" si="45"/>
        <v>2.7428571428571424</v>
      </c>
      <c r="J403" s="166">
        <f t="shared" si="46"/>
        <v>4.5714285714285712</v>
      </c>
      <c r="K403" s="166">
        <f t="shared" si="48"/>
        <v>4.5714285714285712</v>
      </c>
      <c r="L403" s="165">
        <f t="shared" si="47"/>
        <v>1.0625</v>
      </c>
      <c r="M403" s="168">
        <f t="shared" si="42"/>
        <v>0</v>
      </c>
      <c r="N403" s="236" t="s">
        <v>453</v>
      </c>
    </row>
    <row r="404" spans="1:14" ht="14">
      <c r="A404" s="149">
        <v>403</v>
      </c>
      <c r="B404" s="235" t="s">
        <v>52</v>
      </c>
      <c r="C404" s="231" t="s">
        <v>10</v>
      </c>
      <c r="D404" s="250" t="s">
        <v>1304</v>
      </c>
      <c r="E404" s="281">
        <v>0</v>
      </c>
      <c r="F404" s="249">
        <v>200</v>
      </c>
      <c r="G404" s="164">
        <f t="shared" si="43"/>
        <v>1.5428571428571429</v>
      </c>
      <c r="H404" s="165">
        <f t="shared" si="44"/>
        <v>3.0857142857142859</v>
      </c>
      <c r="I404" s="165">
        <f t="shared" si="45"/>
        <v>2.3142857142857141</v>
      </c>
      <c r="J404" s="166">
        <f t="shared" si="46"/>
        <v>3.8571428571428568</v>
      </c>
      <c r="K404" s="166">
        <f t="shared" si="48"/>
        <v>3.8571428571428568</v>
      </c>
      <c r="L404" s="165">
        <f t="shared" si="47"/>
        <v>1.05</v>
      </c>
      <c r="M404" s="168">
        <f t="shared" si="42"/>
        <v>0</v>
      </c>
      <c r="N404" s="236" t="s">
        <v>453</v>
      </c>
    </row>
    <row r="405" spans="1:14" ht="14">
      <c r="A405" s="149">
        <v>404</v>
      </c>
      <c r="B405" s="235" t="s">
        <v>52</v>
      </c>
      <c r="C405" s="231" t="s">
        <v>10</v>
      </c>
      <c r="D405" s="250" t="s">
        <v>1306</v>
      </c>
      <c r="E405" s="281">
        <v>0</v>
      </c>
      <c r="F405" s="249">
        <v>2000</v>
      </c>
      <c r="G405" s="164">
        <f t="shared" si="43"/>
        <v>11.828571428571429</v>
      </c>
      <c r="H405" s="165">
        <f t="shared" si="44"/>
        <v>23.657142857142858</v>
      </c>
      <c r="I405" s="165">
        <f t="shared" si="45"/>
        <v>17.742857142857144</v>
      </c>
      <c r="J405" s="166">
        <f t="shared" si="46"/>
        <v>29.571428571428573</v>
      </c>
      <c r="K405" s="166">
        <f t="shared" si="48"/>
        <v>29.571428571428573</v>
      </c>
      <c r="L405" s="165">
        <f t="shared" si="47"/>
        <v>1.5</v>
      </c>
      <c r="M405" s="168">
        <f t="shared" si="42"/>
        <v>0</v>
      </c>
      <c r="N405" s="236" t="s">
        <v>453</v>
      </c>
    </row>
    <row r="406" spans="1:14" ht="14">
      <c r="A406" s="149">
        <v>405</v>
      </c>
      <c r="B406" s="235" t="s">
        <v>52</v>
      </c>
      <c r="C406" s="231" t="s">
        <v>10</v>
      </c>
      <c r="D406" s="250" t="s">
        <v>1308</v>
      </c>
      <c r="E406" s="281">
        <v>0</v>
      </c>
      <c r="F406" s="249">
        <v>250</v>
      </c>
      <c r="G406" s="164">
        <f t="shared" si="43"/>
        <v>1.8285714285714285</v>
      </c>
      <c r="H406" s="165">
        <f t="shared" si="44"/>
        <v>3.657142857142857</v>
      </c>
      <c r="I406" s="165">
        <f t="shared" si="45"/>
        <v>2.7428571428571424</v>
      </c>
      <c r="J406" s="166">
        <f t="shared" si="46"/>
        <v>4.5714285714285712</v>
      </c>
      <c r="K406" s="166">
        <f t="shared" si="48"/>
        <v>4.5714285714285712</v>
      </c>
      <c r="L406" s="165">
        <f t="shared" si="47"/>
        <v>1.0625</v>
      </c>
      <c r="M406" s="168">
        <f t="shared" si="42"/>
        <v>0</v>
      </c>
      <c r="N406" s="236" t="s">
        <v>453</v>
      </c>
    </row>
    <row r="407" spans="1:14" ht="14">
      <c r="A407" s="149">
        <v>406</v>
      </c>
      <c r="B407" s="235" t="s">
        <v>52</v>
      </c>
      <c r="C407" s="231" t="s">
        <v>10</v>
      </c>
      <c r="D407" s="250" t="s">
        <v>1310</v>
      </c>
      <c r="E407" s="281">
        <v>0</v>
      </c>
      <c r="F407" s="249">
        <v>500</v>
      </c>
      <c r="G407" s="164">
        <f t="shared" si="43"/>
        <v>3.2571428571428571</v>
      </c>
      <c r="H407" s="165">
        <f t="shared" si="44"/>
        <v>6.5142857142857142</v>
      </c>
      <c r="I407" s="165">
        <f t="shared" si="45"/>
        <v>4.8857142857142852</v>
      </c>
      <c r="J407" s="166">
        <f t="shared" si="46"/>
        <v>8.1428571428571423</v>
      </c>
      <c r="K407" s="166">
        <f t="shared" si="48"/>
        <v>8.1428571428571423</v>
      </c>
      <c r="L407" s="165">
        <f t="shared" si="47"/>
        <v>1.125</v>
      </c>
      <c r="M407" s="168">
        <f t="shared" si="42"/>
        <v>0</v>
      </c>
      <c r="N407" s="236" t="s">
        <v>453</v>
      </c>
    </row>
    <row r="408" spans="1:14" ht="14">
      <c r="A408" s="149">
        <v>407</v>
      </c>
      <c r="B408" s="235" t="s">
        <v>51</v>
      </c>
      <c r="C408" s="231" t="s">
        <v>10</v>
      </c>
      <c r="D408" s="250" t="s">
        <v>4679</v>
      </c>
      <c r="E408" s="281">
        <v>0</v>
      </c>
      <c r="F408" s="249">
        <v>1000</v>
      </c>
      <c r="G408" s="164">
        <f t="shared" si="43"/>
        <v>6.1142857142857148</v>
      </c>
      <c r="H408" s="165">
        <f t="shared" si="44"/>
        <v>12.22857142857143</v>
      </c>
      <c r="I408" s="165">
        <f t="shared" si="45"/>
        <v>9.1714285714285708</v>
      </c>
      <c r="J408" s="166">
        <f t="shared" si="46"/>
        <v>15.285714285714285</v>
      </c>
      <c r="K408" s="166">
        <f t="shared" si="48"/>
        <v>15.285714285714285</v>
      </c>
      <c r="L408" s="165">
        <f t="shared" si="47"/>
        <v>1.25</v>
      </c>
      <c r="M408" s="168">
        <f t="shared" si="42"/>
        <v>0</v>
      </c>
      <c r="N408" s="236" t="s">
        <v>453</v>
      </c>
    </row>
    <row r="409" spans="1:14" ht="14">
      <c r="A409" s="149">
        <v>408</v>
      </c>
      <c r="B409" s="235" t="s">
        <v>52</v>
      </c>
      <c r="C409" s="231" t="s">
        <v>10</v>
      </c>
      <c r="D409" s="250" t="s">
        <v>1313</v>
      </c>
      <c r="E409" s="281">
        <v>0</v>
      </c>
      <c r="F409" s="249">
        <v>500</v>
      </c>
      <c r="G409" s="164">
        <f t="shared" si="43"/>
        <v>3.2571428571428571</v>
      </c>
      <c r="H409" s="165">
        <f t="shared" si="44"/>
        <v>6.5142857142857142</v>
      </c>
      <c r="I409" s="165">
        <f t="shared" si="45"/>
        <v>4.8857142857142852</v>
      </c>
      <c r="J409" s="166">
        <f t="shared" si="46"/>
        <v>8.1428571428571423</v>
      </c>
      <c r="K409" s="166">
        <f t="shared" si="48"/>
        <v>8.1428571428571423</v>
      </c>
      <c r="L409" s="165">
        <f t="shared" si="47"/>
        <v>1.125</v>
      </c>
      <c r="M409" s="168">
        <f t="shared" si="42"/>
        <v>0</v>
      </c>
      <c r="N409" s="236" t="s">
        <v>453</v>
      </c>
    </row>
    <row r="410" spans="1:14" ht="14">
      <c r="A410" s="149">
        <v>409</v>
      </c>
      <c r="B410" s="235" t="s">
        <v>52</v>
      </c>
      <c r="C410" s="231" t="s">
        <v>10</v>
      </c>
      <c r="D410" s="250" t="s">
        <v>1315</v>
      </c>
      <c r="E410" s="281">
        <v>0</v>
      </c>
      <c r="F410" s="249">
        <v>300</v>
      </c>
      <c r="G410" s="164">
        <f t="shared" si="43"/>
        <v>2.1142857142857143</v>
      </c>
      <c r="H410" s="165">
        <f t="shared" si="44"/>
        <v>4.2285714285714286</v>
      </c>
      <c r="I410" s="165">
        <f t="shared" si="45"/>
        <v>3.1714285714285713</v>
      </c>
      <c r="J410" s="166">
        <f t="shared" si="46"/>
        <v>5.2857142857142856</v>
      </c>
      <c r="K410" s="166">
        <f t="shared" si="48"/>
        <v>5.2857142857142856</v>
      </c>
      <c r="L410" s="165">
        <f t="shared" si="47"/>
        <v>1.075</v>
      </c>
      <c r="M410" s="168">
        <f t="shared" si="42"/>
        <v>0</v>
      </c>
      <c r="N410" s="236" t="s">
        <v>453</v>
      </c>
    </row>
    <row r="411" spans="1:14" ht="14">
      <c r="A411" s="149">
        <v>410</v>
      </c>
      <c r="B411" s="235" t="s">
        <v>52</v>
      </c>
      <c r="C411" s="231" t="s">
        <v>10</v>
      </c>
      <c r="D411" s="250" t="s">
        <v>1317</v>
      </c>
      <c r="E411" s="281">
        <v>0</v>
      </c>
      <c r="F411" s="249">
        <v>950</v>
      </c>
      <c r="G411" s="164">
        <f t="shared" si="43"/>
        <v>5.8285714285714292</v>
      </c>
      <c r="H411" s="165">
        <f t="shared" si="44"/>
        <v>11.657142857142858</v>
      </c>
      <c r="I411" s="165">
        <f t="shared" si="45"/>
        <v>8.742857142857142</v>
      </c>
      <c r="J411" s="166">
        <f t="shared" si="46"/>
        <v>14.571428571428571</v>
      </c>
      <c r="K411" s="166">
        <f t="shared" si="48"/>
        <v>14.571428571428571</v>
      </c>
      <c r="L411" s="165">
        <f t="shared" si="47"/>
        <v>1.2375</v>
      </c>
      <c r="M411" s="168">
        <f t="shared" si="42"/>
        <v>0</v>
      </c>
      <c r="N411" s="236" t="s">
        <v>453</v>
      </c>
    </row>
    <row r="412" spans="1:14" ht="14">
      <c r="A412" s="149">
        <v>411</v>
      </c>
      <c r="B412" s="235" t="s">
        <v>52</v>
      </c>
      <c r="C412" s="231" t="s">
        <v>10</v>
      </c>
      <c r="D412" s="250" t="s">
        <v>1319</v>
      </c>
      <c r="E412" s="281">
        <v>0</v>
      </c>
      <c r="F412" s="249">
        <v>300</v>
      </c>
      <c r="G412" s="164">
        <f t="shared" si="43"/>
        <v>2.1142857142857143</v>
      </c>
      <c r="H412" s="165">
        <f t="shared" si="44"/>
        <v>4.2285714285714286</v>
      </c>
      <c r="I412" s="165">
        <f t="shared" si="45"/>
        <v>3.1714285714285713</v>
      </c>
      <c r="J412" s="166">
        <f t="shared" si="46"/>
        <v>5.2857142857142856</v>
      </c>
      <c r="K412" s="166">
        <f t="shared" si="48"/>
        <v>5.2857142857142856</v>
      </c>
      <c r="L412" s="165">
        <f t="shared" si="47"/>
        <v>1.075</v>
      </c>
      <c r="M412" s="168">
        <f t="shared" si="42"/>
        <v>0</v>
      </c>
      <c r="N412" s="236" t="s">
        <v>453</v>
      </c>
    </row>
    <row r="413" spans="1:14" ht="14">
      <c r="A413" s="149">
        <v>412</v>
      </c>
      <c r="B413" s="235" t="s">
        <v>52</v>
      </c>
      <c r="C413" s="231" t="s">
        <v>10</v>
      </c>
      <c r="D413" s="250" t="s">
        <v>1321</v>
      </c>
      <c r="E413" s="281">
        <v>0</v>
      </c>
      <c r="F413" s="249">
        <v>1500</v>
      </c>
      <c r="G413" s="164">
        <f t="shared" si="43"/>
        <v>8.9714285714285715</v>
      </c>
      <c r="H413" s="165">
        <f t="shared" si="44"/>
        <v>17.942857142857143</v>
      </c>
      <c r="I413" s="165">
        <f t="shared" si="45"/>
        <v>13.457142857142856</v>
      </c>
      <c r="J413" s="166">
        <f t="shared" si="46"/>
        <v>22.428571428571427</v>
      </c>
      <c r="K413" s="166">
        <f t="shared" si="48"/>
        <v>22.428571428571427</v>
      </c>
      <c r="L413" s="165">
        <f t="shared" si="47"/>
        <v>1.375</v>
      </c>
      <c r="M413" s="168">
        <f t="shared" si="42"/>
        <v>0</v>
      </c>
      <c r="N413" s="236" t="s">
        <v>453</v>
      </c>
    </row>
    <row r="414" spans="1:14" ht="14">
      <c r="A414" s="149">
        <v>413</v>
      </c>
      <c r="B414" s="235" t="s">
        <v>52</v>
      </c>
      <c r="C414" s="231" t="s">
        <v>10</v>
      </c>
      <c r="D414" s="250" t="s">
        <v>1323</v>
      </c>
      <c r="E414" s="281">
        <v>0</v>
      </c>
      <c r="F414" s="249">
        <v>800</v>
      </c>
      <c r="G414" s="164">
        <f t="shared" si="43"/>
        <v>4.9714285714285715</v>
      </c>
      <c r="H414" s="165">
        <f t="shared" si="44"/>
        <v>9.9428571428571431</v>
      </c>
      <c r="I414" s="165">
        <f t="shared" si="45"/>
        <v>7.4571428571428573</v>
      </c>
      <c r="J414" s="166">
        <f t="shared" si="46"/>
        <v>12.428571428571429</v>
      </c>
      <c r="K414" s="166">
        <f t="shared" si="48"/>
        <v>12.428571428571429</v>
      </c>
      <c r="L414" s="165">
        <f t="shared" si="47"/>
        <v>1.2</v>
      </c>
      <c r="M414" s="168">
        <f t="shared" si="42"/>
        <v>0</v>
      </c>
      <c r="N414" s="236" t="s">
        <v>453</v>
      </c>
    </row>
    <row r="415" spans="1:14" ht="14">
      <c r="A415" s="149">
        <v>414</v>
      </c>
      <c r="B415" s="235" t="s">
        <v>52</v>
      </c>
      <c r="C415" s="231" t="s">
        <v>10</v>
      </c>
      <c r="D415" s="250" t="s">
        <v>1325</v>
      </c>
      <c r="E415" s="281">
        <v>0</v>
      </c>
      <c r="F415" s="249">
        <v>400</v>
      </c>
      <c r="G415" s="164">
        <f t="shared" si="43"/>
        <v>2.6857142857142859</v>
      </c>
      <c r="H415" s="165">
        <f t="shared" si="44"/>
        <v>5.3714285714285719</v>
      </c>
      <c r="I415" s="165">
        <f t="shared" si="45"/>
        <v>4.0285714285714285</v>
      </c>
      <c r="J415" s="166">
        <f t="shared" si="46"/>
        <v>6.7142857142857144</v>
      </c>
      <c r="K415" s="166">
        <f t="shared" si="48"/>
        <v>6.7142857142857144</v>
      </c>
      <c r="L415" s="165">
        <f t="shared" si="47"/>
        <v>1.1000000000000001</v>
      </c>
      <c r="M415" s="168">
        <f t="shared" si="42"/>
        <v>0</v>
      </c>
      <c r="N415" s="236" t="s">
        <v>453</v>
      </c>
    </row>
    <row r="416" spans="1:14" ht="14">
      <c r="A416" s="149">
        <v>415</v>
      </c>
      <c r="B416" s="235" t="s">
        <v>52</v>
      </c>
      <c r="C416" s="231" t="s">
        <v>10</v>
      </c>
      <c r="D416" s="250" t="s">
        <v>1327</v>
      </c>
      <c r="E416" s="281">
        <v>0</v>
      </c>
      <c r="F416" s="249">
        <v>300</v>
      </c>
      <c r="G416" s="164">
        <f t="shared" si="43"/>
        <v>2.1142857142857143</v>
      </c>
      <c r="H416" s="165">
        <f t="shared" si="44"/>
        <v>4.2285714285714286</v>
      </c>
      <c r="I416" s="165">
        <f t="shared" si="45"/>
        <v>3.1714285714285713</v>
      </c>
      <c r="J416" s="166">
        <f t="shared" si="46"/>
        <v>5.2857142857142856</v>
      </c>
      <c r="K416" s="166">
        <f t="shared" si="48"/>
        <v>5.2857142857142856</v>
      </c>
      <c r="L416" s="165">
        <f t="shared" si="47"/>
        <v>1.075</v>
      </c>
      <c r="M416" s="168">
        <f t="shared" si="42"/>
        <v>0</v>
      </c>
      <c r="N416" s="236" t="s">
        <v>453</v>
      </c>
    </row>
    <row r="417" spans="1:14" ht="14">
      <c r="A417" s="149">
        <v>416</v>
      </c>
      <c r="B417" s="235" t="s">
        <v>52</v>
      </c>
      <c r="C417" s="231" t="s">
        <v>10</v>
      </c>
      <c r="D417" s="250" t="s">
        <v>1329</v>
      </c>
      <c r="E417" s="281">
        <v>0</v>
      </c>
      <c r="F417" s="249">
        <v>1000</v>
      </c>
      <c r="G417" s="164">
        <f t="shared" si="43"/>
        <v>6.1142857142857148</v>
      </c>
      <c r="H417" s="165">
        <f t="shared" si="44"/>
        <v>12.22857142857143</v>
      </c>
      <c r="I417" s="165">
        <f t="shared" si="45"/>
        <v>9.1714285714285708</v>
      </c>
      <c r="J417" s="166">
        <f t="shared" si="46"/>
        <v>15.285714285714285</v>
      </c>
      <c r="K417" s="166">
        <f t="shared" si="48"/>
        <v>15.285714285714285</v>
      </c>
      <c r="L417" s="165">
        <f t="shared" si="47"/>
        <v>1.25</v>
      </c>
      <c r="M417" s="168">
        <f t="shared" si="42"/>
        <v>0</v>
      </c>
      <c r="N417" s="236" t="s">
        <v>453</v>
      </c>
    </row>
    <row r="418" spans="1:14" ht="14">
      <c r="A418" s="149">
        <v>417</v>
      </c>
      <c r="B418" s="235" t="s">
        <v>52</v>
      </c>
      <c r="C418" s="231" t="s">
        <v>10</v>
      </c>
      <c r="D418" s="250" t="s">
        <v>1331</v>
      </c>
      <c r="E418" s="281">
        <v>0</v>
      </c>
      <c r="F418" s="249">
        <v>350</v>
      </c>
      <c r="G418" s="164">
        <f t="shared" si="43"/>
        <v>2.4000000000000004</v>
      </c>
      <c r="H418" s="165">
        <f t="shared" si="44"/>
        <v>4.8000000000000007</v>
      </c>
      <c r="I418" s="165">
        <f t="shared" si="45"/>
        <v>3.5999999999999996</v>
      </c>
      <c r="J418" s="166">
        <f t="shared" si="46"/>
        <v>6</v>
      </c>
      <c r="K418" s="166">
        <f t="shared" si="48"/>
        <v>6</v>
      </c>
      <c r="L418" s="165">
        <f t="shared" si="47"/>
        <v>1.0874999999999999</v>
      </c>
      <c r="M418" s="168">
        <f t="shared" si="42"/>
        <v>0</v>
      </c>
      <c r="N418" s="236" t="s">
        <v>453</v>
      </c>
    </row>
    <row r="419" spans="1:14" ht="14">
      <c r="A419" s="149">
        <v>418</v>
      </c>
      <c r="B419" s="235" t="s">
        <v>52</v>
      </c>
      <c r="C419" s="231" t="s">
        <v>10</v>
      </c>
      <c r="D419" s="250" t="s">
        <v>1333</v>
      </c>
      <c r="E419" s="281">
        <v>0</v>
      </c>
      <c r="F419" s="249">
        <v>500</v>
      </c>
      <c r="G419" s="164">
        <f t="shared" si="43"/>
        <v>3.2571428571428571</v>
      </c>
      <c r="H419" s="165">
        <f t="shared" si="44"/>
        <v>6.5142857142857142</v>
      </c>
      <c r="I419" s="165">
        <f t="shared" si="45"/>
        <v>4.8857142857142852</v>
      </c>
      <c r="J419" s="166">
        <f t="shared" si="46"/>
        <v>8.1428571428571423</v>
      </c>
      <c r="K419" s="166">
        <f t="shared" si="48"/>
        <v>8.1428571428571423</v>
      </c>
      <c r="L419" s="165">
        <f t="shared" si="47"/>
        <v>1.125</v>
      </c>
      <c r="M419" s="168">
        <f t="shared" si="42"/>
        <v>0</v>
      </c>
      <c r="N419" s="236" t="s">
        <v>453</v>
      </c>
    </row>
    <row r="420" spans="1:14" ht="14">
      <c r="A420" s="149">
        <v>419</v>
      </c>
      <c r="B420" s="235" t="s">
        <v>52</v>
      </c>
      <c r="C420" s="231" t="s">
        <v>10</v>
      </c>
      <c r="D420" s="250" t="s">
        <v>1335</v>
      </c>
      <c r="E420" s="281">
        <v>0</v>
      </c>
      <c r="F420" s="249">
        <v>500</v>
      </c>
      <c r="G420" s="164">
        <f t="shared" si="43"/>
        <v>3.2571428571428571</v>
      </c>
      <c r="H420" s="165">
        <f t="shared" si="44"/>
        <v>6.5142857142857142</v>
      </c>
      <c r="I420" s="165">
        <f t="shared" si="45"/>
        <v>4.8857142857142852</v>
      </c>
      <c r="J420" s="166">
        <f t="shared" si="46"/>
        <v>8.1428571428571423</v>
      </c>
      <c r="K420" s="166">
        <f t="shared" si="48"/>
        <v>8.1428571428571423</v>
      </c>
      <c r="L420" s="165">
        <f t="shared" si="47"/>
        <v>1.125</v>
      </c>
      <c r="M420" s="168">
        <f t="shared" si="42"/>
        <v>0</v>
      </c>
      <c r="N420" s="236" t="s">
        <v>453</v>
      </c>
    </row>
    <row r="421" spans="1:14" ht="14">
      <c r="A421" s="149">
        <v>420</v>
      </c>
      <c r="B421" s="235" t="s">
        <v>52</v>
      </c>
      <c r="C421" s="231" t="s">
        <v>10</v>
      </c>
      <c r="D421" s="250" t="s">
        <v>1337</v>
      </c>
      <c r="E421" s="281">
        <v>0</v>
      </c>
      <c r="F421" s="249">
        <v>700</v>
      </c>
      <c r="G421" s="164">
        <f t="shared" si="43"/>
        <v>4.4000000000000004</v>
      </c>
      <c r="H421" s="165">
        <f t="shared" si="44"/>
        <v>8.8000000000000007</v>
      </c>
      <c r="I421" s="165">
        <f t="shared" si="45"/>
        <v>6.6</v>
      </c>
      <c r="J421" s="166">
        <f t="shared" si="46"/>
        <v>11</v>
      </c>
      <c r="K421" s="166">
        <f t="shared" si="48"/>
        <v>11</v>
      </c>
      <c r="L421" s="165">
        <f t="shared" si="47"/>
        <v>1.175</v>
      </c>
      <c r="M421" s="168">
        <f t="shared" si="42"/>
        <v>0</v>
      </c>
      <c r="N421" s="236" t="s">
        <v>453</v>
      </c>
    </row>
    <row r="422" spans="1:14" ht="14">
      <c r="A422" s="149">
        <v>421</v>
      </c>
      <c r="B422" s="235" t="s">
        <v>52</v>
      </c>
      <c r="C422" s="231" t="s">
        <v>10</v>
      </c>
      <c r="D422" s="250" t="s">
        <v>1339</v>
      </c>
      <c r="E422" s="281">
        <v>0</v>
      </c>
      <c r="F422" s="249">
        <v>500</v>
      </c>
      <c r="G422" s="164">
        <f t="shared" si="43"/>
        <v>3.2571428571428571</v>
      </c>
      <c r="H422" s="165">
        <f t="shared" si="44"/>
        <v>6.5142857142857142</v>
      </c>
      <c r="I422" s="165">
        <f t="shared" si="45"/>
        <v>4.8857142857142852</v>
      </c>
      <c r="J422" s="166">
        <f t="shared" si="46"/>
        <v>8.1428571428571423</v>
      </c>
      <c r="K422" s="166">
        <f t="shared" si="48"/>
        <v>8.1428571428571423</v>
      </c>
      <c r="L422" s="165">
        <f t="shared" si="47"/>
        <v>1.125</v>
      </c>
      <c r="M422" s="168">
        <f t="shared" si="42"/>
        <v>0</v>
      </c>
      <c r="N422" s="236" t="s">
        <v>453</v>
      </c>
    </row>
    <row r="423" spans="1:14" ht="14">
      <c r="A423" s="149">
        <v>422</v>
      </c>
      <c r="B423" s="235" t="s">
        <v>52</v>
      </c>
      <c r="C423" s="231" t="s">
        <v>10</v>
      </c>
      <c r="D423" s="250" t="s">
        <v>1341</v>
      </c>
      <c r="E423" s="281">
        <v>0</v>
      </c>
      <c r="F423" s="249">
        <v>300</v>
      </c>
      <c r="G423" s="164">
        <f t="shared" si="43"/>
        <v>2.1142857142857143</v>
      </c>
      <c r="H423" s="165">
        <f t="shared" si="44"/>
        <v>4.2285714285714286</v>
      </c>
      <c r="I423" s="165">
        <f t="shared" si="45"/>
        <v>3.1714285714285713</v>
      </c>
      <c r="J423" s="166">
        <f t="shared" si="46"/>
        <v>5.2857142857142856</v>
      </c>
      <c r="K423" s="166">
        <f t="shared" si="48"/>
        <v>5.2857142857142856</v>
      </c>
      <c r="L423" s="165">
        <f t="shared" si="47"/>
        <v>1.075</v>
      </c>
      <c r="M423" s="168">
        <f t="shared" si="42"/>
        <v>0</v>
      </c>
      <c r="N423" s="236" t="s">
        <v>453</v>
      </c>
    </row>
    <row r="424" spans="1:14" ht="14">
      <c r="A424" s="149">
        <v>423</v>
      </c>
      <c r="B424" s="235" t="s">
        <v>52</v>
      </c>
      <c r="C424" s="231" t="s">
        <v>10</v>
      </c>
      <c r="D424" s="250" t="s">
        <v>1343</v>
      </c>
      <c r="E424" s="281">
        <v>0</v>
      </c>
      <c r="F424" s="249">
        <v>350</v>
      </c>
      <c r="G424" s="164">
        <f t="shared" si="43"/>
        <v>2.4000000000000004</v>
      </c>
      <c r="H424" s="165">
        <f t="shared" si="44"/>
        <v>4.8000000000000007</v>
      </c>
      <c r="I424" s="165">
        <f t="shared" si="45"/>
        <v>3.5999999999999996</v>
      </c>
      <c r="J424" s="166">
        <f t="shared" si="46"/>
        <v>6</v>
      </c>
      <c r="K424" s="166">
        <f t="shared" si="48"/>
        <v>6</v>
      </c>
      <c r="L424" s="165">
        <f t="shared" si="47"/>
        <v>1.0874999999999999</v>
      </c>
      <c r="M424" s="168">
        <f t="shared" si="42"/>
        <v>0</v>
      </c>
      <c r="N424" s="236" t="s">
        <v>453</v>
      </c>
    </row>
    <row r="425" spans="1:14" ht="14">
      <c r="A425" s="149">
        <v>424</v>
      </c>
      <c r="B425" s="235" t="s">
        <v>52</v>
      </c>
      <c r="C425" s="231" t="s">
        <v>10</v>
      </c>
      <c r="D425" s="250" t="s">
        <v>1345</v>
      </c>
      <c r="E425" s="281">
        <v>0</v>
      </c>
      <c r="F425" s="249">
        <v>2200</v>
      </c>
      <c r="G425" s="164">
        <f t="shared" si="43"/>
        <v>12.971428571428573</v>
      </c>
      <c r="H425" s="165">
        <f t="shared" si="44"/>
        <v>25.942857142857147</v>
      </c>
      <c r="I425" s="165">
        <f t="shared" si="45"/>
        <v>19.457142857142859</v>
      </c>
      <c r="J425" s="166">
        <f t="shared" si="46"/>
        <v>32.428571428571431</v>
      </c>
      <c r="K425" s="166">
        <f t="shared" si="48"/>
        <v>32.428571428571431</v>
      </c>
      <c r="L425" s="165">
        <f t="shared" si="47"/>
        <v>1.55</v>
      </c>
      <c r="M425" s="168">
        <f t="shared" si="42"/>
        <v>0</v>
      </c>
      <c r="N425" s="236" t="s">
        <v>453</v>
      </c>
    </row>
    <row r="426" spans="1:14" ht="14">
      <c r="A426" s="149">
        <v>425</v>
      </c>
      <c r="B426" s="235" t="s">
        <v>49</v>
      </c>
      <c r="C426" s="231" t="s">
        <v>10</v>
      </c>
      <c r="D426" s="250" t="s">
        <v>1347</v>
      </c>
      <c r="E426" s="281">
        <v>0</v>
      </c>
      <c r="F426" s="249">
        <v>800</v>
      </c>
      <c r="G426" s="164">
        <f t="shared" si="43"/>
        <v>4.9714285714285715</v>
      </c>
      <c r="H426" s="165">
        <f t="shared" si="44"/>
        <v>9.9428571428571431</v>
      </c>
      <c r="I426" s="165">
        <f t="shared" si="45"/>
        <v>7.4571428571428573</v>
      </c>
      <c r="J426" s="166">
        <f t="shared" si="46"/>
        <v>12.428571428571429</v>
      </c>
      <c r="K426" s="166">
        <f t="shared" si="48"/>
        <v>12.428571428571429</v>
      </c>
      <c r="L426" s="165">
        <f t="shared" si="47"/>
        <v>1.2</v>
      </c>
      <c r="M426" s="168">
        <f t="shared" si="42"/>
        <v>0</v>
      </c>
      <c r="N426" s="236" t="s">
        <v>453</v>
      </c>
    </row>
    <row r="427" spans="1:14" ht="14">
      <c r="A427" s="149">
        <v>426</v>
      </c>
      <c r="B427" s="235" t="s">
        <v>52</v>
      </c>
      <c r="C427" s="231" t="s">
        <v>10</v>
      </c>
      <c r="D427" s="250" t="s">
        <v>4723</v>
      </c>
      <c r="E427" s="281">
        <v>0</v>
      </c>
      <c r="F427" s="249">
        <v>1500</v>
      </c>
      <c r="G427" s="164">
        <f t="shared" si="43"/>
        <v>8.9714285714285715</v>
      </c>
      <c r="H427" s="165">
        <f t="shared" si="44"/>
        <v>17.942857142857143</v>
      </c>
      <c r="I427" s="165">
        <f t="shared" si="45"/>
        <v>13.457142857142856</v>
      </c>
      <c r="J427" s="166">
        <f t="shared" si="46"/>
        <v>22.428571428571427</v>
      </c>
      <c r="K427" s="166">
        <f t="shared" si="48"/>
        <v>22.428571428571427</v>
      </c>
      <c r="L427" s="165">
        <f t="shared" si="47"/>
        <v>1.375</v>
      </c>
      <c r="M427" s="168">
        <f t="shared" si="42"/>
        <v>0</v>
      </c>
      <c r="N427" s="236" t="s">
        <v>453</v>
      </c>
    </row>
    <row r="428" spans="1:14" ht="14">
      <c r="A428" s="149">
        <v>427</v>
      </c>
      <c r="B428" s="235" t="s">
        <v>52</v>
      </c>
      <c r="C428" s="231" t="s">
        <v>10</v>
      </c>
      <c r="D428" s="250" t="s">
        <v>1350</v>
      </c>
      <c r="E428" s="281">
        <v>0</v>
      </c>
      <c r="F428" s="249">
        <v>1000</v>
      </c>
      <c r="G428" s="164">
        <f t="shared" si="43"/>
        <v>6.1142857142857148</v>
      </c>
      <c r="H428" s="165">
        <f t="shared" si="44"/>
        <v>12.22857142857143</v>
      </c>
      <c r="I428" s="165">
        <f t="shared" si="45"/>
        <v>9.1714285714285708</v>
      </c>
      <c r="J428" s="166">
        <f t="shared" si="46"/>
        <v>15.285714285714285</v>
      </c>
      <c r="K428" s="166">
        <f t="shared" si="48"/>
        <v>15.285714285714285</v>
      </c>
      <c r="L428" s="165">
        <f t="shared" si="47"/>
        <v>1.25</v>
      </c>
      <c r="M428" s="168">
        <f t="shared" si="42"/>
        <v>0</v>
      </c>
      <c r="N428" s="236" t="s">
        <v>453</v>
      </c>
    </row>
    <row r="429" spans="1:14" ht="14">
      <c r="A429" s="149">
        <v>428</v>
      </c>
      <c r="B429" s="235" t="s">
        <v>52</v>
      </c>
      <c r="C429" s="231" t="s">
        <v>10</v>
      </c>
      <c r="D429" s="250" t="s">
        <v>1352</v>
      </c>
      <c r="E429" s="281">
        <v>0</v>
      </c>
      <c r="F429" s="249">
        <v>1100</v>
      </c>
      <c r="G429" s="164">
        <f t="shared" si="43"/>
        <v>6.6857142857142868</v>
      </c>
      <c r="H429" s="165">
        <f t="shared" si="44"/>
        <v>13.371428571428574</v>
      </c>
      <c r="I429" s="165">
        <f t="shared" si="45"/>
        <v>10.028571428571428</v>
      </c>
      <c r="J429" s="166">
        <f t="shared" si="46"/>
        <v>16.714285714285715</v>
      </c>
      <c r="K429" s="166">
        <f t="shared" si="48"/>
        <v>16.714285714285715</v>
      </c>
      <c r="L429" s="165">
        <f t="shared" si="47"/>
        <v>1.2749999999999999</v>
      </c>
      <c r="M429" s="168">
        <f t="shared" si="42"/>
        <v>0</v>
      </c>
      <c r="N429" s="236" t="s">
        <v>453</v>
      </c>
    </row>
    <row r="430" spans="1:14" ht="14">
      <c r="A430" s="149">
        <v>429</v>
      </c>
      <c r="B430" s="235" t="s">
        <v>52</v>
      </c>
      <c r="C430" s="231" t="s">
        <v>10</v>
      </c>
      <c r="D430" s="250" t="s">
        <v>1354</v>
      </c>
      <c r="E430" s="281">
        <v>0</v>
      </c>
      <c r="F430" s="249">
        <v>480</v>
      </c>
      <c r="G430" s="164">
        <f t="shared" si="43"/>
        <v>3.1428571428571428</v>
      </c>
      <c r="H430" s="165">
        <f t="shared" si="44"/>
        <v>6.2857142857142856</v>
      </c>
      <c r="I430" s="165">
        <f t="shared" si="45"/>
        <v>4.7142857142857135</v>
      </c>
      <c r="J430" s="166">
        <f t="shared" si="46"/>
        <v>7.8571428571428559</v>
      </c>
      <c r="K430" s="166">
        <f t="shared" si="48"/>
        <v>7.8571428571428559</v>
      </c>
      <c r="L430" s="165">
        <f t="shared" si="47"/>
        <v>1.1200000000000001</v>
      </c>
      <c r="M430" s="168">
        <f t="shared" si="42"/>
        <v>0</v>
      </c>
      <c r="N430" s="236" t="s">
        <v>453</v>
      </c>
    </row>
    <row r="431" spans="1:14" ht="14">
      <c r="A431" s="149">
        <v>430</v>
      </c>
      <c r="B431" s="235" t="s">
        <v>52</v>
      </c>
      <c r="C431" s="231" t="s">
        <v>10</v>
      </c>
      <c r="D431" s="250" t="s">
        <v>1356</v>
      </c>
      <c r="E431" s="281">
        <v>0</v>
      </c>
      <c r="F431" s="249">
        <v>300</v>
      </c>
      <c r="G431" s="164">
        <f t="shared" si="43"/>
        <v>2.1142857142857143</v>
      </c>
      <c r="H431" s="165">
        <f t="shared" si="44"/>
        <v>4.2285714285714286</v>
      </c>
      <c r="I431" s="165">
        <f t="shared" si="45"/>
        <v>3.1714285714285713</v>
      </c>
      <c r="J431" s="166">
        <f t="shared" si="46"/>
        <v>5.2857142857142856</v>
      </c>
      <c r="K431" s="166">
        <f t="shared" si="48"/>
        <v>5.2857142857142856</v>
      </c>
      <c r="L431" s="165">
        <f t="shared" si="47"/>
        <v>1.075</v>
      </c>
      <c r="M431" s="168">
        <f t="shared" si="42"/>
        <v>0</v>
      </c>
      <c r="N431" s="236" t="s">
        <v>453</v>
      </c>
    </row>
    <row r="432" spans="1:14" ht="14">
      <c r="A432" s="149">
        <v>431</v>
      </c>
      <c r="B432" s="235" t="s">
        <v>52</v>
      </c>
      <c r="C432" s="231" t="s">
        <v>10</v>
      </c>
      <c r="D432" s="250" t="s">
        <v>1358</v>
      </c>
      <c r="E432" s="281">
        <v>0</v>
      </c>
      <c r="F432" s="249">
        <v>500</v>
      </c>
      <c r="G432" s="164">
        <f t="shared" si="43"/>
        <v>3.2571428571428571</v>
      </c>
      <c r="H432" s="165">
        <f t="shared" si="44"/>
        <v>6.5142857142857142</v>
      </c>
      <c r="I432" s="165">
        <f t="shared" si="45"/>
        <v>4.8857142857142852</v>
      </c>
      <c r="J432" s="166">
        <f t="shared" si="46"/>
        <v>8.1428571428571423</v>
      </c>
      <c r="K432" s="166">
        <f t="shared" si="48"/>
        <v>8.1428571428571423</v>
      </c>
      <c r="L432" s="165">
        <f t="shared" si="47"/>
        <v>1.125</v>
      </c>
      <c r="M432" s="168">
        <f t="shared" si="42"/>
        <v>0</v>
      </c>
      <c r="N432" s="236" t="s">
        <v>453</v>
      </c>
    </row>
    <row r="433" spans="1:14" ht="14">
      <c r="A433" s="149">
        <v>432</v>
      </c>
      <c r="B433" s="235" t="s">
        <v>52</v>
      </c>
      <c r="C433" s="231" t="s">
        <v>10</v>
      </c>
      <c r="D433" s="250" t="s">
        <v>1360</v>
      </c>
      <c r="E433" s="281">
        <v>0</v>
      </c>
      <c r="F433" s="249">
        <v>500</v>
      </c>
      <c r="G433" s="164">
        <f t="shared" si="43"/>
        <v>3.2571428571428571</v>
      </c>
      <c r="H433" s="165">
        <f t="shared" si="44"/>
        <v>6.5142857142857142</v>
      </c>
      <c r="I433" s="165">
        <f t="shared" si="45"/>
        <v>4.8857142857142852</v>
      </c>
      <c r="J433" s="166">
        <f t="shared" si="46"/>
        <v>8.1428571428571423</v>
      </c>
      <c r="K433" s="166">
        <f t="shared" si="48"/>
        <v>8.1428571428571423</v>
      </c>
      <c r="L433" s="165">
        <f t="shared" si="47"/>
        <v>1.125</v>
      </c>
      <c r="M433" s="168">
        <f t="shared" si="42"/>
        <v>0</v>
      </c>
      <c r="N433" s="236" t="s">
        <v>453</v>
      </c>
    </row>
    <row r="434" spans="1:14" ht="14">
      <c r="A434" s="149">
        <v>433</v>
      </c>
      <c r="B434" s="235" t="s">
        <v>52</v>
      </c>
      <c r="C434" s="231" t="s">
        <v>10</v>
      </c>
      <c r="D434" s="250" t="s">
        <v>1362</v>
      </c>
      <c r="E434" s="281">
        <v>0</v>
      </c>
      <c r="F434" s="249">
        <v>750</v>
      </c>
      <c r="G434" s="164">
        <f t="shared" si="43"/>
        <v>4.6857142857142859</v>
      </c>
      <c r="H434" s="165">
        <f t="shared" si="44"/>
        <v>9.3714285714285719</v>
      </c>
      <c r="I434" s="165">
        <f t="shared" si="45"/>
        <v>7.0285714285714276</v>
      </c>
      <c r="J434" s="166">
        <f t="shared" si="46"/>
        <v>11.714285714285714</v>
      </c>
      <c r="K434" s="166">
        <f t="shared" si="48"/>
        <v>11.714285714285714</v>
      </c>
      <c r="L434" s="165">
        <f t="shared" si="47"/>
        <v>1.1875</v>
      </c>
      <c r="M434" s="168">
        <f t="shared" si="42"/>
        <v>0</v>
      </c>
      <c r="N434" s="236" t="s">
        <v>453</v>
      </c>
    </row>
    <row r="435" spans="1:14" ht="14">
      <c r="A435" s="149">
        <v>434</v>
      </c>
      <c r="B435" s="235" t="s">
        <v>52</v>
      </c>
      <c r="C435" s="231" t="s">
        <v>10</v>
      </c>
      <c r="D435" s="250" t="s">
        <v>1364</v>
      </c>
      <c r="E435" s="281">
        <v>0</v>
      </c>
      <c r="F435" s="249">
        <v>300</v>
      </c>
      <c r="G435" s="164">
        <f t="shared" si="43"/>
        <v>2.1142857142857143</v>
      </c>
      <c r="H435" s="165">
        <f t="shared" si="44"/>
        <v>4.2285714285714286</v>
      </c>
      <c r="I435" s="165">
        <f t="shared" si="45"/>
        <v>3.1714285714285713</v>
      </c>
      <c r="J435" s="166">
        <f t="shared" si="46"/>
        <v>5.2857142857142856</v>
      </c>
      <c r="K435" s="166">
        <f t="shared" si="48"/>
        <v>5.2857142857142856</v>
      </c>
      <c r="L435" s="165">
        <f t="shared" si="47"/>
        <v>1.075</v>
      </c>
      <c r="M435" s="168">
        <f t="shared" si="42"/>
        <v>0</v>
      </c>
      <c r="N435" s="236" t="s">
        <v>453</v>
      </c>
    </row>
    <row r="436" spans="1:14" ht="14">
      <c r="A436" s="149">
        <v>435</v>
      </c>
      <c r="B436" s="235" t="s">
        <v>52</v>
      </c>
      <c r="C436" s="231" t="s">
        <v>10</v>
      </c>
      <c r="D436" s="250" t="s">
        <v>1366</v>
      </c>
      <c r="E436" s="281">
        <v>0</v>
      </c>
      <c r="F436" s="249">
        <v>5000</v>
      </c>
      <c r="G436" s="164">
        <f t="shared" si="43"/>
        <v>28.971428571428575</v>
      </c>
      <c r="H436" s="165">
        <f t="shared" si="44"/>
        <v>57.94285714285715</v>
      </c>
      <c r="I436" s="165">
        <f t="shared" si="45"/>
        <v>43.457142857142856</v>
      </c>
      <c r="J436" s="166">
        <f t="shared" si="46"/>
        <v>72.428571428571431</v>
      </c>
      <c r="K436" s="166">
        <f t="shared" si="48"/>
        <v>72.428571428571431</v>
      </c>
      <c r="L436" s="165">
        <f t="shared" si="47"/>
        <v>2.25</v>
      </c>
      <c r="M436" s="168">
        <f t="shared" si="42"/>
        <v>0</v>
      </c>
      <c r="N436" s="236" t="s">
        <v>453</v>
      </c>
    </row>
    <row r="437" spans="1:14" ht="14">
      <c r="A437" s="149">
        <v>436</v>
      </c>
      <c r="B437" s="235" t="s">
        <v>52</v>
      </c>
      <c r="C437" s="231" t="s">
        <v>10</v>
      </c>
      <c r="D437" s="250" t="s">
        <v>1368</v>
      </c>
      <c r="E437" s="281">
        <v>0</v>
      </c>
      <c r="F437" s="249">
        <v>350</v>
      </c>
      <c r="G437" s="164">
        <f t="shared" si="43"/>
        <v>2.4000000000000004</v>
      </c>
      <c r="H437" s="165">
        <f t="shared" si="44"/>
        <v>4.8000000000000007</v>
      </c>
      <c r="I437" s="165">
        <f t="shared" si="45"/>
        <v>3.5999999999999996</v>
      </c>
      <c r="J437" s="166">
        <f t="shared" si="46"/>
        <v>6</v>
      </c>
      <c r="K437" s="166">
        <f t="shared" si="48"/>
        <v>6</v>
      </c>
      <c r="L437" s="165">
        <f t="shared" si="47"/>
        <v>1.0874999999999999</v>
      </c>
      <c r="M437" s="168">
        <f t="shared" si="42"/>
        <v>0</v>
      </c>
      <c r="N437" s="236" t="s">
        <v>453</v>
      </c>
    </row>
    <row r="438" spans="1:14" ht="14">
      <c r="A438" s="149">
        <v>437</v>
      </c>
      <c r="B438" s="235" t="s">
        <v>52</v>
      </c>
      <c r="C438" s="231" t="s">
        <v>10</v>
      </c>
      <c r="D438" s="250" t="s">
        <v>1370</v>
      </c>
      <c r="E438" s="281">
        <v>0</v>
      </c>
      <c r="F438" s="249">
        <v>1500</v>
      </c>
      <c r="G438" s="164">
        <f t="shared" si="43"/>
        <v>8.9714285714285715</v>
      </c>
      <c r="H438" s="165">
        <f t="shared" si="44"/>
        <v>17.942857142857143</v>
      </c>
      <c r="I438" s="165">
        <f t="shared" si="45"/>
        <v>13.457142857142856</v>
      </c>
      <c r="J438" s="166">
        <f t="shared" si="46"/>
        <v>22.428571428571427</v>
      </c>
      <c r="K438" s="166">
        <f t="shared" si="48"/>
        <v>22.428571428571427</v>
      </c>
      <c r="L438" s="165">
        <f t="shared" si="47"/>
        <v>1.375</v>
      </c>
      <c r="M438" s="168">
        <f t="shared" si="42"/>
        <v>0</v>
      </c>
      <c r="N438" s="236" t="s">
        <v>453</v>
      </c>
    </row>
    <row r="439" spans="1:14" ht="14">
      <c r="A439" s="149">
        <v>438</v>
      </c>
      <c r="B439" s="235" t="s">
        <v>52</v>
      </c>
      <c r="C439" s="231" t="s">
        <v>10</v>
      </c>
      <c r="D439" s="250" t="s">
        <v>1372</v>
      </c>
      <c r="E439" s="281">
        <v>0</v>
      </c>
      <c r="F439" s="249">
        <v>5000</v>
      </c>
      <c r="G439" s="164">
        <f t="shared" si="43"/>
        <v>28.971428571428575</v>
      </c>
      <c r="H439" s="165">
        <f t="shared" si="44"/>
        <v>57.94285714285715</v>
      </c>
      <c r="I439" s="165">
        <f t="shared" si="45"/>
        <v>43.457142857142856</v>
      </c>
      <c r="J439" s="166">
        <f t="shared" si="46"/>
        <v>72.428571428571431</v>
      </c>
      <c r="K439" s="166">
        <f t="shared" si="48"/>
        <v>72.428571428571431</v>
      </c>
      <c r="L439" s="165">
        <f t="shared" si="47"/>
        <v>2.25</v>
      </c>
      <c r="M439" s="168">
        <f t="shared" si="42"/>
        <v>0</v>
      </c>
      <c r="N439" s="236" t="s">
        <v>453</v>
      </c>
    </row>
    <row r="440" spans="1:14" ht="14">
      <c r="A440" s="149">
        <v>439</v>
      </c>
      <c r="B440" s="235" t="s">
        <v>52</v>
      </c>
      <c r="C440" s="231" t="s">
        <v>10</v>
      </c>
      <c r="D440" s="250" t="s">
        <v>4662</v>
      </c>
      <c r="E440" s="281">
        <v>0</v>
      </c>
      <c r="F440" s="249">
        <v>300</v>
      </c>
      <c r="G440" s="164">
        <f t="shared" si="43"/>
        <v>2.1142857142857143</v>
      </c>
      <c r="H440" s="165">
        <f t="shared" si="44"/>
        <v>4.2285714285714286</v>
      </c>
      <c r="I440" s="165">
        <f t="shared" si="45"/>
        <v>3.1714285714285713</v>
      </c>
      <c r="J440" s="166">
        <f t="shared" si="46"/>
        <v>5.2857142857142856</v>
      </c>
      <c r="K440" s="166">
        <f t="shared" si="48"/>
        <v>5.2857142857142856</v>
      </c>
      <c r="L440" s="165">
        <f t="shared" si="47"/>
        <v>1.075</v>
      </c>
      <c r="M440" s="168">
        <f t="shared" si="42"/>
        <v>0</v>
      </c>
      <c r="N440" s="236" t="s">
        <v>453</v>
      </c>
    </row>
    <row r="441" spans="1:14" ht="14">
      <c r="A441" s="149">
        <v>440</v>
      </c>
      <c r="B441" s="235" t="s">
        <v>52</v>
      </c>
      <c r="C441" s="231" t="s">
        <v>10</v>
      </c>
      <c r="D441" s="250" t="s">
        <v>1375</v>
      </c>
      <c r="E441" s="281">
        <v>0</v>
      </c>
      <c r="F441" s="249">
        <v>300</v>
      </c>
      <c r="G441" s="164">
        <f t="shared" si="43"/>
        <v>2.1142857142857143</v>
      </c>
      <c r="H441" s="165">
        <f t="shared" si="44"/>
        <v>4.2285714285714286</v>
      </c>
      <c r="I441" s="165">
        <f t="shared" si="45"/>
        <v>3.1714285714285713</v>
      </c>
      <c r="J441" s="166">
        <f t="shared" si="46"/>
        <v>5.2857142857142856</v>
      </c>
      <c r="K441" s="166">
        <f t="shared" si="48"/>
        <v>5.2857142857142856</v>
      </c>
      <c r="L441" s="165">
        <f t="shared" si="47"/>
        <v>1.075</v>
      </c>
      <c r="M441" s="168">
        <f t="shared" si="42"/>
        <v>0</v>
      </c>
      <c r="N441" s="236" t="s">
        <v>453</v>
      </c>
    </row>
    <row r="442" spans="1:14" ht="14">
      <c r="A442" s="149">
        <v>441</v>
      </c>
      <c r="B442" s="235" t="s">
        <v>52</v>
      </c>
      <c r="C442" s="231" t="s">
        <v>10</v>
      </c>
      <c r="D442" s="250" t="s">
        <v>1377</v>
      </c>
      <c r="E442" s="281">
        <v>0</v>
      </c>
      <c r="F442" s="249">
        <v>520</v>
      </c>
      <c r="G442" s="164">
        <f t="shared" si="43"/>
        <v>3.3714285714285719</v>
      </c>
      <c r="H442" s="165">
        <f t="shared" si="44"/>
        <v>6.7428571428571438</v>
      </c>
      <c r="I442" s="165">
        <f t="shared" si="45"/>
        <v>5.0571428571428569</v>
      </c>
      <c r="J442" s="166">
        <f t="shared" si="46"/>
        <v>8.4285714285714288</v>
      </c>
      <c r="K442" s="166">
        <f t="shared" si="48"/>
        <v>8.4285714285714288</v>
      </c>
      <c r="L442" s="165">
        <f t="shared" si="47"/>
        <v>1.1299999999999999</v>
      </c>
      <c r="M442" s="168">
        <f t="shared" si="42"/>
        <v>0</v>
      </c>
      <c r="N442" s="236" t="s">
        <v>453</v>
      </c>
    </row>
    <row r="443" spans="1:14" ht="14">
      <c r="A443" s="149">
        <v>442</v>
      </c>
      <c r="B443" s="235" t="s">
        <v>52</v>
      </c>
      <c r="C443" s="231" t="s">
        <v>10</v>
      </c>
      <c r="D443" s="250" t="s">
        <v>1379</v>
      </c>
      <c r="E443" s="281">
        <v>0</v>
      </c>
      <c r="F443" s="249">
        <v>1200</v>
      </c>
      <c r="G443" s="164">
        <f t="shared" si="43"/>
        <v>7.2571428571428571</v>
      </c>
      <c r="H443" s="165">
        <f t="shared" si="44"/>
        <v>14.514285714285714</v>
      </c>
      <c r="I443" s="165">
        <f t="shared" si="45"/>
        <v>10.885714285714284</v>
      </c>
      <c r="J443" s="166">
        <f t="shared" si="46"/>
        <v>18.142857142857142</v>
      </c>
      <c r="K443" s="166">
        <f t="shared" si="48"/>
        <v>18.142857142857142</v>
      </c>
      <c r="L443" s="165">
        <f t="shared" si="47"/>
        <v>1.3</v>
      </c>
      <c r="M443" s="168">
        <f t="shared" si="42"/>
        <v>0</v>
      </c>
      <c r="N443" s="236" t="s">
        <v>453</v>
      </c>
    </row>
    <row r="444" spans="1:14" ht="14">
      <c r="A444" s="149">
        <v>443</v>
      </c>
      <c r="B444" s="235" t="s">
        <v>52</v>
      </c>
      <c r="C444" s="231" t="s">
        <v>10</v>
      </c>
      <c r="D444" s="250" t="s">
        <v>1381</v>
      </c>
      <c r="E444" s="281">
        <v>0</v>
      </c>
      <c r="F444" s="249">
        <v>800</v>
      </c>
      <c r="G444" s="164">
        <f t="shared" si="43"/>
        <v>4.9714285714285715</v>
      </c>
      <c r="H444" s="165">
        <f t="shared" si="44"/>
        <v>9.9428571428571431</v>
      </c>
      <c r="I444" s="165">
        <f t="shared" si="45"/>
        <v>7.4571428571428573</v>
      </c>
      <c r="J444" s="166">
        <f t="shared" si="46"/>
        <v>12.428571428571429</v>
      </c>
      <c r="K444" s="166">
        <f t="shared" si="48"/>
        <v>12.428571428571429</v>
      </c>
      <c r="L444" s="165">
        <f t="shared" si="47"/>
        <v>1.2</v>
      </c>
      <c r="M444" s="168">
        <f t="shared" si="42"/>
        <v>0</v>
      </c>
      <c r="N444" s="236" t="s">
        <v>453</v>
      </c>
    </row>
    <row r="445" spans="1:14" ht="14">
      <c r="A445" s="149">
        <v>444</v>
      </c>
      <c r="B445" s="235" t="s">
        <v>52</v>
      </c>
      <c r="C445" s="231" t="s">
        <v>10</v>
      </c>
      <c r="D445" s="250" t="s">
        <v>1383</v>
      </c>
      <c r="E445" s="281">
        <v>0</v>
      </c>
      <c r="F445" s="249">
        <v>350</v>
      </c>
      <c r="G445" s="164">
        <f t="shared" si="43"/>
        <v>2.4000000000000004</v>
      </c>
      <c r="H445" s="165">
        <f t="shared" si="44"/>
        <v>4.8000000000000007</v>
      </c>
      <c r="I445" s="165">
        <f t="shared" si="45"/>
        <v>3.5999999999999996</v>
      </c>
      <c r="J445" s="166">
        <f t="shared" si="46"/>
        <v>6</v>
      </c>
      <c r="K445" s="166">
        <f t="shared" si="48"/>
        <v>6</v>
      </c>
      <c r="L445" s="165">
        <f t="shared" si="47"/>
        <v>1.0874999999999999</v>
      </c>
      <c r="M445" s="168">
        <f t="shared" si="42"/>
        <v>0</v>
      </c>
      <c r="N445" s="236" t="s">
        <v>453</v>
      </c>
    </row>
    <row r="446" spans="1:14" ht="14">
      <c r="A446" s="149">
        <v>445</v>
      </c>
      <c r="B446" s="235" t="s">
        <v>52</v>
      </c>
      <c r="C446" s="231" t="s">
        <v>10</v>
      </c>
      <c r="D446" s="250" t="s">
        <v>1385</v>
      </c>
      <c r="E446" s="281">
        <v>0</v>
      </c>
      <c r="F446" s="249">
        <v>2200</v>
      </c>
      <c r="G446" s="164">
        <f t="shared" si="43"/>
        <v>12.971428571428573</v>
      </c>
      <c r="H446" s="165">
        <f t="shared" si="44"/>
        <v>25.942857142857147</v>
      </c>
      <c r="I446" s="165">
        <f t="shared" si="45"/>
        <v>19.457142857142859</v>
      </c>
      <c r="J446" s="166">
        <f t="shared" si="46"/>
        <v>32.428571428571431</v>
      </c>
      <c r="K446" s="166">
        <f t="shared" si="48"/>
        <v>32.428571428571431</v>
      </c>
      <c r="L446" s="165">
        <f t="shared" si="47"/>
        <v>1.55</v>
      </c>
      <c r="M446" s="168">
        <f t="shared" si="42"/>
        <v>0</v>
      </c>
      <c r="N446" s="236" t="s">
        <v>453</v>
      </c>
    </row>
    <row r="447" spans="1:14" ht="14">
      <c r="A447" s="149">
        <v>446</v>
      </c>
      <c r="B447" s="235" t="s">
        <v>52</v>
      </c>
      <c r="C447" s="231" t="s">
        <v>10</v>
      </c>
      <c r="D447" s="250" t="s">
        <v>1387</v>
      </c>
      <c r="E447" s="281">
        <v>0</v>
      </c>
      <c r="F447" s="249">
        <v>300</v>
      </c>
      <c r="G447" s="164">
        <f t="shared" si="43"/>
        <v>2.1142857142857143</v>
      </c>
      <c r="H447" s="165">
        <f t="shared" si="44"/>
        <v>4.2285714285714286</v>
      </c>
      <c r="I447" s="165">
        <f t="shared" si="45"/>
        <v>3.1714285714285713</v>
      </c>
      <c r="J447" s="166">
        <f t="shared" si="46"/>
        <v>5.2857142857142856</v>
      </c>
      <c r="K447" s="166">
        <f t="shared" si="48"/>
        <v>5.2857142857142856</v>
      </c>
      <c r="L447" s="165">
        <f t="shared" si="47"/>
        <v>1.075</v>
      </c>
      <c r="M447" s="168">
        <f t="shared" si="42"/>
        <v>0</v>
      </c>
      <c r="N447" s="236" t="s">
        <v>453</v>
      </c>
    </row>
    <row r="448" spans="1:14" ht="14">
      <c r="A448" s="149">
        <v>447</v>
      </c>
      <c r="B448" s="235" t="s">
        <v>52</v>
      </c>
      <c r="C448" s="231" t="s">
        <v>10</v>
      </c>
      <c r="D448" s="250" t="s">
        <v>1389</v>
      </c>
      <c r="E448" s="281">
        <v>0</v>
      </c>
      <c r="F448" s="249">
        <v>300</v>
      </c>
      <c r="G448" s="164">
        <f t="shared" si="43"/>
        <v>2.1142857142857143</v>
      </c>
      <c r="H448" s="165">
        <f t="shared" si="44"/>
        <v>4.2285714285714286</v>
      </c>
      <c r="I448" s="165">
        <f t="shared" si="45"/>
        <v>3.1714285714285713</v>
      </c>
      <c r="J448" s="166">
        <f t="shared" si="46"/>
        <v>5.2857142857142856</v>
      </c>
      <c r="K448" s="166">
        <f t="shared" si="48"/>
        <v>5.2857142857142856</v>
      </c>
      <c r="L448" s="165">
        <f t="shared" si="47"/>
        <v>1.075</v>
      </c>
      <c r="M448" s="168">
        <f t="shared" si="42"/>
        <v>0</v>
      </c>
      <c r="N448" s="236" t="s">
        <v>453</v>
      </c>
    </row>
    <row r="449" spans="1:14" ht="14">
      <c r="A449" s="149">
        <v>448</v>
      </c>
      <c r="B449" s="235" t="s">
        <v>52</v>
      </c>
      <c r="C449" s="231" t="s">
        <v>10</v>
      </c>
      <c r="D449" s="250" t="s">
        <v>1391</v>
      </c>
      <c r="E449" s="281">
        <v>0</v>
      </c>
      <c r="F449" s="249">
        <v>300</v>
      </c>
      <c r="G449" s="164">
        <f t="shared" si="43"/>
        <v>2.1142857142857143</v>
      </c>
      <c r="H449" s="165">
        <f t="shared" si="44"/>
        <v>4.2285714285714286</v>
      </c>
      <c r="I449" s="165">
        <f t="shared" si="45"/>
        <v>3.1714285714285713</v>
      </c>
      <c r="J449" s="166">
        <f t="shared" si="46"/>
        <v>5.2857142857142856</v>
      </c>
      <c r="K449" s="166">
        <f t="shared" si="48"/>
        <v>5.2857142857142856</v>
      </c>
      <c r="L449" s="165">
        <f t="shared" si="47"/>
        <v>1.075</v>
      </c>
      <c r="M449" s="168">
        <f t="shared" si="42"/>
        <v>0</v>
      </c>
      <c r="N449" s="236" t="s">
        <v>453</v>
      </c>
    </row>
    <row r="450" spans="1:14" ht="14">
      <c r="A450" s="149">
        <v>449</v>
      </c>
      <c r="B450" s="235" t="s">
        <v>52</v>
      </c>
      <c r="C450" s="231" t="s">
        <v>10</v>
      </c>
      <c r="D450" s="250" t="s">
        <v>1393</v>
      </c>
      <c r="E450" s="281">
        <v>0</v>
      </c>
      <c r="F450" s="249">
        <v>200</v>
      </c>
      <c r="G450" s="164">
        <f t="shared" si="43"/>
        <v>1.5428571428571429</v>
      </c>
      <c r="H450" s="165">
        <f t="shared" si="44"/>
        <v>3.0857142857142859</v>
      </c>
      <c r="I450" s="165">
        <f t="shared" si="45"/>
        <v>2.3142857142857141</v>
      </c>
      <c r="J450" s="166">
        <f t="shared" si="46"/>
        <v>3.8571428571428568</v>
      </c>
      <c r="K450" s="166">
        <f t="shared" si="48"/>
        <v>3.8571428571428568</v>
      </c>
      <c r="L450" s="165">
        <f t="shared" si="47"/>
        <v>1.05</v>
      </c>
      <c r="M450" s="168">
        <f t="shared" ref="M450:M513" si="49">E450/60</f>
        <v>0</v>
      </c>
      <c r="N450" s="236" t="s">
        <v>453</v>
      </c>
    </row>
    <row r="451" spans="1:14" ht="14">
      <c r="A451" s="149">
        <v>450</v>
      </c>
      <c r="B451" s="235" t="s">
        <v>52</v>
      </c>
      <c r="C451" s="231" t="s">
        <v>10</v>
      </c>
      <c r="D451" s="250" t="s">
        <v>1395</v>
      </c>
      <c r="E451" s="281">
        <v>0</v>
      </c>
      <c r="F451" s="249">
        <v>500</v>
      </c>
      <c r="G451" s="164">
        <f t="shared" ref="G451:G514" si="50">(((F451/70)+1)*0.4)</f>
        <v>3.2571428571428571</v>
      </c>
      <c r="H451" s="165">
        <f t="shared" ref="H451:H514" si="51">G451*2</f>
        <v>6.5142857142857142</v>
      </c>
      <c r="I451" s="165">
        <f t="shared" ref="I451:I514" si="52">(((F451/70)+1)*0.6)</f>
        <v>4.8857142857142852</v>
      </c>
      <c r="J451" s="166">
        <f t="shared" ref="J451:J514" si="53">I451+G451</f>
        <v>8.1428571428571423</v>
      </c>
      <c r="K451" s="166">
        <f t="shared" si="48"/>
        <v>8.1428571428571423</v>
      </c>
      <c r="L451" s="165">
        <f t="shared" ref="L451:L514" si="54">(F451/4000)+1</f>
        <v>1.125</v>
      </c>
      <c r="M451" s="168">
        <f t="shared" si="49"/>
        <v>0</v>
      </c>
      <c r="N451" s="236" t="s">
        <v>453</v>
      </c>
    </row>
    <row r="452" spans="1:14" ht="14">
      <c r="A452" s="149">
        <v>451</v>
      </c>
      <c r="B452" s="235" t="s">
        <v>52</v>
      </c>
      <c r="C452" s="231" t="s">
        <v>10</v>
      </c>
      <c r="D452" s="250" t="s">
        <v>1397</v>
      </c>
      <c r="E452" s="281">
        <v>0</v>
      </c>
      <c r="F452" s="249">
        <v>300</v>
      </c>
      <c r="G452" s="164">
        <f t="shared" si="50"/>
        <v>2.1142857142857143</v>
      </c>
      <c r="H452" s="165">
        <f t="shared" si="51"/>
        <v>4.2285714285714286</v>
      </c>
      <c r="I452" s="165">
        <f t="shared" si="52"/>
        <v>3.1714285714285713</v>
      </c>
      <c r="J452" s="166">
        <f t="shared" si="53"/>
        <v>5.2857142857142856</v>
      </c>
      <c r="K452" s="166">
        <f t="shared" ref="K452:K515" si="55">J452</f>
        <v>5.2857142857142856</v>
      </c>
      <c r="L452" s="165">
        <f t="shared" si="54"/>
        <v>1.075</v>
      </c>
      <c r="M452" s="168">
        <f t="shared" si="49"/>
        <v>0</v>
      </c>
      <c r="N452" s="236" t="s">
        <v>453</v>
      </c>
    </row>
    <row r="453" spans="1:14" ht="14">
      <c r="A453" s="149">
        <v>452</v>
      </c>
      <c r="B453" s="235" t="s">
        <v>52</v>
      </c>
      <c r="C453" s="231" t="s">
        <v>10</v>
      </c>
      <c r="D453" s="250" t="s">
        <v>1399</v>
      </c>
      <c r="E453" s="281">
        <v>0</v>
      </c>
      <c r="F453" s="249">
        <v>1300</v>
      </c>
      <c r="G453" s="164">
        <f t="shared" si="50"/>
        <v>7.8285714285714292</v>
      </c>
      <c r="H453" s="165">
        <f t="shared" si="51"/>
        <v>15.657142857142858</v>
      </c>
      <c r="I453" s="165">
        <f t="shared" si="52"/>
        <v>11.742857142857144</v>
      </c>
      <c r="J453" s="166">
        <f t="shared" si="53"/>
        <v>19.571428571428573</v>
      </c>
      <c r="K453" s="166">
        <f t="shared" si="55"/>
        <v>19.571428571428573</v>
      </c>
      <c r="L453" s="165">
        <f t="shared" si="54"/>
        <v>1.325</v>
      </c>
      <c r="M453" s="168">
        <f t="shared" si="49"/>
        <v>0</v>
      </c>
      <c r="N453" s="236" t="s">
        <v>453</v>
      </c>
    </row>
    <row r="454" spans="1:14" ht="14">
      <c r="A454" s="149">
        <v>453</v>
      </c>
      <c r="B454" s="235" t="s">
        <v>51</v>
      </c>
      <c r="C454" s="231" t="s">
        <v>10</v>
      </c>
      <c r="D454" s="250" t="s">
        <v>1401</v>
      </c>
      <c r="E454" s="281">
        <v>0</v>
      </c>
      <c r="F454" s="249">
        <v>1500</v>
      </c>
      <c r="G454" s="164">
        <f t="shared" si="50"/>
        <v>8.9714285714285715</v>
      </c>
      <c r="H454" s="165">
        <f t="shared" si="51"/>
        <v>17.942857142857143</v>
      </c>
      <c r="I454" s="165">
        <f t="shared" si="52"/>
        <v>13.457142857142856</v>
      </c>
      <c r="J454" s="166">
        <f t="shared" si="53"/>
        <v>22.428571428571427</v>
      </c>
      <c r="K454" s="166">
        <f t="shared" si="55"/>
        <v>22.428571428571427</v>
      </c>
      <c r="L454" s="165">
        <f t="shared" si="54"/>
        <v>1.375</v>
      </c>
      <c r="M454" s="168">
        <f t="shared" si="49"/>
        <v>0</v>
      </c>
      <c r="N454" s="236" t="s">
        <v>453</v>
      </c>
    </row>
    <row r="455" spans="1:14" ht="14">
      <c r="A455" s="149">
        <v>454</v>
      </c>
      <c r="B455" s="235" t="s">
        <v>52</v>
      </c>
      <c r="C455" s="231" t="s">
        <v>10</v>
      </c>
      <c r="D455" s="250" t="s">
        <v>1403</v>
      </c>
      <c r="E455" s="281">
        <v>0</v>
      </c>
      <c r="F455" s="249">
        <v>300</v>
      </c>
      <c r="G455" s="164">
        <f t="shared" si="50"/>
        <v>2.1142857142857143</v>
      </c>
      <c r="H455" s="165">
        <f t="shared" si="51"/>
        <v>4.2285714285714286</v>
      </c>
      <c r="I455" s="165">
        <f t="shared" si="52"/>
        <v>3.1714285714285713</v>
      </c>
      <c r="J455" s="166">
        <f t="shared" si="53"/>
        <v>5.2857142857142856</v>
      </c>
      <c r="K455" s="166">
        <f t="shared" si="55"/>
        <v>5.2857142857142856</v>
      </c>
      <c r="L455" s="165">
        <f t="shared" si="54"/>
        <v>1.075</v>
      </c>
      <c r="M455" s="168">
        <f t="shared" si="49"/>
        <v>0</v>
      </c>
      <c r="N455" s="236" t="s">
        <v>453</v>
      </c>
    </row>
    <row r="456" spans="1:14" ht="14">
      <c r="A456" s="149">
        <v>455</v>
      </c>
      <c r="B456" s="235" t="s">
        <v>52</v>
      </c>
      <c r="C456" s="231" t="s">
        <v>10</v>
      </c>
      <c r="D456" s="250" t="s">
        <v>1405</v>
      </c>
      <c r="E456" s="281">
        <v>0</v>
      </c>
      <c r="F456" s="249">
        <v>1500</v>
      </c>
      <c r="G456" s="164">
        <f t="shared" si="50"/>
        <v>8.9714285714285715</v>
      </c>
      <c r="H456" s="165">
        <f t="shared" si="51"/>
        <v>17.942857142857143</v>
      </c>
      <c r="I456" s="165">
        <f t="shared" si="52"/>
        <v>13.457142857142856</v>
      </c>
      <c r="J456" s="166">
        <f t="shared" si="53"/>
        <v>22.428571428571427</v>
      </c>
      <c r="K456" s="166">
        <f t="shared" si="55"/>
        <v>22.428571428571427</v>
      </c>
      <c r="L456" s="165">
        <f t="shared" si="54"/>
        <v>1.375</v>
      </c>
      <c r="M456" s="168">
        <f t="shared" si="49"/>
        <v>0</v>
      </c>
      <c r="N456" s="236" t="s">
        <v>453</v>
      </c>
    </row>
    <row r="457" spans="1:14" ht="14">
      <c r="A457" s="149">
        <v>456</v>
      </c>
      <c r="B457" s="235" t="s">
        <v>52</v>
      </c>
      <c r="C457" s="231" t="s">
        <v>10</v>
      </c>
      <c r="D457" s="250" t="s">
        <v>1407</v>
      </c>
      <c r="E457" s="281">
        <v>0</v>
      </c>
      <c r="F457" s="249">
        <v>400</v>
      </c>
      <c r="G457" s="164">
        <f t="shared" si="50"/>
        <v>2.6857142857142859</v>
      </c>
      <c r="H457" s="165">
        <f t="shared" si="51"/>
        <v>5.3714285714285719</v>
      </c>
      <c r="I457" s="165">
        <f t="shared" si="52"/>
        <v>4.0285714285714285</v>
      </c>
      <c r="J457" s="166">
        <f t="shared" si="53"/>
        <v>6.7142857142857144</v>
      </c>
      <c r="K457" s="166">
        <f t="shared" si="55"/>
        <v>6.7142857142857144</v>
      </c>
      <c r="L457" s="165">
        <f t="shared" si="54"/>
        <v>1.1000000000000001</v>
      </c>
      <c r="M457" s="168">
        <f t="shared" si="49"/>
        <v>0</v>
      </c>
      <c r="N457" s="236" t="s">
        <v>453</v>
      </c>
    </row>
    <row r="458" spans="1:14" ht="14">
      <c r="A458" s="149">
        <v>457</v>
      </c>
      <c r="B458" s="235" t="s">
        <v>52</v>
      </c>
      <c r="C458" s="231" t="s">
        <v>10</v>
      </c>
      <c r="D458" s="250" t="s">
        <v>1409</v>
      </c>
      <c r="E458" s="281">
        <v>0</v>
      </c>
      <c r="F458" s="249">
        <v>700</v>
      </c>
      <c r="G458" s="164">
        <f t="shared" si="50"/>
        <v>4.4000000000000004</v>
      </c>
      <c r="H458" s="165">
        <f t="shared" si="51"/>
        <v>8.8000000000000007</v>
      </c>
      <c r="I458" s="165">
        <f t="shared" si="52"/>
        <v>6.6</v>
      </c>
      <c r="J458" s="166">
        <f t="shared" si="53"/>
        <v>11</v>
      </c>
      <c r="K458" s="166">
        <f t="shared" si="55"/>
        <v>11</v>
      </c>
      <c r="L458" s="165">
        <f t="shared" si="54"/>
        <v>1.175</v>
      </c>
      <c r="M458" s="168">
        <f t="shared" si="49"/>
        <v>0</v>
      </c>
      <c r="N458" s="236" t="s">
        <v>453</v>
      </c>
    </row>
    <row r="459" spans="1:14" ht="14">
      <c r="A459" s="149">
        <v>458</v>
      </c>
      <c r="B459" s="235" t="s">
        <v>52</v>
      </c>
      <c r="C459" s="231" t="s">
        <v>10</v>
      </c>
      <c r="D459" s="250" t="s">
        <v>1411</v>
      </c>
      <c r="E459" s="281">
        <v>0</v>
      </c>
      <c r="F459" s="249">
        <v>2100</v>
      </c>
      <c r="G459" s="164">
        <f t="shared" si="50"/>
        <v>12.4</v>
      </c>
      <c r="H459" s="165">
        <f t="shared" si="51"/>
        <v>24.8</v>
      </c>
      <c r="I459" s="165">
        <f t="shared" si="52"/>
        <v>18.599999999999998</v>
      </c>
      <c r="J459" s="166">
        <f t="shared" si="53"/>
        <v>31</v>
      </c>
      <c r="K459" s="166">
        <f t="shared" si="55"/>
        <v>31</v>
      </c>
      <c r="L459" s="165">
        <f t="shared" si="54"/>
        <v>1.5249999999999999</v>
      </c>
      <c r="M459" s="168">
        <f t="shared" si="49"/>
        <v>0</v>
      </c>
      <c r="N459" s="236" t="s">
        <v>453</v>
      </c>
    </row>
    <row r="460" spans="1:14" ht="14">
      <c r="A460" s="149">
        <v>459</v>
      </c>
      <c r="B460" s="235" t="s">
        <v>52</v>
      </c>
      <c r="C460" s="231" t="s">
        <v>10</v>
      </c>
      <c r="D460" s="250" t="s">
        <v>1413</v>
      </c>
      <c r="E460" s="281">
        <v>0</v>
      </c>
      <c r="F460" s="249">
        <v>700</v>
      </c>
      <c r="G460" s="164">
        <f t="shared" si="50"/>
        <v>4.4000000000000004</v>
      </c>
      <c r="H460" s="165">
        <f t="shared" si="51"/>
        <v>8.8000000000000007</v>
      </c>
      <c r="I460" s="165">
        <f t="shared" si="52"/>
        <v>6.6</v>
      </c>
      <c r="J460" s="166">
        <f t="shared" si="53"/>
        <v>11</v>
      </c>
      <c r="K460" s="166">
        <f t="shared" si="55"/>
        <v>11</v>
      </c>
      <c r="L460" s="165">
        <f t="shared" si="54"/>
        <v>1.175</v>
      </c>
      <c r="M460" s="168">
        <f t="shared" si="49"/>
        <v>0</v>
      </c>
      <c r="N460" s="236" t="s">
        <v>453</v>
      </c>
    </row>
    <row r="461" spans="1:14" ht="14">
      <c r="A461" s="149">
        <v>460</v>
      </c>
      <c r="B461" s="235" t="s">
        <v>52</v>
      </c>
      <c r="C461" s="231" t="s">
        <v>10</v>
      </c>
      <c r="D461" s="250" t="s">
        <v>1416</v>
      </c>
      <c r="E461" s="281">
        <v>0</v>
      </c>
      <c r="F461" s="249">
        <v>1300</v>
      </c>
      <c r="G461" s="164">
        <f t="shared" si="50"/>
        <v>7.8285714285714292</v>
      </c>
      <c r="H461" s="165">
        <f t="shared" si="51"/>
        <v>15.657142857142858</v>
      </c>
      <c r="I461" s="165">
        <f t="shared" si="52"/>
        <v>11.742857142857144</v>
      </c>
      <c r="J461" s="166">
        <f t="shared" si="53"/>
        <v>19.571428571428573</v>
      </c>
      <c r="K461" s="166">
        <f t="shared" si="55"/>
        <v>19.571428571428573</v>
      </c>
      <c r="L461" s="165">
        <f t="shared" si="54"/>
        <v>1.325</v>
      </c>
      <c r="M461" s="168">
        <f t="shared" si="49"/>
        <v>0</v>
      </c>
      <c r="N461" s="236" t="s">
        <v>453</v>
      </c>
    </row>
    <row r="462" spans="1:14" ht="14">
      <c r="A462" s="149">
        <v>461</v>
      </c>
      <c r="B462" s="235" t="s">
        <v>52</v>
      </c>
      <c r="C462" s="231" t="s">
        <v>10</v>
      </c>
      <c r="D462" s="250" t="s">
        <v>1418</v>
      </c>
      <c r="E462" s="281">
        <v>0</v>
      </c>
      <c r="F462" s="249">
        <v>1000</v>
      </c>
      <c r="G462" s="164">
        <f t="shared" si="50"/>
        <v>6.1142857142857148</v>
      </c>
      <c r="H462" s="165">
        <f t="shared" si="51"/>
        <v>12.22857142857143</v>
      </c>
      <c r="I462" s="165">
        <f t="shared" si="52"/>
        <v>9.1714285714285708</v>
      </c>
      <c r="J462" s="166">
        <f t="shared" si="53"/>
        <v>15.285714285714285</v>
      </c>
      <c r="K462" s="166">
        <f t="shared" si="55"/>
        <v>15.285714285714285</v>
      </c>
      <c r="L462" s="165">
        <f t="shared" si="54"/>
        <v>1.25</v>
      </c>
      <c r="M462" s="168">
        <f t="shared" si="49"/>
        <v>0</v>
      </c>
      <c r="N462" s="236" t="s">
        <v>453</v>
      </c>
    </row>
    <row r="463" spans="1:14" ht="14">
      <c r="A463" s="149">
        <v>462</v>
      </c>
      <c r="B463" s="235" t="s">
        <v>52</v>
      </c>
      <c r="C463" s="231" t="s">
        <v>10</v>
      </c>
      <c r="D463" s="250" t="s">
        <v>1420</v>
      </c>
      <c r="E463" s="281">
        <v>0</v>
      </c>
      <c r="F463" s="249">
        <v>1100</v>
      </c>
      <c r="G463" s="164">
        <f t="shared" si="50"/>
        <v>6.6857142857142868</v>
      </c>
      <c r="H463" s="165">
        <f t="shared" si="51"/>
        <v>13.371428571428574</v>
      </c>
      <c r="I463" s="165">
        <f t="shared" si="52"/>
        <v>10.028571428571428</v>
      </c>
      <c r="J463" s="166">
        <f t="shared" si="53"/>
        <v>16.714285714285715</v>
      </c>
      <c r="K463" s="166">
        <f t="shared" si="55"/>
        <v>16.714285714285715</v>
      </c>
      <c r="L463" s="165">
        <f t="shared" si="54"/>
        <v>1.2749999999999999</v>
      </c>
      <c r="M463" s="168">
        <f t="shared" si="49"/>
        <v>0</v>
      </c>
      <c r="N463" s="236" t="s">
        <v>453</v>
      </c>
    </row>
    <row r="464" spans="1:14" ht="14">
      <c r="A464" s="149">
        <v>463</v>
      </c>
      <c r="B464" s="235" t="s">
        <v>52</v>
      </c>
      <c r="C464" s="231" t="s">
        <v>10</v>
      </c>
      <c r="D464" s="250" t="s">
        <v>1422</v>
      </c>
      <c r="E464" s="281">
        <v>0</v>
      </c>
      <c r="F464" s="249">
        <v>6000</v>
      </c>
      <c r="G464" s="164">
        <f t="shared" si="50"/>
        <v>34.685714285714283</v>
      </c>
      <c r="H464" s="165">
        <f t="shared" si="51"/>
        <v>69.371428571428567</v>
      </c>
      <c r="I464" s="165">
        <f t="shared" si="52"/>
        <v>52.028571428571425</v>
      </c>
      <c r="J464" s="166">
        <f t="shared" si="53"/>
        <v>86.714285714285708</v>
      </c>
      <c r="K464" s="166">
        <f t="shared" si="55"/>
        <v>86.714285714285708</v>
      </c>
      <c r="L464" s="165">
        <f t="shared" si="54"/>
        <v>2.5</v>
      </c>
      <c r="M464" s="168">
        <f t="shared" si="49"/>
        <v>0</v>
      </c>
      <c r="N464" s="236" t="s">
        <v>453</v>
      </c>
    </row>
    <row r="465" spans="1:14" ht="14">
      <c r="A465" s="149">
        <v>464</v>
      </c>
      <c r="B465" s="235" t="s">
        <v>52</v>
      </c>
      <c r="C465" s="231" t="s">
        <v>10</v>
      </c>
      <c r="D465" s="250" t="s">
        <v>1424</v>
      </c>
      <c r="E465" s="281">
        <v>0</v>
      </c>
      <c r="F465" s="249">
        <v>10000</v>
      </c>
      <c r="G465" s="164">
        <f t="shared" si="50"/>
        <v>57.542857142857144</v>
      </c>
      <c r="H465" s="165">
        <f t="shared" si="51"/>
        <v>115.08571428571429</v>
      </c>
      <c r="I465" s="165">
        <f t="shared" si="52"/>
        <v>86.314285714285717</v>
      </c>
      <c r="J465" s="166">
        <f t="shared" si="53"/>
        <v>143.85714285714286</v>
      </c>
      <c r="K465" s="166">
        <f t="shared" si="55"/>
        <v>143.85714285714286</v>
      </c>
      <c r="L465" s="165">
        <f t="shared" si="54"/>
        <v>3.5</v>
      </c>
      <c r="M465" s="168">
        <f t="shared" si="49"/>
        <v>0</v>
      </c>
      <c r="N465" s="236" t="s">
        <v>453</v>
      </c>
    </row>
    <row r="466" spans="1:14" ht="14">
      <c r="A466" s="149">
        <v>465</v>
      </c>
      <c r="B466" s="235" t="s">
        <v>52</v>
      </c>
      <c r="C466" s="231" t="s">
        <v>10</v>
      </c>
      <c r="D466" s="250" t="s">
        <v>1426</v>
      </c>
      <c r="E466" s="281">
        <v>0</v>
      </c>
      <c r="F466" s="249">
        <v>800</v>
      </c>
      <c r="G466" s="164">
        <f t="shared" si="50"/>
        <v>4.9714285714285715</v>
      </c>
      <c r="H466" s="165">
        <f t="shared" si="51"/>
        <v>9.9428571428571431</v>
      </c>
      <c r="I466" s="165">
        <f t="shared" si="52"/>
        <v>7.4571428571428573</v>
      </c>
      <c r="J466" s="166">
        <f t="shared" si="53"/>
        <v>12.428571428571429</v>
      </c>
      <c r="K466" s="166">
        <f t="shared" si="55"/>
        <v>12.428571428571429</v>
      </c>
      <c r="L466" s="165">
        <f t="shared" si="54"/>
        <v>1.2</v>
      </c>
      <c r="M466" s="168">
        <f t="shared" si="49"/>
        <v>0</v>
      </c>
      <c r="N466" s="236" t="s">
        <v>453</v>
      </c>
    </row>
    <row r="467" spans="1:14" ht="14">
      <c r="A467" s="149">
        <v>466</v>
      </c>
      <c r="B467" s="235" t="s">
        <v>52</v>
      </c>
      <c r="C467" s="231" t="s">
        <v>10</v>
      </c>
      <c r="D467" s="250" t="s">
        <v>1428</v>
      </c>
      <c r="E467" s="281">
        <v>0</v>
      </c>
      <c r="F467" s="249">
        <v>1785</v>
      </c>
      <c r="G467" s="164">
        <f t="shared" si="50"/>
        <v>10.600000000000001</v>
      </c>
      <c r="H467" s="165">
        <f t="shared" si="51"/>
        <v>21.200000000000003</v>
      </c>
      <c r="I467" s="165">
        <f t="shared" si="52"/>
        <v>15.899999999999999</v>
      </c>
      <c r="J467" s="166">
        <f t="shared" si="53"/>
        <v>26.5</v>
      </c>
      <c r="K467" s="166">
        <f t="shared" si="55"/>
        <v>26.5</v>
      </c>
      <c r="L467" s="165">
        <f t="shared" si="54"/>
        <v>1.44625</v>
      </c>
      <c r="M467" s="168">
        <f t="shared" si="49"/>
        <v>0</v>
      </c>
      <c r="N467" s="236" t="s">
        <v>453</v>
      </c>
    </row>
    <row r="468" spans="1:14" ht="14">
      <c r="A468" s="149">
        <v>467</v>
      </c>
      <c r="B468" s="235" t="s">
        <v>52</v>
      </c>
      <c r="C468" s="231" t="s">
        <v>10</v>
      </c>
      <c r="D468" s="250" t="s">
        <v>1431</v>
      </c>
      <c r="E468" s="281">
        <v>0</v>
      </c>
      <c r="F468" s="249">
        <v>840</v>
      </c>
      <c r="G468" s="164">
        <f t="shared" si="50"/>
        <v>5.2</v>
      </c>
      <c r="H468" s="165">
        <f t="shared" si="51"/>
        <v>10.4</v>
      </c>
      <c r="I468" s="165">
        <f t="shared" si="52"/>
        <v>7.8</v>
      </c>
      <c r="J468" s="166">
        <f t="shared" si="53"/>
        <v>13</v>
      </c>
      <c r="K468" s="166">
        <f t="shared" si="55"/>
        <v>13</v>
      </c>
      <c r="L468" s="165">
        <f t="shared" si="54"/>
        <v>1.21</v>
      </c>
      <c r="M468" s="168">
        <f t="shared" si="49"/>
        <v>0</v>
      </c>
      <c r="N468" s="236" t="s">
        <v>453</v>
      </c>
    </row>
    <row r="469" spans="1:14" ht="14">
      <c r="A469" s="149">
        <v>468</v>
      </c>
      <c r="B469" s="235" t="s">
        <v>52</v>
      </c>
      <c r="C469" s="231" t="s">
        <v>10</v>
      </c>
      <c r="D469" s="250" t="s">
        <v>1434</v>
      </c>
      <c r="E469" s="281">
        <v>0</v>
      </c>
      <c r="F469" s="249">
        <v>2100</v>
      </c>
      <c r="G469" s="164">
        <f t="shared" si="50"/>
        <v>12.4</v>
      </c>
      <c r="H469" s="165">
        <f t="shared" si="51"/>
        <v>24.8</v>
      </c>
      <c r="I469" s="165">
        <f t="shared" si="52"/>
        <v>18.599999999999998</v>
      </c>
      <c r="J469" s="166">
        <f t="shared" si="53"/>
        <v>31</v>
      </c>
      <c r="K469" s="166">
        <f t="shared" si="55"/>
        <v>31</v>
      </c>
      <c r="L469" s="165">
        <f t="shared" si="54"/>
        <v>1.5249999999999999</v>
      </c>
      <c r="M469" s="168">
        <f t="shared" si="49"/>
        <v>0</v>
      </c>
      <c r="N469" s="236" t="s">
        <v>453</v>
      </c>
    </row>
    <row r="470" spans="1:14" ht="14">
      <c r="A470" s="149">
        <v>469</v>
      </c>
      <c r="B470" s="235" t="s">
        <v>52</v>
      </c>
      <c r="C470" s="231" t="s">
        <v>10</v>
      </c>
      <c r="D470" s="250" t="s">
        <v>1437</v>
      </c>
      <c r="E470" s="281">
        <v>0</v>
      </c>
      <c r="F470" s="249">
        <v>1837.5</v>
      </c>
      <c r="G470" s="164">
        <f t="shared" si="50"/>
        <v>10.9</v>
      </c>
      <c r="H470" s="165">
        <f t="shared" si="51"/>
        <v>21.8</v>
      </c>
      <c r="I470" s="165">
        <f t="shared" si="52"/>
        <v>16.349999999999998</v>
      </c>
      <c r="J470" s="166">
        <f t="shared" si="53"/>
        <v>27.25</v>
      </c>
      <c r="K470" s="166">
        <f t="shared" si="55"/>
        <v>27.25</v>
      </c>
      <c r="L470" s="165">
        <f t="shared" si="54"/>
        <v>1.4593750000000001</v>
      </c>
      <c r="M470" s="168">
        <f t="shared" si="49"/>
        <v>0</v>
      </c>
      <c r="N470" s="236" t="s">
        <v>453</v>
      </c>
    </row>
    <row r="471" spans="1:14" ht="14">
      <c r="A471" s="149">
        <v>470</v>
      </c>
      <c r="B471" s="235" t="s">
        <v>52</v>
      </c>
      <c r="C471" s="231" t="s">
        <v>10</v>
      </c>
      <c r="D471" s="250" t="s">
        <v>4600</v>
      </c>
      <c r="E471" s="281">
        <v>0</v>
      </c>
      <c r="F471" s="249">
        <v>315</v>
      </c>
      <c r="G471" s="164">
        <f t="shared" si="50"/>
        <v>2.2000000000000002</v>
      </c>
      <c r="H471" s="165">
        <f t="shared" si="51"/>
        <v>4.4000000000000004</v>
      </c>
      <c r="I471" s="165">
        <f t="shared" si="52"/>
        <v>3.3</v>
      </c>
      <c r="J471" s="166">
        <f t="shared" si="53"/>
        <v>5.5</v>
      </c>
      <c r="K471" s="166">
        <f t="shared" si="55"/>
        <v>5.5</v>
      </c>
      <c r="L471" s="165">
        <f t="shared" si="54"/>
        <v>1.0787500000000001</v>
      </c>
      <c r="M471" s="168">
        <f t="shared" si="49"/>
        <v>0</v>
      </c>
      <c r="N471" s="236" t="s">
        <v>453</v>
      </c>
    </row>
    <row r="472" spans="1:14" ht="14">
      <c r="A472" s="149">
        <v>471</v>
      </c>
      <c r="B472" s="235" t="s">
        <v>52</v>
      </c>
      <c r="C472" s="231" t="s">
        <v>10</v>
      </c>
      <c r="D472" s="250" t="s">
        <v>4601</v>
      </c>
      <c r="E472" s="281">
        <v>0</v>
      </c>
      <c r="F472" s="249">
        <v>405.3</v>
      </c>
      <c r="G472" s="164">
        <f t="shared" si="50"/>
        <v>2.7160000000000002</v>
      </c>
      <c r="H472" s="165">
        <f t="shared" si="51"/>
        <v>5.4320000000000004</v>
      </c>
      <c r="I472" s="165">
        <f t="shared" si="52"/>
        <v>4.0739999999999998</v>
      </c>
      <c r="J472" s="166">
        <f t="shared" si="53"/>
        <v>6.79</v>
      </c>
      <c r="K472" s="166">
        <f t="shared" si="55"/>
        <v>6.79</v>
      </c>
      <c r="L472" s="165">
        <f t="shared" si="54"/>
        <v>1.1013250000000001</v>
      </c>
      <c r="M472" s="168">
        <f t="shared" si="49"/>
        <v>0</v>
      </c>
      <c r="N472" s="236" t="s">
        <v>453</v>
      </c>
    </row>
    <row r="473" spans="1:14" ht="14">
      <c r="A473" s="149">
        <v>472</v>
      </c>
      <c r="B473" s="235" t="s">
        <v>52</v>
      </c>
      <c r="C473" s="231" t="s">
        <v>10</v>
      </c>
      <c r="D473" s="250" t="s">
        <v>4602</v>
      </c>
      <c r="E473" s="281">
        <v>0</v>
      </c>
      <c r="F473" s="249">
        <v>315</v>
      </c>
      <c r="G473" s="164">
        <f t="shared" si="50"/>
        <v>2.2000000000000002</v>
      </c>
      <c r="H473" s="165">
        <f t="shared" si="51"/>
        <v>4.4000000000000004</v>
      </c>
      <c r="I473" s="165">
        <f t="shared" si="52"/>
        <v>3.3</v>
      </c>
      <c r="J473" s="166">
        <f t="shared" si="53"/>
        <v>5.5</v>
      </c>
      <c r="K473" s="166">
        <f t="shared" si="55"/>
        <v>5.5</v>
      </c>
      <c r="L473" s="165">
        <f t="shared" si="54"/>
        <v>1.0787500000000001</v>
      </c>
      <c r="M473" s="168">
        <f t="shared" si="49"/>
        <v>0</v>
      </c>
      <c r="N473" s="236" t="s">
        <v>453</v>
      </c>
    </row>
    <row r="474" spans="1:14" ht="14">
      <c r="A474" s="149">
        <v>473</v>
      </c>
      <c r="B474" s="235" t="s">
        <v>52</v>
      </c>
      <c r="C474" s="231" t="s">
        <v>10</v>
      </c>
      <c r="D474" s="250" t="s">
        <v>4603</v>
      </c>
      <c r="E474" s="281">
        <v>0</v>
      </c>
      <c r="F474" s="249">
        <v>525</v>
      </c>
      <c r="G474" s="164">
        <f t="shared" si="50"/>
        <v>3.4000000000000004</v>
      </c>
      <c r="H474" s="165">
        <f t="shared" si="51"/>
        <v>6.8000000000000007</v>
      </c>
      <c r="I474" s="165">
        <f t="shared" si="52"/>
        <v>5.0999999999999996</v>
      </c>
      <c r="J474" s="166">
        <f t="shared" si="53"/>
        <v>8.5</v>
      </c>
      <c r="K474" s="166">
        <f t="shared" si="55"/>
        <v>8.5</v>
      </c>
      <c r="L474" s="165">
        <f t="shared" si="54"/>
        <v>1.1312500000000001</v>
      </c>
      <c r="M474" s="168">
        <f t="shared" si="49"/>
        <v>0</v>
      </c>
      <c r="N474" s="236" t="s">
        <v>453</v>
      </c>
    </row>
    <row r="475" spans="1:14" ht="14">
      <c r="A475" s="149">
        <v>474</v>
      </c>
      <c r="B475" s="235" t="s">
        <v>52</v>
      </c>
      <c r="C475" s="231" t="s">
        <v>10</v>
      </c>
      <c r="D475" s="250" t="s">
        <v>4604</v>
      </c>
      <c r="E475" s="281">
        <v>0</v>
      </c>
      <c r="F475" s="249">
        <v>315</v>
      </c>
      <c r="G475" s="164">
        <f t="shared" si="50"/>
        <v>2.2000000000000002</v>
      </c>
      <c r="H475" s="165">
        <f t="shared" si="51"/>
        <v>4.4000000000000004</v>
      </c>
      <c r="I475" s="165">
        <f t="shared" si="52"/>
        <v>3.3</v>
      </c>
      <c r="J475" s="166">
        <f t="shared" si="53"/>
        <v>5.5</v>
      </c>
      <c r="K475" s="166">
        <f t="shared" si="55"/>
        <v>5.5</v>
      </c>
      <c r="L475" s="165">
        <f t="shared" si="54"/>
        <v>1.0787500000000001</v>
      </c>
      <c r="M475" s="168">
        <f t="shared" si="49"/>
        <v>0</v>
      </c>
      <c r="N475" s="236" t="s">
        <v>453</v>
      </c>
    </row>
    <row r="476" spans="1:14" ht="14">
      <c r="A476" s="149">
        <v>475</v>
      </c>
      <c r="B476" s="235" t="s">
        <v>52</v>
      </c>
      <c r="C476" s="231" t="s">
        <v>10</v>
      </c>
      <c r="D476" s="250" t="s">
        <v>1453</v>
      </c>
      <c r="E476" s="281">
        <v>0</v>
      </c>
      <c r="F476" s="249">
        <v>530.25</v>
      </c>
      <c r="G476" s="164">
        <f t="shared" si="50"/>
        <v>3.4299999999999997</v>
      </c>
      <c r="H476" s="165">
        <f t="shared" si="51"/>
        <v>6.8599999999999994</v>
      </c>
      <c r="I476" s="165">
        <f t="shared" si="52"/>
        <v>5.1449999999999996</v>
      </c>
      <c r="J476" s="166">
        <f t="shared" si="53"/>
        <v>8.5749999999999993</v>
      </c>
      <c r="K476" s="166">
        <f t="shared" si="55"/>
        <v>8.5749999999999993</v>
      </c>
      <c r="L476" s="165">
        <f t="shared" si="54"/>
        <v>1.1325624999999999</v>
      </c>
      <c r="M476" s="168">
        <f t="shared" si="49"/>
        <v>0</v>
      </c>
      <c r="N476" s="236" t="s">
        <v>453</v>
      </c>
    </row>
    <row r="477" spans="1:14" ht="14">
      <c r="A477" s="149">
        <v>476</v>
      </c>
      <c r="B477" s="235" t="s">
        <v>52</v>
      </c>
      <c r="C477" s="231" t="s">
        <v>10</v>
      </c>
      <c r="D477" s="250" t="s">
        <v>1456</v>
      </c>
      <c r="E477" s="281">
        <v>0</v>
      </c>
      <c r="F477" s="249">
        <v>315</v>
      </c>
      <c r="G477" s="164">
        <f t="shared" si="50"/>
        <v>2.2000000000000002</v>
      </c>
      <c r="H477" s="165">
        <f t="shared" si="51"/>
        <v>4.4000000000000004</v>
      </c>
      <c r="I477" s="165">
        <f t="shared" si="52"/>
        <v>3.3</v>
      </c>
      <c r="J477" s="166">
        <f t="shared" si="53"/>
        <v>5.5</v>
      </c>
      <c r="K477" s="166">
        <f t="shared" si="55"/>
        <v>5.5</v>
      </c>
      <c r="L477" s="165">
        <f t="shared" si="54"/>
        <v>1.0787500000000001</v>
      </c>
      <c r="M477" s="168">
        <f t="shared" si="49"/>
        <v>0</v>
      </c>
      <c r="N477" s="236" t="s">
        <v>453</v>
      </c>
    </row>
    <row r="478" spans="1:14" ht="14">
      <c r="A478" s="149">
        <v>477</v>
      </c>
      <c r="B478" s="235" t="s">
        <v>52</v>
      </c>
      <c r="C478" s="231" t="s">
        <v>10</v>
      </c>
      <c r="D478" s="250" t="s">
        <v>1459</v>
      </c>
      <c r="E478" s="281">
        <v>0</v>
      </c>
      <c r="F478" s="249">
        <v>799.05</v>
      </c>
      <c r="G478" s="164">
        <f t="shared" si="50"/>
        <v>4.9660000000000002</v>
      </c>
      <c r="H478" s="165">
        <f t="shared" si="51"/>
        <v>9.9320000000000004</v>
      </c>
      <c r="I478" s="165">
        <f t="shared" si="52"/>
        <v>7.448999999999999</v>
      </c>
      <c r="J478" s="166">
        <f t="shared" si="53"/>
        <v>12.414999999999999</v>
      </c>
      <c r="K478" s="166">
        <f t="shared" si="55"/>
        <v>12.414999999999999</v>
      </c>
      <c r="L478" s="165">
        <f t="shared" si="54"/>
        <v>1.1997625000000001</v>
      </c>
      <c r="M478" s="168">
        <f t="shared" si="49"/>
        <v>0</v>
      </c>
      <c r="N478" s="236" t="s">
        <v>453</v>
      </c>
    </row>
    <row r="479" spans="1:14" ht="14">
      <c r="A479" s="149">
        <v>478</v>
      </c>
      <c r="B479" s="235" t="s">
        <v>52</v>
      </c>
      <c r="C479" s="231" t="s">
        <v>10</v>
      </c>
      <c r="D479" s="250" t="s">
        <v>1462</v>
      </c>
      <c r="E479" s="281">
        <v>0</v>
      </c>
      <c r="F479" s="249">
        <v>525</v>
      </c>
      <c r="G479" s="164">
        <f t="shared" si="50"/>
        <v>3.4000000000000004</v>
      </c>
      <c r="H479" s="165">
        <f t="shared" si="51"/>
        <v>6.8000000000000007</v>
      </c>
      <c r="I479" s="165">
        <f t="shared" si="52"/>
        <v>5.0999999999999996</v>
      </c>
      <c r="J479" s="166">
        <f t="shared" si="53"/>
        <v>8.5</v>
      </c>
      <c r="K479" s="166">
        <f t="shared" si="55"/>
        <v>8.5</v>
      </c>
      <c r="L479" s="165">
        <f t="shared" si="54"/>
        <v>1.1312500000000001</v>
      </c>
      <c r="M479" s="168">
        <f t="shared" si="49"/>
        <v>0</v>
      </c>
      <c r="N479" s="236" t="s">
        <v>453</v>
      </c>
    </row>
    <row r="480" spans="1:14" ht="14">
      <c r="A480" s="149">
        <v>479</v>
      </c>
      <c r="B480" s="235" t="s">
        <v>52</v>
      </c>
      <c r="C480" s="231" t="s">
        <v>10</v>
      </c>
      <c r="D480" s="250" t="s">
        <v>1465</v>
      </c>
      <c r="E480" s="281">
        <v>0</v>
      </c>
      <c r="F480" s="249">
        <v>613.20000000000005</v>
      </c>
      <c r="G480" s="164">
        <f t="shared" si="50"/>
        <v>3.9039999999999999</v>
      </c>
      <c r="H480" s="165">
        <f t="shared" si="51"/>
        <v>7.8079999999999998</v>
      </c>
      <c r="I480" s="165">
        <f t="shared" si="52"/>
        <v>5.8559999999999999</v>
      </c>
      <c r="J480" s="166">
        <f t="shared" si="53"/>
        <v>9.76</v>
      </c>
      <c r="K480" s="166">
        <f t="shared" si="55"/>
        <v>9.76</v>
      </c>
      <c r="L480" s="165">
        <f t="shared" si="54"/>
        <v>1.1533</v>
      </c>
      <c r="M480" s="168">
        <f t="shared" si="49"/>
        <v>0</v>
      </c>
      <c r="N480" s="236" t="s">
        <v>453</v>
      </c>
    </row>
    <row r="481" spans="1:14" ht="14">
      <c r="A481" s="149">
        <v>480</v>
      </c>
      <c r="B481" s="235" t="s">
        <v>52</v>
      </c>
      <c r="C481" s="231" t="s">
        <v>10</v>
      </c>
      <c r="D481" s="250" t="s">
        <v>1468</v>
      </c>
      <c r="E481" s="281">
        <v>0</v>
      </c>
      <c r="F481" s="249">
        <v>645.75</v>
      </c>
      <c r="G481" s="164">
        <f t="shared" si="50"/>
        <v>4.09</v>
      </c>
      <c r="H481" s="165">
        <f t="shared" si="51"/>
        <v>8.18</v>
      </c>
      <c r="I481" s="165">
        <f t="shared" si="52"/>
        <v>6.1349999999999998</v>
      </c>
      <c r="J481" s="166">
        <f t="shared" si="53"/>
        <v>10.225</v>
      </c>
      <c r="K481" s="166">
        <f t="shared" si="55"/>
        <v>10.225</v>
      </c>
      <c r="L481" s="165">
        <f t="shared" si="54"/>
        <v>1.1614374999999999</v>
      </c>
      <c r="M481" s="168">
        <f t="shared" si="49"/>
        <v>0</v>
      </c>
      <c r="N481" s="236" t="s">
        <v>453</v>
      </c>
    </row>
    <row r="482" spans="1:14" ht="14">
      <c r="A482" s="149">
        <v>481</v>
      </c>
      <c r="B482" s="235" t="s">
        <v>52</v>
      </c>
      <c r="C482" s="231" t="s">
        <v>10</v>
      </c>
      <c r="D482" s="250" t="s">
        <v>1471</v>
      </c>
      <c r="E482" s="281">
        <v>0</v>
      </c>
      <c r="F482" s="249">
        <v>315</v>
      </c>
      <c r="G482" s="164">
        <f t="shared" si="50"/>
        <v>2.2000000000000002</v>
      </c>
      <c r="H482" s="165">
        <f t="shared" si="51"/>
        <v>4.4000000000000004</v>
      </c>
      <c r="I482" s="165">
        <f t="shared" si="52"/>
        <v>3.3</v>
      </c>
      <c r="J482" s="166">
        <f t="shared" si="53"/>
        <v>5.5</v>
      </c>
      <c r="K482" s="166">
        <f t="shared" si="55"/>
        <v>5.5</v>
      </c>
      <c r="L482" s="165">
        <f t="shared" si="54"/>
        <v>1.0787500000000001</v>
      </c>
      <c r="M482" s="168">
        <f t="shared" si="49"/>
        <v>0</v>
      </c>
      <c r="N482" s="236" t="s">
        <v>453</v>
      </c>
    </row>
    <row r="483" spans="1:14" ht="14">
      <c r="A483" s="149">
        <v>482</v>
      </c>
      <c r="B483" s="235" t="s">
        <v>52</v>
      </c>
      <c r="C483" s="231" t="s">
        <v>10</v>
      </c>
      <c r="D483" s="250" t="s">
        <v>4607</v>
      </c>
      <c r="E483" s="281">
        <v>0</v>
      </c>
      <c r="F483" s="249">
        <v>597.45000000000005</v>
      </c>
      <c r="G483" s="164">
        <f t="shared" si="50"/>
        <v>3.8140000000000001</v>
      </c>
      <c r="H483" s="165">
        <f t="shared" si="51"/>
        <v>7.6280000000000001</v>
      </c>
      <c r="I483" s="165">
        <f t="shared" si="52"/>
        <v>5.7210000000000001</v>
      </c>
      <c r="J483" s="166">
        <f t="shared" si="53"/>
        <v>9.5350000000000001</v>
      </c>
      <c r="K483" s="166">
        <f t="shared" si="55"/>
        <v>9.5350000000000001</v>
      </c>
      <c r="L483" s="165">
        <f t="shared" si="54"/>
        <v>1.1493625000000001</v>
      </c>
      <c r="M483" s="168">
        <f t="shared" si="49"/>
        <v>0</v>
      </c>
      <c r="N483" s="236" t="s">
        <v>453</v>
      </c>
    </row>
    <row r="484" spans="1:14" ht="14">
      <c r="A484" s="149">
        <v>483</v>
      </c>
      <c r="B484" s="235" t="s">
        <v>52</v>
      </c>
      <c r="C484" s="231" t="s">
        <v>10</v>
      </c>
      <c r="D484" s="250" t="s">
        <v>1476</v>
      </c>
      <c r="E484" s="281">
        <v>0</v>
      </c>
      <c r="F484" s="249">
        <v>315</v>
      </c>
      <c r="G484" s="164">
        <f t="shared" si="50"/>
        <v>2.2000000000000002</v>
      </c>
      <c r="H484" s="165">
        <f t="shared" si="51"/>
        <v>4.4000000000000004</v>
      </c>
      <c r="I484" s="165">
        <f t="shared" si="52"/>
        <v>3.3</v>
      </c>
      <c r="J484" s="166">
        <f t="shared" si="53"/>
        <v>5.5</v>
      </c>
      <c r="K484" s="166">
        <f t="shared" si="55"/>
        <v>5.5</v>
      </c>
      <c r="L484" s="165">
        <f t="shared" si="54"/>
        <v>1.0787500000000001</v>
      </c>
      <c r="M484" s="168">
        <f t="shared" si="49"/>
        <v>0</v>
      </c>
      <c r="N484" s="236" t="s">
        <v>453</v>
      </c>
    </row>
    <row r="485" spans="1:14" ht="14">
      <c r="A485" s="149">
        <v>484</v>
      </c>
      <c r="B485" s="235" t="s">
        <v>52</v>
      </c>
      <c r="C485" s="231" t="s">
        <v>10</v>
      </c>
      <c r="D485" s="250" t="s">
        <v>1479</v>
      </c>
      <c r="E485" s="281">
        <v>0</v>
      </c>
      <c r="F485" s="249">
        <v>5524.05</v>
      </c>
      <c r="G485" s="164">
        <f t="shared" si="50"/>
        <v>31.966000000000005</v>
      </c>
      <c r="H485" s="165">
        <f t="shared" si="51"/>
        <v>63.932000000000009</v>
      </c>
      <c r="I485" s="165">
        <f t="shared" si="52"/>
        <v>47.949000000000005</v>
      </c>
      <c r="J485" s="166">
        <f t="shared" si="53"/>
        <v>79.915000000000006</v>
      </c>
      <c r="K485" s="166">
        <f t="shared" si="55"/>
        <v>79.915000000000006</v>
      </c>
      <c r="L485" s="165">
        <f t="shared" si="54"/>
        <v>2.3810124999999998</v>
      </c>
      <c r="M485" s="168">
        <f t="shared" si="49"/>
        <v>0</v>
      </c>
      <c r="N485" s="236" t="s">
        <v>453</v>
      </c>
    </row>
    <row r="486" spans="1:14" ht="14">
      <c r="A486" s="149">
        <v>485</v>
      </c>
      <c r="B486" s="235" t="s">
        <v>52</v>
      </c>
      <c r="C486" s="231" t="s">
        <v>10</v>
      </c>
      <c r="D486" s="250" t="s">
        <v>1482</v>
      </c>
      <c r="E486" s="281">
        <v>0</v>
      </c>
      <c r="F486" s="249">
        <v>315</v>
      </c>
      <c r="G486" s="164">
        <f t="shared" si="50"/>
        <v>2.2000000000000002</v>
      </c>
      <c r="H486" s="165">
        <f t="shared" si="51"/>
        <v>4.4000000000000004</v>
      </c>
      <c r="I486" s="165">
        <f t="shared" si="52"/>
        <v>3.3</v>
      </c>
      <c r="J486" s="166">
        <f t="shared" si="53"/>
        <v>5.5</v>
      </c>
      <c r="K486" s="166">
        <f t="shared" si="55"/>
        <v>5.5</v>
      </c>
      <c r="L486" s="165">
        <f t="shared" si="54"/>
        <v>1.0787500000000001</v>
      </c>
      <c r="M486" s="168">
        <f t="shared" si="49"/>
        <v>0</v>
      </c>
      <c r="N486" s="236" t="s">
        <v>453</v>
      </c>
    </row>
    <row r="487" spans="1:14" ht="14">
      <c r="A487" s="149">
        <v>486</v>
      </c>
      <c r="B487" s="235" t="s">
        <v>52</v>
      </c>
      <c r="C487" s="231" t="s">
        <v>10</v>
      </c>
      <c r="D487" s="250" t="s">
        <v>1485</v>
      </c>
      <c r="E487" s="281">
        <v>0</v>
      </c>
      <c r="F487" s="249">
        <v>792.75</v>
      </c>
      <c r="G487" s="164">
        <f t="shared" si="50"/>
        <v>4.93</v>
      </c>
      <c r="H487" s="165">
        <f t="shared" si="51"/>
        <v>9.86</v>
      </c>
      <c r="I487" s="165">
        <f t="shared" si="52"/>
        <v>7.3949999999999996</v>
      </c>
      <c r="J487" s="166">
        <f t="shared" si="53"/>
        <v>12.324999999999999</v>
      </c>
      <c r="K487" s="166">
        <f t="shared" si="55"/>
        <v>12.324999999999999</v>
      </c>
      <c r="L487" s="165">
        <f t="shared" si="54"/>
        <v>1.1981875</v>
      </c>
      <c r="M487" s="168">
        <f t="shared" si="49"/>
        <v>0</v>
      </c>
      <c r="N487" s="236" t="s">
        <v>453</v>
      </c>
    </row>
    <row r="488" spans="1:14" ht="14">
      <c r="A488" s="149">
        <v>487</v>
      </c>
      <c r="B488" s="235" t="s">
        <v>52</v>
      </c>
      <c r="C488" s="231" t="s">
        <v>10</v>
      </c>
      <c r="D488" s="250" t="s">
        <v>1488</v>
      </c>
      <c r="E488" s="281">
        <v>0</v>
      </c>
      <c r="F488" s="249">
        <v>448.35</v>
      </c>
      <c r="G488" s="164">
        <f t="shared" si="50"/>
        <v>2.9620000000000002</v>
      </c>
      <c r="H488" s="165">
        <f t="shared" si="51"/>
        <v>5.9240000000000004</v>
      </c>
      <c r="I488" s="165">
        <f t="shared" si="52"/>
        <v>4.4429999999999996</v>
      </c>
      <c r="J488" s="166">
        <f t="shared" si="53"/>
        <v>7.4049999999999994</v>
      </c>
      <c r="K488" s="166">
        <f t="shared" si="55"/>
        <v>7.4049999999999994</v>
      </c>
      <c r="L488" s="165">
        <f t="shared" si="54"/>
        <v>1.1120874999999999</v>
      </c>
      <c r="M488" s="168">
        <f t="shared" si="49"/>
        <v>0</v>
      </c>
      <c r="N488" s="236" t="s">
        <v>453</v>
      </c>
    </row>
    <row r="489" spans="1:14" ht="14">
      <c r="A489" s="149">
        <v>488</v>
      </c>
      <c r="B489" s="235" t="s">
        <v>52</v>
      </c>
      <c r="C489" s="231" t="s">
        <v>10</v>
      </c>
      <c r="D489" s="250" t="s">
        <v>1490</v>
      </c>
      <c r="E489" s="281">
        <v>0</v>
      </c>
      <c r="F489" s="249">
        <v>1429.05</v>
      </c>
      <c r="G489" s="164">
        <f t="shared" si="50"/>
        <v>8.5660000000000007</v>
      </c>
      <c r="H489" s="165">
        <f t="shared" si="51"/>
        <v>17.132000000000001</v>
      </c>
      <c r="I489" s="165">
        <f t="shared" si="52"/>
        <v>12.848999999999998</v>
      </c>
      <c r="J489" s="166">
        <f t="shared" si="53"/>
        <v>21.414999999999999</v>
      </c>
      <c r="K489" s="166">
        <f t="shared" si="55"/>
        <v>21.414999999999999</v>
      </c>
      <c r="L489" s="165">
        <f t="shared" si="54"/>
        <v>1.3572625</v>
      </c>
      <c r="M489" s="168">
        <f t="shared" si="49"/>
        <v>0</v>
      </c>
      <c r="N489" s="236" t="s">
        <v>453</v>
      </c>
    </row>
    <row r="490" spans="1:14" ht="14">
      <c r="A490" s="149">
        <v>489</v>
      </c>
      <c r="B490" s="235" t="s">
        <v>52</v>
      </c>
      <c r="C490" s="231" t="s">
        <v>10</v>
      </c>
      <c r="D490" s="250" t="s">
        <v>1493</v>
      </c>
      <c r="E490" s="281">
        <v>0</v>
      </c>
      <c r="F490" s="249">
        <v>586.95000000000005</v>
      </c>
      <c r="G490" s="164">
        <f t="shared" si="50"/>
        <v>3.754</v>
      </c>
      <c r="H490" s="165">
        <f t="shared" si="51"/>
        <v>7.508</v>
      </c>
      <c r="I490" s="165">
        <f t="shared" si="52"/>
        <v>5.6309999999999993</v>
      </c>
      <c r="J490" s="166">
        <f t="shared" si="53"/>
        <v>9.3849999999999998</v>
      </c>
      <c r="K490" s="166">
        <f t="shared" si="55"/>
        <v>9.3849999999999998</v>
      </c>
      <c r="L490" s="165">
        <f t="shared" si="54"/>
        <v>1.1467375</v>
      </c>
      <c r="M490" s="168">
        <f t="shared" si="49"/>
        <v>0</v>
      </c>
      <c r="N490" s="236" t="s">
        <v>453</v>
      </c>
    </row>
    <row r="491" spans="1:14" ht="14">
      <c r="A491" s="149">
        <v>490</v>
      </c>
      <c r="B491" s="235" t="s">
        <v>52</v>
      </c>
      <c r="C491" s="231" t="s">
        <v>10</v>
      </c>
      <c r="D491" s="250" t="s">
        <v>1496</v>
      </c>
      <c r="E491" s="281">
        <v>0</v>
      </c>
      <c r="F491" s="249">
        <v>3675</v>
      </c>
      <c r="G491" s="164">
        <f t="shared" si="50"/>
        <v>21.400000000000002</v>
      </c>
      <c r="H491" s="165">
        <f t="shared" si="51"/>
        <v>42.800000000000004</v>
      </c>
      <c r="I491" s="165">
        <f t="shared" si="52"/>
        <v>32.1</v>
      </c>
      <c r="J491" s="166">
        <f t="shared" si="53"/>
        <v>53.5</v>
      </c>
      <c r="K491" s="166">
        <f t="shared" si="55"/>
        <v>53.5</v>
      </c>
      <c r="L491" s="165">
        <f t="shared" si="54"/>
        <v>1.91875</v>
      </c>
      <c r="M491" s="168">
        <f t="shared" si="49"/>
        <v>0</v>
      </c>
      <c r="N491" s="236" t="s">
        <v>453</v>
      </c>
    </row>
    <row r="492" spans="1:14" ht="14">
      <c r="A492" s="149">
        <v>491</v>
      </c>
      <c r="B492" s="235" t="s">
        <v>55</v>
      </c>
      <c r="C492" s="231" t="s">
        <v>10</v>
      </c>
      <c r="D492" s="250" t="s">
        <v>4608</v>
      </c>
      <c r="E492" s="281">
        <v>0</v>
      </c>
      <c r="F492" s="249">
        <v>315</v>
      </c>
      <c r="G492" s="164">
        <f t="shared" si="50"/>
        <v>2.2000000000000002</v>
      </c>
      <c r="H492" s="165">
        <f t="shared" si="51"/>
        <v>4.4000000000000004</v>
      </c>
      <c r="I492" s="165">
        <f t="shared" si="52"/>
        <v>3.3</v>
      </c>
      <c r="J492" s="166">
        <f t="shared" si="53"/>
        <v>5.5</v>
      </c>
      <c r="K492" s="166">
        <f t="shared" si="55"/>
        <v>5.5</v>
      </c>
      <c r="L492" s="165">
        <f t="shared" si="54"/>
        <v>1.0787500000000001</v>
      </c>
      <c r="M492" s="168">
        <f t="shared" si="49"/>
        <v>0</v>
      </c>
      <c r="N492" s="236" t="s">
        <v>453</v>
      </c>
    </row>
    <row r="493" spans="1:14" ht="14">
      <c r="A493" s="149">
        <v>492</v>
      </c>
      <c r="B493" s="235" t="s">
        <v>55</v>
      </c>
      <c r="C493" s="231" t="s">
        <v>10</v>
      </c>
      <c r="D493" s="250" t="s">
        <v>1501</v>
      </c>
      <c r="E493" s="281">
        <v>0</v>
      </c>
      <c r="F493" s="249">
        <v>1470</v>
      </c>
      <c r="G493" s="164">
        <f t="shared" si="50"/>
        <v>8.8000000000000007</v>
      </c>
      <c r="H493" s="165">
        <f t="shared" si="51"/>
        <v>17.600000000000001</v>
      </c>
      <c r="I493" s="165">
        <f t="shared" si="52"/>
        <v>13.2</v>
      </c>
      <c r="J493" s="166">
        <f t="shared" si="53"/>
        <v>22</v>
      </c>
      <c r="K493" s="166">
        <f t="shared" si="55"/>
        <v>22</v>
      </c>
      <c r="L493" s="165">
        <f t="shared" si="54"/>
        <v>1.3674999999999999</v>
      </c>
      <c r="M493" s="168">
        <f t="shared" si="49"/>
        <v>0</v>
      </c>
      <c r="N493" s="236" t="s">
        <v>453</v>
      </c>
    </row>
    <row r="494" spans="1:14" ht="14">
      <c r="A494" s="149">
        <v>493</v>
      </c>
      <c r="B494" s="235" t="s">
        <v>55</v>
      </c>
      <c r="C494" s="231" t="s">
        <v>10</v>
      </c>
      <c r="D494" s="250" t="s">
        <v>1504</v>
      </c>
      <c r="E494" s="281">
        <v>0</v>
      </c>
      <c r="F494" s="249">
        <v>787.5</v>
      </c>
      <c r="G494" s="164">
        <f t="shared" si="50"/>
        <v>4.9000000000000004</v>
      </c>
      <c r="H494" s="165">
        <f t="shared" si="51"/>
        <v>9.8000000000000007</v>
      </c>
      <c r="I494" s="165">
        <f t="shared" si="52"/>
        <v>7.35</v>
      </c>
      <c r="J494" s="166">
        <f t="shared" si="53"/>
        <v>12.25</v>
      </c>
      <c r="K494" s="166">
        <f t="shared" si="55"/>
        <v>12.25</v>
      </c>
      <c r="L494" s="165">
        <f t="shared" si="54"/>
        <v>1.1968749999999999</v>
      </c>
      <c r="M494" s="168">
        <f t="shared" si="49"/>
        <v>0</v>
      </c>
      <c r="N494" s="236" t="s">
        <v>453</v>
      </c>
    </row>
    <row r="495" spans="1:14" ht="14">
      <c r="A495" s="149">
        <v>494</v>
      </c>
      <c r="B495" s="235" t="s">
        <v>55</v>
      </c>
      <c r="C495" s="231" t="s">
        <v>10</v>
      </c>
      <c r="D495" s="250" t="s">
        <v>1507</v>
      </c>
      <c r="E495" s="281">
        <v>0</v>
      </c>
      <c r="F495" s="249">
        <v>3885</v>
      </c>
      <c r="G495" s="164">
        <f t="shared" si="50"/>
        <v>22.6</v>
      </c>
      <c r="H495" s="165">
        <f t="shared" si="51"/>
        <v>45.2</v>
      </c>
      <c r="I495" s="165">
        <f t="shared" si="52"/>
        <v>33.9</v>
      </c>
      <c r="J495" s="166">
        <f t="shared" si="53"/>
        <v>56.5</v>
      </c>
      <c r="K495" s="166">
        <f t="shared" si="55"/>
        <v>56.5</v>
      </c>
      <c r="L495" s="165">
        <f t="shared" si="54"/>
        <v>1.9712499999999999</v>
      </c>
      <c r="M495" s="168">
        <f t="shared" si="49"/>
        <v>0</v>
      </c>
      <c r="N495" s="236" t="s">
        <v>453</v>
      </c>
    </row>
    <row r="496" spans="1:14" ht="14">
      <c r="A496" s="149">
        <v>495</v>
      </c>
      <c r="B496" s="235" t="s">
        <v>52</v>
      </c>
      <c r="C496" s="231" t="s">
        <v>10</v>
      </c>
      <c r="D496" s="250" t="s">
        <v>1510</v>
      </c>
      <c r="E496" s="281">
        <v>0</v>
      </c>
      <c r="F496" s="249">
        <v>525</v>
      </c>
      <c r="G496" s="164">
        <f t="shared" si="50"/>
        <v>3.4000000000000004</v>
      </c>
      <c r="H496" s="165">
        <f t="shared" si="51"/>
        <v>6.8000000000000007</v>
      </c>
      <c r="I496" s="165">
        <f t="shared" si="52"/>
        <v>5.0999999999999996</v>
      </c>
      <c r="J496" s="166">
        <f t="shared" si="53"/>
        <v>8.5</v>
      </c>
      <c r="K496" s="166">
        <f t="shared" si="55"/>
        <v>8.5</v>
      </c>
      <c r="L496" s="165">
        <f t="shared" si="54"/>
        <v>1.1312500000000001</v>
      </c>
      <c r="M496" s="168">
        <f t="shared" si="49"/>
        <v>0</v>
      </c>
      <c r="N496" s="236" t="s">
        <v>453</v>
      </c>
    </row>
    <row r="497" spans="1:14" ht="14">
      <c r="A497" s="149">
        <v>496</v>
      </c>
      <c r="B497" s="235" t="s">
        <v>52</v>
      </c>
      <c r="C497" s="231" t="s">
        <v>10</v>
      </c>
      <c r="D497" s="250" t="s">
        <v>4642</v>
      </c>
      <c r="E497" s="281">
        <v>0</v>
      </c>
      <c r="F497" s="249">
        <v>1995</v>
      </c>
      <c r="G497" s="164">
        <f t="shared" si="50"/>
        <v>11.8</v>
      </c>
      <c r="H497" s="165">
        <f t="shared" si="51"/>
        <v>23.6</v>
      </c>
      <c r="I497" s="165">
        <f t="shared" si="52"/>
        <v>17.7</v>
      </c>
      <c r="J497" s="166">
        <f t="shared" si="53"/>
        <v>29.5</v>
      </c>
      <c r="K497" s="166">
        <f t="shared" si="55"/>
        <v>29.5</v>
      </c>
      <c r="L497" s="165">
        <f t="shared" si="54"/>
        <v>1.49875</v>
      </c>
      <c r="M497" s="168">
        <f t="shared" si="49"/>
        <v>0</v>
      </c>
      <c r="N497" s="236" t="s">
        <v>453</v>
      </c>
    </row>
    <row r="498" spans="1:14" ht="14">
      <c r="A498" s="149">
        <v>497</v>
      </c>
      <c r="B498" s="235" t="s">
        <v>52</v>
      </c>
      <c r="C498" s="231" t="s">
        <v>10</v>
      </c>
      <c r="D498" s="250" t="s">
        <v>1515</v>
      </c>
      <c r="E498" s="281">
        <v>0</v>
      </c>
      <c r="F498" s="249">
        <v>315</v>
      </c>
      <c r="G498" s="164">
        <f t="shared" si="50"/>
        <v>2.2000000000000002</v>
      </c>
      <c r="H498" s="165">
        <f t="shared" si="51"/>
        <v>4.4000000000000004</v>
      </c>
      <c r="I498" s="165">
        <f t="shared" si="52"/>
        <v>3.3</v>
      </c>
      <c r="J498" s="166">
        <f t="shared" si="53"/>
        <v>5.5</v>
      </c>
      <c r="K498" s="166">
        <f t="shared" si="55"/>
        <v>5.5</v>
      </c>
      <c r="L498" s="165">
        <f t="shared" si="54"/>
        <v>1.0787500000000001</v>
      </c>
      <c r="M498" s="168">
        <f t="shared" si="49"/>
        <v>0</v>
      </c>
      <c r="N498" s="236" t="s">
        <v>453</v>
      </c>
    </row>
    <row r="499" spans="1:14" ht="14">
      <c r="A499" s="149">
        <v>498</v>
      </c>
      <c r="B499" s="235" t="s">
        <v>52</v>
      </c>
      <c r="C499" s="231" t="s">
        <v>10</v>
      </c>
      <c r="D499" s="250" t="s">
        <v>1518</v>
      </c>
      <c r="E499" s="281">
        <v>0</v>
      </c>
      <c r="F499" s="249">
        <v>14928</v>
      </c>
      <c r="G499" s="164">
        <f t="shared" si="50"/>
        <v>85.702857142857155</v>
      </c>
      <c r="H499" s="165">
        <f t="shared" si="51"/>
        <v>171.40571428571431</v>
      </c>
      <c r="I499" s="165">
        <f t="shared" si="52"/>
        <v>128.55428571428573</v>
      </c>
      <c r="J499" s="166">
        <f t="shared" si="53"/>
        <v>214.25714285714287</v>
      </c>
      <c r="K499" s="166">
        <f t="shared" si="55"/>
        <v>214.25714285714287</v>
      </c>
      <c r="L499" s="165">
        <f t="shared" si="54"/>
        <v>4.7320000000000002</v>
      </c>
      <c r="M499" s="168">
        <f t="shared" si="49"/>
        <v>0</v>
      </c>
      <c r="N499" s="236" t="s">
        <v>453</v>
      </c>
    </row>
    <row r="500" spans="1:14" ht="14">
      <c r="A500" s="149">
        <v>499</v>
      </c>
      <c r="B500" s="235" t="s">
        <v>52</v>
      </c>
      <c r="C500" s="231" t="s">
        <v>10</v>
      </c>
      <c r="D500" s="250" t="s">
        <v>1521</v>
      </c>
      <c r="E500" s="281">
        <v>0</v>
      </c>
      <c r="F500" s="249">
        <v>641.54999999999995</v>
      </c>
      <c r="G500" s="164">
        <f t="shared" si="50"/>
        <v>4.0659999999999998</v>
      </c>
      <c r="H500" s="165">
        <f t="shared" si="51"/>
        <v>8.1319999999999997</v>
      </c>
      <c r="I500" s="165">
        <f t="shared" si="52"/>
        <v>6.0989999999999993</v>
      </c>
      <c r="J500" s="166">
        <f t="shared" si="53"/>
        <v>10.164999999999999</v>
      </c>
      <c r="K500" s="166">
        <f t="shared" si="55"/>
        <v>10.164999999999999</v>
      </c>
      <c r="L500" s="165">
        <f t="shared" si="54"/>
        <v>1.1603874999999999</v>
      </c>
      <c r="M500" s="168">
        <f t="shared" si="49"/>
        <v>0</v>
      </c>
      <c r="N500" s="236" t="s">
        <v>453</v>
      </c>
    </row>
    <row r="501" spans="1:14" ht="14">
      <c r="A501" s="149">
        <v>500</v>
      </c>
      <c r="B501" s="235" t="s">
        <v>52</v>
      </c>
      <c r="C501" s="231" t="s">
        <v>10</v>
      </c>
      <c r="D501" s="250" t="s">
        <v>1524</v>
      </c>
      <c r="E501" s="281">
        <v>0</v>
      </c>
      <c r="F501" s="249">
        <v>828.45</v>
      </c>
      <c r="G501" s="164">
        <f t="shared" si="50"/>
        <v>5.1340000000000003</v>
      </c>
      <c r="H501" s="165">
        <f t="shared" si="51"/>
        <v>10.268000000000001</v>
      </c>
      <c r="I501" s="165">
        <f t="shared" si="52"/>
        <v>7.7010000000000005</v>
      </c>
      <c r="J501" s="166">
        <f t="shared" si="53"/>
        <v>12.835000000000001</v>
      </c>
      <c r="K501" s="166">
        <f t="shared" si="55"/>
        <v>12.835000000000001</v>
      </c>
      <c r="L501" s="165">
        <f t="shared" si="54"/>
        <v>1.2071125</v>
      </c>
      <c r="M501" s="168">
        <f t="shared" si="49"/>
        <v>0</v>
      </c>
      <c r="N501" s="236" t="s">
        <v>453</v>
      </c>
    </row>
    <row r="502" spans="1:14" ht="14">
      <c r="A502" s="149">
        <v>501</v>
      </c>
      <c r="B502" s="235" t="s">
        <v>52</v>
      </c>
      <c r="C502" s="231" t="s">
        <v>10</v>
      </c>
      <c r="D502" s="250" t="s">
        <v>1527</v>
      </c>
      <c r="E502" s="281">
        <v>0</v>
      </c>
      <c r="F502" s="249">
        <v>315</v>
      </c>
      <c r="G502" s="164">
        <f t="shared" si="50"/>
        <v>2.2000000000000002</v>
      </c>
      <c r="H502" s="165">
        <f t="shared" si="51"/>
        <v>4.4000000000000004</v>
      </c>
      <c r="I502" s="165">
        <f t="shared" si="52"/>
        <v>3.3</v>
      </c>
      <c r="J502" s="166">
        <f t="shared" si="53"/>
        <v>5.5</v>
      </c>
      <c r="K502" s="166">
        <f t="shared" si="55"/>
        <v>5.5</v>
      </c>
      <c r="L502" s="165">
        <f t="shared" si="54"/>
        <v>1.0787500000000001</v>
      </c>
      <c r="M502" s="168">
        <f t="shared" si="49"/>
        <v>0</v>
      </c>
      <c r="N502" s="236" t="s">
        <v>453</v>
      </c>
    </row>
    <row r="503" spans="1:14" ht="14">
      <c r="A503" s="149">
        <v>502</v>
      </c>
      <c r="B503" s="235" t="s">
        <v>52</v>
      </c>
      <c r="C503" s="231" t="s">
        <v>10</v>
      </c>
      <c r="D503" s="250" t="s">
        <v>1529</v>
      </c>
      <c r="E503" s="281">
        <v>0</v>
      </c>
      <c r="F503" s="249">
        <v>6825</v>
      </c>
      <c r="G503" s="164">
        <f t="shared" si="50"/>
        <v>39.400000000000006</v>
      </c>
      <c r="H503" s="165">
        <f t="shared" si="51"/>
        <v>78.800000000000011</v>
      </c>
      <c r="I503" s="165">
        <f t="shared" si="52"/>
        <v>59.099999999999994</v>
      </c>
      <c r="J503" s="166">
        <f t="shared" si="53"/>
        <v>98.5</v>
      </c>
      <c r="K503" s="166">
        <f t="shared" si="55"/>
        <v>98.5</v>
      </c>
      <c r="L503" s="165">
        <f t="shared" si="54"/>
        <v>2.7062499999999998</v>
      </c>
      <c r="M503" s="168">
        <f t="shared" si="49"/>
        <v>0</v>
      </c>
      <c r="N503" s="236" t="s">
        <v>453</v>
      </c>
    </row>
    <row r="504" spans="1:14" ht="14">
      <c r="A504" s="149">
        <v>503</v>
      </c>
      <c r="B504" s="235" t="s">
        <v>52</v>
      </c>
      <c r="C504" s="231" t="s">
        <v>10</v>
      </c>
      <c r="D504" s="250" t="s">
        <v>1532</v>
      </c>
      <c r="E504" s="281">
        <v>0</v>
      </c>
      <c r="F504" s="249">
        <v>2986.2</v>
      </c>
      <c r="G504" s="164">
        <f t="shared" si="50"/>
        <v>17.463999999999999</v>
      </c>
      <c r="H504" s="165">
        <f t="shared" si="51"/>
        <v>34.927999999999997</v>
      </c>
      <c r="I504" s="165">
        <f t="shared" si="52"/>
        <v>26.195999999999998</v>
      </c>
      <c r="J504" s="166">
        <f t="shared" si="53"/>
        <v>43.66</v>
      </c>
      <c r="K504" s="166">
        <f t="shared" si="55"/>
        <v>43.66</v>
      </c>
      <c r="L504" s="165">
        <f t="shared" si="54"/>
        <v>1.74655</v>
      </c>
      <c r="M504" s="168">
        <f t="shared" si="49"/>
        <v>0</v>
      </c>
      <c r="N504" s="236" t="s">
        <v>453</v>
      </c>
    </row>
    <row r="505" spans="1:14" ht="14">
      <c r="A505" s="149">
        <v>504</v>
      </c>
      <c r="B505" s="235" t="s">
        <v>52</v>
      </c>
      <c r="C505" s="231" t="s">
        <v>10</v>
      </c>
      <c r="D505" s="250" t="s">
        <v>4663</v>
      </c>
      <c r="E505" s="281">
        <v>0</v>
      </c>
      <c r="F505" s="249">
        <v>1149.75</v>
      </c>
      <c r="G505" s="164">
        <f t="shared" si="50"/>
        <v>6.9700000000000006</v>
      </c>
      <c r="H505" s="165">
        <f t="shared" si="51"/>
        <v>13.940000000000001</v>
      </c>
      <c r="I505" s="165">
        <f t="shared" si="52"/>
        <v>10.455</v>
      </c>
      <c r="J505" s="166">
        <f t="shared" si="53"/>
        <v>17.425000000000001</v>
      </c>
      <c r="K505" s="166">
        <f t="shared" si="55"/>
        <v>17.425000000000001</v>
      </c>
      <c r="L505" s="165">
        <f t="shared" si="54"/>
        <v>1.2874375</v>
      </c>
      <c r="M505" s="168">
        <f t="shared" si="49"/>
        <v>0</v>
      </c>
      <c r="N505" s="236" t="s">
        <v>453</v>
      </c>
    </row>
    <row r="506" spans="1:14" ht="14">
      <c r="A506" s="149">
        <v>505</v>
      </c>
      <c r="B506" s="235" t="s">
        <v>52</v>
      </c>
      <c r="C506" s="231" t="s">
        <v>10</v>
      </c>
      <c r="D506" s="250" t="s">
        <v>1537</v>
      </c>
      <c r="E506" s="281">
        <v>0</v>
      </c>
      <c r="F506" s="249">
        <v>841.05</v>
      </c>
      <c r="G506" s="164">
        <f t="shared" si="50"/>
        <v>5.2059999999999995</v>
      </c>
      <c r="H506" s="165">
        <f t="shared" si="51"/>
        <v>10.411999999999999</v>
      </c>
      <c r="I506" s="165">
        <f t="shared" si="52"/>
        <v>7.8089999999999993</v>
      </c>
      <c r="J506" s="166">
        <f t="shared" si="53"/>
        <v>13.014999999999999</v>
      </c>
      <c r="K506" s="166">
        <f t="shared" si="55"/>
        <v>13.014999999999999</v>
      </c>
      <c r="L506" s="165">
        <f t="shared" si="54"/>
        <v>1.2102625</v>
      </c>
      <c r="M506" s="168">
        <f t="shared" si="49"/>
        <v>0</v>
      </c>
      <c r="N506" s="236" t="s">
        <v>453</v>
      </c>
    </row>
    <row r="507" spans="1:14" ht="14">
      <c r="A507" s="149">
        <v>506</v>
      </c>
      <c r="B507" s="235" t="s">
        <v>52</v>
      </c>
      <c r="C507" s="231" t="s">
        <v>10</v>
      </c>
      <c r="D507" s="250" t="s">
        <v>1540</v>
      </c>
      <c r="E507" s="281">
        <v>0</v>
      </c>
      <c r="F507" s="249">
        <v>718.2</v>
      </c>
      <c r="G507" s="164">
        <f t="shared" si="50"/>
        <v>4.5040000000000004</v>
      </c>
      <c r="H507" s="165">
        <f t="shared" si="51"/>
        <v>9.0080000000000009</v>
      </c>
      <c r="I507" s="165">
        <f t="shared" si="52"/>
        <v>6.7559999999999993</v>
      </c>
      <c r="J507" s="166">
        <f t="shared" si="53"/>
        <v>11.26</v>
      </c>
      <c r="K507" s="166">
        <f t="shared" si="55"/>
        <v>11.26</v>
      </c>
      <c r="L507" s="165">
        <f t="shared" si="54"/>
        <v>1.1795500000000001</v>
      </c>
      <c r="M507" s="168">
        <f t="shared" si="49"/>
        <v>0</v>
      </c>
      <c r="N507" s="236" t="s">
        <v>453</v>
      </c>
    </row>
    <row r="508" spans="1:14" ht="14">
      <c r="A508" s="149">
        <v>507</v>
      </c>
      <c r="B508" s="235" t="s">
        <v>52</v>
      </c>
      <c r="C508" s="231" t="s">
        <v>10</v>
      </c>
      <c r="D508" s="250" t="s">
        <v>1543</v>
      </c>
      <c r="E508" s="281">
        <v>0</v>
      </c>
      <c r="F508" s="249">
        <v>2859.15</v>
      </c>
      <c r="G508" s="164">
        <f t="shared" si="50"/>
        <v>16.738</v>
      </c>
      <c r="H508" s="165">
        <f t="shared" si="51"/>
        <v>33.475999999999999</v>
      </c>
      <c r="I508" s="165">
        <f t="shared" si="52"/>
        <v>25.106999999999999</v>
      </c>
      <c r="J508" s="166">
        <f t="shared" si="53"/>
        <v>41.844999999999999</v>
      </c>
      <c r="K508" s="166">
        <f t="shared" si="55"/>
        <v>41.844999999999999</v>
      </c>
      <c r="L508" s="165">
        <f t="shared" si="54"/>
        <v>1.7147874999999999</v>
      </c>
      <c r="M508" s="168">
        <f t="shared" si="49"/>
        <v>0</v>
      </c>
      <c r="N508" s="236" t="s">
        <v>453</v>
      </c>
    </row>
    <row r="509" spans="1:14" ht="14">
      <c r="A509" s="149">
        <v>508</v>
      </c>
      <c r="B509" s="235" t="s">
        <v>52</v>
      </c>
      <c r="C509" s="231" t="s">
        <v>10</v>
      </c>
      <c r="D509" s="250" t="s">
        <v>1546</v>
      </c>
      <c r="E509" s="281">
        <v>0</v>
      </c>
      <c r="F509" s="249">
        <v>1836.45</v>
      </c>
      <c r="G509" s="164">
        <f t="shared" si="50"/>
        <v>10.894</v>
      </c>
      <c r="H509" s="165">
        <f t="shared" si="51"/>
        <v>21.788</v>
      </c>
      <c r="I509" s="165">
        <f t="shared" si="52"/>
        <v>16.340999999999998</v>
      </c>
      <c r="J509" s="166">
        <f t="shared" si="53"/>
        <v>27.234999999999999</v>
      </c>
      <c r="K509" s="166">
        <f t="shared" si="55"/>
        <v>27.234999999999999</v>
      </c>
      <c r="L509" s="165">
        <f t="shared" si="54"/>
        <v>1.4591125</v>
      </c>
      <c r="M509" s="168">
        <f t="shared" si="49"/>
        <v>0</v>
      </c>
      <c r="N509" s="236" t="s">
        <v>453</v>
      </c>
    </row>
    <row r="510" spans="1:14" ht="14">
      <c r="A510" s="149">
        <v>509</v>
      </c>
      <c r="B510" s="235" t="s">
        <v>52</v>
      </c>
      <c r="C510" s="231" t="s">
        <v>10</v>
      </c>
      <c r="D510" s="250" t="s">
        <v>1549</v>
      </c>
      <c r="E510" s="281">
        <v>0</v>
      </c>
      <c r="F510" s="249">
        <v>1576.05</v>
      </c>
      <c r="G510" s="164">
        <f t="shared" si="50"/>
        <v>9.4060000000000006</v>
      </c>
      <c r="H510" s="165">
        <f t="shared" si="51"/>
        <v>18.812000000000001</v>
      </c>
      <c r="I510" s="165">
        <f t="shared" si="52"/>
        <v>14.109</v>
      </c>
      <c r="J510" s="166">
        <f t="shared" si="53"/>
        <v>23.515000000000001</v>
      </c>
      <c r="K510" s="166">
        <f t="shared" si="55"/>
        <v>23.515000000000001</v>
      </c>
      <c r="L510" s="165">
        <f t="shared" si="54"/>
        <v>1.3940125000000001</v>
      </c>
      <c r="M510" s="168">
        <f t="shared" si="49"/>
        <v>0</v>
      </c>
      <c r="N510" s="236" t="s">
        <v>453</v>
      </c>
    </row>
    <row r="511" spans="1:14" ht="14">
      <c r="A511" s="149">
        <v>510</v>
      </c>
      <c r="B511" s="235" t="s">
        <v>52</v>
      </c>
      <c r="C511" s="231" t="s">
        <v>10</v>
      </c>
      <c r="D511" s="250" t="s">
        <v>1552</v>
      </c>
      <c r="E511" s="281">
        <v>0</v>
      </c>
      <c r="F511" s="249">
        <v>3090.15</v>
      </c>
      <c r="G511" s="164">
        <f t="shared" si="50"/>
        <v>18.058000000000003</v>
      </c>
      <c r="H511" s="165">
        <f t="shared" si="51"/>
        <v>36.116000000000007</v>
      </c>
      <c r="I511" s="165">
        <f t="shared" si="52"/>
        <v>27.087</v>
      </c>
      <c r="J511" s="166">
        <f t="shared" si="53"/>
        <v>45.145000000000003</v>
      </c>
      <c r="K511" s="166">
        <f t="shared" si="55"/>
        <v>45.145000000000003</v>
      </c>
      <c r="L511" s="165">
        <f t="shared" si="54"/>
        <v>1.7725374999999999</v>
      </c>
      <c r="M511" s="168">
        <f t="shared" si="49"/>
        <v>0</v>
      </c>
      <c r="N511" s="236" t="s">
        <v>453</v>
      </c>
    </row>
    <row r="512" spans="1:14" ht="14">
      <c r="A512" s="149">
        <v>511</v>
      </c>
      <c r="B512" s="235" t="s">
        <v>52</v>
      </c>
      <c r="C512" s="231" t="s">
        <v>10</v>
      </c>
      <c r="D512" s="250" t="s">
        <v>1555</v>
      </c>
      <c r="E512" s="281">
        <v>0</v>
      </c>
      <c r="F512" s="249">
        <v>1494.15</v>
      </c>
      <c r="G512" s="164">
        <f t="shared" si="50"/>
        <v>8.9380000000000006</v>
      </c>
      <c r="H512" s="165">
        <f t="shared" si="51"/>
        <v>17.876000000000001</v>
      </c>
      <c r="I512" s="165">
        <f t="shared" si="52"/>
        <v>13.407000000000002</v>
      </c>
      <c r="J512" s="166">
        <f t="shared" si="53"/>
        <v>22.345000000000002</v>
      </c>
      <c r="K512" s="166">
        <f t="shared" si="55"/>
        <v>22.345000000000002</v>
      </c>
      <c r="L512" s="165">
        <f t="shared" si="54"/>
        <v>1.3735375000000001</v>
      </c>
      <c r="M512" s="168">
        <f t="shared" si="49"/>
        <v>0</v>
      </c>
      <c r="N512" s="236" t="s">
        <v>453</v>
      </c>
    </row>
    <row r="513" spans="1:14" ht="14">
      <c r="A513" s="149">
        <v>512</v>
      </c>
      <c r="B513" s="235" t="s">
        <v>52</v>
      </c>
      <c r="C513" s="231" t="s">
        <v>10</v>
      </c>
      <c r="D513" s="250" t="s">
        <v>1558</v>
      </c>
      <c r="E513" s="281">
        <v>0</v>
      </c>
      <c r="F513" s="249">
        <v>527.1</v>
      </c>
      <c r="G513" s="164">
        <f t="shared" si="50"/>
        <v>3.4120000000000008</v>
      </c>
      <c r="H513" s="165">
        <f t="shared" si="51"/>
        <v>6.8240000000000016</v>
      </c>
      <c r="I513" s="165">
        <f t="shared" si="52"/>
        <v>5.1180000000000003</v>
      </c>
      <c r="J513" s="166">
        <f t="shared" si="53"/>
        <v>8.5300000000000011</v>
      </c>
      <c r="K513" s="166">
        <f t="shared" si="55"/>
        <v>8.5300000000000011</v>
      </c>
      <c r="L513" s="165">
        <f t="shared" si="54"/>
        <v>1.131775</v>
      </c>
      <c r="M513" s="168">
        <f t="shared" si="49"/>
        <v>0</v>
      </c>
      <c r="N513" s="236" t="s">
        <v>453</v>
      </c>
    </row>
    <row r="514" spans="1:14" ht="14">
      <c r="A514" s="149">
        <v>513</v>
      </c>
      <c r="B514" s="235" t="s">
        <v>52</v>
      </c>
      <c r="C514" s="231" t="s">
        <v>10</v>
      </c>
      <c r="D514" s="250" t="s">
        <v>4684</v>
      </c>
      <c r="E514" s="281">
        <v>0</v>
      </c>
      <c r="F514" s="249">
        <v>948.15</v>
      </c>
      <c r="G514" s="164">
        <f t="shared" si="50"/>
        <v>5.8180000000000005</v>
      </c>
      <c r="H514" s="165">
        <f t="shared" si="51"/>
        <v>11.636000000000001</v>
      </c>
      <c r="I514" s="165">
        <f t="shared" si="52"/>
        <v>8.7270000000000003</v>
      </c>
      <c r="J514" s="166">
        <f t="shared" si="53"/>
        <v>14.545000000000002</v>
      </c>
      <c r="K514" s="166">
        <f t="shared" si="55"/>
        <v>14.545000000000002</v>
      </c>
      <c r="L514" s="165">
        <f t="shared" si="54"/>
        <v>1.2370375</v>
      </c>
      <c r="M514" s="168">
        <f t="shared" ref="M514:M577" si="56">E514/60</f>
        <v>0</v>
      </c>
      <c r="N514" s="236" t="s">
        <v>453</v>
      </c>
    </row>
    <row r="515" spans="1:14" ht="14">
      <c r="A515" s="149">
        <v>514</v>
      </c>
      <c r="B515" s="235" t="s">
        <v>52</v>
      </c>
      <c r="C515" s="231" t="s">
        <v>10</v>
      </c>
      <c r="D515" s="250" t="s">
        <v>1563</v>
      </c>
      <c r="E515" s="281">
        <v>0</v>
      </c>
      <c r="F515" s="249">
        <v>315</v>
      </c>
      <c r="G515" s="164">
        <f t="shared" ref="G515:G578" si="57">(((F515/70)+1)*0.4)</f>
        <v>2.2000000000000002</v>
      </c>
      <c r="H515" s="165">
        <f t="shared" ref="H515:H578" si="58">G515*2</f>
        <v>4.4000000000000004</v>
      </c>
      <c r="I515" s="165">
        <f t="shared" ref="I515:I578" si="59">(((F515/70)+1)*0.6)</f>
        <v>3.3</v>
      </c>
      <c r="J515" s="166">
        <f t="shared" ref="J515:J578" si="60">I515+G515</f>
        <v>5.5</v>
      </c>
      <c r="K515" s="166">
        <f t="shared" si="55"/>
        <v>5.5</v>
      </c>
      <c r="L515" s="165">
        <f t="shared" ref="L515:L578" si="61">(F515/4000)+1</f>
        <v>1.0787500000000001</v>
      </c>
      <c r="M515" s="168">
        <f t="shared" si="56"/>
        <v>0</v>
      </c>
      <c r="N515" s="236" t="s">
        <v>453</v>
      </c>
    </row>
    <row r="516" spans="1:14" ht="14">
      <c r="A516" s="149">
        <v>515</v>
      </c>
      <c r="B516" s="235" t="s">
        <v>52</v>
      </c>
      <c r="C516" s="231" t="s">
        <v>10</v>
      </c>
      <c r="D516" s="250" t="s">
        <v>1566</v>
      </c>
      <c r="E516" s="281">
        <v>0</v>
      </c>
      <c r="F516" s="249">
        <v>315</v>
      </c>
      <c r="G516" s="164">
        <f t="shared" si="57"/>
        <v>2.2000000000000002</v>
      </c>
      <c r="H516" s="165">
        <f t="shared" si="58"/>
        <v>4.4000000000000004</v>
      </c>
      <c r="I516" s="165">
        <f t="shared" si="59"/>
        <v>3.3</v>
      </c>
      <c r="J516" s="166">
        <f t="shared" si="60"/>
        <v>5.5</v>
      </c>
      <c r="K516" s="166">
        <f t="shared" ref="K516:K579" si="62">J516</f>
        <v>5.5</v>
      </c>
      <c r="L516" s="165">
        <f t="shared" si="61"/>
        <v>1.0787500000000001</v>
      </c>
      <c r="M516" s="168">
        <f t="shared" si="56"/>
        <v>0</v>
      </c>
      <c r="N516" s="236" t="s">
        <v>453</v>
      </c>
    </row>
    <row r="517" spans="1:14" ht="14">
      <c r="A517" s="149">
        <v>516</v>
      </c>
      <c r="B517" s="235" t="s">
        <v>52</v>
      </c>
      <c r="C517" s="231" t="s">
        <v>10</v>
      </c>
      <c r="D517" s="250" t="s">
        <v>1569</v>
      </c>
      <c r="E517" s="281">
        <v>0</v>
      </c>
      <c r="F517" s="249">
        <v>956.55</v>
      </c>
      <c r="G517" s="164">
        <f t="shared" si="57"/>
        <v>5.8659999999999997</v>
      </c>
      <c r="H517" s="165">
        <f t="shared" si="58"/>
        <v>11.731999999999999</v>
      </c>
      <c r="I517" s="165">
        <f t="shared" si="59"/>
        <v>8.7989999999999995</v>
      </c>
      <c r="J517" s="166">
        <f t="shared" si="60"/>
        <v>14.664999999999999</v>
      </c>
      <c r="K517" s="166">
        <f t="shared" si="62"/>
        <v>14.664999999999999</v>
      </c>
      <c r="L517" s="165">
        <f t="shared" si="61"/>
        <v>1.2391375</v>
      </c>
      <c r="M517" s="168">
        <f t="shared" si="56"/>
        <v>0</v>
      </c>
      <c r="N517" s="236" t="s">
        <v>453</v>
      </c>
    </row>
    <row r="518" spans="1:14" ht="14">
      <c r="A518" s="149">
        <v>517</v>
      </c>
      <c r="B518" s="235" t="s">
        <v>52</v>
      </c>
      <c r="C518" s="231" t="s">
        <v>10</v>
      </c>
      <c r="D518" s="250" t="s">
        <v>1572</v>
      </c>
      <c r="E518" s="281">
        <v>0</v>
      </c>
      <c r="F518" s="249">
        <v>3956.4</v>
      </c>
      <c r="G518" s="164">
        <f t="shared" si="57"/>
        <v>23.008000000000003</v>
      </c>
      <c r="H518" s="165">
        <f t="shared" si="58"/>
        <v>46.016000000000005</v>
      </c>
      <c r="I518" s="165">
        <f t="shared" si="59"/>
        <v>34.512</v>
      </c>
      <c r="J518" s="166">
        <f t="shared" si="60"/>
        <v>57.52</v>
      </c>
      <c r="K518" s="166">
        <f t="shared" si="62"/>
        <v>57.52</v>
      </c>
      <c r="L518" s="165">
        <f t="shared" si="61"/>
        <v>1.9891000000000001</v>
      </c>
      <c r="M518" s="168">
        <f t="shared" si="56"/>
        <v>0</v>
      </c>
      <c r="N518" s="236" t="s">
        <v>453</v>
      </c>
    </row>
    <row r="519" spans="1:14" ht="14">
      <c r="A519" s="149">
        <v>518</v>
      </c>
      <c r="B519" s="235" t="s">
        <v>52</v>
      </c>
      <c r="C519" s="231" t="s">
        <v>10</v>
      </c>
      <c r="D519" s="250" t="s">
        <v>4688</v>
      </c>
      <c r="E519" s="281">
        <v>0</v>
      </c>
      <c r="F519" s="249">
        <v>1282.05</v>
      </c>
      <c r="G519" s="164">
        <f t="shared" si="57"/>
        <v>7.7259999999999991</v>
      </c>
      <c r="H519" s="165">
        <f t="shared" si="58"/>
        <v>15.451999999999998</v>
      </c>
      <c r="I519" s="165">
        <f t="shared" si="59"/>
        <v>11.588999999999999</v>
      </c>
      <c r="J519" s="166">
        <f t="shared" si="60"/>
        <v>19.314999999999998</v>
      </c>
      <c r="K519" s="166">
        <f t="shared" si="62"/>
        <v>19.314999999999998</v>
      </c>
      <c r="L519" s="165">
        <f t="shared" si="61"/>
        <v>1.3205125</v>
      </c>
      <c r="M519" s="168">
        <f t="shared" si="56"/>
        <v>0</v>
      </c>
      <c r="N519" s="236" t="s">
        <v>453</v>
      </c>
    </row>
    <row r="520" spans="1:14" ht="14">
      <c r="A520" s="149">
        <v>519</v>
      </c>
      <c r="B520" s="235" t="s">
        <v>52</v>
      </c>
      <c r="C520" s="231" t="s">
        <v>10</v>
      </c>
      <c r="D520" s="250" t="s">
        <v>1577</v>
      </c>
      <c r="E520" s="281">
        <v>0</v>
      </c>
      <c r="F520" s="249">
        <v>768.6</v>
      </c>
      <c r="G520" s="164">
        <f t="shared" si="57"/>
        <v>4.7920000000000007</v>
      </c>
      <c r="H520" s="165">
        <f t="shared" si="58"/>
        <v>9.5840000000000014</v>
      </c>
      <c r="I520" s="165">
        <f t="shared" si="59"/>
        <v>7.1879999999999997</v>
      </c>
      <c r="J520" s="166">
        <f t="shared" si="60"/>
        <v>11.98</v>
      </c>
      <c r="K520" s="166">
        <f t="shared" si="62"/>
        <v>11.98</v>
      </c>
      <c r="L520" s="165">
        <f t="shared" si="61"/>
        <v>1.19215</v>
      </c>
      <c r="M520" s="168">
        <f t="shared" si="56"/>
        <v>0</v>
      </c>
      <c r="N520" s="236" t="s">
        <v>453</v>
      </c>
    </row>
    <row r="521" spans="1:14" ht="14">
      <c r="A521" s="149">
        <v>520</v>
      </c>
      <c r="B521" s="235" t="s">
        <v>52</v>
      </c>
      <c r="C521" s="231" t="s">
        <v>10</v>
      </c>
      <c r="D521" s="250" t="s">
        <v>4685</v>
      </c>
      <c r="E521" s="281">
        <v>0</v>
      </c>
      <c r="F521" s="249">
        <v>2791.95</v>
      </c>
      <c r="G521" s="164">
        <f t="shared" si="57"/>
        <v>16.353999999999999</v>
      </c>
      <c r="H521" s="165">
        <f t="shared" si="58"/>
        <v>32.707999999999998</v>
      </c>
      <c r="I521" s="165">
        <f t="shared" si="59"/>
        <v>24.530999999999999</v>
      </c>
      <c r="J521" s="166">
        <f t="shared" si="60"/>
        <v>40.884999999999998</v>
      </c>
      <c r="K521" s="166">
        <f t="shared" si="62"/>
        <v>40.884999999999998</v>
      </c>
      <c r="L521" s="165">
        <f t="shared" si="61"/>
        <v>1.6979875</v>
      </c>
      <c r="M521" s="168">
        <f t="shared" si="56"/>
        <v>0</v>
      </c>
      <c r="N521" s="236" t="s">
        <v>453</v>
      </c>
    </row>
    <row r="522" spans="1:14" ht="14">
      <c r="A522" s="149">
        <v>521</v>
      </c>
      <c r="B522" s="235" t="s">
        <v>52</v>
      </c>
      <c r="C522" s="231" t="s">
        <v>10</v>
      </c>
      <c r="D522" s="250" t="s">
        <v>4686</v>
      </c>
      <c r="E522" s="281">
        <v>0</v>
      </c>
      <c r="F522" s="249">
        <v>1499.4</v>
      </c>
      <c r="G522" s="164">
        <f t="shared" si="57"/>
        <v>8.9680000000000017</v>
      </c>
      <c r="H522" s="165">
        <f t="shared" si="58"/>
        <v>17.936000000000003</v>
      </c>
      <c r="I522" s="165">
        <f t="shared" si="59"/>
        <v>13.452</v>
      </c>
      <c r="J522" s="166">
        <f t="shared" si="60"/>
        <v>22.42</v>
      </c>
      <c r="K522" s="166">
        <f t="shared" si="62"/>
        <v>22.42</v>
      </c>
      <c r="L522" s="165">
        <f t="shared" si="61"/>
        <v>1.3748499999999999</v>
      </c>
      <c r="M522" s="168">
        <f t="shared" si="56"/>
        <v>0</v>
      </c>
      <c r="N522" s="236" t="s">
        <v>453</v>
      </c>
    </row>
    <row r="523" spans="1:14" ht="14">
      <c r="A523" s="149">
        <v>522</v>
      </c>
      <c r="B523" s="235" t="s">
        <v>52</v>
      </c>
      <c r="C523" s="231" t="s">
        <v>10</v>
      </c>
      <c r="D523" s="250" t="s">
        <v>1582</v>
      </c>
      <c r="E523" s="281">
        <v>0</v>
      </c>
      <c r="F523" s="249">
        <v>580.65</v>
      </c>
      <c r="G523" s="164">
        <f t="shared" si="57"/>
        <v>3.718</v>
      </c>
      <c r="H523" s="165">
        <f t="shared" si="58"/>
        <v>7.4359999999999999</v>
      </c>
      <c r="I523" s="165">
        <f t="shared" si="59"/>
        <v>5.577</v>
      </c>
      <c r="J523" s="166">
        <f t="shared" si="60"/>
        <v>9.2949999999999999</v>
      </c>
      <c r="K523" s="166">
        <f t="shared" si="62"/>
        <v>9.2949999999999999</v>
      </c>
      <c r="L523" s="165">
        <f t="shared" si="61"/>
        <v>1.1451625000000001</v>
      </c>
      <c r="M523" s="168">
        <f t="shared" si="56"/>
        <v>0</v>
      </c>
      <c r="N523" s="236" t="s">
        <v>453</v>
      </c>
    </row>
    <row r="524" spans="1:14" ht="14">
      <c r="A524" s="149">
        <v>523</v>
      </c>
      <c r="B524" s="235" t="s">
        <v>52</v>
      </c>
      <c r="C524" s="231" t="s">
        <v>10</v>
      </c>
      <c r="D524" s="250" t="s">
        <v>1584</v>
      </c>
      <c r="E524" s="281">
        <v>0</v>
      </c>
      <c r="F524" s="249">
        <v>867.3</v>
      </c>
      <c r="G524" s="164">
        <f t="shared" si="57"/>
        <v>5.3559999999999999</v>
      </c>
      <c r="H524" s="165">
        <f t="shared" si="58"/>
        <v>10.712</v>
      </c>
      <c r="I524" s="165">
        <f t="shared" si="59"/>
        <v>8.0339999999999989</v>
      </c>
      <c r="J524" s="166">
        <f t="shared" si="60"/>
        <v>13.389999999999999</v>
      </c>
      <c r="K524" s="166">
        <f t="shared" si="62"/>
        <v>13.389999999999999</v>
      </c>
      <c r="L524" s="165">
        <f t="shared" si="61"/>
        <v>1.216825</v>
      </c>
      <c r="M524" s="168">
        <f t="shared" si="56"/>
        <v>0</v>
      </c>
      <c r="N524" s="236" t="s">
        <v>453</v>
      </c>
    </row>
    <row r="525" spans="1:14" ht="14">
      <c r="A525" s="149">
        <v>524</v>
      </c>
      <c r="B525" s="235" t="s">
        <v>52</v>
      </c>
      <c r="C525" s="231" t="s">
        <v>10</v>
      </c>
      <c r="D525" s="250" t="s">
        <v>1586</v>
      </c>
      <c r="E525" s="281">
        <v>0</v>
      </c>
      <c r="F525" s="249">
        <v>315</v>
      </c>
      <c r="G525" s="164">
        <f t="shared" si="57"/>
        <v>2.2000000000000002</v>
      </c>
      <c r="H525" s="165">
        <f t="shared" si="58"/>
        <v>4.4000000000000004</v>
      </c>
      <c r="I525" s="165">
        <f t="shared" si="59"/>
        <v>3.3</v>
      </c>
      <c r="J525" s="166">
        <f t="shared" si="60"/>
        <v>5.5</v>
      </c>
      <c r="K525" s="166">
        <f t="shared" si="62"/>
        <v>5.5</v>
      </c>
      <c r="L525" s="165">
        <f t="shared" si="61"/>
        <v>1.0787500000000001</v>
      </c>
      <c r="M525" s="168">
        <f t="shared" si="56"/>
        <v>0</v>
      </c>
      <c r="N525" s="236" t="s">
        <v>453</v>
      </c>
    </row>
    <row r="526" spans="1:14" ht="14">
      <c r="A526" s="149">
        <v>525</v>
      </c>
      <c r="B526" s="235" t="s">
        <v>52</v>
      </c>
      <c r="C526" s="231" t="s">
        <v>10</v>
      </c>
      <c r="D526" s="250" t="s">
        <v>1588</v>
      </c>
      <c r="E526" s="281">
        <v>0</v>
      </c>
      <c r="F526" s="249">
        <v>4086.6</v>
      </c>
      <c r="G526" s="164">
        <f t="shared" si="57"/>
        <v>23.751999999999999</v>
      </c>
      <c r="H526" s="165">
        <f t="shared" si="58"/>
        <v>47.503999999999998</v>
      </c>
      <c r="I526" s="165">
        <f t="shared" si="59"/>
        <v>35.627999999999993</v>
      </c>
      <c r="J526" s="166">
        <f t="shared" si="60"/>
        <v>59.379999999999995</v>
      </c>
      <c r="K526" s="166">
        <f t="shared" si="62"/>
        <v>59.379999999999995</v>
      </c>
      <c r="L526" s="165">
        <f t="shared" si="61"/>
        <v>2.0216500000000002</v>
      </c>
      <c r="M526" s="168">
        <f t="shared" si="56"/>
        <v>0</v>
      </c>
      <c r="N526" s="236" t="s">
        <v>453</v>
      </c>
    </row>
    <row r="527" spans="1:14" ht="14">
      <c r="A527" s="149">
        <v>526</v>
      </c>
      <c r="B527" s="235" t="s">
        <v>52</v>
      </c>
      <c r="C527" s="231" t="s">
        <v>10</v>
      </c>
      <c r="D527" s="250" t="s">
        <v>1590</v>
      </c>
      <c r="E527" s="281">
        <v>0</v>
      </c>
      <c r="F527" s="249">
        <v>315</v>
      </c>
      <c r="G527" s="164">
        <f t="shared" si="57"/>
        <v>2.2000000000000002</v>
      </c>
      <c r="H527" s="165">
        <f t="shared" si="58"/>
        <v>4.4000000000000004</v>
      </c>
      <c r="I527" s="165">
        <f t="shared" si="59"/>
        <v>3.3</v>
      </c>
      <c r="J527" s="166">
        <f t="shared" si="60"/>
        <v>5.5</v>
      </c>
      <c r="K527" s="166">
        <f t="shared" si="62"/>
        <v>5.5</v>
      </c>
      <c r="L527" s="165">
        <f t="shared" si="61"/>
        <v>1.0787500000000001</v>
      </c>
      <c r="M527" s="168">
        <f t="shared" si="56"/>
        <v>0</v>
      </c>
      <c r="N527" s="236" t="s">
        <v>453</v>
      </c>
    </row>
    <row r="528" spans="1:14" ht="14">
      <c r="A528" s="149">
        <v>527</v>
      </c>
      <c r="B528" s="235" t="s">
        <v>52</v>
      </c>
      <c r="C528" s="231" t="s">
        <v>10</v>
      </c>
      <c r="D528" s="250" t="s">
        <v>1592</v>
      </c>
      <c r="E528" s="281">
        <v>0</v>
      </c>
      <c r="F528" s="249">
        <v>300</v>
      </c>
      <c r="G528" s="164">
        <f t="shared" si="57"/>
        <v>2.1142857142857143</v>
      </c>
      <c r="H528" s="165">
        <f t="shared" si="58"/>
        <v>4.2285714285714286</v>
      </c>
      <c r="I528" s="165">
        <f t="shared" si="59"/>
        <v>3.1714285714285713</v>
      </c>
      <c r="J528" s="166">
        <f t="shared" si="60"/>
        <v>5.2857142857142856</v>
      </c>
      <c r="K528" s="166">
        <f t="shared" si="62"/>
        <v>5.2857142857142856</v>
      </c>
      <c r="L528" s="165">
        <f t="shared" si="61"/>
        <v>1.075</v>
      </c>
      <c r="M528" s="168">
        <f t="shared" si="56"/>
        <v>0</v>
      </c>
      <c r="N528" s="236" t="s">
        <v>453</v>
      </c>
    </row>
    <row r="529" spans="1:14" ht="14">
      <c r="A529" s="149">
        <v>528</v>
      </c>
      <c r="B529" s="235" t="s">
        <v>52</v>
      </c>
      <c r="C529" s="231" t="s">
        <v>10</v>
      </c>
      <c r="D529" s="250" t="s">
        <v>1594</v>
      </c>
      <c r="E529" s="281">
        <v>0</v>
      </c>
      <c r="F529" s="249">
        <v>945</v>
      </c>
      <c r="G529" s="164">
        <f t="shared" si="57"/>
        <v>5.8000000000000007</v>
      </c>
      <c r="H529" s="165">
        <f t="shared" si="58"/>
        <v>11.600000000000001</v>
      </c>
      <c r="I529" s="165">
        <f t="shared" si="59"/>
        <v>8.6999999999999993</v>
      </c>
      <c r="J529" s="166">
        <f t="shared" si="60"/>
        <v>14.5</v>
      </c>
      <c r="K529" s="166">
        <f t="shared" si="62"/>
        <v>14.5</v>
      </c>
      <c r="L529" s="165">
        <f t="shared" si="61"/>
        <v>1.2362500000000001</v>
      </c>
      <c r="M529" s="168">
        <f t="shared" si="56"/>
        <v>0</v>
      </c>
      <c r="N529" s="236" t="s">
        <v>453</v>
      </c>
    </row>
    <row r="530" spans="1:14" ht="14">
      <c r="A530" s="149">
        <v>529</v>
      </c>
      <c r="B530" s="235" t="s">
        <v>52</v>
      </c>
      <c r="C530" s="231" t="s">
        <v>10</v>
      </c>
      <c r="D530" s="250" t="s">
        <v>1596</v>
      </c>
      <c r="E530" s="281">
        <v>0</v>
      </c>
      <c r="F530" s="249">
        <v>315</v>
      </c>
      <c r="G530" s="164">
        <f t="shared" si="57"/>
        <v>2.2000000000000002</v>
      </c>
      <c r="H530" s="165">
        <f t="shared" si="58"/>
        <v>4.4000000000000004</v>
      </c>
      <c r="I530" s="165">
        <f t="shared" si="59"/>
        <v>3.3</v>
      </c>
      <c r="J530" s="166">
        <f t="shared" si="60"/>
        <v>5.5</v>
      </c>
      <c r="K530" s="166">
        <f t="shared" si="62"/>
        <v>5.5</v>
      </c>
      <c r="L530" s="165">
        <f t="shared" si="61"/>
        <v>1.0787500000000001</v>
      </c>
      <c r="M530" s="168">
        <f t="shared" si="56"/>
        <v>0</v>
      </c>
      <c r="N530" s="236" t="s">
        <v>453</v>
      </c>
    </row>
    <row r="531" spans="1:14" ht="14">
      <c r="A531" s="149">
        <v>530</v>
      </c>
      <c r="B531" s="235" t="s">
        <v>52</v>
      </c>
      <c r="C531" s="231" t="s">
        <v>10</v>
      </c>
      <c r="D531" s="250" t="s">
        <v>4693</v>
      </c>
      <c r="E531" s="281">
        <v>0</v>
      </c>
      <c r="F531" s="249">
        <v>539.70000000000005</v>
      </c>
      <c r="G531" s="164">
        <f t="shared" si="57"/>
        <v>3.4840000000000004</v>
      </c>
      <c r="H531" s="165">
        <f t="shared" si="58"/>
        <v>6.9680000000000009</v>
      </c>
      <c r="I531" s="165">
        <f t="shared" si="59"/>
        <v>5.226</v>
      </c>
      <c r="J531" s="166">
        <f t="shared" si="60"/>
        <v>8.7100000000000009</v>
      </c>
      <c r="K531" s="166">
        <f t="shared" si="62"/>
        <v>8.7100000000000009</v>
      </c>
      <c r="L531" s="165">
        <f t="shared" si="61"/>
        <v>1.134925</v>
      </c>
      <c r="M531" s="168">
        <f t="shared" si="56"/>
        <v>0</v>
      </c>
      <c r="N531" s="236" t="s">
        <v>453</v>
      </c>
    </row>
    <row r="532" spans="1:14" ht="14">
      <c r="A532" s="149">
        <v>531</v>
      </c>
      <c r="B532" s="235" t="s">
        <v>52</v>
      </c>
      <c r="C532" s="231" t="s">
        <v>10</v>
      </c>
      <c r="D532" s="250" t="s">
        <v>1599</v>
      </c>
      <c r="E532" s="281">
        <v>0</v>
      </c>
      <c r="F532" s="249">
        <v>630</v>
      </c>
      <c r="G532" s="164">
        <f t="shared" si="57"/>
        <v>4</v>
      </c>
      <c r="H532" s="165">
        <f t="shared" si="58"/>
        <v>8</v>
      </c>
      <c r="I532" s="165">
        <f t="shared" si="59"/>
        <v>6</v>
      </c>
      <c r="J532" s="166">
        <f t="shared" si="60"/>
        <v>10</v>
      </c>
      <c r="K532" s="166">
        <f t="shared" si="62"/>
        <v>10</v>
      </c>
      <c r="L532" s="165">
        <f t="shared" si="61"/>
        <v>1.1575</v>
      </c>
      <c r="M532" s="168">
        <f t="shared" si="56"/>
        <v>0</v>
      </c>
      <c r="N532" s="236" t="s">
        <v>453</v>
      </c>
    </row>
    <row r="533" spans="1:14" ht="14">
      <c r="A533" s="149">
        <v>532</v>
      </c>
      <c r="B533" s="235" t="s">
        <v>52</v>
      </c>
      <c r="C533" s="231" t="s">
        <v>10</v>
      </c>
      <c r="D533" s="250" t="s">
        <v>1601</v>
      </c>
      <c r="E533" s="281">
        <v>0</v>
      </c>
      <c r="F533" s="249">
        <v>420</v>
      </c>
      <c r="G533" s="164">
        <f t="shared" si="57"/>
        <v>2.8000000000000003</v>
      </c>
      <c r="H533" s="165">
        <f t="shared" si="58"/>
        <v>5.6000000000000005</v>
      </c>
      <c r="I533" s="165">
        <f t="shared" si="59"/>
        <v>4.2</v>
      </c>
      <c r="J533" s="166">
        <f t="shared" si="60"/>
        <v>7</v>
      </c>
      <c r="K533" s="166">
        <f t="shared" si="62"/>
        <v>7</v>
      </c>
      <c r="L533" s="165">
        <f t="shared" si="61"/>
        <v>1.105</v>
      </c>
      <c r="M533" s="168">
        <f t="shared" si="56"/>
        <v>0</v>
      </c>
      <c r="N533" s="236" t="s">
        <v>453</v>
      </c>
    </row>
    <row r="534" spans="1:14" ht="14">
      <c r="A534" s="149">
        <v>533</v>
      </c>
      <c r="B534" s="235" t="s">
        <v>52</v>
      </c>
      <c r="C534" s="231" t="s">
        <v>10</v>
      </c>
      <c r="D534" s="250" t="s">
        <v>1603</v>
      </c>
      <c r="E534" s="281">
        <v>0</v>
      </c>
      <c r="F534" s="249">
        <v>2256.4499999999998</v>
      </c>
      <c r="G534" s="164">
        <f t="shared" si="57"/>
        <v>13.294</v>
      </c>
      <c r="H534" s="165">
        <f t="shared" si="58"/>
        <v>26.588000000000001</v>
      </c>
      <c r="I534" s="165">
        <f t="shared" si="59"/>
        <v>19.940999999999999</v>
      </c>
      <c r="J534" s="166">
        <f t="shared" si="60"/>
        <v>33.234999999999999</v>
      </c>
      <c r="K534" s="166">
        <f t="shared" si="62"/>
        <v>33.234999999999999</v>
      </c>
      <c r="L534" s="165">
        <f t="shared" si="61"/>
        <v>1.5641124999999998</v>
      </c>
      <c r="M534" s="168">
        <f t="shared" si="56"/>
        <v>0</v>
      </c>
      <c r="N534" s="236" t="s">
        <v>453</v>
      </c>
    </row>
    <row r="535" spans="1:14" ht="14">
      <c r="A535" s="149">
        <v>534</v>
      </c>
      <c r="B535" s="235" t="s">
        <v>52</v>
      </c>
      <c r="C535" s="231" t="s">
        <v>10</v>
      </c>
      <c r="D535" s="250" t="s">
        <v>1605</v>
      </c>
      <c r="E535" s="281">
        <v>0</v>
      </c>
      <c r="F535" s="249">
        <v>315</v>
      </c>
      <c r="G535" s="164">
        <f t="shared" si="57"/>
        <v>2.2000000000000002</v>
      </c>
      <c r="H535" s="165">
        <f t="shared" si="58"/>
        <v>4.4000000000000004</v>
      </c>
      <c r="I535" s="165">
        <f t="shared" si="59"/>
        <v>3.3</v>
      </c>
      <c r="J535" s="166">
        <f t="shared" si="60"/>
        <v>5.5</v>
      </c>
      <c r="K535" s="166">
        <f t="shared" si="62"/>
        <v>5.5</v>
      </c>
      <c r="L535" s="165">
        <f t="shared" si="61"/>
        <v>1.0787500000000001</v>
      </c>
      <c r="M535" s="168">
        <f t="shared" si="56"/>
        <v>0</v>
      </c>
      <c r="N535" s="236" t="s">
        <v>453</v>
      </c>
    </row>
    <row r="536" spans="1:14" ht="14">
      <c r="A536" s="149">
        <v>535</v>
      </c>
      <c r="B536" s="235" t="s">
        <v>52</v>
      </c>
      <c r="C536" s="231" t="s">
        <v>10</v>
      </c>
      <c r="D536" s="250" t="s">
        <v>1607</v>
      </c>
      <c r="E536" s="281">
        <v>0</v>
      </c>
      <c r="F536" s="249">
        <v>315</v>
      </c>
      <c r="G536" s="164">
        <f t="shared" si="57"/>
        <v>2.2000000000000002</v>
      </c>
      <c r="H536" s="165">
        <f t="shared" si="58"/>
        <v>4.4000000000000004</v>
      </c>
      <c r="I536" s="165">
        <f t="shared" si="59"/>
        <v>3.3</v>
      </c>
      <c r="J536" s="166">
        <f t="shared" si="60"/>
        <v>5.5</v>
      </c>
      <c r="K536" s="166">
        <f t="shared" si="62"/>
        <v>5.5</v>
      </c>
      <c r="L536" s="165">
        <f t="shared" si="61"/>
        <v>1.0787500000000001</v>
      </c>
      <c r="M536" s="168">
        <f t="shared" si="56"/>
        <v>0</v>
      </c>
      <c r="N536" s="236" t="s">
        <v>453</v>
      </c>
    </row>
    <row r="537" spans="1:14" ht="14">
      <c r="A537" s="149">
        <v>536</v>
      </c>
      <c r="B537" s="235" t="s">
        <v>52</v>
      </c>
      <c r="C537" s="231" t="s">
        <v>10</v>
      </c>
      <c r="D537" s="250" t="s">
        <v>4691</v>
      </c>
      <c r="E537" s="281">
        <v>0</v>
      </c>
      <c r="F537" s="249">
        <v>315</v>
      </c>
      <c r="G537" s="164">
        <f t="shared" si="57"/>
        <v>2.2000000000000002</v>
      </c>
      <c r="H537" s="165">
        <f t="shared" si="58"/>
        <v>4.4000000000000004</v>
      </c>
      <c r="I537" s="165">
        <f t="shared" si="59"/>
        <v>3.3</v>
      </c>
      <c r="J537" s="166">
        <f t="shared" si="60"/>
        <v>5.5</v>
      </c>
      <c r="K537" s="166">
        <f t="shared" si="62"/>
        <v>5.5</v>
      </c>
      <c r="L537" s="165">
        <f t="shared" si="61"/>
        <v>1.0787500000000001</v>
      </c>
      <c r="M537" s="168">
        <f t="shared" si="56"/>
        <v>0</v>
      </c>
      <c r="N537" s="236" t="s">
        <v>453</v>
      </c>
    </row>
    <row r="538" spans="1:14" ht="14">
      <c r="A538" s="149">
        <v>537</v>
      </c>
      <c r="B538" s="235" t="s">
        <v>52</v>
      </c>
      <c r="C538" s="231" t="s">
        <v>10</v>
      </c>
      <c r="D538" s="250" t="s">
        <v>1610</v>
      </c>
      <c r="E538" s="281">
        <v>0</v>
      </c>
      <c r="F538" s="249">
        <v>769.65</v>
      </c>
      <c r="G538" s="164">
        <f t="shared" si="57"/>
        <v>4.798</v>
      </c>
      <c r="H538" s="165">
        <f t="shared" si="58"/>
        <v>9.5960000000000001</v>
      </c>
      <c r="I538" s="165">
        <f t="shared" si="59"/>
        <v>7.1969999999999992</v>
      </c>
      <c r="J538" s="166">
        <f t="shared" si="60"/>
        <v>11.994999999999999</v>
      </c>
      <c r="K538" s="166">
        <f t="shared" si="62"/>
        <v>11.994999999999999</v>
      </c>
      <c r="L538" s="165">
        <f t="shared" si="61"/>
        <v>1.1924125000000001</v>
      </c>
      <c r="M538" s="168">
        <f t="shared" si="56"/>
        <v>0</v>
      </c>
      <c r="N538" s="236" t="s">
        <v>453</v>
      </c>
    </row>
    <row r="539" spans="1:14" ht="14">
      <c r="A539" s="149">
        <v>538</v>
      </c>
      <c r="B539" s="235" t="s">
        <v>52</v>
      </c>
      <c r="C539" s="231" t="s">
        <v>10</v>
      </c>
      <c r="D539" s="250" t="s">
        <v>1612</v>
      </c>
      <c r="E539" s="281">
        <v>0</v>
      </c>
      <c r="F539" s="249">
        <v>617.4</v>
      </c>
      <c r="G539" s="164">
        <f t="shared" si="57"/>
        <v>3.9280000000000004</v>
      </c>
      <c r="H539" s="165">
        <f t="shared" si="58"/>
        <v>7.8560000000000008</v>
      </c>
      <c r="I539" s="165">
        <f t="shared" si="59"/>
        <v>5.8920000000000003</v>
      </c>
      <c r="J539" s="166">
        <f t="shared" si="60"/>
        <v>9.82</v>
      </c>
      <c r="K539" s="166">
        <f t="shared" si="62"/>
        <v>9.82</v>
      </c>
      <c r="L539" s="165">
        <f t="shared" si="61"/>
        <v>1.15435</v>
      </c>
      <c r="M539" s="168">
        <f t="shared" si="56"/>
        <v>0</v>
      </c>
      <c r="N539" s="236" t="s">
        <v>453</v>
      </c>
    </row>
    <row r="540" spans="1:14" ht="14">
      <c r="A540" s="149">
        <v>539</v>
      </c>
      <c r="B540" s="235" t="s">
        <v>52</v>
      </c>
      <c r="C540" s="231" t="s">
        <v>10</v>
      </c>
      <c r="D540" s="250" t="s">
        <v>1614</v>
      </c>
      <c r="E540" s="281">
        <v>0</v>
      </c>
      <c r="F540" s="249">
        <v>501.9</v>
      </c>
      <c r="G540" s="164">
        <f t="shared" si="57"/>
        <v>3.2680000000000002</v>
      </c>
      <c r="H540" s="165">
        <f t="shared" si="58"/>
        <v>6.5360000000000005</v>
      </c>
      <c r="I540" s="165">
        <f t="shared" si="59"/>
        <v>4.9020000000000001</v>
      </c>
      <c r="J540" s="166">
        <f t="shared" si="60"/>
        <v>8.17</v>
      </c>
      <c r="K540" s="166">
        <f t="shared" si="62"/>
        <v>8.17</v>
      </c>
      <c r="L540" s="165">
        <f t="shared" si="61"/>
        <v>1.125475</v>
      </c>
      <c r="M540" s="168">
        <f t="shared" si="56"/>
        <v>0</v>
      </c>
      <c r="N540" s="236" t="s">
        <v>453</v>
      </c>
    </row>
    <row r="541" spans="1:14" ht="14">
      <c r="A541" s="149">
        <v>540</v>
      </c>
      <c r="B541" s="235" t="s">
        <v>52</v>
      </c>
      <c r="C541" s="231" t="s">
        <v>10</v>
      </c>
      <c r="D541" s="250" t="s">
        <v>1616</v>
      </c>
      <c r="E541" s="281">
        <v>0</v>
      </c>
      <c r="F541" s="249">
        <v>397.95</v>
      </c>
      <c r="G541" s="164">
        <f t="shared" si="57"/>
        <v>2.6739999999999999</v>
      </c>
      <c r="H541" s="165">
        <f t="shared" si="58"/>
        <v>5.3479999999999999</v>
      </c>
      <c r="I541" s="165">
        <f t="shared" si="59"/>
        <v>4.0109999999999992</v>
      </c>
      <c r="J541" s="166">
        <f t="shared" si="60"/>
        <v>6.6849999999999987</v>
      </c>
      <c r="K541" s="166">
        <f t="shared" si="62"/>
        <v>6.6849999999999987</v>
      </c>
      <c r="L541" s="165">
        <f t="shared" si="61"/>
        <v>1.0994875</v>
      </c>
      <c r="M541" s="168">
        <f t="shared" si="56"/>
        <v>0</v>
      </c>
      <c r="N541" s="236" t="s">
        <v>453</v>
      </c>
    </row>
    <row r="542" spans="1:14" ht="14">
      <c r="A542" s="149">
        <v>541</v>
      </c>
      <c r="B542" s="235" t="s">
        <v>52</v>
      </c>
      <c r="C542" s="231" t="s">
        <v>10</v>
      </c>
      <c r="D542" s="250" t="s">
        <v>1618</v>
      </c>
      <c r="E542" s="281">
        <v>0</v>
      </c>
      <c r="F542" s="249">
        <v>315</v>
      </c>
      <c r="G542" s="164">
        <f t="shared" si="57"/>
        <v>2.2000000000000002</v>
      </c>
      <c r="H542" s="165">
        <f t="shared" si="58"/>
        <v>4.4000000000000004</v>
      </c>
      <c r="I542" s="165">
        <f t="shared" si="59"/>
        <v>3.3</v>
      </c>
      <c r="J542" s="166">
        <f t="shared" si="60"/>
        <v>5.5</v>
      </c>
      <c r="K542" s="166">
        <f t="shared" si="62"/>
        <v>5.5</v>
      </c>
      <c r="L542" s="165">
        <f t="shared" si="61"/>
        <v>1.0787500000000001</v>
      </c>
      <c r="M542" s="168">
        <f t="shared" si="56"/>
        <v>0</v>
      </c>
      <c r="N542" s="236" t="s">
        <v>453</v>
      </c>
    </row>
    <row r="543" spans="1:14" ht="14">
      <c r="A543" s="149">
        <v>542</v>
      </c>
      <c r="B543" s="235" t="s">
        <v>52</v>
      </c>
      <c r="C543" s="231" t="s">
        <v>10</v>
      </c>
      <c r="D543" s="250" t="s">
        <v>1620</v>
      </c>
      <c r="E543" s="281">
        <v>0</v>
      </c>
      <c r="F543" s="249">
        <v>315</v>
      </c>
      <c r="G543" s="164">
        <f t="shared" si="57"/>
        <v>2.2000000000000002</v>
      </c>
      <c r="H543" s="165">
        <f t="shared" si="58"/>
        <v>4.4000000000000004</v>
      </c>
      <c r="I543" s="165">
        <f t="shared" si="59"/>
        <v>3.3</v>
      </c>
      <c r="J543" s="166">
        <f t="shared" si="60"/>
        <v>5.5</v>
      </c>
      <c r="K543" s="166">
        <f t="shared" si="62"/>
        <v>5.5</v>
      </c>
      <c r="L543" s="165">
        <f t="shared" si="61"/>
        <v>1.0787500000000001</v>
      </c>
      <c r="M543" s="168">
        <f t="shared" si="56"/>
        <v>0</v>
      </c>
      <c r="N543" s="236" t="s">
        <v>453</v>
      </c>
    </row>
    <row r="544" spans="1:14" ht="14">
      <c r="A544" s="149">
        <v>543</v>
      </c>
      <c r="B544" s="235" t="s">
        <v>51</v>
      </c>
      <c r="C544" s="231" t="s">
        <v>10</v>
      </c>
      <c r="D544" s="250" t="s">
        <v>1622</v>
      </c>
      <c r="E544" s="281">
        <v>0</v>
      </c>
      <c r="F544" s="249">
        <v>688.8</v>
      </c>
      <c r="G544" s="164">
        <f t="shared" si="57"/>
        <v>4.3360000000000003</v>
      </c>
      <c r="H544" s="165">
        <f t="shared" si="58"/>
        <v>8.6720000000000006</v>
      </c>
      <c r="I544" s="165">
        <f t="shared" si="59"/>
        <v>6.5039999999999996</v>
      </c>
      <c r="J544" s="166">
        <f t="shared" si="60"/>
        <v>10.84</v>
      </c>
      <c r="K544" s="166">
        <f t="shared" si="62"/>
        <v>10.84</v>
      </c>
      <c r="L544" s="165">
        <f t="shared" si="61"/>
        <v>1.1721999999999999</v>
      </c>
      <c r="M544" s="168">
        <f t="shared" si="56"/>
        <v>0</v>
      </c>
      <c r="N544" s="236" t="s">
        <v>453</v>
      </c>
    </row>
    <row r="545" spans="1:14" ht="14">
      <c r="A545" s="149">
        <v>544</v>
      </c>
      <c r="B545" s="235" t="s">
        <v>55</v>
      </c>
      <c r="C545" s="231" t="s">
        <v>10</v>
      </c>
      <c r="D545" s="250" t="s">
        <v>1624</v>
      </c>
      <c r="E545" s="281">
        <v>0</v>
      </c>
      <c r="F545" s="249">
        <v>1526.7</v>
      </c>
      <c r="G545" s="164">
        <f t="shared" si="57"/>
        <v>9.1240000000000006</v>
      </c>
      <c r="H545" s="165">
        <f t="shared" si="58"/>
        <v>18.248000000000001</v>
      </c>
      <c r="I545" s="165">
        <f t="shared" si="59"/>
        <v>13.686000000000002</v>
      </c>
      <c r="J545" s="166">
        <f t="shared" si="60"/>
        <v>22.810000000000002</v>
      </c>
      <c r="K545" s="166">
        <f t="shared" si="62"/>
        <v>22.810000000000002</v>
      </c>
      <c r="L545" s="165">
        <f t="shared" si="61"/>
        <v>1.381675</v>
      </c>
      <c r="M545" s="168">
        <f t="shared" si="56"/>
        <v>0</v>
      </c>
      <c r="N545" s="236" t="s">
        <v>453</v>
      </c>
    </row>
    <row r="546" spans="1:14" ht="14">
      <c r="A546" s="149">
        <v>545</v>
      </c>
      <c r="B546" s="235" t="s">
        <v>52</v>
      </c>
      <c r="C546" s="231" t="s">
        <v>10</v>
      </c>
      <c r="D546" s="250" t="s">
        <v>1627</v>
      </c>
      <c r="E546" s="281">
        <v>0</v>
      </c>
      <c r="F546" s="249">
        <v>318.14999999999998</v>
      </c>
      <c r="G546" s="164">
        <f t="shared" si="57"/>
        <v>2.218</v>
      </c>
      <c r="H546" s="165">
        <f t="shared" si="58"/>
        <v>4.4359999999999999</v>
      </c>
      <c r="I546" s="165">
        <f t="shared" si="59"/>
        <v>3.327</v>
      </c>
      <c r="J546" s="166">
        <f t="shared" si="60"/>
        <v>5.5449999999999999</v>
      </c>
      <c r="K546" s="166">
        <f t="shared" si="62"/>
        <v>5.5449999999999999</v>
      </c>
      <c r="L546" s="165">
        <f t="shared" si="61"/>
        <v>1.0795375</v>
      </c>
      <c r="M546" s="168">
        <f t="shared" si="56"/>
        <v>0</v>
      </c>
      <c r="N546" s="236" t="s">
        <v>453</v>
      </c>
    </row>
    <row r="547" spans="1:14" ht="14">
      <c r="A547" s="149">
        <v>546</v>
      </c>
      <c r="B547" s="235" t="s">
        <v>52</v>
      </c>
      <c r="C547" s="231" t="s">
        <v>10</v>
      </c>
      <c r="D547" s="250" t="s">
        <v>4692</v>
      </c>
      <c r="E547" s="281">
        <v>0</v>
      </c>
      <c r="F547" s="249">
        <v>526.04999999999995</v>
      </c>
      <c r="G547" s="164">
        <f t="shared" si="57"/>
        <v>3.4060000000000006</v>
      </c>
      <c r="H547" s="165">
        <f t="shared" si="58"/>
        <v>6.8120000000000012</v>
      </c>
      <c r="I547" s="165">
        <f t="shared" si="59"/>
        <v>5.109</v>
      </c>
      <c r="J547" s="166">
        <f t="shared" si="60"/>
        <v>8.5150000000000006</v>
      </c>
      <c r="K547" s="166">
        <f t="shared" si="62"/>
        <v>8.5150000000000006</v>
      </c>
      <c r="L547" s="165">
        <f t="shared" si="61"/>
        <v>1.1315124999999999</v>
      </c>
      <c r="M547" s="168">
        <f t="shared" si="56"/>
        <v>0</v>
      </c>
      <c r="N547" s="236" t="s">
        <v>453</v>
      </c>
    </row>
    <row r="548" spans="1:14" ht="14">
      <c r="A548" s="149">
        <v>547</v>
      </c>
      <c r="B548" s="235" t="s">
        <v>52</v>
      </c>
      <c r="C548" s="231" t="s">
        <v>10</v>
      </c>
      <c r="D548" s="250" t="s">
        <v>1630</v>
      </c>
      <c r="E548" s="281">
        <v>0</v>
      </c>
      <c r="F548" s="249">
        <v>556.5</v>
      </c>
      <c r="G548" s="164">
        <f t="shared" si="57"/>
        <v>3.58</v>
      </c>
      <c r="H548" s="165">
        <f t="shared" si="58"/>
        <v>7.16</v>
      </c>
      <c r="I548" s="165">
        <f t="shared" si="59"/>
        <v>5.3699999999999992</v>
      </c>
      <c r="J548" s="166">
        <f t="shared" si="60"/>
        <v>8.9499999999999993</v>
      </c>
      <c r="K548" s="166">
        <f t="shared" si="62"/>
        <v>8.9499999999999993</v>
      </c>
      <c r="L548" s="165">
        <f t="shared" si="61"/>
        <v>1.1391249999999999</v>
      </c>
      <c r="M548" s="168">
        <f t="shared" si="56"/>
        <v>0</v>
      </c>
      <c r="N548" s="236" t="s">
        <v>453</v>
      </c>
    </row>
    <row r="549" spans="1:14" ht="14">
      <c r="A549" s="149">
        <v>548</v>
      </c>
      <c r="B549" s="235" t="s">
        <v>52</v>
      </c>
      <c r="C549" s="231" t="s">
        <v>10</v>
      </c>
      <c r="D549" s="250" t="s">
        <v>1632</v>
      </c>
      <c r="E549" s="281">
        <v>0</v>
      </c>
      <c r="F549" s="249">
        <v>315</v>
      </c>
      <c r="G549" s="164">
        <f t="shared" si="57"/>
        <v>2.2000000000000002</v>
      </c>
      <c r="H549" s="165">
        <f t="shared" si="58"/>
        <v>4.4000000000000004</v>
      </c>
      <c r="I549" s="165">
        <f t="shared" si="59"/>
        <v>3.3</v>
      </c>
      <c r="J549" s="166">
        <f t="shared" si="60"/>
        <v>5.5</v>
      </c>
      <c r="K549" s="166">
        <f t="shared" si="62"/>
        <v>5.5</v>
      </c>
      <c r="L549" s="165">
        <f t="shared" si="61"/>
        <v>1.0787500000000001</v>
      </c>
      <c r="M549" s="168">
        <f t="shared" si="56"/>
        <v>0</v>
      </c>
      <c r="N549" s="236" t="s">
        <v>453</v>
      </c>
    </row>
    <row r="550" spans="1:14" ht="14">
      <c r="A550" s="149">
        <v>549</v>
      </c>
      <c r="B550" s="235" t="s">
        <v>52</v>
      </c>
      <c r="C550" s="231" t="s">
        <v>10</v>
      </c>
      <c r="D550" s="250" t="s">
        <v>1634</v>
      </c>
      <c r="E550" s="281">
        <v>0</v>
      </c>
      <c r="F550" s="249">
        <v>2851.8</v>
      </c>
      <c r="G550" s="164">
        <f t="shared" si="57"/>
        <v>16.696000000000002</v>
      </c>
      <c r="H550" s="165">
        <f t="shared" si="58"/>
        <v>33.392000000000003</v>
      </c>
      <c r="I550" s="165">
        <f t="shared" si="59"/>
        <v>25.044</v>
      </c>
      <c r="J550" s="166">
        <f t="shared" si="60"/>
        <v>41.74</v>
      </c>
      <c r="K550" s="166">
        <f t="shared" si="62"/>
        <v>41.74</v>
      </c>
      <c r="L550" s="165">
        <f t="shared" si="61"/>
        <v>1.7129500000000002</v>
      </c>
      <c r="M550" s="168">
        <f t="shared" si="56"/>
        <v>0</v>
      </c>
      <c r="N550" s="236" t="s">
        <v>453</v>
      </c>
    </row>
    <row r="551" spans="1:14" ht="14">
      <c r="A551" s="149">
        <v>550</v>
      </c>
      <c r="B551" s="235" t="s">
        <v>52</v>
      </c>
      <c r="C551" s="231" t="s">
        <v>10</v>
      </c>
      <c r="D551" s="250" t="s">
        <v>1636</v>
      </c>
      <c r="E551" s="281">
        <v>0</v>
      </c>
      <c r="F551" s="249">
        <v>315</v>
      </c>
      <c r="G551" s="164">
        <f t="shared" si="57"/>
        <v>2.2000000000000002</v>
      </c>
      <c r="H551" s="165">
        <f t="shared" si="58"/>
        <v>4.4000000000000004</v>
      </c>
      <c r="I551" s="165">
        <f t="shared" si="59"/>
        <v>3.3</v>
      </c>
      <c r="J551" s="166">
        <f t="shared" si="60"/>
        <v>5.5</v>
      </c>
      <c r="K551" s="166">
        <f t="shared" si="62"/>
        <v>5.5</v>
      </c>
      <c r="L551" s="165">
        <f t="shared" si="61"/>
        <v>1.0787500000000001</v>
      </c>
      <c r="M551" s="168">
        <f t="shared" si="56"/>
        <v>0</v>
      </c>
      <c r="N551" s="236" t="s">
        <v>453</v>
      </c>
    </row>
    <row r="552" spans="1:14" ht="14">
      <c r="A552" s="149">
        <v>551</v>
      </c>
      <c r="B552" s="235" t="s">
        <v>52</v>
      </c>
      <c r="C552" s="231" t="s">
        <v>10</v>
      </c>
      <c r="D552" s="250" t="s">
        <v>1638</v>
      </c>
      <c r="E552" s="281">
        <v>0</v>
      </c>
      <c r="F552" s="249">
        <v>315</v>
      </c>
      <c r="G552" s="164">
        <f t="shared" si="57"/>
        <v>2.2000000000000002</v>
      </c>
      <c r="H552" s="165">
        <f t="shared" si="58"/>
        <v>4.4000000000000004</v>
      </c>
      <c r="I552" s="165">
        <f t="shared" si="59"/>
        <v>3.3</v>
      </c>
      <c r="J552" s="166">
        <f t="shared" si="60"/>
        <v>5.5</v>
      </c>
      <c r="K552" s="166">
        <f t="shared" si="62"/>
        <v>5.5</v>
      </c>
      <c r="L552" s="165">
        <f t="shared" si="61"/>
        <v>1.0787500000000001</v>
      </c>
      <c r="M552" s="168">
        <f t="shared" si="56"/>
        <v>0</v>
      </c>
      <c r="N552" s="236" t="s">
        <v>453</v>
      </c>
    </row>
    <row r="553" spans="1:14" ht="14">
      <c r="A553" s="149">
        <v>552</v>
      </c>
      <c r="B553" s="235" t="s">
        <v>52</v>
      </c>
      <c r="C553" s="231" t="s">
        <v>10</v>
      </c>
      <c r="D553" s="250" t="s">
        <v>1640</v>
      </c>
      <c r="E553" s="281">
        <v>0</v>
      </c>
      <c r="F553" s="249">
        <v>522.9</v>
      </c>
      <c r="G553" s="164">
        <f t="shared" si="57"/>
        <v>3.3879999999999999</v>
      </c>
      <c r="H553" s="165">
        <f t="shared" si="58"/>
        <v>6.7759999999999998</v>
      </c>
      <c r="I553" s="165">
        <f t="shared" si="59"/>
        <v>5.081999999999999</v>
      </c>
      <c r="J553" s="166">
        <f t="shared" si="60"/>
        <v>8.4699999999999989</v>
      </c>
      <c r="K553" s="166">
        <f t="shared" si="62"/>
        <v>8.4699999999999989</v>
      </c>
      <c r="L553" s="165">
        <f t="shared" si="61"/>
        <v>1.130725</v>
      </c>
      <c r="M553" s="168">
        <f t="shared" si="56"/>
        <v>0</v>
      </c>
      <c r="N553" s="236" t="s">
        <v>453</v>
      </c>
    </row>
    <row r="554" spans="1:14" ht="14">
      <c r="A554" s="149">
        <v>553</v>
      </c>
      <c r="B554" s="235" t="s">
        <v>52</v>
      </c>
      <c r="C554" s="231" t="s">
        <v>10</v>
      </c>
      <c r="D554" s="250" t="s">
        <v>4694</v>
      </c>
      <c r="E554" s="281">
        <v>0</v>
      </c>
      <c r="F554" s="249">
        <v>3150</v>
      </c>
      <c r="G554" s="164">
        <f t="shared" si="57"/>
        <v>18.400000000000002</v>
      </c>
      <c r="H554" s="165">
        <f t="shared" si="58"/>
        <v>36.800000000000004</v>
      </c>
      <c r="I554" s="165">
        <f t="shared" si="59"/>
        <v>27.599999999999998</v>
      </c>
      <c r="J554" s="166">
        <f t="shared" si="60"/>
        <v>46</v>
      </c>
      <c r="K554" s="166">
        <f t="shared" si="62"/>
        <v>46</v>
      </c>
      <c r="L554" s="165">
        <f t="shared" si="61"/>
        <v>1.7875000000000001</v>
      </c>
      <c r="M554" s="168">
        <f t="shared" si="56"/>
        <v>0</v>
      </c>
      <c r="N554" s="236" t="s">
        <v>453</v>
      </c>
    </row>
    <row r="555" spans="1:14" ht="14">
      <c r="A555" s="149">
        <v>554</v>
      </c>
      <c r="B555" s="235" t="s">
        <v>52</v>
      </c>
      <c r="C555" s="231" t="s">
        <v>10</v>
      </c>
      <c r="D555" s="250" t="s">
        <v>1643</v>
      </c>
      <c r="E555" s="281">
        <v>0</v>
      </c>
      <c r="F555" s="249">
        <v>315</v>
      </c>
      <c r="G555" s="164">
        <f t="shared" si="57"/>
        <v>2.2000000000000002</v>
      </c>
      <c r="H555" s="165">
        <f t="shared" si="58"/>
        <v>4.4000000000000004</v>
      </c>
      <c r="I555" s="165">
        <f t="shared" si="59"/>
        <v>3.3</v>
      </c>
      <c r="J555" s="166">
        <f t="shared" si="60"/>
        <v>5.5</v>
      </c>
      <c r="K555" s="166">
        <f t="shared" si="62"/>
        <v>5.5</v>
      </c>
      <c r="L555" s="165">
        <f t="shared" si="61"/>
        <v>1.0787500000000001</v>
      </c>
      <c r="M555" s="168">
        <f t="shared" si="56"/>
        <v>0</v>
      </c>
      <c r="N555" s="236" t="s">
        <v>453</v>
      </c>
    </row>
    <row r="556" spans="1:14" ht="14">
      <c r="A556" s="149">
        <v>555</v>
      </c>
      <c r="B556" s="235" t="s">
        <v>52</v>
      </c>
      <c r="C556" s="231" t="s">
        <v>10</v>
      </c>
      <c r="D556" s="250" t="s">
        <v>4708</v>
      </c>
      <c r="E556" s="281">
        <v>0</v>
      </c>
      <c r="F556" s="249">
        <v>315</v>
      </c>
      <c r="G556" s="164">
        <f t="shared" si="57"/>
        <v>2.2000000000000002</v>
      </c>
      <c r="H556" s="165">
        <f t="shared" si="58"/>
        <v>4.4000000000000004</v>
      </c>
      <c r="I556" s="165">
        <f t="shared" si="59"/>
        <v>3.3</v>
      </c>
      <c r="J556" s="166">
        <f t="shared" si="60"/>
        <v>5.5</v>
      </c>
      <c r="K556" s="166">
        <f t="shared" si="62"/>
        <v>5.5</v>
      </c>
      <c r="L556" s="165">
        <f t="shared" si="61"/>
        <v>1.0787500000000001</v>
      </c>
      <c r="M556" s="168">
        <f t="shared" si="56"/>
        <v>0</v>
      </c>
      <c r="N556" s="236" t="s">
        <v>453</v>
      </c>
    </row>
    <row r="557" spans="1:14" ht="14">
      <c r="A557" s="149">
        <v>556</v>
      </c>
      <c r="B557" s="235" t="s">
        <v>52</v>
      </c>
      <c r="C557" s="231" t="s">
        <v>10</v>
      </c>
      <c r="D557" s="250" t="s">
        <v>1646</v>
      </c>
      <c r="E557" s="281">
        <v>0</v>
      </c>
      <c r="F557" s="249">
        <v>1963.5</v>
      </c>
      <c r="G557" s="164">
        <f t="shared" si="57"/>
        <v>11.620000000000001</v>
      </c>
      <c r="H557" s="165">
        <f t="shared" si="58"/>
        <v>23.240000000000002</v>
      </c>
      <c r="I557" s="165">
        <f t="shared" si="59"/>
        <v>17.43</v>
      </c>
      <c r="J557" s="166">
        <f t="shared" si="60"/>
        <v>29.05</v>
      </c>
      <c r="K557" s="166">
        <f t="shared" si="62"/>
        <v>29.05</v>
      </c>
      <c r="L557" s="165">
        <f t="shared" si="61"/>
        <v>1.490875</v>
      </c>
      <c r="M557" s="168">
        <f t="shared" si="56"/>
        <v>0</v>
      </c>
      <c r="N557" s="236" t="s">
        <v>453</v>
      </c>
    </row>
    <row r="558" spans="1:14" ht="14">
      <c r="A558" s="149">
        <v>557</v>
      </c>
      <c r="B558" s="235" t="s">
        <v>52</v>
      </c>
      <c r="C558" s="231" t="s">
        <v>10</v>
      </c>
      <c r="D558" s="250" t="s">
        <v>1648</v>
      </c>
      <c r="E558" s="281">
        <v>0</v>
      </c>
      <c r="F558" s="249">
        <v>1317.75</v>
      </c>
      <c r="G558" s="164">
        <f t="shared" si="57"/>
        <v>7.93</v>
      </c>
      <c r="H558" s="165">
        <f t="shared" si="58"/>
        <v>15.86</v>
      </c>
      <c r="I558" s="165">
        <f t="shared" si="59"/>
        <v>11.895</v>
      </c>
      <c r="J558" s="166">
        <f t="shared" si="60"/>
        <v>19.824999999999999</v>
      </c>
      <c r="K558" s="166">
        <f t="shared" si="62"/>
        <v>19.824999999999999</v>
      </c>
      <c r="L558" s="165">
        <f t="shared" si="61"/>
        <v>1.3294375</v>
      </c>
      <c r="M558" s="168">
        <f t="shared" si="56"/>
        <v>0</v>
      </c>
      <c r="N558" s="236" t="s">
        <v>453</v>
      </c>
    </row>
    <row r="559" spans="1:14" ht="14">
      <c r="A559" s="149">
        <v>558</v>
      </c>
      <c r="B559" s="235" t="s">
        <v>52</v>
      </c>
      <c r="C559" s="231" t="s">
        <v>10</v>
      </c>
      <c r="D559" s="250" t="s">
        <v>1650</v>
      </c>
      <c r="E559" s="281">
        <v>0</v>
      </c>
      <c r="F559" s="249">
        <v>525</v>
      </c>
      <c r="G559" s="164">
        <f t="shared" si="57"/>
        <v>3.4000000000000004</v>
      </c>
      <c r="H559" s="165">
        <f t="shared" si="58"/>
        <v>6.8000000000000007</v>
      </c>
      <c r="I559" s="165">
        <f t="shared" si="59"/>
        <v>5.0999999999999996</v>
      </c>
      <c r="J559" s="166">
        <f t="shared" si="60"/>
        <v>8.5</v>
      </c>
      <c r="K559" s="166">
        <f t="shared" si="62"/>
        <v>8.5</v>
      </c>
      <c r="L559" s="165">
        <f t="shared" si="61"/>
        <v>1.1312500000000001</v>
      </c>
      <c r="M559" s="168">
        <f t="shared" si="56"/>
        <v>0</v>
      </c>
      <c r="N559" s="236" t="s">
        <v>453</v>
      </c>
    </row>
    <row r="560" spans="1:14" ht="14">
      <c r="A560" s="149">
        <v>559</v>
      </c>
      <c r="B560" s="235" t="s">
        <v>52</v>
      </c>
      <c r="C560" s="231" t="s">
        <v>10</v>
      </c>
      <c r="D560" s="250" t="s">
        <v>1652</v>
      </c>
      <c r="E560" s="281">
        <v>0</v>
      </c>
      <c r="F560" s="249">
        <v>7073.85</v>
      </c>
      <c r="G560" s="164">
        <f t="shared" si="57"/>
        <v>40.822000000000003</v>
      </c>
      <c r="H560" s="165">
        <f t="shared" si="58"/>
        <v>81.644000000000005</v>
      </c>
      <c r="I560" s="165">
        <f t="shared" si="59"/>
        <v>61.233000000000004</v>
      </c>
      <c r="J560" s="166">
        <f t="shared" si="60"/>
        <v>102.05500000000001</v>
      </c>
      <c r="K560" s="166">
        <f t="shared" si="62"/>
        <v>102.05500000000001</v>
      </c>
      <c r="L560" s="165">
        <f t="shared" si="61"/>
        <v>2.7684625</v>
      </c>
      <c r="M560" s="168">
        <f t="shared" si="56"/>
        <v>0</v>
      </c>
      <c r="N560" s="236" t="s">
        <v>453</v>
      </c>
    </row>
    <row r="561" spans="1:14" ht="14">
      <c r="A561" s="149">
        <v>560</v>
      </c>
      <c r="B561" s="235" t="s">
        <v>52</v>
      </c>
      <c r="C561" s="231" t="s">
        <v>10</v>
      </c>
      <c r="D561" s="250" t="s">
        <v>1654</v>
      </c>
      <c r="E561" s="281">
        <v>0</v>
      </c>
      <c r="F561" s="249">
        <v>288</v>
      </c>
      <c r="G561" s="164">
        <f t="shared" si="57"/>
        <v>2.0457142857142858</v>
      </c>
      <c r="H561" s="165">
        <f t="shared" si="58"/>
        <v>4.0914285714285716</v>
      </c>
      <c r="I561" s="165">
        <f t="shared" si="59"/>
        <v>3.0685714285714281</v>
      </c>
      <c r="J561" s="166">
        <f t="shared" si="60"/>
        <v>5.1142857142857139</v>
      </c>
      <c r="K561" s="166">
        <f t="shared" si="62"/>
        <v>5.1142857142857139</v>
      </c>
      <c r="L561" s="165">
        <f t="shared" si="61"/>
        <v>1.0720000000000001</v>
      </c>
      <c r="M561" s="168">
        <f t="shared" si="56"/>
        <v>0</v>
      </c>
      <c r="N561" s="236" t="s">
        <v>453</v>
      </c>
    </row>
    <row r="562" spans="1:14" ht="14">
      <c r="A562" s="149">
        <v>561</v>
      </c>
      <c r="B562" s="235" t="s">
        <v>52</v>
      </c>
      <c r="C562" s="231" t="s">
        <v>10</v>
      </c>
      <c r="D562" s="250" t="s">
        <v>1656</v>
      </c>
      <c r="E562" s="281">
        <v>0</v>
      </c>
      <c r="F562" s="249">
        <v>465.15</v>
      </c>
      <c r="G562" s="164">
        <f t="shared" si="57"/>
        <v>3.0579999999999998</v>
      </c>
      <c r="H562" s="165">
        <f t="shared" si="58"/>
        <v>6.1159999999999997</v>
      </c>
      <c r="I562" s="165">
        <f t="shared" si="59"/>
        <v>4.5869999999999997</v>
      </c>
      <c r="J562" s="166">
        <f t="shared" si="60"/>
        <v>7.6449999999999996</v>
      </c>
      <c r="K562" s="166">
        <f t="shared" si="62"/>
        <v>7.6449999999999996</v>
      </c>
      <c r="L562" s="165">
        <f t="shared" si="61"/>
        <v>1.1162874999999999</v>
      </c>
      <c r="M562" s="168">
        <f t="shared" si="56"/>
        <v>0</v>
      </c>
      <c r="N562" s="236" t="s">
        <v>453</v>
      </c>
    </row>
    <row r="563" spans="1:14" ht="14">
      <c r="A563" s="149">
        <v>562</v>
      </c>
      <c r="B563" s="235" t="s">
        <v>52</v>
      </c>
      <c r="C563" s="231" t="s">
        <v>10</v>
      </c>
      <c r="D563" s="250" t="s">
        <v>1658</v>
      </c>
      <c r="E563" s="281">
        <v>0</v>
      </c>
      <c r="F563" s="249">
        <v>1907.85</v>
      </c>
      <c r="G563" s="164">
        <f t="shared" si="57"/>
        <v>11.302</v>
      </c>
      <c r="H563" s="165">
        <f t="shared" si="58"/>
        <v>22.603999999999999</v>
      </c>
      <c r="I563" s="165">
        <f t="shared" si="59"/>
        <v>16.952999999999999</v>
      </c>
      <c r="J563" s="166">
        <f t="shared" si="60"/>
        <v>28.254999999999999</v>
      </c>
      <c r="K563" s="166">
        <f t="shared" si="62"/>
        <v>28.254999999999999</v>
      </c>
      <c r="L563" s="165">
        <f t="shared" si="61"/>
        <v>1.4769625</v>
      </c>
      <c r="M563" s="168">
        <f t="shared" si="56"/>
        <v>0</v>
      </c>
      <c r="N563" s="236" t="s">
        <v>453</v>
      </c>
    </row>
    <row r="564" spans="1:14" ht="14">
      <c r="A564" s="149">
        <v>563</v>
      </c>
      <c r="B564" s="235" t="s">
        <v>52</v>
      </c>
      <c r="C564" s="231" t="s">
        <v>10</v>
      </c>
      <c r="D564" s="250" t="s">
        <v>1660</v>
      </c>
      <c r="E564" s="281">
        <v>0</v>
      </c>
      <c r="F564" s="249">
        <v>784.35</v>
      </c>
      <c r="G564" s="164">
        <f t="shared" si="57"/>
        <v>4.8820000000000006</v>
      </c>
      <c r="H564" s="165">
        <f t="shared" si="58"/>
        <v>9.7640000000000011</v>
      </c>
      <c r="I564" s="165">
        <f t="shared" si="59"/>
        <v>7.3229999999999995</v>
      </c>
      <c r="J564" s="166">
        <f t="shared" si="60"/>
        <v>12.205</v>
      </c>
      <c r="K564" s="166">
        <f t="shared" si="62"/>
        <v>12.205</v>
      </c>
      <c r="L564" s="165">
        <f t="shared" si="61"/>
        <v>1.1960875</v>
      </c>
      <c r="M564" s="168">
        <f t="shared" si="56"/>
        <v>0</v>
      </c>
      <c r="N564" s="236" t="s">
        <v>453</v>
      </c>
    </row>
    <row r="565" spans="1:14" ht="14">
      <c r="A565" s="149">
        <v>564</v>
      </c>
      <c r="B565" s="235" t="s">
        <v>52</v>
      </c>
      <c r="C565" s="231" t="s">
        <v>10</v>
      </c>
      <c r="D565" s="250" t="s">
        <v>1662</v>
      </c>
      <c r="E565" s="281">
        <v>0</v>
      </c>
      <c r="F565" s="249">
        <v>546</v>
      </c>
      <c r="G565" s="164">
        <f t="shared" si="57"/>
        <v>3.5200000000000005</v>
      </c>
      <c r="H565" s="165">
        <f t="shared" si="58"/>
        <v>7.0400000000000009</v>
      </c>
      <c r="I565" s="165">
        <f t="shared" si="59"/>
        <v>5.28</v>
      </c>
      <c r="J565" s="166">
        <f t="shared" si="60"/>
        <v>8.8000000000000007</v>
      </c>
      <c r="K565" s="166">
        <f t="shared" si="62"/>
        <v>8.8000000000000007</v>
      </c>
      <c r="L565" s="165">
        <f t="shared" si="61"/>
        <v>1.1365000000000001</v>
      </c>
      <c r="M565" s="168">
        <f t="shared" si="56"/>
        <v>0</v>
      </c>
      <c r="N565" s="236" t="s">
        <v>453</v>
      </c>
    </row>
    <row r="566" spans="1:14" ht="14">
      <c r="A566" s="149">
        <v>565</v>
      </c>
      <c r="B566" s="235" t="s">
        <v>52</v>
      </c>
      <c r="C566" s="231" t="s">
        <v>10</v>
      </c>
      <c r="D566" s="250" t="s">
        <v>4701</v>
      </c>
      <c r="E566" s="281">
        <v>0</v>
      </c>
      <c r="F566" s="249">
        <v>609</v>
      </c>
      <c r="G566" s="164">
        <f t="shared" si="57"/>
        <v>3.88</v>
      </c>
      <c r="H566" s="165">
        <f t="shared" si="58"/>
        <v>7.76</v>
      </c>
      <c r="I566" s="165">
        <f t="shared" si="59"/>
        <v>5.8199999999999994</v>
      </c>
      <c r="J566" s="166">
        <f t="shared" si="60"/>
        <v>9.6999999999999993</v>
      </c>
      <c r="K566" s="166">
        <f t="shared" si="62"/>
        <v>9.6999999999999993</v>
      </c>
      <c r="L566" s="165">
        <f t="shared" si="61"/>
        <v>1.15225</v>
      </c>
      <c r="M566" s="168">
        <f t="shared" si="56"/>
        <v>0</v>
      </c>
      <c r="N566" s="236" t="s">
        <v>453</v>
      </c>
    </row>
    <row r="567" spans="1:14" ht="14">
      <c r="A567" s="149">
        <v>566</v>
      </c>
      <c r="B567" s="235" t="s">
        <v>52</v>
      </c>
      <c r="C567" s="231" t="s">
        <v>10</v>
      </c>
      <c r="D567" s="250" t="s">
        <v>1666</v>
      </c>
      <c r="E567" s="281">
        <v>0</v>
      </c>
      <c r="F567" s="249">
        <v>1569.75</v>
      </c>
      <c r="G567" s="164">
        <f t="shared" si="57"/>
        <v>9.370000000000001</v>
      </c>
      <c r="H567" s="165">
        <f t="shared" si="58"/>
        <v>18.740000000000002</v>
      </c>
      <c r="I567" s="165">
        <f t="shared" si="59"/>
        <v>14.055</v>
      </c>
      <c r="J567" s="166">
        <f t="shared" si="60"/>
        <v>23.425000000000001</v>
      </c>
      <c r="K567" s="166">
        <f t="shared" si="62"/>
        <v>23.425000000000001</v>
      </c>
      <c r="L567" s="165">
        <f t="shared" si="61"/>
        <v>1.3924375</v>
      </c>
      <c r="M567" s="168">
        <f t="shared" si="56"/>
        <v>0</v>
      </c>
      <c r="N567" s="236" t="s">
        <v>453</v>
      </c>
    </row>
    <row r="568" spans="1:14" ht="14">
      <c r="A568" s="149">
        <v>567</v>
      </c>
      <c r="B568" s="235" t="s">
        <v>52</v>
      </c>
      <c r="C568" s="231" t="s">
        <v>10</v>
      </c>
      <c r="D568" s="250" t="s">
        <v>1668</v>
      </c>
      <c r="E568" s="281">
        <v>0</v>
      </c>
      <c r="F568" s="249">
        <v>1200</v>
      </c>
      <c r="G568" s="164">
        <f t="shared" si="57"/>
        <v>7.2571428571428571</v>
      </c>
      <c r="H568" s="165">
        <f t="shared" si="58"/>
        <v>14.514285714285714</v>
      </c>
      <c r="I568" s="165">
        <f t="shared" si="59"/>
        <v>10.885714285714284</v>
      </c>
      <c r="J568" s="166">
        <f t="shared" si="60"/>
        <v>18.142857142857142</v>
      </c>
      <c r="K568" s="166">
        <f t="shared" si="62"/>
        <v>18.142857142857142</v>
      </c>
      <c r="L568" s="165">
        <f t="shared" si="61"/>
        <v>1.3</v>
      </c>
      <c r="M568" s="168">
        <f t="shared" si="56"/>
        <v>0</v>
      </c>
      <c r="N568" s="236" t="s">
        <v>453</v>
      </c>
    </row>
    <row r="569" spans="1:14" ht="14">
      <c r="A569" s="149">
        <v>568</v>
      </c>
      <c r="B569" s="235" t="s">
        <v>52</v>
      </c>
      <c r="C569" s="231" t="s">
        <v>10</v>
      </c>
      <c r="D569" s="250" t="s">
        <v>1670</v>
      </c>
      <c r="E569" s="281">
        <v>0</v>
      </c>
      <c r="F569" s="249">
        <v>315</v>
      </c>
      <c r="G569" s="164">
        <f t="shared" si="57"/>
        <v>2.2000000000000002</v>
      </c>
      <c r="H569" s="165">
        <f t="shared" si="58"/>
        <v>4.4000000000000004</v>
      </c>
      <c r="I569" s="165">
        <f t="shared" si="59"/>
        <v>3.3</v>
      </c>
      <c r="J569" s="166">
        <f t="shared" si="60"/>
        <v>5.5</v>
      </c>
      <c r="K569" s="166">
        <f t="shared" si="62"/>
        <v>5.5</v>
      </c>
      <c r="L569" s="165">
        <f t="shared" si="61"/>
        <v>1.0787500000000001</v>
      </c>
      <c r="M569" s="168">
        <f t="shared" si="56"/>
        <v>0</v>
      </c>
      <c r="N569" s="236" t="s">
        <v>453</v>
      </c>
    </row>
    <row r="570" spans="1:14" ht="14">
      <c r="A570" s="149">
        <v>569</v>
      </c>
      <c r="B570" s="235" t="s">
        <v>52</v>
      </c>
      <c r="C570" s="231" t="s">
        <v>10</v>
      </c>
      <c r="D570" s="250" t="s">
        <v>1672</v>
      </c>
      <c r="E570" s="281">
        <v>0</v>
      </c>
      <c r="F570" s="249">
        <v>512.4</v>
      </c>
      <c r="G570" s="164">
        <f t="shared" si="57"/>
        <v>3.3280000000000003</v>
      </c>
      <c r="H570" s="165">
        <f t="shared" si="58"/>
        <v>6.6560000000000006</v>
      </c>
      <c r="I570" s="165">
        <f t="shared" si="59"/>
        <v>4.992</v>
      </c>
      <c r="J570" s="166">
        <f t="shared" si="60"/>
        <v>8.32</v>
      </c>
      <c r="K570" s="166">
        <f t="shared" si="62"/>
        <v>8.32</v>
      </c>
      <c r="L570" s="165">
        <f t="shared" si="61"/>
        <v>1.1280999999999999</v>
      </c>
      <c r="M570" s="168">
        <f t="shared" si="56"/>
        <v>0</v>
      </c>
      <c r="N570" s="236" t="s">
        <v>453</v>
      </c>
    </row>
    <row r="571" spans="1:14" ht="14">
      <c r="A571" s="149">
        <v>570</v>
      </c>
      <c r="B571" s="235" t="s">
        <v>50</v>
      </c>
      <c r="C571" s="231" t="s">
        <v>10</v>
      </c>
      <c r="D571" s="250" t="s">
        <v>1674</v>
      </c>
      <c r="E571" s="281">
        <v>0</v>
      </c>
      <c r="F571" s="249">
        <v>315</v>
      </c>
      <c r="G571" s="164">
        <f t="shared" si="57"/>
        <v>2.2000000000000002</v>
      </c>
      <c r="H571" s="165">
        <f t="shared" si="58"/>
        <v>4.4000000000000004</v>
      </c>
      <c r="I571" s="165">
        <f t="shared" si="59"/>
        <v>3.3</v>
      </c>
      <c r="J571" s="166">
        <f t="shared" si="60"/>
        <v>5.5</v>
      </c>
      <c r="K571" s="166">
        <f t="shared" si="62"/>
        <v>5.5</v>
      </c>
      <c r="L571" s="165">
        <f t="shared" si="61"/>
        <v>1.0787500000000001</v>
      </c>
      <c r="M571" s="168">
        <f t="shared" si="56"/>
        <v>0</v>
      </c>
      <c r="N571" s="236" t="s">
        <v>453</v>
      </c>
    </row>
    <row r="572" spans="1:14" ht="14">
      <c r="A572" s="149">
        <v>571</v>
      </c>
      <c r="B572" s="235" t="s">
        <v>52</v>
      </c>
      <c r="C572" s="231" t="s">
        <v>10</v>
      </c>
      <c r="D572" s="250" t="s">
        <v>1676</v>
      </c>
      <c r="E572" s="281">
        <v>0</v>
      </c>
      <c r="F572" s="249">
        <v>833.7</v>
      </c>
      <c r="G572" s="164">
        <f t="shared" si="57"/>
        <v>5.1640000000000006</v>
      </c>
      <c r="H572" s="165">
        <f t="shared" si="58"/>
        <v>10.328000000000001</v>
      </c>
      <c r="I572" s="165">
        <f t="shared" si="59"/>
        <v>7.7459999999999996</v>
      </c>
      <c r="J572" s="166">
        <f t="shared" si="60"/>
        <v>12.91</v>
      </c>
      <c r="K572" s="166">
        <f t="shared" si="62"/>
        <v>12.91</v>
      </c>
      <c r="L572" s="165">
        <f t="shared" si="61"/>
        <v>1.2084250000000001</v>
      </c>
      <c r="M572" s="168">
        <f t="shared" si="56"/>
        <v>0</v>
      </c>
      <c r="N572" s="236" t="s">
        <v>453</v>
      </c>
    </row>
    <row r="573" spans="1:14" ht="14">
      <c r="A573" s="149">
        <v>572</v>
      </c>
      <c r="B573" s="235" t="s">
        <v>52</v>
      </c>
      <c r="C573" s="231" t="s">
        <v>10</v>
      </c>
      <c r="D573" s="250" t="s">
        <v>1678</v>
      </c>
      <c r="E573" s="281">
        <v>0</v>
      </c>
      <c r="F573" s="249">
        <v>10743.6</v>
      </c>
      <c r="G573" s="164">
        <f t="shared" si="57"/>
        <v>61.792000000000009</v>
      </c>
      <c r="H573" s="165">
        <f t="shared" si="58"/>
        <v>123.58400000000002</v>
      </c>
      <c r="I573" s="165">
        <f t="shared" si="59"/>
        <v>92.688000000000002</v>
      </c>
      <c r="J573" s="166">
        <f t="shared" si="60"/>
        <v>154.48000000000002</v>
      </c>
      <c r="K573" s="166">
        <f t="shared" si="62"/>
        <v>154.48000000000002</v>
      </c>
      <c r="L573" s="165">
        <f t="shared" si="61"/>
        <v>3.6859000000000002</v>
      </c>
      <c r="M573" s="168">
        <f t="shared" si="56"/>
        <v>0</v>
      </c>
      <c r="N573" s="236" t="s">
        <v>453</v>
      </c>
    </row>
    <row r="574" spans="1:14" ht="14">
      <c r="A574" s="149">
        <v>573</v>
      </c>
      <c r="B574" s="235" t="s">
        <v>52</v>
      </c>
      <c r="C574" s="231" t="s">
        <v>10</v>
      </c>
      <c r="D574" s="250" t="s">
        <v>1681</v>
      </c>
      <c r="E574" s="281">
        <v>0</v>
      </c>
      <c r="F574" s="249">
        <v>1945.65</v>
      </c>
      <c r="G574" s="164">
        <f t="shared" si="57"/>
        <v>11.518000000000001</v>
      </c>
      <c r="H574" s="165">
        <f t="shared" si="58"/>
        <v>23.036000000000001</v>
      </c>
      <c r="I574" s="165">
        <f t="shared" si="59"/>
        <v>17.277000000000001</v>
      </c>
      <c r="J574" s="166">
        <f t="shared" si="60"/>
        <v>28.795000000000002</v>
      </c>
      <c r="K574" s="166">
        <f t="shared" si="62"/>
        <v>28.795000000000002</v>
      </c>
      <c r="L574" s="165">
        <f t="shared" si="61"/>
        <v>1.4864125000000001</v>
      </c>
      <c r="M574" s="168">
        <f t="shared" si="56"/>
        <v>0</v>
      </c>
      <c r="N574" s="236" t="s">
        <v>453</v>
      </c>
    </row>
    <row r="575" spans="1:14" ht="14">
      <c r="A575" s="149">
        <v>574</v>
      </c>
      <c r="B575" s="235" t="s">
        <v>52</v>
      </c>
      <c r="C575" s="231" t="s">
        <v>10</v>
      </c>
      <c r="D575" s="250" t="s">
        <v>1683</v>
      </c>
      <c r="E575" s="281">
        <v>0</v>
      </c>
      <c r="F575" s="249">
        <v>315</v>
      </c>
      <c r="G575" s="164">
        <f t="shared" si="57"/>
        <v>2.2000000000000002</v>
      </c>
      <c r="H575" s="165">
        <f t="shared" si="58"/>
        <v>4.4000000000000004</v>
      </c>
      <c r="I575" s="165">
        <f t="shared" si="59"/>
        <v>3.3</v>
      </c>
      <c r="J575" s="166">
        <f t="shared" si="60"/>
        <v>5.5</v>
      </c>
      <c r="K575" s="166">
        <f t="shared" si="62"/>
        <v>5.5</v>
      </c>
      <c r="L575" s="165">
        <f t="shared" si="61"/>
        <v>1.0787500000000001</v>
      </c>
      <c r="M575" s="168">
        <f t="shared" si="56"/>
        <v>0</v>
      </c>
      <c r="N575" s="236" t="s">
        <v>453</v>
      </c>
    </row>
    <row r="576" spans="1:14" ht="14">
      <c r="A576" s="149">
        <v>575</v>
      </c>
      <c r="B576" s="235" t="s">
        <v>52</v>
      </c>
      <c r="C576" s="231" t="s">
        <v>10</v>
      </c>
      <c r="D576" s="250" t="s">
        <v>1685</v>
      </c>
      <c r="E576" s="281">
        <v>0</v>
      </c>
      <c r="F576" s="249">
        <v>1128.75</v>
      </c>
      <c r="G576" s="164">
        <f t="shared" si="57"/>
        <v>6.8500000000000005</v>
      </c>
      <c r="H576" s="165">
        <f t="shared" si="58"/>
        <v>13.700000000000001</v>
      </c>
      <c r="I576" s="165">
        <f t="shared" si="59"/>
        <v>10.275</v>
      </c>
      <c r="J576" s="166">
        <f t="shared" si="60"/>
        <v>17.125</v>
      </c>
      <c r="K576" s="166">
        <f t="shared" si="62"/>
        <v>17.125</v>
      </c>
      <c r="L576" s="165">
        <f t="shared" si="61"/>
        <v>1.2821875</v>
      </c>
      <c r="M576" s="168">
        <f t="shared" si="56"/>
        <v>0</v>
      </c>
      <c r="N576" s="236" t="s">
        <v>453</v>
      </c>
    </row>
    <row r="577" spans="1:14" ht="14">
      <c r="A577" s="149">
        <v>576</v>
      </c>
      <c r="B577" s="235" t="s">
        <v>52</v>
      </c>
      <c r="C577" s="231" t="s">
        <v>10</v>
      </c>
      <c r="D577" s="250" t="s">
        <v>1687</v>
      </c>
      <c r="E577" s="281">
        <v>0</v>
      </c>
      <c r="F577" s="249">
        <v>6967.8</v>
      </c>
      <c r="G577" s="164">
        <f t="shared" si="57"/>
        <v>40.216000000000008</v>
      </c>
      <c r="H577" s="165">
        <f t="shared" si="58"/>
        <v>80.432000000000016</v>
      </c>
      <c r="I577" s="165">
        <f t="shared" si="59"/>
        <v>60.323999999999998</v>
      </c>
      <c r="J577" s="166">
        <f t="shared" si="60"/>
        <v>100.54</v>
      </c>
      <c r="K577" s="166">
        <f t="shared" si="62"/>
        <v>100.54</v>
      </c>
      <c r="L577" s="165">
        <f t="shared" si="61"/>
        <v>2.7419500000000001</v>
      </c>
      <c r="M577" s="168">
        <f t="shared" si="56"/>
        <v>0</v>
      </c>
      <c r="N577" s="236" t="s">
        <v>457</v>
      </c>
    </row>
    <row r="578" spans="1:14" ht="14">
      <c r="A578" s="149">
        <v>577</v>
      </c>
      <c r="B578" s="235" t="s">
        <v>52</v>
      </c>
      <c r="C578" s="231" t="s">
        <v>10</v>
      </c>
      <c r="D578" s="250" t="s">
        <v>1690</v>
      </c>
      <c r="E578" s="281">
        <v>0</v>
      </c>
      <c r="F578" s="249">
        <v>1390.2</v>
      </c>
      <c r="G578" s="164">
        <f t="shared" si="57"/>
        <v>8.3439999999999994</v>
      </c>
      <c r="H578" s="165">
        <f t="shared" si="58"/>
        <v>16.687999999999999</v>
      </c>
      <c r="I578" s="165">
        <f t="shared" si="59"/>
        <v>12.516</v>
      </c>
      <c r="J578" s="166">
        <f t="shared" si="60"/>
        <v>20.86</v>
      </c>
      <c r="K578" s="166">
        <f t="shared" si="62"/>
        <v>20.86</v>
      </c>
      <c r="L578" s="165">
        <f t="shared" si="61"/>
        <v>1.34755</v>
      </c>
      <c r="M578" s="168">
        <f t="shared" ref="M578:M641" si="63">E578/60</f>
        <v>0</v>
      </c>
      <c r="N578" s="236" t="s">
        <v>453</v>
      </c>
    </row>
    <row r="579" spans="1:14" ht="14">
      <c r="A579" s="149">
        <v>578</v>
      </c>
      <c r="B579" s="235" t="s">
        <v>52</v>
      </c>
      <c r="C579" s="231" t="s">
        <v>10</v>
      </c>
      <c r="D579" s="250" t="s">
        <v>1692</v>
      </c>
      <c r="E579" s="281">
        <v>0</v>
      </c>
      <c r="F579" s="249">
        <v>1014.3</v>
      </c>
      <c r="G579" s="164">
        <f t="shared" ref="G579:G642" si="64">(((F579/70)+1)*0.4)</f>
        <v>6.1960000000000006</v>
      </c>
      <c r="H579" s="165">
        <f t="shared" ref="H579:H642" si="65">G579*2</f>
        <v>12.392000000000001</v>
      </c>
      <c r="I579" s="165">
        <f t="shared" ref="I579:I642" si="66">(((F579/70)+1)*0.6)</f>
        <v>9.2940000000000005</v>
      </c>
      <c r="J579" s="166">
        <f t="shared" ref="J579:J642" si="67">I579+G579</f>
        <v>15.490000000000002</v>
      </c>
      <c r="K579" s="166">
        <f t="shared" si="62"/>
        <v>15.490000000000002</v>
      </c>
      <c r="L579" s="165">
        <f t="shared" ref="L579:L642" si="68">(F579/4000)+1</f>
        <v>1.2535750000000001</v>
      </c>
      <c r="M579" s="168">
        <f t="shared" si="63"/>
        <v>0</v>
      </c>
      <c r="N579" s="236" t="s">
        <v>453</v>
      </c>
    </row>
    <row r="580" spans="1:14" ht="14">
      <c r="A580" s="149">
        <v>579</v>
      </c>
      <c r="B580" s="235" t="s">
        <v>52</v>
      </c>
      <c r="C580" s="231" t="s">
        <v>10</v>
      </c>
      <c r="D580" s="250" t="s">
        <v>1694</v>
      </c>
      <c r="E580" s="281">
        <v>0</v>
      </c>
      <c r="F580" s="249">
        <v>315</v>
      </c>
      <c r="G580" s="164">
        <f t="shared" si="64"/>
        <v>2.2000000000000002</v>
      </c>
      <c r="H580" s="165">
        <f t="shared" si="65"/>
        <v>4.4000000000000004</v>
      </c>
      <c r="I580" s="165">
        <f t="shared" si="66"/>
        <v>3.3</v>
      </c>
      <c r="J580" s="166">
        <f t="shared" si="67"/>
        <v>5.5</v>
      </c>
      <c r="K580" s="166">
        <f t="shared" ref="K580:K643" si="69">J580</f>
        <v>5.5</v>
      </c>
      <c r="L580" s="165">
        <f t="shared" si="68"/>
        <v>1.0787500000000001</v>
      </c>
      <c r="M580" s="168">
        <f t="shared" si="63"/>
        <v>0</v>
      </c>
      <c r="N580" s="236" t="s">
        <v>453</v>
      </c>
    </row>
    <row r="581" spans="1:14" ht="14">
      <c r="A581" s="149">
        <v>580</v>
      </c>
      <c r="B581" s="235" t="s">
        <v>52</v>
      </c>
      <c r="C581" s="231" t="s">
        <v>10</v>
      </c>
      <c r="D581" s="250" t="s">
        <v>1696</v>
      </c>
      <c r="E581" s="281">
        <v>0</v>
      </c>
      <c r="F581" s="249">
        <v>810.6</v>
      </c>
      <c r="G581" s="164">
        <f t="shared" si="64"/>
        <v>5.032</v>
      </c>
      <c r="H581" s="165">
        <f t="shared" si="65"/>
        <v>10.064</v>
      </c>
      <c r="I581" s="165">
        <f t="shared" si="66"/>
        <v>7.548</v>
      </c>
      <c r="J581" s="166">
        <f t="shared" si="67"/>
        <v>12.58</v>
      </c>
      <c r="K581" s="166">
        <f t="shared" si="69"/>
        <v>12.58</v>
      </c>
      <c r="L581" s="165">
        <f t="shared" si="68"/>
        <v>1.20265</v>
      </c>
      <c r="M581" s="168">
        <f t="shared" si="63"/>
        <v>0</v>
      </c>
      <c r="N581" s="236" t="s">
        <v>453</v>
      </c>
    </row>
    <row r="582" spans="1:14" ht="14">
      <c r="A582" s="149">
        <v>581</v>
      </c>
      <c r="B582" s="235" t="s">
        <v>52</v>
      </c>
      <c r="C582" s="231" t="s">
        <v>10</v>
      </c>
      <c r="D582" s="250" t="s">
        <v>1698</v>
      </c>
      <c r="E582" s="281">
        <v>0</v>
      </c>
      <c r="F582" s="249">
        <v>2345.6999999999998</v>
      </c>
      <c r="G582" s="164">
        <f t="shared" si="64"/>
        <v>13.804</v>
      </c>
      <c r="H582" s="165">
        <f t="shared" si="65"/>
        <v>27.608000000000001</v>
      </c>
      <c r="I582" s="165">
        <f t="shared" si="66"/>
        <v>20.706</v>
      </c>
      <c r="J582" s="166">
        <f t="shared" si="67"/>
        <v>34.51</v>
      </c>
      <c r="K582" s="166">
        <f t="shared" si="69"/>
        <v>34.51</v>
      </c>
      <c r="L582" s="165">
        <f t="shared" si="68"/>
        <v>1.586425</v>
      </c>
      <c r="M582" s="168">
        <f t="shared" si="63"/>
        <v>0</v>
      </c>
      <c r="N582" s="236" t="s">
        <v>453</v>
      </c>
    </row>
    <row r="583" spans="1:14" ht="14">
      <c r="A583" s="149">
        <v>582</v>
      </c>
      <c r="B583" s="235" t="s">
        <v>52</v>
      </c>
      <c r="C583" s="231" t="s">
        <v>10</v>
      </c>
      <c r="D583" s="250" t="s">
        <v>1701</v>
      </c>
      <c r="E583" s="281">
        <v>0</v>
      </c>
      <c r="F583" s="249">
        <v>8703.4500000000007</v>
      </c>
      <c r="G583" s="164">
        <f t="shared" si="64"/>
        <v>50.134000000000007</v>
      </c>
      <c r="H583" s="165">
        <f t="shared" si="65"/>
        <v>100.26800000000001</v>
      </c>
      <c r="I583" s="165">
        <f t="shared" si="66"/>
        <v>75.201000000000008</v>
      </c>
      <c r="J583" s="166">
        <f t="shared" si="67"/>
        <v>125.33500000000001</v>
      </c>
      <c r="K583" s="166">
        <f t="shared" si="69"/>
        <v>125.33500000000001</v>
      </c>
      <c r="L583" s="165">
        <f t="shared" si="68"/>
        <v>3.1758625</v>
      </c>
      <c r="M583" s="168">
        <f t="shared" si="63"/>
        <v>0</v>
      </c>
      <c r="N583" s="236" t="s">
        <v>457</v>
      </c>
    </row>
    <row r="584" spans="1:14" ht="14">
      <c r="A584" s="149">
        <v>583</v>
      </c>
      <c r="B584" s="235" t="s">
        <v>52</v>
      </c>
      <c r="C584" s="231" t="s">
        <v>10</v>
      </c>
      <c r="D584" s="250" t="s">
        <v>1703</v>
      </c>
      <c r="E584" s="281">
        <v>0</v>
      </c>
      <c r="F584" s="249">
        <v>3631.95</v>
      </c>
      <c r="G584" s="164">
        <f t="shared" si="64"/>
        <v>21.154</v>
      </c>
      <c r="H584" s="165">
        <f t="shared" si="65"/>
        <v>42.308</v>
      </c>
      <c r="I584" s="165">
        <f t="shared" si="66"/>
        <v>31.730999999999998</v>
      </c>
      <c r="J584" s="166">
        <f t="shared" si="67"/>
        <v>52.884999999999998</v>
      </c>
      <c r="K584" s="166">
        <f t="shared" si="69"/>
        <v>52.884999999999998</v>
      </c>
      <c r="L584" s="165">
        <f t="shared" si="68"/>
        <v>1.9079874999999999</v>
      </c>
      <c r="M584" s="168">
        <f t="shared" si="63"/>
        <v>0</v>
      </c>
      <c r="N584" s="236" t="s">
        <v>453</v>
      </c>
    </row>
    <row r="585" spans="1:14" ht="14">
      <c r="A585" s="149">
        <v>584</v>
      </c>
      <c r="B585" s="235" t="s">
        <v>52</v>
      </c>
      <c r="C585" s="231" t="s">
        <v>10</v>
      </c>
      <c r="D585" s="250" t="s">
        <v>1705</v>
      </c>
      <c r="E585" s="281">
        <v>0</v>
      </c>
      <c r="F585" s="249">
        <v>2617.65</v>
      </c>
      <c r="G585" s="164">
        <f t="shared" si="64"/>
        <v>15.358000000000002</v>
      </c>
      <c r="H585" s="165">
        <f t="shared" si="65"/>
        <v>30.716000000000005</v>
      </c>
      <c r="I585" s="165">
        <f t="shared" si="66"/>
        <v>23.037000000000003</v>
      </c>
      <c r="J585" s="166">
        <f t="shared" si="67"/>
        <v>38.395000000000003</v>
      </c>
      <c r="K585" s="166">
        <f t="shared" si="69"/>
        <v>38.395000000000003</v>
      </c>
      <c r="L585" s="165">
        <f t="shared" si="68"/>
        <v>1.6544125000000001</v>
      </c>
      <c r="M585" s="168">
        <f t="shared" si="63"/>
        <v>0</v>
      </c>
      <c r="N585" s="236" t="s">
        <v>453</v>
      </c>
    </row>
    <row r="586" spans="1:14" ht="14">
      <c r="A586" s="149">
        <v>585</v>
      </c>
      <c r="B586" s="235" t="s">
        <v>52</v>
      </c>
      <c r="C586" s="231" t="s">
        <v>10</v>
      </c>
      <c r="D586" s="250" t="s">
        <v>1707</v>
      </c>
      <c r="E586" s="281">
        <v>0</v>
      </c>
      <c r="F586" s="249">
        <v>2396.1</v>
      </c>
      <c r="G586" s="164">
        <f t="shared" si="64"/>
        <v>14.091999999999999</v>
      </c>
      <c r="H586" s="165">
        <f t="shared" si="65"/>
        <v>28.183999999999997</v>
      </c>
      <c r="I586" s="165">
        <f t="shared" si="66"/>
        <v>21.137999999999998</v>
      </c>
      <c r="J586" s="166">
        <f t="shared" si="67"/>
        <v>35.229999999999997</v>
      </c>
      <c r="K586" s="166">
        <f t="shared" si="69"/>
        <v>35.229999999999997</v>
      </c>
      <c r="L586" s="165">
        <f t="shared" si="68"/>
        <v>1.5990250000000001</v>
      </c>
      <c r="M586" s="168">
        <f t="shared" si="63"/>
        <v>0</v>
      </c>
      <c r="N586" s="236" t="s">
        <v>453</v>
      </c>
    </row>
    <row r="587" spans="1:14" ht="14">
      <c r="A587" s="149">
        <v>586</v>
      </c>
      <c r="B587" s="235" t="s">
        <v>52</v>
      </c>
      <c r="C587" s="231" t="s">
        <v>10</v>
      </c>
      <c r="D587" s="250" t="s">
        <v>1709</v>
      </c>
      <c r="E587" s="281">
        <v>0</v>
      </c>
      <c r="F587" s="249">
        <v>348.6</v>
      </c>
      <c r="G587" s="164">
        <f t="shared" si="64"/>
        <v>2.3920000000000003</v>
      </c>
      <c r="H587" s="165">
        <f t="shared" si="65"/>
        <v>4.7840000000000007</v>
      </c>
      <c r="I587" s="165">
        <f t="shared" si="66"/>
        <v>3.5880000000000001</v>
      </c>
      <c r="J587" s="166">
        <f t="shared" si="67"/>
        <v>5.98</v>
      </c>
      <c r="K587" s="166">
        <f t="shared" si="69"/>
        <v>5.98</v>
      </c>
      <c r="L587" s="165">
        <f t="shared" si="68"/>
        <v>1.0871500000000001</v>
      </c>
      <c r="M587" s="168">
        <f t="shared" si="63"/>
        <v>0</v>
      </c>
      <c r="N587" s="236" t="s">
        <v>453</v>
      </c>
    </row>
    <row r="588" spans="1:14" ht="14">
      <c r="A588" s="149">
        <v>587</v>
      </c>
      <c r="B588" s="235" t="s">
        <v>52</v>
      </c>
      <c r="C588" s="231" t="s">
        <v>10</v>
      </c>
      <c r="D588" s="250" t="s">
        <v>1711</v>
      </c>
      <c r="E588" s="281">
        <v>0</v>
      </c>
      <c r="F588" s="249">
        <v>315</v>
      </c>
      <c r="G588" s="164">
        <f t="shared" si="64"/>
        <v>2.2000000000000002</v>
      </c>
      <c r="H588" s="165">
        <f t="shared" si="65"/>
        <v>4.4000000000000004</v>
      </c>
      <c r="I588" s="165">
        <f t="shared" si="66"/>
        <v>3.3</v>
      </c>
      <c r="J588" s="166">
        <f t="shared" si="67"/>
        <v>5.5</v>
      </c>
      <c r="K588" s="166">
        <f t="shared" si="69"/>
        <v>5.5</v>
      </c>
      <c r="L588" s="165">
        <f t="shared" si="68"/>
        <v>1.0787500000000001</v>
      </c>
      <c r="M588" s="168">
        <f t="shared" si="63"/>
        <v>0</v>
      </c>
      <c r="N588" s="236" t="s">
        <v>453</v>
      </c>
    </row>
    <row r="589" spans="1:14" ht="14">
      <c r="A589" s="149">
        <v>588</v>
      </c>
      <c r="B589" s="235" t="s">
        <v>52</v>
      </c>
      <c r="C589" s="231" t="s">
        <v>10</v>
      </c>
      <c r="D589" s="250" t="s">
        <v>1713</v>
      </c>
      <c r="E589" s="281">
        <v>0</v>
      </c>
      <c r="F589" s="249">
        <v>4735.5</v>
      </c>
      <c r="G589" s="164">
        <f t="shared" si="64"/>
        <v>27.460000000000004</v>
      </c>
      <c r="H589" s="165">
        <f t="shared" si="65"/>
        <v>54.920000000000009</v>
      </c>
      <c r="I589" s="165">
        <f t="shared" si="66"/>
        <v>41.190000000000005</v>
      </c>
      <c r="J589" s="166">
        <f t="shared" si="67"/>
        <v>68.650000000000006</v>
      </c>
      <c r="K589" s="166">
        <f t="shared" si="69"/>
        <v>68.650000000000006</v>
      </c>
      <c r="L589" s="165">
        <f t="shared" si="68"/>
        <v>2.183875</v>
      </c>
      <c r="M589" s="168">
        <f t="shared" si="63"/>
        <v>0</v>
      </c>
      <c r="N589" s="236" t="s">
        <v>453</v>
      </c>
    </row>
    <row r="590" spans="1:14" ht="14">
      <c r="A590" s="149">
        <v>589</v>
      </c>
      <c r="B590" s="235" t="s">
        <v>52</v>
      </c>
      <c r="C590" s="231" t="s">
        <v>10</v>
      </c>
      <c r="D590" s="250" t="s">
        <v>1715</v>
      </c>
      <c r="E590" s="281">
        <v>0</v>
      </c>
      <c r="F590" s="249">
        <v>3475.5</v>
      </c>
      <c r="G590" s="164">
        <f t="shared" si="64"/>
        <v>20.260000000000002</v>
      </c>
      <c r="H590" s="165">
        <f t="shared" si="65"/>
        <v>40.520000000000003</v>
      </c>
      <c r="I590" s="165">
        <f t="shared" si="66"/>
        <v>30.389999999999997</v>
      </c>
      <c r="J590" s="166">
        <f t="shared" si="67"/>
        <v>50.65</v>
      </c>
      <c r="K590" s="166">
        <f t="shared" si="69"/>
        <v>50.65</v>
      </c>
      <c r="L590" s="165">
        <f t="shared" si="68"/>
        <v>1.8688750000000001</v>
      </c>
      <c r="M590" s="168">
        <f t="shared" si="63"/>
        <v>0</v>
      </c>
      <c r="N590" s="236" t="s">
        <v>453</v>
      </c>
    </row>
    <row r="591" spans="1:14" ht="14">
      <c r="A591" s="149">
        <v>590</v>
      </c>
      <c r="B591" s="235" t="s">
        <v>52</v>
      </c>
      <c r="C591" s="231" t="s">
        <v>10</v>
      </c>
      <c r="D591" s="250" t="s">
        <v>1717</v>
      </c>
      <c r="E591" s="281">
        <v>0</v>
      </c>
      <c r="F591" s="249">
        <v>1726.2</v>
      </c>
      <c r="G591" s="164">
        <f t="shared" si="64"/>
        <v>10.264000000000001</v>
      </c>
      <c r="H591" s="165">
        <f t="shared" si="65"/>
        <v>20.528000000000002</v>
      </c>
      <c r="I591" s="165">
        <f t="shared" si="66"/>
        <v>15.395999999999999</v>
      </c>
      <c r="J591" s="166">
        <f t="shared" si="67"/>
        <v>25.66</v>
      </c>
      <c r="K591" s="166">
        <f t="shared" si="69"/>
        <v>25.66</v>
      </c>
      <c r="L591" s="165">
        <f t="shared" si="68"/>
        <v>1.4315500000000001</v>
      </c>
      <c r="M591" s="168">
        <f t="shared" si="63"/>
        <v>0</v>
      </c>
      <c r="N591" s="236" t="s">
        <v>453</v>
      </c>
    </row>
    <row r="592" spans="1:14" ht="14">
      <c r="A592" s="149">
        <v>591</v>
      </c>
      <c r="B592" s="235" t="s">
        <v>52</v>
      </c>
      <c r="C592" s="231" t="s">
        <v>10</v>
      </c>
      <c r="D592" s="250" t="s">
        <v>1719</v>
      </c>
      <c r="E592" s="281">
        <v>0</v>
      </c>
      <c r="F592" s="249">
        <v>1710.45</v>
      </c>
      <c r="G592" s="164">
        <f t="shared" si="64"/>
        <v>10.174000000000001</v>
      </c>
      <c r="H592" s="165">
        <f t="shared" si="65"/>
        <v>20.348000000000003</v>
      </c>
      <c r="I592" s="165">
        <f t="shared" si="66"/>
        <v>15.261000000000001</v>
      </c>
      <c r="J592" s="166">
        <f t="shared" si="67"/>
        <v>25.435000000000002</v>
      </c>
      <c r="K592" s="166">
        <f t="shared" si="69"/>
        <v>25.435000000000002</v>
      </c>
      <c r="L592" s="165">
        <f t="shared" si="68"/>
        <v>1.4276125</v>
      </c>
      <c r="M592" s="168">
        <f t="shared" si="63"/>
        <v>0</v>
      </c>
      <c r="N592" s="236" t="s">
        <v>453</v>
      </c>
    </row>
    <row r="593" spans="1:14" ht="14">
      <c r="A593" s="149">
        <v>592</v>
      </c>
      <c r="B593" s="235" t="s">
        <v>52</v>
      </c>
      <c r="C593" s="231" t="s">
        <v>10</v>
      </c>
      <c r="D593" s="250" t="s">
        <v>1721</v>
      </c>
      <c r="E593" s="281">
        <v>0</v>
      </c>
      <c r="F593" s="249">
        <v>1365</v>
      </c>
      <c r="G593" s="164">
        <f t="shared" si="64"/>
        <v>8.2000000000000011</v>
      </c>
      <c r="H593" s="165">
        <f t="shared" si="65"/>
        <v>16.400000000000002</v>
      </c>
      <c r="I593" s="165">
        <f t="shared" si="66"/>
        <v>12.299999999999999</v>
      </c>
      <c r="J593" s="166">
        <f t="shared" si="67"/>
        <v>20.5</v>
      </c>
      <c r="K593" s="166">
        <f t="shared" si="69"/>
        <v>20.5</v>
      </c>
      <c r="L593" s="165">
        <f t="shared" si="68"/>
        <v>1.3412500000000001</v>
      </c>
      <c r="M593" s="168">
        <f t="shared" si="63"/>
        <v>0</v>
      </c>
      <c r="N593" s="236" t="s">
        <v>453</v>
      </c>
    </row>
    <row r="594" spans="1:14" ht="14">
      <c r="A594" s="149">
        <v>593</v>
      </c>
      <c r="B594" s="235" t="s">
        <v>52</v>
      </c>
      <c r="C594" s="231" t="s">
        <v>10</v>
      </c>
      <c r="D594" s="250" t="s">
        <v>1723</v>
      </c>
      <c r="E594" s="281">
        <v>0</v>
      </c>
      <c r="F594" s="249">
        <v>315</v>
      </c>
      <c r="G594" s="164">
        <f t="shared" si="64"/>
        <v>2.2000000000000002</v>
      </c>
      <c r="H594" s="165">
        <f t="shared" si="65"/>
        <v>4.4000000000000004</v>
      </c>
      <c r="I594" s="165">
        <f t="shared" si="66"/>
        <v>3.3</v>
      </c>
      <c r="J594" s="166">
        <f t="shared" si="67"/>
        <v>5.5</v>
      </c>
      <c r="K594" s="166">
        <f t="shared" si="69"/>
        <v>5.5</v>
      </c>
      <c r="L594" s="165">
        <f t="shared" si="68"/>
        <v>1.0787500000000001</v>
      </c>
      <c r="M594" s="168">
        <f t="shared" si="63"/>
        <v>0</v>
      </c>
      <c r="N594" s="236" t="s">
        <v>453</v>
      </c>
    </row>
    <row r="595" spans="1:14" ht="14">
      <c r="A595" s="149">
        <v>594</v>
      </c>
      <c r="B595" s="235" t="s">
        <v>52</v>
      </c>
      <c r="C595" s="231" t="s">
        <v>10</v>
      </c>
      <c r="D595" s="250" t="s">
        <v>1725</v>
      </c>
      <c r="E595" s="281">
        <v>0</v>
      </c>
      <c r="F595" s="249">
        <v>2550.4499999999998</v>
      </c>
      <c r="G595" s="164">
        <f t="shared" si="64"/>
        <v>14.973999999999998</v>
      </c>
      <c r="H595" s="165">
        <f t="shared" si="65"/>
        <v>29.947999999999997</v>
      </c>
      <c r="I595" s="165">
        <f t="shared" si="66"/>
        <v>22.460999999999995</v>
      </c>
      <c r="J595" s="166">
        <f t="shared" si="67"/>
        <v>37.434999999999995</v>
      </c>
      <c r="K595" s="166">
        <f t="shared" si="69"/>
        <v>37.434999999999995</v>
      </c>
      <c r="L595" s="165">
        <f t="shared" si="68"/>
        <v>1.6376124999999999</v>
      </c>
      <c r="M595" s="168">
        <f t="shared" si="63"/>
        <v>0</v>
      </c>
      <c r="N595" s="236" t="s">
        <v>453</v>
      </c>
    </row>
    <row r="596" spans="1:14" ht="14">
      <c r="A596" s="149">
        <v>595</v>
      </c>
      <c r="B596" s="235" t="s">
        <v>52</v>
      </c>
      <c r="C596" s="231" t="s">
        <v>10</v>
      </c>
      <c r="D596" s="250" t="s">
        <v>1727</v>
      </c>
      <c r="E596" s="281">
        <v>0</v>
      </c>
      <c r="F596" s="249">
        <v>315</v>
      </c>
      <c r="G596" s="164">
        <f t="shared" si="64"/>
        <v>2.2000000000000002</v>
      </c>
      <c r="H596" s="165">
        <f t="shared" si="65"/>
        <v>4.4000000000000004</v>
      </c>
      <c r="I596" s="165">
        <f t="shared" si="66"/>
        <v>3.3</v>
      </c>
      <c r="J596" s="166">
        <f t="shared" si="67"/>
        <v>5.5</v>
      </c>
      <c r="K596" s="166">
        <f t="shared" si="69"/>
        <v>5.5</v>
      </c>
      <c r="L596" s="165">
        <f t="shared" si="68"/>
        <v>1.0787500000000001</v>
      </c>
      <c r="M596" s="168">
        <f t="shared" si="63"/>
        <v>0</v>
      </c>
      <c r="N596" s="236" t="s">
        <v>453</v>
      </c>
    </row>
    <row r="597" spans="1:14" ht="14">
      <c r="A597" s="149">
        <v>596</v>
      </c>
      <c r="B597" s="235" t="s">
        <v>52</v>
      </c>
      <c r="C597" s="231" t="s">
        <v>10</v>
      </c>
      <c r="D597" s="250" t="s">
        <v>1729</v>
      </c>
      <c r="E597" s="281">
        <v>0</v>
      </c>
      <c r="F597" s="249">
        <v>2718.45</v>
      </c>
      <c r="G597" s="164">
        <f t="shared" si="64"/>
        <v>15.934000000000001</v>
      </c>
      <c r="H597" s="165">
        <f t="shared" si="65"/>
        <v>31.868000000000002</v>
      </c>
      <c r="I597" s="165">
        <f t="shared" si="66"/>
        <v>23.901</v>
      </c>
      <c r="J597" s="166">
        <f t="shared" si="67"/>
        <v>39.835000000000001</v>
      </c>
      <c r="K597" s="166">
        <f t="shared" si="69"/>
        <v>39.835000000000001</v>
      </c>
      <c r="L597" s="165">
        <f t="shared" si="68"/>
        <v>1.6796125</v>
      </c>
      <c r="M597" s="168">
        <f t="shared" si="63"/>
        <v>0</v>
      </c>
      <c r="N597" s="236" t="s">
        <v>453</v>
      </c>
    </row>
    <row r="598" spans="1:14" ht="14">
      <c r="A598" s="149">
        <v>597</v>
      </c>
      <c r="B598" s="235" t="s">
        <v>52</v>
      </c>
      <c r="C598" s="231" t="s">
        <v>10</v>
      </c>
      <c r="D598" s="250" t="s">
        <v>1731</v>
      </c>
      <c r="E598" s="281">
        <v>0</v>
      </c>
      <c r="F598" s="249">
        <v>315</v>
      </c>
      <c r="G598" s="164">
        <f t="shared" si="64"/>
        <v>2.2000000000000002</v>
      </c>
      <c r="H598" s="165">
        <f t="shared" si="65"/>
        <v>4.4000000000000004</v>
      </c>
      <c r="I598" s="165">
        <f t="shared" si="66"/>
        <v>3.3</v>
      </c>
      <c r="J598" s="166">
        <f t="shared" si="67"/>
        <v>5.5</v>
      </c>
      <c r="K598" s="166">
        <f t="shared" si="69"/>
        <v>5.5</v>
      </c>
      <c r="L598" s="165">
        <f t="shared" si="68"/>
        <v>1.0787500000000001</v>
      </c>
      <c r="M598" s="168">
        <f t="shared" si="63"/>
        <v>0</v>
      </c>
      <c r="N598" s="236" t="s">
        <v>457</v>
      </c>
    </row>
    <row r="599" spans="1:14" ht="14">
      <c r="A599" s="149">
        <v>598</v>
      </c>
      <c r="B599" s="235" t="s">
        <v>52</v>
      </c>
      <c r="C599" s="231" t="s">
        <v>10</v>
      </c>
      <c r="D599" s="250" t="s">
        <v>1733</v>
      </c>
      <c r="E599" s="281">
        <v>0</v>
      </c>
      <c r="F599" s="249">
        <v>697.2</v>
      </c>
      <c r="G599" s="164">
        <f t="shared" si="64"/>
        <v>4.3840000000000003</v>
      </c>
      <c r="H599" s="165">
        <f t="shared" si="65"/>
        <v>8.7680000000000007</v>
      </c>
      <c r="I599" s="165">
        <f t="shared" si="66"/>
        <v>6.5760000000000005</v>
      </c>
      <c r="J599" s="166">
        <f t="shared" si="67"/>
        <v>10.96</v>
      </c>
      <c r="K599" s="166">
        <f t="shared" si="69"/>
        <v>10.96</v>
      </c>
      <c r="L599" s="165">
        <f t="shared" si="68"/>
        <v>1.1743000000000001</v>
      </c>
      <c r="M599" s="168">
        <f t="shared" si="63"/>
        <v>0</v>
      </c>
      <c r="N599" s="236" t="s">
        <v>457</v>
      </c>
    </row>
    <row r="600" spans="1:14" ht="14">
      <c r="A600" s="149">
        <v>599</v>
      </c>
      <c r="B600" s="235" t="s">
        <v>52</v>
      </c>
      <c r="C600" s="231" t="s">
        <v>10</v>
      </c>
      <c r="D600" s="250" t="s">
        <v>1735</v>
      </c>
      <c r="E600" s="281">
        <v>0</v>
      </c>
      <c r="F600" s="249">
        <v>1302</v>
      </c>
      <c r="G600" s="164">
        <f t="shared" si="64"/>
        <v>7.8400000000000007</v>
      </c>
      <c r="H600" s="165">
        <f t="shared" si="65"/>
        <v>15.680000000000001</v>
      </c>
      <c r="I600" s="165">
        <f t="shared" si="66"/>
        <v>11.76</v>
      </c>
      <c r="J600" s="166">
        <f t="shared" si="67"/>
        <v>19.600000000000001</v>
      </c>
      <c r="K600" s="166">
        <f t="shared" si="69"/>
        <v>19.600000000000001</v>
      </c>
      <c r="L600" s="165">
        <f t="shared" si="68"/>
        <v>1.3254999999999999</v>
      </c>
      <c r="M600" s="168">
        <f t="shared" si="63"/>
        <v>0</v>
      </c>
      <c r="N600" s="236" t="s">
        <v>453</v>
      </c>
    </row>
    <row r="601" spans="1:14" ht="14">
      <c r="A601" s="149">
        <v>600</v>
      </c>
      <c r="B601" s="235" t="s">
        <v>52</v>
      </c>
      <c r="C601" s="231" t="s">
        <v>10</v>
      </c>
      <c r="D601" s="250" t="s">
        <v>1737</v>
      </c>
      <c r="E601" s="281">
        <v>0</v>
      </c>
      <c r="F601" s="249">
        <v>2606.1</v>
      </c>
      <c r="G601" s="164">
        <f t="shared" si="64"/>
        <v>15.292</v>
      </c>
      <c r="H601" s="165">
        <f t="shared" si="65"/>
        <v>30.584</v>
      </c>
      <c r="I601" s="165">
        <f t="shared" si="66"/>
        <v>22.937999999999999</v>
      </c>
      <c r="J601" s="166">
        <f t="shared" si="67"/>
        <v>38.229999999999997</v>
      </c>
      <c r="K601" s="166">
        <f t="shared" si="69"/>
        <v>38.229999999999997</v>
      </c>
      <c r="L601" s="165">
        <f t="shared" si="68"/>
        <v>1.6515249999999999</v>
      </c>
      <c r="M601" s="168">
        <f t="shared" si="63"/>
        <v>0</v>
      </c>
      <c r="N601" s="236" t="s">
        <v>453</v>
      </c>
    </row>
    <row r="602" spans="1:14" ht="14">
      <c r="A602" s="149">
        <v>601</v>
      </c>
      <c r="B602" s="235" t="s">
        <v>52</v>
      </c>
      <c r="C602" s="231" t="s">
        <v>10</v>
      </c>
      <c r="D602" s="250" t="s">
        <v>1739</v>
      </c>
      <c r="E602" s="281">
        <v>0</v>
      </c>
      <c r="F602" s="249">
        <v>1156.05</v>
      </c>
      <c r="G602" s="164">
        <f t="shared" si="64"/>
        <v>7.0060000000000002</v>
      </c>
      <c r="H602" s="165">
        <f t="shared" si="65"/>
        <v>14.012</v>
      </c>
      <c r="I602" s="165">
        <f t="shared" si="66"/>
        <v>10.509</v>
      </c>
      <c r="J602" s="166">
        <f t="shared" si="67"/>
        <v>17.515000000000001</v>
      </c>
      <c r="K602" s="166">
        <f t="shared" si="69"/>
        <v>17.515000000000001</v>
      </c>
      <c r="L602" s="165">
        <f t="shared" si="68"/>
        <v>1.2890125000000001</v>
      </c>
      <c r="M602" s="168">
        <f t="shared" si="63"/>
        <v>0</v>
      </c>
      <c r="N602" s="236" t="s">
        <v>453</v>
      </c>
    </row>
    <row r="603" spans="1:14" ht="14">
      <c r="A603" s="149">
        <v>602</v>
      </c>
      <c r="B603" s="235" t="s">
        <v>52</v>
      </c>
      <c r="C603" s="231" t="s">
        <v>10</v>
      </c>
      <c r="D603" s="250" t="s">
        <v>1741</v>
      </c>
      <c r="E603" s="281">
        <v>0</v>
      </c>
      <c r="F603" s="249">
        <v>480.9</v>
      </c>
      <c r="G603" s="164">
        <f t="shared" si="64"/>
        <v>3.1480000000000001</v>
      </c>
      <c r="H603" s="165">
        <f t="shared" si="65"/>
        <v>6.2960000000000003</v>
      </c>
      <c r="I603" s="165">
        <f t="shared" si="66"/>
        <v>4.7219999999999995</v>
      </c>
      <c r="J603" s="166">
        <f t="shared" si="67"/>
        <v>7.8699999999999992</v>
      </c>
      <c r="K603" s="166">
        <f t="shared" si="69"/>
        <v>7.8699999999999992</v>
      </c>
      <c r="L603" s="165">
        <f t="shared" si="68"/>
        <v>1.120225</v>
      </c>
      <c r="M603" s="168">
        <f t="shared" si="63"/>
        <v>0</v>
      </c>
      <c r="N603" s="236" t="s">
        <v>453</v>
      </c>
    </row>
    <row r="604" spans="1:14" ht="14">
      <c r="A604" s="149">
        <v>603</v>
      </c>
      <c r="B604" s="235" t="s">
        <v>52</v>
      </c>
      <c r="C604" s="231" t="s">
        <v>10</v>
      </c>
      <c r="D604" s="250" t="s">
        <v>1743</v>
      </c>
      <c r="E604" s="281">
        <v>0</v>
      </c>
      <c r="F604" s="249">
        <v>343.35</v>
      </c>
      <c r="G604" s="164">
        <f t="shared" si="64"/>
        <v>2.3620000000000001</v>
      </c>
      <c r="H604" s="165">
        <f t="shared" si="65"/>
        <v>4.7240000000000002</v>
      </c>
      <c r="I604" s="165">
        <f t="shared" si="66"/>
        <v>3.5430000000000001</v>
      </c>
      <c r="J604" s="166">
        <f t="shared" si="67"/>
        <v>5.9050000000000002</v>
      </c>
      <c r="K604" s="166">
        <f t="shared" si="69"/>
        <v>5.9050000000000002</v>
      </c>
      <c r="L604" s="165">
        <f t="shared" si="68"/>
        <v>1.0858375</v>
      </c>
      <c r="M604" s="168">
        <f t="shared" si="63"/>
        <v>0</v>
      </c>
      <c r="N604" s="236" t="s">
        <v>453</v>
      </c>
    </row>
    <row r="605" spans="1:14" ht="14">
      <c r="A605" s="149">
        <v>604</v>
      </c>
      <c r="B605" s="235" t="s">
        <v>52</v>
      </c>
      <c r="C605" s="231" t="s">
        <v>10</v>
      </c>
      <c r="D605" s="250" t="s">
        <v>1745</v>
      </c>
      <c r="E605" s="281">
        <v>0</v>
      </c>
      <c r="F605" s="249">
        <v>1261.05</v>
      </c>
      <c r="G605" s="164">
        <f t="shared" si="64"/>
        <v>7.6060000000000008</v>
      </c>
      <c r="H605" s="165">
        <f t="shared" si="65"/>
        <v>15.212000000000002</v>
      </c>
      <c r="I605" s="165">
        <f t="shared" si="66"/>
        <v>11.409000000000001</v>
      </c>
      <c r="J605" s="166">
        <f t="shared" si="67"/>
        <v>19.015000000000001</v>
      </c>
      <c r="K605" s="166">
        <f t="shared" si="69"/>
        <v>19.015000000000001</v>
      </c>
      <c r="L605" s="165">
        <f t="shared" si="68"/>
        <v>1.3152625</v>
      </c>
      <c r="M605" s="168">
        <f t="shared" si="63"/>
        <v>0</v>
      </c>
      <c r="N605" s="236" t="s">
        <v>453</v>
      </c>
    </row>
    <row r="606" spans="1:14" ht="14">
      <c r="A606" s="149">
        <v>605</v>
      </c>
      <c r="B606" s="235" t="s">
        <v>52</v>
      </c>
      <c r="C606" s="231" t="s">
        <v>10</v>
      </c>
      <c r="D606" s="250" t="s">
        <v>1747</v>
      </c>
      <c r="E606" s="281">
        <v>0</v>
      </c>
      <c r="F606" s="249">
        <v>1712.55</v>
      </c>
      <c r="G606" s="164">
        <f t="shared" si="64"/>
        <v>10.186</v>
      </c>
      <c r="H606" s="165">
        <f t="shared" si="65"/>
        <v>20.372</v>
      </c>
      <c r="I606" s="165">
        <f t="shared" si="66"/>
        <v>15.279</v>
      </c>
      <c r="J606" s="166">
        <f t="shared" si="67"/>
        <v>25.465</v>
      </c>
      <c r="K606" s="166">
        <f t="shared" si="69"/>
        <v>25.465</v>
      </c>
      <c r="L606" s="165">
        <f t="shared" si="68"/>
        <v>1.4281375000000001</v>
      </c>
      <c r="M606" s="168">
        <f t="shared" si="63"/>
        <v>0</v>
      </c>
      <c r="N606" s="236" t="s">
        <v>453</v>
      </c>
    </row>
    <row r="607" spans="1:14" ht="14">
      <c r="A607" s="149">
        <v>606</v>
      </c>
      <c r="B607" s="235" t="s">
        <v>52</v>
      </c>
      <c r="C607" s="231" t="s">
        <v>10</v>
      </c>
      <c r="D607" s="250" t="s">
        <v>1749</v>
      </c>
      <c r="E607" s="281">
        <v>0</v>
      </c>
      <c r="F607" s="249">
        <v>506.1</v>
      </c>
      <c r="G607" s="164">
        <f t="shared" si="64"/>
        <v>3.2920000000000003</v>
      </c>
      <c r="H607" s="165">
        <f t="shared" si="65"/>
        <v>6.5840000000000005</v>
      </c>
      <c r="I607" s="165">
        <f t="shared" si="66"/>
        <v>4.9379999999999997</v>
      </c>
      <c r="J607" s="166">
        <f t="shared" si="67"/>
        <v>8.23</v>
      </c>
      <c r="K607" s="166">
        <f t="shared" si="69"/>
        <v>8.23</v>
      </c>
      <c r="L607" s="165">
        <f t="shared" si="68"/>
        <v>1.126525</v>
      </c>
      <c r="M607" s="168">
        <f t="shared" si="63"/>
        <v>0</v>
      </c>
      <c r="N607" s="236" t="s">
        <v>453</v>
      </c>
    </row>
    <row r="608" spans="1:14" ht="14">
      <c r="A608" s="149">
        <v>607</v>
      </c>
      <c r="B608" s="235" t="s">
        <v>52</v>
      </c>
      <c r="C608" s="231" t="s">
        <v>10</v>
      </c>
      <c r="D608" s="250" t="s">
        <v>1751</v>
      </c>
      <c r="E608" s="281">
        <v>0</v>
      </c>
      <c r="F608" s="249">
        <v>2082.15</v>
      </c>
      <c r="G608" s="164">
        <f t="shared" si="64"/>
        <v>12.298000000000002</v>
      </c>
      <c r="H608" s="165">
        <f t="shared" si="65"/>
        <v>24.596000000000004</v>
      </c>
      <c r="I608" s="165">
        <f t="shared" si="66"/>
        <v>18.446999999999999</v>
      </c>
      <c r="J608" s="166">
        <f t="shared" si="67"/>
        <v>30.745000000000001</v>
      </c>
      <c r="K608" s="166">
        <f t="shared" si="69"/>
        <v>30.745000000000001</v>
      </c>
      <c r="L608" s="165">
        <f t="shared" si="68"/>
        <v>1.5205375000000001</v>
      </c>
      <c r="M608" s="168">
        <f t="shared" si="63"/>
        <v>0</v>
      </c>
      <c r="N608" s="236" t="s">
        <v>453</v>
      </c>
    </row>
    <row r="609" spans="1:14" ht="14">
      <c r="A609" s="149">
        <v>608</v>
      </c>
      <c r="B609" s="235" t="s">
        <v>52</v>
      </c>
      <c r="C609" s="231" t="s">
        <v>10</v>
      </c>
      <c r="D609" s="250" t="s">
        <v>1753</v>
      </c>
      <c r="E609" s="281">
        <v>0</v>
      </c>
      <c r="F609" s="249">
        <v>526.04999999999995</v>
      </c>
      <c r="G609" s="164">
        <f t="shared" si="64"/>
        <v>3.4060000000000006</v>
      </c>
      <c r="H609" s="165">
        <f t="shared" si="65"/>
        <v>6.8120000000000012</v>
      </c>
      <c r="I609" s="165">
        <f t="shared" si="66"/>
        <v>5.109</v>
      </c>
      <c r="J609" s="166">
        <f t="shared" si="67"/>
        <v>8.5150000000000006</v>
      </c>
      <c r="K609" s="166">
        <f t="shared" si="69"/>
        <v>8.5150000000000006</v>
      </c>
      <c r="L609" s="165">
        <f t="shared" si="68"/>
        <v>1.1315124999999999</v>
      </c>
      <c r="M609" s="168">
        <f t="shared" si="63"/>
        <v>0</v>
      </c>
      <c r="N609" s="236" t="s">
        <v>453</v>
      </c>
    </row>
    <row r="610" spans="1:14" ht="14">
      <c r="A610" s="149">
        <v>609</v>
      </c>
      <c r="B610" s="235" t="s">
        <v>52</v>
      </c>
      <c r="C610" s="231" t="s">
        <v>10</v>
      </c>
      <c r="D610" s="250" t="s">
        <v>1755</v>
      </c>
      <c r="E610" s="281">
        <v>0</v>
      </c>
      <c r="F610" s="249">
        <v>4333.3500000000004</v>
      </c>
      <c r="G610" s="164">
        <f t="shared" si="64"/>
        <v>25.162000000000006</v>
      </c>
      <c r="H610" s="165">
        <f t="shared" si="65"/>
        <v>50.324000000000012</v>
      </c>
      <c r="I610" s="165">
        <f t="shared" si="66"/>
        <v>37.743000000000002</v>
      </c>
      <c r="J610" s="166">
        <f t="shared" si="67"/>
        <v>62.905000000000008</v>
      </c>
      <c r="K610" s="166">
        <f t="shared" si="69"/>
        <v>62.905000000000008</v>
      </c>
      <c r="L610" s="165">
        <f t="shared" si="68"/>
        <v>2.0833374999999998</v>
      </c>
      <c r="M610" s="168">
        <f t="shared" si="63"/>
        <v>0</v>
      </c>
      <c r="N610" s="236" t="s">
        <v>453</v>
      </c>
    </row>
    <row r="611" spans="1:14" ht="14">
      <c r="A611" s="149">
        <v>610</v>
      </c>
      <c r="B611" s="235" t="s">
        <v>52</v>
      </c>
      <c r="C611" s="231" t="s">
        <v>10</v>
      </c>
      <c r="D611" s="250" t="s">
        <v>1757</v>
      </c>
      <c r="E611" s="281">
        <v>0</v>
      </c>
      <c r="F611" s="249">
        <v>410.55</v>
      </c>
      <c r="G611" s="164">
        <f t="shared" si="64"/>
        <v>2.7460000000000004</v>
      </c>
      <c r="H611" s="165">
        <f t="shared" si="65"/>
        <v>5.4920000000000009</v>
      </c>
      <c r="I611" s="165">
        <f t="shared" si="66"/>
        <v>4.1189999999999998</v>
      </c>
      <c r="J611" s="166">
        <f t="shared" si="67"/>
        <v>6.8650000000000002</v>
      </c>
      <c r="K611" s="166">
        <f t="shared" si="69"/>
        <v>6.8650000000000002</v>
      </c>
      <c r="L611" s="165">
        <f t="shared" si="68"/>
        <v>1.1026374999999999</v>
      </c>
      <c r="M611" s="168">
        <f t="shared" si="63"/>
        <v>0</v>
      </c>
      <c r="N611" s="236" t="s">
        <v>453</v>
      </c>
    </row>
    <row r="612" spans="1:14" ht="14">
      <c r="A612" s="149">
        <v>611</v>
      </c>
      <c r="B612" s="235" t="s">
        <v>52</v>
      </c>
      <c r="C612" s="231" t="s">
        <v>10</v>
      </c>
      <c r="D612" s="250" t="s">
        <v>1759</v>
      </c>
      <c r="E612" s="281">
        <v>0</v>
      </c>
      <c r="F612" s="249">
        <v>632.1</v>
      </c>
      <c r="G612" s="164">
        <f t="shared" si="64"/>
        <v>4.0120000000000005</v>
      </c>
      <c r="H612" s="165">
        <f t="shared" si="65"/>
        <v>8.0240000000000009</v>
      </c>
      <c r="I612" s="165">
        <f t="shared" si="66"/>
        <v>6.0180000000000007</v>
      </c>
      <c r="J612" s="166">
        <f t="shared" si="67"/>
        <v>10.030000000000001</v>
      </c>
      <c r="K612" s="166">
        <f t="shared" si="69"/>
        <v>10.030000000000001</v>
      </c>
      <c r="L612" s="165">
        <f t="shared" si="68"/>
        <v>1.1580250000000001</v>
      </c>
      <c r="M612" s="168">
        <f t="shared" si="63"/>
        <v>0</v>
      </c>
      <c r="N612" s="236" t="s">
        <v>453</v>
      </c>
    </row>
    <row r="613" spans="1:14" ht="14">
      <c r="A613" s="149">
        <v>612</v>
      </c>
      <c r="B613" s="235" t="s">
        <v>52</v>
      </c>
      <c r="C613" s="231" t="s">
        <v>10</v>
      </c>
      <c r="D613" s="250" t="s">
        <v>1761</v>
      </c>
      <c r="E613" s="281">
        <v>0</v>
      </c>
      <c r="F613" s="249">
        <v>770.7</v>
      </c>
      <c r="G613" s="164">
        <f t="shared" si="64"/>
        <v>4.8040000000000003</v>
      </c>
      <c r="H613" s="165">
        <f t="shared" si="65"/>
        <v>9.6080000000000005</v>
      </c>
      <c r="I613" s="165">
        <f t="shared" si="66"/>
        <v>7.2059999999999995</v>
      </c>
      <c r="J613" s="166">
        <f t="shared" si="67"/>
        <v>12.01</v>
      </c>
      <c r="K613" s="166">
        <f t="shared" si="69"/>
        <v>12.01</v>
      </c>
      <c r="L613" s="165">
        <f t="shared" si="68"/>
        <v>1.1926749999999999</v>
      </c>
      <c r="M613" s="168">
        <f t="shared" si="63"/>
        <v>0</v>
      </c>
      <c r="N613" s="236" t="s">
        <v>453</v>
      </c>
    </row>
    <row r="614" spans="1:14" ht="14">
      <c r="A614" s="149">
        <v>613</v>
      </c>
      <c r="B614" s="235" t="s">
        <v>52</v>
      </c>
      <c r="C614" s="231" t="s">
        <v>10</v>
      </c>
      <c r="D614" s="250" t="s">
        <v>1763</v>
      </c>
      <c r="E614" s="281">
        <v>0</v>
      </c>
      <c r="F614" s="249">
        <v>1171.8</v>
      </c>
      <c r="G614" s="164">
        <f t="shared" si="64"/>
        <v>7.0960000000000001</v>
      </c>
      <c r="H614" s="165">
        <f t="shared" si="65"/>
        <v>14.192</v>
      </c>
      <c r="I614" s="165">
        <f t="shared" si="66"/>
        <v>10.643999999999998</v>
      </c>
      <c r="J614" s="166">
        <f t="shared" si="67"/>
        <v>17.739999999999998</v>
      </c>
      <c r="K614" s="166">
        <f t="shared" si="69"/>
        <v>17.739999999999998</v>
      </c>
      <c r="L614" s="165">
        <f t="shared" si="68"/>
        <v>1.29295</v>
      </c>
      <c r="M614" s="168">
        <f t="shared" si="63"/>
        <v>0</v>
      </c>
      <c r="N614" s="236" t="s">
        <v>453</v>
      </c>
    </row>
    <row r="615" spans="1:14" ht="14">
      <c r="A615" s="149">
        <v>614</v>
      </c>
      <c r="B615" s="235" t="s">
        <v>52</v>
      </c>
      <c r="C615" s="231" t="s">
        <v>10</v>
      </c>
      <c r="D615" s="250" t="s">
        <v>1766</v>
      </c>
      <c r="E615" s="281">
        <v>0</v>
      </c>
      <c r="F615" s="249">
        <v>722.4</v>
      </c>
      <c r="G615" s="164">
        <f t="shared" si="64"/>
        <v>4.5280000000000005</v>
      </c>
      <c r="H615" s="165">
        <f t="shared" si="65"/>
        <v>9.0560000000000009</v>
      </c>
      <c r="I615" s="165">
        <f t="shared" si="66"/>
        <v>6.7919999999999998</v>
      </c>
      <c r="J615" s="166">
        <f t="shared" si="67"/>
        <v>11.32</v>
      </c>
      <c r="K615" s="166">
        <f t="shared" si="69"/>
        <v>11.32</v>
      </c>
      <c r="L615" s="165">
        <f t="shared" si="68"/>
        <v>1.1806000000000001</v>
      </c>
      <c r="M615" s="168">
        <f t="shared" si="63"/>
        <v>0</v>
      </c>
      <c r="N615" s="236" t="s">
        <v>453</v>
      </c>
    </row>
    <row r="616" spans="1:14" ht="14">
      <c r="A616" s="149">
        <v>615</v>
      </c>
      <c r="B616" s="235" t="s">
        <v>52</v>
      </c>
      <c r="C616" s="231" t="s">
        <v>10</v>
      </c>
      <c r="D616" s="250" t="s">
        <v>1768</v>
      </c>
      <c r="E616" s="281">
        <v>0</v>
      </c>
      <c r="F616" s="249">
        <v>315</v>
      </c>
      <c r="G616" s="164">
        <f t="shared" si="64"/>
        <v>2.2000000000000002</v>
      </c>
      <c r="H616" s="165">
        <f t="shared" si="65"/>
        <v>4.4000000000000004</v>
      </c>
      <c r="I616" s="165">
        <f t="shared" si="66"/>
        <v>3.3</v>
      </c>
      <c r="J616" s="166">
        <f t="shared" si="67"/>
        <v>5.5</v>
      </c>
      <c r="K616" s="166">
        <f t="shared" si="69"/>
        <v>5.5</v>
      </c>
      <c r="L616" s="165">
        <f t="shared" si="68"/>
        <v>1.0787500000000001</v>
      </c>
      <c r="M616" s="168">
        <f t="shared" si="63"/>
        <v>0</v>
      </c>
      <c r="N616" s="236" t="s">
        <v>453</v>
      </c>
    </row>
    <row r="617" spans="1:14" ht="14">
      <c r="A617" s="149">
        <v>616</v>
      </c>
      <c r="B617" s="235" t="s">
        <v>52</v>
      </c>
      <c r="C617" s="231" t="s">
        <v>10</v>
      </c>
      <c r="D617" s="250" t="s">
        <v>1770</v>
      </c>
      <c r="E617" s="281">
        <v>0</v>
      </c>
      <c r="F617" s="249">
        <v>777</v>
      </c>
      <c r="G617" s="164">
        <f t="shared" si="64"/>
        <v>4.84</v>
      </c>
      <c r="H617" s="165">
        <f t="shared" si="65"/>
        <v>9.68</v>
      </c>
      <c r="I617" s="165">
        <f t="shared" si="66"/>
        <v>7.26</v>
      </c>
      <c r="J617" s="166">
        <f t="shared" si="67"/>
        <v>12.1</v>
      </c>
      <c r="K617" s="166">
        <f t="shared" si="69"/>
        <v>12.1</v>
      </c>
      <c r="L617" s="165">
        <f t="shared" si="68"/>
        <v>1.19425</v>
      </c>
      <c r="M617" s="168">
        <f t="shared" si="63"/>
        <v>0</v>
      </c>
      <c r="N617" s="236" t="s">
        <v>453</v>
      </c>
    </row>
    <row r="618" spans="1:14" ht="14">
      <c r="A618" s="149">
        <v>617</v>
      </c>
      <c r="B618" s="235" t="s">
        <v>52</v>
      </c>
      <c r="C618" s="231" t="s">
        <v>10</v>
      </c>
      <c r="D618" s="250" t="s">
        <v>1772</v>
      </c>
      <c r="E618" s="281">
        <v>0</v>
      </c>
      <c r="F618" s="249">
        <v>859.95</v>
      </c>
      <c r="G618" s="164">
        <f t="shared" si="64"/>
        <v>5.3140000000000001</v>
      </c>
      <c r="H618" s="165">
        <f t="shared" si="65"/>
        <v>10.628</v>
      </c>
      <c r="I618" s="165">
        <f t="shared" si="66"/>
        <v>7.9710000000000001</v>
      </c>
      <c r="J618" s="166">
        <f t="shared" si="67"/>
        <v>13.285</v>
      </c>
      <c r="K618" s="166">
        <f t="shared" si="69"/>
        <v>13.285</v>
      </c>
      <c r="L618" s="165">
        <f t="shared" si="68"/>
        <v>1.2149874999999999</v>
      </c>
      <c r="M618" s="168">
        <f t="shared" si="63"/>
        <v>0</v>
      </c>
      <c r="N618" s="236" t="s">
        <v>453</v>
      </c>
    </row>
    <row r="619" spans="1:14" ht="14">
      <c r="A619" s="149">
        <v>618</v>
      </c>
      <c r="B619" s="235" t="s">
        <v>52</v>
      </c>
      <c r="C619" s="231" t="s">
        <v>10</v>
      </c>
      <c r="D619" s="250" t="s">
        <v>4687</v>
      </c>
      <c r="E619" s="281">
        <v>0</v>
      </c>
      <c r="F619" s="249">
        <v>397.95</v>
      </c>
      <c r="G619" s="164">
        <f t="shared" si="64"/>
        <v>2.6739999999999999</v>
      </c>
      <c r="H619" s="165">
        <f t="shared" si="65"/>
        <v>5.3479999999999999</v>
      </c>
      <c r="I619" s="165">
        <f t="shared" si="66"/>
        <v>4.0109999999999992</v>
      </c>
      <c r="J619" s="166">
        <f t="shared" si="67"/>
        <v>6.6849999999999987</v>
      </c>
      <c r="K619" s="166">
        <f t="shared" si="69"/>
        <v>6.6849999999999987</v>
      </c>
      <c r="L619" s="165">
        <f t="shared" si="68"/>
        <v>1.0994875</v>
      </c>
      <c r="M619" s="168">
        <f t="shared" si="63"/>
        <v>0</v>
      </c>
      <c r="N619" s="236" t="s">
        <v>453</v>
      </c>
    </row>
    <row r="620" spans="1:14" ht="14">
      <c r="A620" s="149">
        <v>619</v>
      </c>
      <c r="B620" s="235" t="s">
        <v>52</v>
      </c>
      <c r="C620" s="231" t="s">
        <v>10</v>
      </c>
      <c r="D620" s="250" t="s">
        <v>1775</v>
      </c>
      <c r="E620" s="281">
        <v>0</v>
      </c>
      <c r="F620" s="249">
        <v>785.4</v>
      </c>
      <c r="G620" s="164">
        <f t="shared" si="64"/>
        <v>4.8879999999999999</v>
      </c>
      <c r="H620" s="165">
        <f t="shared" si="65"/>
        <v>9.7759999999999998</v>
      </c>
      <c r="I620" s="165">
        <f t="shared" si="66"/>
        <v>7.331999999999999</v>
      </c>
      <c r="J620" s="166">
        <f t="shared" si="67"/>
        <v>12.219999999999999</v>
      </c>
      <c r="K620" s="166">
        <f t="shared" si="69"/>
        <v>12.219999999999999</v>
      </c>
      <c r="L620" s="165">
        <f t="shared" si="68"/>
        <v>1.19635</v>
      </c>
      <c r="M620" s="168">
        <f t="shared" si="63"/>
        <v>0</v>
      </c>
      <c r="N620" s="236" t="s">
        <v>453</v>
      </c>
    </row>
    <row r="621" spans="1:14" ht="14">
      <c r="A621" s="149">
        <v>620</v>
      </c>
      <c r="B621" s="235" t="s">
        <v>52</v>
      </c>
      <c r="C621" s="231" t="s">
        <v>10</v>
      </c>
      <c r="D621" s="250" t="s">
        <v>1777</v>
      </c>
      <c r="E621" s="281">
        <v>0</v>
      </c>
      <c r="F621" s="249">
        <v>450</v>
      </c>
      <c r="G621" s="164">
        <f t="shared" si="64"/>
        <v>2.9714285714285715</v>
      </c>
      <c r="H621" s="165">
        <f t="shared" si="65"/>
        <v>5.9428571428571431</v>
      </c>
      <c r="I621" s="165">
        <f t="shared" si="66"/>
        <v>4.4571428571428573</v>
      </c>
      <c r="J621" s="166">
        <f t="shared" si="67"/>
        <v>7.4285714285714288</v>
      </c>
      <c r="K621" s="166">
        <f t="shared" si="69"/>
        <v>7.4285714285714288</v>
      </c>
      <c r="L621" s="165">
        <f t="shared" si="68"/>
        <v>1.1125</v>
      </c>
      <c r="M621" s="168">
        <f t="shared" si="63"/>
        <v>0</v>
      </c>
      <c r="N621" s="236" t="s">
        <v>453</v>
      </c>
    </row>
    <row r="622" spans="1:14" ht="14">
      <c r="A622" s="149">
        <v>621</v>
      </c>
      <c r="B622" s="235" t="s">
        <v>52</v>
      </c>
      <c r="C622" s="231" t="s">
        <v>10</v>
      </c>
      <c r="D622" s="250" t="s">
        <v>1779</v>
      </c>
      <c r="E622" s="281">
        <v>0</v>
      </c>
      <c r="F622" s="249">
        <v>782.25</v>
      </c>
      <c r="G622" s="164">
        <f t="shared" si="64"/>
        <v>4.870000000000001</v>
      </c>
      <c r="H622" s="165">
        <f t="shared" si="65"/>
        <v>9.740000000000002</v>
      </c>
      <c r="I622" s="165">
        <f t="shared" si="66"/>
        <v>7.3049999999999997</v>
      </c>
      <c r="J622" s="166">
        <f t="shared" si="67"/>
        <v>12.175000000000001</v>
      </c>
      <c r="K622" s="166">
        <f t="shared" si="69"/>
        <v>12.175000000000001</v>
      </c>
      <c r="L622" s="165">
        <f t="shared" si="68"/>
        <v>1.1955625000000001</v>
      </c>
      <c r="M622" s="168">
        <f t="shared" si="63"/>
        <v>0</v>
      </c>
      <c r="N622" s="236" t="s">
        <v>453</v>
      </c>
    </row>
    <row r="623" spans="1:14" ht="14">
      <c r="A623" s="149">
        <v>622</v>
      </c>
      <c r="B623" s="235" t="s">
        <v>52</v>
      </c>
      <c r="C623" s="231" t="s">
        <v>10</v>
      </c>
      <c r="D623" s="250" t="s">
        <v>1781</v>
      </c>
      <c r="E623" s="281">
        <v>0</v>
      </c>
      <c r="F623" s="249">
        <v>1906.8</v>
      </c>
      <c r="G623" s="164">
        <f t="shared" si="64"/>
        <v>11.295999999999999</v>
      </c>
      <c r="H623" s="165">
        <f t="shared" si="65"/>
        <v>22.591999999999999</v>
      </c>
      <c r="I623" s="165">
        <f t="shared" si="66"/>
        <v>16.943999999999999</v>
      </c>
      <c r="J623" s="166">
        <f t="shared" si="67"/>
        <v>28.24</v>
      </c>
      <c r="K623" s="166">
        <f t="shared" si="69"/>
        <v>28.24</v>
      </c>
      <c r="L623" s="165">
        <f t="shared" si="68"/>
        <v>1.4767000000000001</v>
      </c>
      <c r="M623" s="168">
        <f t="shared" si="63"/>
        <v>0</v>
      </c>
      <c r="N623" s="236" t="s">
        <v>453</v>
      </c>
    </row>
    <row r="624" spans="1:14" ht="14">
      <c r="A624" s="149">
        <v>623</v>
      </c>
      <c r="B624" s="235" t="s">
        <v>52</v>
      </c>
      <c r="C624" s="231" t="s">
        <v>10</v>
      </c>
      <c r="D624" s="250" t="s">
        <v>1783</v>
      </c>
      <c r="E624" s="281">
        <v>0</v>
      </c>
      <c r="F624" s="249">
        <v>16159.5</v>
      </c>
      <c r="G624" s="164">
        <f t="shared" si="64"/>
        <v>92.740000000000009</v>
      </c>
      <c r="H624" s="165">
        <f t="shared" si="65"/>
        <v>185.48000000000002</v>
      </c>
      <c r="I624" s="165">
        <f t="shared" si="66"/>
        <v>139.10999999999999</v>
      </c>
      <c r="J624" s="166">
        <f t="shared" si="67"/>
        <v>231.85</v>
      </c>
      <c r="K624" s="166">
        <f t="shared" si="69"/>
        <v>231.85</v>
      </c>
      <c r="L624" s="165">
        <f t="shared" si="68"/>
        <v>5.0398750000000003</v>
      </c>
      <c r="M624" s="168">
        <f t="shared" si="63"/>
        <v>0</v>
      </c>
      <c r="N624" s="236" t="s">
        <v>453</v>
      </c>
    </row>
    <row r="625" spans="1:14" ht="14">
      <c r="A625" s="149">
        <v>624</v>
      </c>
      <c r="B625" s="235" t="s">
        <v>52</v>
      </c>
      <c r="C625" s="231" t="s">
        <v>10</v>
      </c>
      <c r="D625" s="250" t="s">
        <v>1785</v>
      </c>
      <c r="E625" s="281">
        <v>0</v>
      </c>
      <c r="F625" s="249">
        <v>3799.95</v>
      </c>
      <c r="G625" s="164">
        <f t="shared" si="64"/>
        <v>22.114000000000001</v>
      </c>
      <c r="H625" s="165">
        <f t="shared" si="65"/>
        <v>44.228000000000002</v>
      </c>
      <c r="I625" s="165">
        <f t="shared" si="66"/>
        <v>33.170999999999999</v>
      </c>
      <c r="J625" s="166">
        <f t="shared" si="67"/>
        <v>55.284999999999997</v>
      </c>
      <c r="K625" s="166">
        <f t="shared" si="69"/>
        <v>55.284999999999997</v>
      </c>
      <c r="L625" s="165">
        <f t="shared" si="68"/>
        <v>1.9499875</v>
      </c>
      <c r="M625" s="168">
        <f t="shared" si="63"/>
        <v>0</v>
      </c>
      <c r="N625" s="236" t="s">
        <v>453</v>
      </c>
    </row>
    <row r="626" spans="1:14" ht="14">
      <c r="A626" s="149">
        <v>625</v>
      </c>
      <c r="B626" s="235" t="s">
        <v>52</v>
      </c>
      <c r="C626" s="231" t="s">
        <v>10</v>
      </c>
      <c r="D626" s="250" t="s">
        <v>1787</v>
      </c>
      <c r="E626" s="281">
        <v>0</v>
      </c>
      <c r="F626" s="249">
        <v>1898.4</v>
      </c>
      <c r="G626" s="164">
        <f t="shared" si="64"/>
        <v>11.248000000000001</v>
      </c>
      <c r="H626" s="165">
        <f t="shared" si="65"/>
        <v>22.496000000000002</v>
      </c>
      <c r="I626" s="165">
        <f t="shared" si="66"/>
        <v>16.872</v>
      </c>
      <c r="J626" s="166">
        <f t="shared" si="67"/>
        <v>28.12</v>
      </c>
      <c r="K626" s="166">
        <f t="shared" si="69"/>
        <v>28.12</v>
      </c>
      <c r="L626" s="165">
        <f t="shared" si="68"/>
        <v>1.4746000000000001</v>
      </c>
      <c r="M626" s="168">
        <f t="shared" si="63"/>
        <v>0</v>
      </c>
      <c r="N626" s="236" t="s">
        <v>453</v>
      </c>
    </row>
    <row r="627" spans="1:14" ht="14">
      <c r="A627" s="149">
        <v>626</v>
      </c>
      <c r="B627" s="235" t="s">
        <v>52</v>
      </c>
      <c r="C627" s="231" t="s">
        <v>10</v>
      </c>
      <c r="D627" s="250" t="s">
        <v>1789</v>
      </c>
      <c r="E627" s="281">
        <v>0</v>
      </c>
      <c r="F627" s="249">
        <v>570.15</v>
      </c>
      <c r="G627" s="164">
        <f t="shared" si="64"/>
        <v>3.6579999999999999</v>
      </c>
      <c r="H627" s="165">
        <f t="shared" si="65"/>
        <v>7.3159999999999998</v>
      </c>
      <c r="I627" s="165">
        <f t="shared" si="66"/>
        <v>5.4869999999999992</v>
      </c>
      <c r="J627" s="166">
        <f t="shared" si="67"/>
        <v>9.1449999999999996</v>
      </c>
      <c r="K627" s="166">
        <f t="shared" si="69"/>
        <v>9.1449999999999996</v>
      </c>
      <c r="L627" s="165">
        <f t="shared" si="68"/>
        <v>1.1425375</v>
      </c>
      <c r="M627" s="168">
        <f t="shared" si="63"/>
        <v>0</v>
      </c>
      <c r="N627" s="236" t="s">
        <v>453</v>
      </c>
    </row>
    <row r="628" spans="1:14" ht="14">
      <c r="A628" s="149">
        <v>627</v>
      </c>
      <c r="B628" s="235" t="s">
        <v>52</v>
      </c>
      <c r="C628" s="231" t="s">
        <v>10</v>
      </c>
      <c r="D628" s="250" t="s">
        <v>1791</v>
      </c>
      <c r="E628" s="281">
        <v>0</v>
      </c>
      <c r="F628" s="249">
        <v>315</v>
      </c>
      <c r="G628" s="164">
        <f t="shared" si="64"/>
        <v>2.2000000000000002</v>
      </c>
      <c r="H628" s="165">
        <f t="shared" si="65"/>
        <v>4.4000000000000004</v>
      </c>
      <c r="I628" s="165">
        <f t="shared" si="66"/>
        <v>3.3</v>
      </c>
      <c r="J628" s="166">
        <f t="shared" si="67"/>
        <v>5.5</v>
      </c>
      <c r="K628" s="166">
        <f t="shared" si="69"/>
        <v>5.5</v>
      </c>
      <c r="L628" s="165">
        <f t="shared" si="68"/>
        <v>1.0787500000000001</v>
      </c>
      <c r="M628" s="168">
        <f t="shared" si="63"/>
        <v>0</v>
      </c>
      <c r="N628" s="236" t="s">
        <v>453</v>
      </c>
    </row>
    <row r="629" spans="1:14" ht="14">
      <c r="A629" s="149">
        <v>628</v>
      </c>
      <c r="B629" s="235" t="s">
        <v>52</v>
      </c>
      <c r="C629" s="231" t="s">
        <v>10</v>
      </c>
      <c r="D629" s="250" t="s">
        <v>1793</v>
      </c>
      <c r="E629" s="281">
        <v>0</v>
      </c>
      <c r="F629" s="249">
        <v>355.95</v>
      </c>
      <c r="G629" s="164">
        <f t="shared" si="64"/>
        <v>2.4340000000000002</v>
      </c>
      <c r="H629" s="165">
        <f t="shared" si="65"/>
        <v>4.8680000000000003</v>
      </c>
      <c r="I629" s="165">
        <f t="shared" si="66"/>
        <v>3.6509999999999998</v>
      </c>
      <c r="J629" s="166">
        <f t="shared" si="67"/>
        <v>6.085</v>
      </c>
      <c r="K629" s="166">
        <f t="shared" si="69"/>
        <v>6.085</v>
      </c>
      <c r="L629" s="165">
        <f t="shared" si="68"/>
        <v>1.0889875</v>
      </c>
      <c r="M629" s="168">
        <f t="shared" si="63"/>
        <v>0</v>
      </c>
      <c r="N629" s="236" t="s">
        <v>453</v>
      </c>
    </row>
    <row r="630" spans="1:14" ht="14">
      <c r="A630" s="149">
        <v>629</v>
      </c>
      <c r="B630" s="235" t="s">
        <v>52</v>
      </c>
      <c r="C630" s="231" t="s">
        <v>10</v>
      </c>
      <c r="D630" s="250" t="s">
        <v>1795</v>
      </c>
      <c r="E630" s="281">
        <v>0</v>
      </c>
      <c r="F630" s="249">
        <v>3681.3</v>
      </c>
      <c r="G630" s="164">
        <f t="shared" si="64"/>
        <v>21.436000000000003</v>
      </c>
      <c r="H630" s="165">
        <f t="shared" si="65"/>
        <v>42.872000000000007</v>
      </c>
      <c r="I630" s="165">
        <f t="shared" si="66"/>
        <v>32.154000000000003</v>
      </c>
      <c r="J630" s="166">
        <f t="shared" si="67"/>
        <v>53.59</v>
      </c>
      <c r="K630" s="166">
        <f t="shared" si="69"/>
        <v>53.59</v>
      </c>
      <c r="L630" s="165">
        <f t="shared" si="68"/>
        <v>1.9203250000000001</v>
      </c>
      <c r="M630" s="168">
        <f t="shared" si="63"/>
        <v>0</v>
      </c>
      <c r="N630" s="236" t="s">
        <v>453</v>
      </c>
    </row>
    <row r="631" spans="1:14" ht="14">
      <c r="A631" s="149">
        <v>630</v>
      </c>
      <c r="B631" s="235" t="s">
        <v>52</v>
      </c>
      <c r="C631" s="231" t="s">
        <v>10</v>
      </c>
      <c r="D631" s="250" t="s">
        <v>1797</v>
      </c>
      <c r="E631" s="281">
        <v>0</v>
      </c>
      <c r="F631" s="249">
        <v>2867.55</v>
      </c>
      <c r="G631" s="164">
        <f t="shared" si="64"/>
        <v>16.786000000000001</v>
      </c>
      <c r="H631" s="165">
        <f t="shared" si="65"/>
        <v>33.572000000000003</v>
      </c>
      <c r="I631" s="165">
        <f t="shared" si="66"/>
        <v>25.179000000000002</v>
      </c>
      <c r="J631" s="166">
        <f t="shared" si="67"/>
        <v>41.965000000000003</v>
      </c>
      <c r="K631" s="166">
        <f t="shared" si="69"/>
        <v>41.965000000000003</v>
      </c>
      <c r="L631" s="165">
        <f t="shared" si="68"/>
        <v>1.7168874999999999</v>
      </c>
      <c r="M631" s="168">
        <f t="shared" si="63"/>
        <v>0</v>
      </c>
      <c r="N631" s="236" t="s">
        <v>453</v>
      </c>
    </row>
    <row r="632" spans="1:14" ht="14">
      <c r="A632" s="149">
        <v>631</v>
      </c>
      <c r="B632" s="235" t="s">
        <v>52</v>
      </c>
      <c r="C632" s="231" t="s">
        <v>10</v>
      </c>
      <c r="D632" s="250" t="s">
        <v>1799</v>
      </c>
      <c r="E632" s="281">
        <v>0</v>
      </c>
      <c r="F632" s="249">
        <v>315</v>
      </c>
      <c r="G632" s="164">
        <f t="shared" si="64"/>
        <v>2.2000000000000002</v>
      </c>
      <c r="H632" s="165">
        <f t="shared" si="65"/>
        <v>4.4000000000000004</v>
      </c>
      <c r="I632" s="165">
        <f t="shared" si="66"/>
        <v>3.3</v>
      </c>
      <c r="J632" s="166">
        <f t="shared" si="67"/>
        <v>5.5</v>
      </c>
      <c r="K632" s="166">
        <f t="shared" si="69"/>
        <v>5.5</v>
      </c>
      <c r="L632" s="165">
        <f t="shared" si="68"/>
        <v>1.0787500000000001</v>
      </c>
      <c r="M632" s="168">
        <f t="shared" si="63"/>
        <v>0</v>
      </c>
      <c r="N632" s="236" t="s">
        <v>453</v>
      </c>
    </row>
    <row r="633" spans="1:14" ht="14">
      <c r="A633" s="149">
        <v>632</v>
      </c>
      <c r="B633" s="235" t="s">
        <v>52</v>
      </c>
      <c r="C633" s="231" t="s">
        <v>10</v>
      </c>
      <c r="D633" s="250" t="s">
        <v>1801</v>
      </c>
      <c r="E633" s="281">
        <v>0</v>
      </c>
      <c r="F633" s="249">
        <v>1421.7</v>
      </c>
      <c r="G633" s="164">
        <f t="shared" si="64"/>
        <v>8.5240000000000009</v>
      </c>
      <c r="H633" s="165">
        <f t="shared" si="65"/>
        <v>17.048000000000002</v>
      </c>
      <c r="I633" s="165">
        <f t="shared" si="66"/>
        <v>12.786000000000001</v>
      </c>
      <c r="J633" s="166">
        <f t="shared" si="67"/>
        <v>21.310000000000002</v>
      </c>
      <c r="K633" s="166">
        <f t="shared" si="69"/>
        <v>21.310000000000002</v>
      </c>
      <c r="L633" s="165">
        <f t="shared" si="68"/>
        <v>1.3554249999999999</v>
      </c>
      <c r="M633" s="168">
        <f t="shared" si="63"/>
        <v>0</v>
      </c>
      <c r="N633" s="236" t="s">
        <v>453</v>
      </c>
    </row>
    <row r="634" spans="1:14" ht="14">
      <c r="A634" s="149">
        <v>633</v>
      </c>
      <c r="B634" s="235" t="s">
        <v>52</v>
      </c>
      <c r="C634" s="231" t="s">
        <v>10</v>
      </c>
      <c r="D634" s="250" t="s">
        <v>1803</v>
      </c>
      <c r="E634" s="281">
        <v>0</v>
      </c>
      <c r="F634" s="249">
        <v>506.1</v>
      </c>
      <c r="G634" s="164">
        <f t="shared" si="64"/>
        <v>3.2920000000000003</v>
      </c>
      <c r="H634" s="165">
        <f t="shared" si="65"/>
        <v>6.5840000000000005</v>
      </c>
      <c r="I634" s="165">
        <f t="shared" si="66"/>
        <v>4.9379999999999997</v>
      </c>
      <c r="J634" s="166">
        <f t="shared" si="67"/>
        <v>8.23</v>
      </c>
      <c r="K634" s="166">
        <f t="shared" si="69"/>
        <v>8.23</v>
      </c>
      <c r="L634" s="165">
        <f t="shared" si="68"/>
        <v>1.126525</v>
      </c>
      <c r="M634" s="168">
        <f t="shared" si="63"/>
        <v>0</v>
      </c>
      <c r="N634" s="236" t="s">
        <v>453</v>
      </c>
    </row>
    <row r="635" spans="1:14" ht="14">
      <c r="A635" s="149">
        <v>634</v>
      </c>
      <c r="B635" s="235" t="s">
        <v>52</v>
      </c>
      <c r="C635" s="231" t="s">
        <v>10</v>
      </c>
      <c r="D635" s="250" t="s">
        <v>1805</v>
      </c>
      <c r="E635" s="281">
        <v>0</v>
      </c>
      <c r="F635" s="249">
        <v>345.45</v>
      </c>
      <c r="G635" s="164">
        <f t="shared" si="64"/>
        <v>2.3740000000000001</v>
      </c>
      <c r="H635" s="165">
        <f t="shared" si="65"/>
        <v>4.7480000000000002</v>
      </c>
      <c r="I635" s="165">
        <f t="shared" si="66"/>
        <v>3.5609999999999995</v>
      </c>
      <c r="J635" s="166">
        <f t="shared" si="67"/>
        <v>5.9349999999999996</v>
      </c>
      <c r="K635" s="166">
        <f t="shared" si="69"/>
        <v>5.9349999999999996</v>
      </c>
      <c r="L635" s="165">
        <f t="shared" si="68"/>
        <v>1.0863624999999999</v>
      </c>
      <c r="M635" s="168">
        <f t="shared" si="63"/>
        <v>0</v>
      </c>
      <c r="N635" s="236" t="s">
        <v>453</v>
      </c>
    </row>
    <row r="636" spans="1:14" ht="14">
      <c r="A636" s="149">
        <v>635</v>
      </c>
      <c r="B636" s="235" t="s">
        <v>52</v>
      </c>
      <c r="C636" s="231" t="s">
        <v>10</v>
      </c>
      <c r="D636" s="250" t="s">
        <v>1807</v>
      </c>
      <c r="E636" s="281">
        <v>0</v>
      </c>
      <c r="F636" s="249">
        <v>653.1</v>
      </c>
      <c r="G636" s="164">
        <f t="shared" si="64"/>
        <v>4.1320000000000006</v>
      </c>
      <c r="H636" s="165">
        <f t="shared" si="65"/>
        <v>8.2640000000000011</v>
      </c>
      <c r="I636" s="165">
        <f t="shared" si="66"/>
        <v>6.1979999999999995</v>
      </c>
      <c r="J636" s="166">
        <f t="shared" si="67"/>
        <v>10.33</v>
      </c>
      <c r="K636" s="166">
        <f t="shared" si="69"/>
        <v>10.33</v>
      </c>
      <c r="L636" s="165">
        <f t="shared" si="68"/>
        <v>1.1632750000000001</v>
      </c>
      <c r="M636" s="168">
        <f t="shared" si="63"/>
        <v>0</v>
      </c>
      <c r="N636" s="236" t="s">
        <v>453</v>
      </c>
    </row>
    <row r="637" spans="1:14" ht="14">
      <c r="A637" s="149">
        <v>636</v>
      </c>
      <c r="B637" s="235" t="s">
        <v>52</v>
      </c>
      <c r="C637" s="231" t="s">
        <v>10</v>
      </c>
      <c r="D637" s="250" t="s">
        <v>1809</v>
      </c>
      <c r="E637" s="281">
        <v>0</v>
      </c>
      <c r="F637" s="249">
        <v>798</v>
      </c>
      <c r="G637" s="164">
        <f t="shared" si="64"/>
        <v>4.9600000000000009</v>
      </c>
      <c r="H637" s="165">
        <f t="shared" si="65"/>
        <v>9.9200000000000017</v>
      </c>
      <c r="I637" s="165">
        <f t="shared" si="66"/>
        <v>7.4399999999999995</v>
      </c>
      <c r="J637" s="166">
        <f t="shared" si="67"/>
        <v>12.4</v>
      </c>
      <c r="K637" s="166">
        <f t="shared" si="69"/>
        <v>12.4</v>
      </c>
      <c r="L637" s="165">
        <f t="shared" si="68"/>
        <v>1.1995</v>
      </c>
      <c r="M637" s="168">
        <f t="shared" si="63"/>
        <v>0</v>
      </c>
      <c r="N637" s="236" t="s">
        <v>453</v>
      </c>
    </row>
    <row r="638" spans="1:14" ht="14">
      <c r="A638" s="149">
        <v>637</v>
      </c>
      <c r="B638" s="235" t="s">
        <v>52</v>
      </c>
      <c r="C638" s="231" t="s">
        <v>10</v>
      </c>
      <c r="D638" s="250" t="s">
        <v>1059</v>
      </c>
      <c r="E638" s="281">
        <v>0</v>
      </c>
      <c r="F638" s="249">
        <v>1500</v>
      </c>
      <c r="G638" s="164">
        <f t="shared" si="64"/>
        <v>8.9714285714285715</v>
      </c>
      <c r="H638" s="165">
        <f t="shared" si="65"/>
        <v>17.942857142857143</v>
      </c>
      <c r="I638" s="165">
        <f t="shared" si="66"/>
        <v>13.457142857142856</v>
      </c>
      <c r="J638" s="166">
        <f t="shared" si="67"/>
        <v>22.428571428571427</v>
      </c>
      <c r="K638" s="166">
        <f t="shared" si="69"/>
        <v>22.428571428571427</v>
      </c>
      <c r="L638" s="165">
        <f t="shared" si="68"/>
        <v>1.375</v>
      </c>
      <c r="M638" s="168">
        <f t="shared" si="63"/>
        <v>0</v>
      </c>
      <c r="N638" s="236" t="s">
        <v>453</v>
      </c>
    </row>
    <row r="639" spans="1:14" ht="14">
      <c r="A639" s="149">
        <v>638</v>
      </c>
      <c r="B639" s="235" t="s">
        <v>52</v>
      </c>
      <c r="C639" s="231" t="s">
        <v>10</v>
      </c>
      <c r="D639" s="250" t="s">
        <v>1812</v>
      </c>
      <c r="E639" s="281">
        <v>0</v>
      </c>
      <c r="F639" s="249">
        <v>315</v>
      </c>
      <c r="G639" s="164">
        <f t="shared" si="64"/>
        <v>2.2000000000000002</v>
      </c>
      <c r="H639" s="165">
        <f t="shared" si="65"/>
        <v>4.4000000000000004</v>
      </c>
      <c r="I639" s="165">
        <f t="shared" si="66"/>
        <v>3.3</v>
      </c>
      <c r="J639" s="166">
        <f t="shared" si="67"/>
        <v>5.5</v>
      </c>
      <c r="K639" s="166">
        <f t="shared" si="69"/>
        <v>5.5</v>
      </c>
      <c r="L639" s="165">
        <f t="shared" si="68"/>
        <v>1.0787500000000001</v>
      </c>
      <c r="M639" s="168">
        <f t="shared" si="63"/>
        <v>0</v>
      </c>
      <c r="N639" s="236" t="s">
        <v>453</v>
      </c>
    </row>
    <row r="640" spans="1:14" ht="14">
      <c r="A640" s="149">
        <v>639</v>
      </c>
      <c r="B640" s="235" t="s">
        <v>52</v>
      </c>
      <c r="C640" s="231" t="s">
        <v>10</v>
      </c>
      <c r="D640" s="250" t="s">
        <v>1813</v>
      </c>
      <c r="E640" s="281">
        <v>0</v>
      </c>
      <c r="F640" s="249">
        <v>889.35</v>
      </c>
      <c r="G640" s="164">
        <f t="shared" si="64"/>
        <v>5.4820000000000002</v>
      </c>
      <c r="H640" s="165">
        <f t="shared" si="65"/>
        <v>10.964</v>
      </c>
      <c r="I640" s="165">
        <f t="shared" si="66"/>
        <v>8.222999999999999</v>
      </c>
      <c r="J640" s="166">
        <f t="shared" si="67"/>
        <v>13.704999999999998</v>
      </c>
      <c r="K640" s="166">
        <f t="shared" si="69"/>
        <v>13.704999999999998</v>
      </c>
      <c r="L640" s="165">
        <f t="shared" si="68"/>
        <v>1.2223375000000001</v>
      </c>
      <c r="M640" s="168">
        <f t="shared" si="63"/>
        <v>0</v>
      </c>
      <c r="N640" s="236" t="s">
        <v>453</v>
      </c>
    </row>
    <row r="641" spans="1:14" ht="14">
      <c r="A641" s="149">
        <v>640</v>
      </c>
      <c r="B641" s="235" t="s">
        <v>52</v>
      </c>
      <c r="C641" s="231" t="s">
        <v>10</v>
      </c>
      <c r="D641" s="250" t="s">
        <v>1815</v>
      </c>
      <c r="E641" s="281">
        <v>0</v>
      </c>
      <c r="F641" s="249">
        <v>3582.6</v>
      </c>
      <c r="G641" s="164">
        <f t="shared" si="64"/>
        <v>20.872</v>
      </c>
      <c r="H641" s="165">
        <f t="shared" si="65"/>
        <v>41.744</v>
      </c>
      <c r="I641" s="165">
        <f t="shared" si="66"/>
        <v>31.308</v>
      </c>
      <c r="J641" s="166">
        <f t="shared" si="67"/>
        <v>52.18</v>
      </c>
      <c r="K641" s="166">
        <f t="shared" si="69"/>
        <v>52.18</v>
      </c>
      <c r="L641" s="165">
        <f t="shared" si="68"/>
        <v>1.8956499999999998</v>
      </c>
      <c r="M641" s="168">
        <f t="shared" si="63"/>
        <v>0</v>
      </c>
      <c r="N641" s="236" t="s">
        <v>453</v>
      </c>
    </row>
    <row r="642" spans="1:14" ht="14">
      <c r="A642" s="149">
        <v>641</v>
      </c>
      <c r="B642" s="235" t="s">
        <v>52</v>
      </c>
      <c r="C642" s="231" t="s">
        <v>10</v>
      </c>
      <c r="D642" s="250" t="s">
        <v>1817</v>
      </c>
      <c r="E642" s="281">
        <v>0</v>
      </c>
      <c r="F642" s="249">
        <v>658.35</v>
      </c>
      <c r="G642" s="164">
        <f t="shared" si="64"/>
        <v>4.1620000000000008</v>
      </c>
      <c r="H642" s="165">
        <f t="shared" si="65"/>
        <v>8.3240000000000016</v>
      </c>
      <c r="I642" s="165">
        <f t="shared" si="66"/>
        <v>6.2430000000000003</v>
      </c>
      <c r="J642" s="166">
        <f t="shared" si="67"/>
        <v>10.405000000000001</v>
      </c>
      <c r="K642" s="166">
        <f t="shared" si="69"/>
        <v>10.405000000000001</v>
      </c>
      <c r="L642" s="165">
        <f t="shared" si="68"/>
        <v>1.1645875000000001</v>
      </c>
      <c r="M642" s="168">
        <f t="shared" ref="M642:M705" si="70">E642/60</f>
        <v>0</v>
      </c>
      <c r="N642" s="236" t="s">
        <v>453</v>
      </c>
    </row>
    <row r="643" spans="1:14" ht="14">
      <c r="A643" s="149">
        <v>642</v>
      </c>
      <c r="B643" s="235" t="s">
        <v>52</v>
      </c>
      <c r="C643" s="231" t="s">
        <v>10</v>
      </c>
      <c r="D643" s="250" t="s">
        <v>1819</v>
      </c>
      <c r="E643" s="281">
        <v>0</v>
      </c>
      <c r="F643" s="249">
        <v>387.45</v>
      </c>
      <c r="G643" s="164">
        <f t="shared" ref="G643:G706" si="71">(((F643/70)+1)*0.4)</f>
        <v>2.6140000000000003</v>
      </c>
      <c r="H643" s="165">
        <f t="shared" ref="H643:H706" si="72">G643*2</f>
        <v>5.2280000000000006</v>
      </c>
      <c r="I643" s="165">
        <f t="shared" ref="I643:I706" si="73">(((F643/70)+1)*0.6)</f>
        <v>3.9209999999999998</v>
      </c>
      <c r="J643" s="166">
        <f t="shared" ref="J643:J706" si="74">I643+G643</f>
        <v>6.5350000000000001</v>
      </c>
      <c r="K643" s="166">
        <f t="shared" si="69"/>
        <v>6.5350000000000001</v>
      </c>
      <c r="L643" s="165">
        <f t="shared" ref="L643:L706" si="75">(F643/4000)+1</f>
        <v>1.0968625000000001</v>
      </c>
      <c r="M643" s="168">
        <f t="shared" si="70"/>
        <v>0</v>
      </c>
      <c r="N643" s="236" t="s">
        <v>453</v>
      </c>
    </row>
    <row r="644" spans="1:14" ht="14">
      <c r="A644" s="149">
        <v>643</v>
      </c>
      <c r="B644" s="235" t="s">
        <v>52</v>
      </c>
      <c r="C644" s="231" t="s">
        <v>10</v>
      </c>
      <c r="D644" s="250" t="s">
        <v>1821</v>
      </c>
      <c r="E644" s="281">
        <v>0</v>
      </c>
      <c r="F644" s="249">
        <v>787.5</v>
      </c>
      <c r="G644" s="164">
        <f t="shared" si="71"/>
        <v>4.9000000000000004</v>
      </c>
      <c r="H644" s="165">
        <f t="shared" si="72"/>
        <v>9.8000000000000007</v>
      </c>
      <c r="I644" s="165">
        <f t="shared" si="73"/>
        <v>7.35</v>
      </c>
      <c r="J644" s="166">
        <f t="shared" si="74"/>
        <v>12.25</v>
      </c>
      <c r="K644" s="166">
        <f t="shared" ref="K644:K707" si="76">J644</f>
        <v>12.25</v>
      </c>
      <c r="L644" s="165">
        <f t="shared" si="75"/>
        <v>1.1968749999999999</v>
      </c>
      <c r="M644" s="168">
        <f t="shared" si="70"/>
        <v>0</v>
      </c>
      <c r="N644" s="236" t="s">
        <v>453</v>
      </c>
    </row>
    <row r="645" spans="1:14" ht="14">
      <c r="A645" s="149">
        <v>644</v>
      </c>
      <c r="B645" s="235" t="s">
        <v>52</v>
      </c>
      <c r="C645" s="231" t="s">
        <v>10</v>
      </c>
      <c r="D645" s="250" t="s">
        <v>4696</v>
      </c>
      <c r="E645" s="281">
        <v>0</v>
      </c>
      <c r="F645" s="249">
        <v>3078</v>
      </c>
      <c r="G645" s="164">
        <f t="shared" si="71"/>
        <v>17.988571428571429</v>
      </c>
      <c r="H645" s="165">
        <f t="shared" si="72"/>
        <v>35.977142857142859</v>
      </c>
      <c r="I645" s="165">
        <f t="shared" si="73"/>
        <v>26.982857142857139</v>
      </c>
      <c r="J645" s="166">
        <f t="shared" si="74"/>
        <v>44.971428571428568</v>
      </c>
      <c r="K645" s="166">
        <f t="shared" si="76"/>
        <v>44.971428571428568</v>
      </c>
      <c r="L645" s="165">
        <f t="shared" si="75"/>
        <v>1.7694999999999999</v>
      </c>
      <c r="M645" s="168">
        <f t="shared" si="70"/>
        <v>0</v>
      </c>
      <c r="N645" s="236" t="s">
        <v>453</v>
      </c>
    </row>
    <row r="646" spans="1:14" ht="14">
      <c r="A646" s="149">
        <v>645</v>
      </c>
      <c r="B646" s="235" t="s">
        <v>52</v>
      </c>
      <c r="C646" s="231" t="s">
        <v>10</v>
      </c>
      <c r="D646" s="250" t="s">
        <v>1824</v>
      </c>
      <c r="E646" s="281">
        <v>0</v>
      </c>
      <c r="F646" s="249">
        <v>2021.25</v>
      </c>
      <c r="G646" s="164">
        <f t="shared" si="71"/>
        <v>11.950000000000001</v>
      </c>
      <c r="H646" s="165">
        <f t="shared" si="72"/>
        <v>23.900000000000002</v>
      </c>
      <c r="I646" s="165">
        <f t="shared" si="73"/>
        <v>17.925000000000001</v>
      </c>
      <c r="J646" s="166">
        <f t="shared" si="74"/>
        <v>29.875</v>
      </c>
      <c r="K646" s="166">
        <f t="shared" si="76"/>
        <v>29.875</v>
      </c>
      <c r="L646" s="165">
        <f t="shared" si="75"/>
        <v>1.5053125000000001</v>
      </c>
      <c r="M646" s="168">
        <f t="shared" si="70"/>
        <v>0</v>
      </c>
      <c r="N646" s="236" t="s">
        <v>453</v>
      </c>
    </row>
    <row r="647" spans="1:14" ht="14">
      <c r="A647" s="149">
        <v>646</v>
      </c>
      <c r="B647" s="235" t="s">
        <v>52</v>
      </c>
      <c r="C647" s="231" t="s">
        <v>10</v>
      </c>
      <c r="D647" s="250" t="s">
        <v>1826</v>
      </c>
      <c r="E647" s="281">
        <v>0</v>
      </c>
      <c r="F647" s="249">
        <v>337.05</v>
      </c>
      <c r="G647" s="164">
        <f t="shared" si="71"/>
        <v>2.3260000000000001</v>
      </c>
      <c r="H647" s="165">
        <f t="shared" si="72"/>
        <v>4.6520000000000001</v>
      </c>
      <c r="I647" s="165">
        <f t="shared" si="73"/>
        <v>3.4890000000000003</v>
      </c>
      <c r="J647" s="166">
        <f t="shared" si="74"/>
        <v>5.8150000000000004</v>
      </c>
      <c r="K647" s="166">
        <f t="shared" si="76"/>
        <v>5.8150000000000004</v>
      </c>
      <c r="L647" s="165">
        <f t="shared" si="75"/>
        <v>1.0842624999999999</v>
      </c>
      <c r="M647" s="168">
        <f t="shared" si="70"/>
        <v>0</v>
      </c>
      <c r="N647" s="236" t="s">
        <v>453</v>
      </c>
    </row>
    <row r="648" spans="1:14" ht="14">
      <c r="A648" s="149">
        <v>647</v>
      </c>
      <c r="B648" s="235" t="s">
        <v>52</v>
      </c>
      <c r="C648" s="231" t="s">
        <v>10</v>
      </c>
      <c r="D648" s="250" t="s">
        <v>1828</v>
      </c>
      <c r="E648" s="281">
        <v>0</v>
      </c>
      <c r="F648" s="249">
        <v>4548.6000000000004</v>
      </c>
      <c r="G648" s="164">
        <f t="shared" si="71"/>
        <v>26.392000000000003</v>
      </c>
      <c r="H648" s="165">
        <f t="shared" si="72"/>
        <v>52.784000000000006</v>
      </c>
      <c r="I648" s="165">
        <f t="shared" si="73"/>
        <v>39.588000000000001</v>
      </c>
      <c r="J648" s="166">
        <f t="shared" si="74"/>
        <v>65.98</v>
      </c>
      <c r="K648" s="166">
        <f t="shared" si="76"/>
        <v>65.98</v>
      </c>
      <c r="L648" s="165">
        <f t="shared" si="75"/>
        <v>2.1371500000000001</v>
      </c>
      <c r="M648" s="168">
        <f t="shared" si="70"/>
        <v>0</v>
      </c>
      <c r="N648" s="236" t="s">
        <v>453</v>
      </c>
    </row>
    <row r="649" spans="1:14" ht="14">
      <c r="A649" s="149">
        <v>648</v>
      </c>
      <c r="B649" s="235" t="s">
        <v>55</v>
      </c>
      <c r="C649" s="231" t="s">
        <v>10</v>
      </c>
      <c r="D649" s="250" t="s">
        <v>1830</v>
      </c>
      <c r="E649" s="281">
        <v>0</v>
      </c>
      <c r="F649" s="249">
        <v>973.35</v>
      </c>
      <c r="G649" s="164">
        <f t="shared" si="71"/>
        <v>5.9620000000000006</v>
      </c>
      <c r="H649" s="165">
        <f t="shared" si="72"/>
        <v>11.924000000000001</v>
      </c>
      <c r="I649" s="165">
        <f t="shared" si="73"/>
        <v>8.9429999999999996</v>
      </c>
      <c r="J649" s="166">
        <f t="shared" si="74"/>
        <v>14.905000000000001</v>
      </c>
      <c r="K649" s="166">
        <f t="shared" si="76"/>
        <v>14.905000000000001</v>
      </c>
      <c r="L649" s="165">
        <f t="shared" si="75"/>
        <v>1.2433375</v>
      </c>
      <c r="M649" s="168">
        <f t="shared" si="70"/>
        <v>0</v>
      </c>
      <c r="N649" s="236" t="s">
        <v>453</v>
      </c>
    </row>
    <row r="650" spans="1:14" ht="14">
      <c r="A650" s="149">
        <v>649</v>
      </c>
      <c r="B650" s="235" t="s">
        <v>52</v>
      </c>
      <c r="C650" s="231" t="s">
        <v>10</v>
      </c>
      <c r="D650" s="250" t="s">
        <v>1832</v>
      </c>
      <c r="E650" s="281">
        <v>0</v>
      </c>
      <c r="F650" s="249">
        <v>4446.75</v>
      </c>
      <c r="G650" s="164">
        <f t="shared" si="71"/>
        <v>25.810000000000002</v>
      </c>
      <c r="H650" s="165">
        <f t="shared" si="72"/>
        <v>51.620000000000005</v>
      </c>
      <c r="I650" s="165">
        <f t="shared" si="73"/>
        <v>38.715000000000003</v>
      </c>
      <c r="J650" s="166">
        <f t="shared" si="74"/>
        <v>64.525000000000006</v>
      </c>
      <c r="K650" s="166">
        <f t="shared" si="76"/>
        <v>64.525000000000006</v>
      </c>
      <c r="L650" s="165">
        <f t="shared" si="75"/>
        <v>2.1116874999999999</v>
      </c>
      <c r="M650" s="168">
        <f t="shared" si="70"/>
        <v>0</v>
      </c>
      <c r="N650" s="236" t="s">
        <v>453</v>
      </c>
    </row>
    <row r="651" spans="1:14" ht="14">
      <c r="A651" s="149">
        <v>650</v>
      </c>
      <c r="B651" s="235" t="s">
        <v>52</v>
      </c>
      <c r="C651" s="231" t="s">
        <v>10</v>
      </c>
      <c r="D651" s="250" t="s">
        <v>1834</v>
      </c>
      <c r="E651" s="281">
        <v>0</v>
      </c>
      <c r="F651" s="249">
        <v>443.1</v>
      </c>
      <c r="G651" s="164">
        <f t="shared" si="71"/>
        <v>2.9320000000000004</v>
      </c>
      <c r="H651" s="165">
        <f t="shared" si="72"/>
        <v>5.8640000000000008</v>
      </c>
      <c r="I651" s="165">
        <f t="shared" si="73"/>
        <v>4.3979999999999997</v>
      </c>
      <c r="J651" s="166">
        <f t="shared" si="74"/>
        <v>7.33</v>
      </c>
      <c r="K651" s="166">
        <f t="shared" si="76"/>
        <v>7.33</v>
      </c>
      <c r="L651" s="165">
        <f t="shared" si="75"/>
        <v>1.1107750000000001</v>
      </c>
      <c r="M651" s="168">
        <f t="shared" si="70"/>
        <v>0</v>
      </c>
      <c r="N651" s="236" t="s">
        <v>453</v>
      </c>
    </row>
    <row r="652" spans="1:14" ht="14">
      <c r="A652" s="149">
        <v>651</v>
      </c>
      <c r="B652" s="235" t="s">
        <v>52</v>
      </c>
      <c r="C652" s="231" t="s">
        <v>10</v>
      </c>
      <c r="D652" s="250" t="s">
        <v>1836</v>
      </c>
      <c r="E652" s="281">
        <v>0</v>
      </c>
      <c r="F652" s="249">
        <v>2556.75</v>
      </c>
      <c r="G652" s="164">
        <f t="shared" si="71"/>
        <v>15.01</v>
      </c>
      <c r="H652" s="165">
        <f t="shared" si="72"/>
        <v>30.02</v>
      </c>
      <c r="I652" s="165">
        <f t="shared" si="73"/>
        <v>22.514999999999997</v>
      </c>
      <c r="J652" s="166">
        <f t="shared" si="74"/>
        <v>37.524999999999999</v>
      </c>
      <c r="K652" s="166">
        <f t="shared" si="76"/>
        <v>37.524999999999999</v>
      </c>
      <c r="L652" s="165">
        <f t="shared" si="75"/>
        <v>1.6391875</v>
      </c>
      <c r="M652" s="168">
        <f t="shared" si="70"/>
        <v>0</v>
      </c>
      <c r="N652" s="236" t="s">
        <v>453</v>
      </c>
    </row>
    <row r="653" spans="1:14" ht="14">
      <c r="A653" s="149">
        <v>652</v>
      </c>
      <c r="B653" s="235" t="s">
        <v>52</v>
      </c>
      <c r="C653" s="231" t="s">
        <v>10</v>
      </c>
      <c r="D653" s="250" t="s">
        <v>1838</v>
      </c>
      <c r="E653" s="281">
        <v>0</v>
      </c>
      <c r="F653" s="249">
        <v>1347.15</v>
      </c>
      <c r="G653" s="164">
        <f t="shared" si="71"/>
        <v>8.0980000000000008</v>
      </c>
      <c r="H653" s="165">
        <f t="shared" si="72"/>
        <v>16.196000000000002</v>
      </c>
      <c r="I653" s="165">
        <f t="shared" si="73"/>
        <v>12.147</v>
      </c>
      <c r="J653" s="166">
        <f t="shared" si="74"/>
        <v>20.245000000000001</v>
      </c>
      <c r="K653" s="166">
        <f t="shared" si="76"/>
        <v>20.245000000000001</v>
      </c>
      <c r="L653" s="165">
        <f t="shared" si="75"/>
        <v>1.3367875</v>
      </c>
      <c r="M653" s="168">
        <f t="shared" si="70"/>
        <v>0</v>
      </c>
      <c r="N653" s="236" t="s">
        <v>453</v>
      </c>
    </row>
    <row r="654" spans="1:14" ht="14">
      <c r="A654" s="149">
        <v>653</v>
      </c>
      <c r="B654" s="235" t="s">
        <v>52</v>
      </c>
      <c r="C654" s="231" t="s">
        <v>10</v>
      </c>
      <c r="D654" s="250" t="s">
        <v>4675</v>
      </c>
      <c r="E654" s="281">
        <v>0</v>
      </c>
      <c r="F654" s="249">
        <v>614.25</v>
      </c>
      <c r="G654" s="164">
        <f t="shared" si="71"/>
        <v>3.91</v>
      </c>
      <c r="H654" s="165">
        <f t="shared" si="72"/>
        <v>7.82</v>
      </c>
      <c r="I654" s="165">
        <f t="shared" si="73"/>
        <v>5.8650000000000002</v>
      </c>
      <c r="J654" s="166">
        <f t="shared" si="74"/>
        <v>9.7750000000000004</v>
      </c>
      <c r="K654" s="166">
        <f t="shared" si="76"/>
        <v>9.7750000000000004</v>
      </c>
      <c r="L654" s="165">
        <f t="shared" si="75"/>
        <v>1.1535625</v>
      </c>
      <c r="M654" s="168">
        <f t="shared" si="70"/>
        <v>0</v>
      </c>
      <c r="N654" s="236" t="s">
        <v>453</v>
      </c>
    </row>
    <row r="655" spans="1:14" ht="14">
      <c r="A655" s="149">
        <v>654</v>
      </c>
      <c r="B655" s="235" t="s">
        <v>52</v>
      </c>
      <c r="C655" s="231" t="s">
        <v>10</v>
      </c>
      <c r="D655" s="250" t="s">
        <v>1841</v>
      </c>
      <c r="E655" s="281">
        <v>0</v>
      </c>
      <c r="F655" s="249">
        <v>1708.35</v>
      </c>
      <c r="G655" s="164">
        <f t="shared" si="71"/>
        <v>10.161999999999999</v>
      </c>
      <c r="H655" s="165">
        <f t="shared" si="72"/>
        <v>20.323999999999998</v>
      </c>
      <c r="I655" s="165">
        <f t="shared" si="73"/>
        <v>15.242999999999999</v>
      </c>
      <c r="J655" s="166">
        <f t="shared" si="74"/>
        <v>25.404999999999998</v>
      </c>
      <c r="K655" s="166">
        <f t="shared" si="76"/>
        <v>25.404999999999998</v>
      </c>
      <c r="L655" s="165">
        <f t="shared" si="75"/>
        <v>1.4270874999999998</v>
      </c>
      <c r="M655" s="168">
        <f t="shared" si="70"/>
        <v>0</v>
      </c>
      <c r="N655" s="236" t="s">
        <v>453</v>
      </c>
    </row>
    <row r="656" spans="1:14" ht="14">
      <c r="A656" s="149">
        <v>655</v>
      </c>
      <c r="B656" s="235" t="s">
        <v>52</v>
      </c>
      <c r="C656" s="231" t="s">
        <v>10</v>
      </c>
      <c r="D656" s="250" t="s">
        <v>1844</v>
      </c>
      <c r="E656" s="281">
        <v>0</v>
      </c>
      <c r="F656" s="249">
        <v>315</v>
      </c>
      <c r="G656" s="164">
        <f t="shared" si="71"/>
        <v>2.2000000000000002</v>
      </c>
      <c r="H656" s="165">
        <f t="shared" si="72"/>
        <v>4.4000000000000004</v>
      </c>
      <c r="I656" s="165">
        <f t="shared" si="73"/>
        <v>3.3</v>
      </c>
      <c r="J656" s="166">
        <f t="shared" si="74"/>
        <v>5.5</v>
      </c>
      <c r="K656" s="166">
        <f t="shared" si="76"/>
        <v>5.5</v>
      </c>
      <c r="L656" s="165">
        <f t="shared" si="75"/>
        <v>1.0787500000000001</v>
      </c>
      <c r="M656" s="168">
        <f t="shared" si="70"/>
        <v>0</v>
      </c>
      <c r="N656" s="236" t="s">
        <v>453</v>
      </c>
    </row>
    <row r="657" spans="1:14" ht="14">
      <c r="A657" s="149">
        <v>656</v>
      </c>
      <c r="B657" s="235" t="s">
        <v>52</v>
      </c>
      <c r="C657" s="231" t="s">
        <v>10</v>
      </c>
      <c r="D657" s="250" t="s">
        <v>1846</v>
      </c>
      <c r="E657" s="281">
        <v>0</v>
      </c>
      <c r="F657" s="249">
        <v>3200</v>
      </c>
      <c r="G657" s="164">
        <f t="shared" si="71"/>
        <v>18.685714285714287</v>
      </c>
      <c r="H657" s="165">
        <f t="shared" si="72"/>
        <v>37.371428571428574</v>
      </c>
      <c r="I657" s="165">
        <f t="shared" si="73"/>
        <v>28.028571428571428</v>
      </c>
      <c r="J657" s="166">
        <f t="shared" si="74"/>
        <v>46.714285714285715</v>
      </c>
      <c r="K657" s="166">
        <f t="shared" si="76"/>
        <v>46.714285714285715</v>
      </c>
      <c r="L657" s="165">
        <f t="shared" si="75"/>
        <v>1.8</v>
      </c>
      <c r="M657" s="168">
        <f t="shared" si="70"/>
        <v>0</v>
      </c>
      <c r="N657" s="236" t="s">
        <v>453</v>
      </c>
    </row>
    <row r="658" spans="1:14" ht="14">
      <c r="A658" s="149">
        <v>657</v>
      </c>
      <c r="B658" s="235" t="s">
        <v>52</v>
      </c>
      <c r="C658" s="231" t="s">
        <v>10</v>
      </c>
      <c r="D658" s="250" t="s">
        <v>1848</v>
      </c>
      <c r="E658" s="281">
        <v>0</v>
      </c>
      <c r="F658" s="249">
        <v>1260</v>
      </c>
      <c r="G658" s="164">
        <f t="shared" si="71"/>
        <v>7.6000000000000005</v>
      </c>
      <c r="H658" s="165">
        <f t="shared" si="72"/>
        <v>15.200000000000001</v>
      </c>
      <c r="I658" s="165">
        <f t="shared" si="73"/>
        <v>11.4</v>
      </c>
      <c r="J658" s="166">
        <f t="shared" si="74"/>
        <v>19</v>
      </c>
      <c r="K658" s="166">
        <f t="shared" si="76"/>
        <v>19</v>
      </c>
      <c r="L658" s="165">
        <f t="shared" si="75"/>
        <v>1.3149999999999999</v>
      </c>
      <c r="M658" s="168">
        <f t="shared" si="70"/>
        <v>0</v>
      </c>
      <c r="N658" s="236" t="s">
        <v>453</v>
      </c>
    </row>
    <row r="659" spans="1:14" ht="14">
      <c r="A659" s="149">
        <v>658</v>
      </c>
      <c r="B659" s="235" t="s">
        <v>52</v>
      </c>
      <c r="C659" s="231" t="s">
        <v>10</v>
      </c>
      <c r="D659" s="250" t="s">
        <v>1850</v>
      </c>
      <c r="E659" s="281">
        <v>0</v>
      </c>
      <c r="F659" s="249">
        <v>4131.75</v>
      </c>
      <c r="G659" s="164">
        <f t="shared" si="71"/>
        <v>24.01</v>
      </c>
      <c r="H659" s="165">
        <f t="shared" si="72"/>
        <v>48.02</v>
      </c>
      <c r="I659" s="165">
        <f t="shared" si="73"/>
        <v>36.015000000000001</v>
      </c>
      <c r="J659" s="166">
        <f t="shared" si="74"/>
        <v>60.025000000000006</v>
      </c>
      <c r="K659" s="166">
        <f t="shared" si="76"/>
        <v>60.025000000000006</v>
      </c>
      <c r="L659" s="165">
        <f t="shared" si="75"/>
        <v>2.0329375000000001</v>
      </c>
      <c r="M659" s="168">
        <f t="shared" si="70"/>
        <v>0</v>
      </c>
      <c r="N659" s="236" t="s">
        <v>453</v>
      </c>
    </row>
    <row r="660" spans="1:14" ht="14">
      <c r="A660" s="149">
        <v>659</v>
      </c>
      <c r="B660" s="235" t="s">
        <v>52</v>
      </c>
      <c r="C660" s="231" t="s">
        <v>10</v>
      </c>
      <c r="D660" s="250" t="s">
        <v>1852</v>
      </c>
      <c r="E660" s="281">
        <v>0</v>
      </c>
      <c r="F660" s="249">
        <v>358.05</v>
      </c>
      <c r="G660" s="164">
        <f t="shared" si="71"/>
        <v>2.4460000000000002</v>
      </c>
      <c r="H660" s="165">
        <f t="shared" si="72"/>
        <v>4.8920000000000003</v>
      </c>
      <c r="I660" s="165">
        <f t="shared" si="73"/>
        <v>3.669</v>
      </c>
      <c r="J660" s="166">
        <f t="shared" si="74"/>
        <v>6.1150000000000002</v>
      </c>
      <c r="K660" s="166">
        <f t="shared" si="76"/>
        <v>6.1150000000000002</v>
      </c>
      <c r="L660" s="165">
        <f t="shared" si="75"/>
        <v>1.0895125000000001</v>
      </c>
      <c r="M660" s="168">
        <f t="shared" si="70"/>
        <v>0</v>
      </c>
      <c r="N660" s="236" t="s">
        <v>453</v>
      </c>
    </row>
    <row r="661" spans="1:14" ht="14">
      <c r="A661" s="149">
        <v>660</v>
      </c>
      <c r="B661" s="235" t="s">
        <v>52</v>
      </c>
      <c r="C661" s="231" t="s">
        <v>10</v>
      </c>
      <c r="D661" s="250" t="s">
        <v>4671</v>
      </c>
      <c r="E661" s="281">
        <v>0</v>
      </c>
      <c r="F661" s="249">
        <v>723.45</v>
      </c>
      <c r="G661" s="164">
        <f t="shared" si="71"/>
        <v>4.5340000000000007</v>
      </c>
      <c r="H661" s="165">
        <f t="shared" si="72"/>
        <v>9.0680000000000014</v>
      </c>
      <c r="I661" s="165">
        <f t="shared" si="73"/>
        <v>6.8010000000000002</v>
      </c>
      <c r="J661" s="166">
        <f t="shared" si="74"/>
        <v>11.335000000000001</v>
      </c>
      <c r="K661" s="166">
        <f t="shared" si="76"/>
        <v>11.335000000000001</v>
      </c>
      <c r="L661" s="165">
        <f t="shared" si="75"/>
        <v>1.1808624999999999</v>
      </c>
      <c r="M661" s="168">
        <f t="shared" si="70"/>
        <v>0</v>
      </c>
      <c r="N661" s="236" t="s">
        <v>453</v>
      </c>
    </row>
    <row r="662" spans="1:14" ht="14">
      <c r="A662" s="149">
        <v>661</v>
      </c>
      <c r="B662" s="235" t="s">
        <v>52</v>
      </c>
      <c r="C662" s="231" t="s">
        <v>10</v>
      </c>
      <c r="D662" s="250" t="s">
        <v>1856</v>
      </c>
      <c r="E662" s="281">
        <v>0</v>
      </c>
      <c r="F662" s="249">
        <v>2711.1</v>
      </c>
      <c r="G662" s="164">
        <f t="shared" si="71"/>
        <v>15.891999999999999</v>
      </c>
      <c r="H662" s="165">
        <f t="shared" si="72"/>
        <v>31.783999999999999</v>
      </c>
      <c r="I662" s="165">
        <f t="shared" si="73"/>
        <v>23.837999999999997</v>
      </c>
      <c r="J662" s="166">
        <f t="shared" si="74"/>
        <v>39.729999999999997</v>
      </c>
      <c r="K662" s="166">
        <f t="shared" si="76"/>
        <v>39.729999999999997</v>
      </c>
      <c r="L662" s="165">
        <f t="shared" si="75"/>
        <v>1.677775</v>
      </c>
      <c r="M662" s="168">
        <f t="shared" si="70"/>
        <v>0</v>
      </c>
      <c r="N662" s="236" t="s">
        <v>453</v>
      </c>
    </row>
    <row r="663" spans="1:14" ht="14">
      <c r="A663" s="149">
        <v>662</v>
      </c>
      <c r="B663" s="235" t="s">
        <v>52</v>
      </c>
      <c r="C663" s="231" t="s">
        <v>10</v>
      </c>
      <c r="D663" s="250" t="s">
        <v>4672</v>
      </c>
      <c r="E663" s="281">
        <v>0</v>
      </c>
      <c r="F663" s="249">
        <v>762.3</v>
      </c>
      <c r="G663" s="164">
        <f t="shared" si="71"/>
        <v>4.7559999999999993</v>
      </c>
      <c r="H663" s="165">
        <f t="shared" si="72"/>
        <v>9.5119999999999987</v>
      </c>
      <c r="I663" s="165">
        <f t="shared" si="73"/>
        <v>7.1339999999999995</v>
      </c>
      <c r="J663" s="166">
        <f t="shared" si="74"/>
        <v>11.889999999999999</v>
      </c>
      <c r="K663" s="166">
        <f t="shared" si="76"/>
        <v>11.889999999999999</v>
      </c>
      <c r="L663" s="165">
        <f t="shared" si="75"/>
        <v>1.1905749999999999</v>
      </c>
      <c r="M663" s="168">
        <f t="shared" si="70"/>
        <v>0</v>
      </c>
      <c r="N663" s="236" t="s">
        <v>453</v>
      </c>
    </row>
    <row r="664" spans="1:14" ht="14">
      <c r="A664" s="149">
        <v>663</v>
      </c>
      <c r="B664" s="235" t="s">
        <v>52</v>
      </c>
      <c r="C664" s="231" t="s">
        <v>10</v>
      </c>
      <c r="D664" s="250" t="s">
        <v>1859</v>
      </c>
      <c r="E664" s="281">
        <v>0</v>
      </c>
      <c r="F664" s="249">
        <v>672</v>
      </c>
      <c r="G664" s="164">
        <f t="shared" si="71"/>
        <v>4.24</v>
      </c>
      <c r="H664" s="165">
        <f t="shared" si="72"/>
        <v>8.48</v>
      </c>
      <c r="I664" s="165">
        <f t="shared" si="73"/>
        <v>6.3599999999999994</v>
      </c>
      <c r="J664" s="166">
        <f t="shared" si="74"/>
        <v>10.6</v>
      </c>
      <c r="K664" s="166">
        <f t="shared" si="76"/>
        <v>10.6</v>
      </c>
      <c r="L664" s="165">
        <f t="shared" si="75"/>
        <v>1.1679999999999999</v>
      </c>
      <c r="M664" s="168">
        <f t="shared" si="70"/>
        <v>0</v>
      </c>
      <c r="N664" s="236" t="s">
        <v>453</v>
      </c>
    </row>
    <row r="665" spans="1:14" ht="14">
      <c r="A665" s="149">
        <v>664</v>
      </c>
      <c r="B665" s="235" t="s">
        <v>52</v>
      </c>
      <c r="C665" s="231" t="s">
        <v>10</v>
      </c>
      <c r="D665" s="250" t="s">
        <v>1861</v>
      </c>
      <c r="E665" s="281">
        <v>0</v>
      </c>
      <c r="F665" s="249">
        <v>6997.2</v>
      </c>
      <c r="G665" s="164">
        <f t="shared" si="71"/>
        <v>40.384</v>
      </c>
      <c r="H665" s="165">
        <f t="shared" si="72"/>
        <v>80.768000000000001</v>
      </c>
      <c r="I665" s="165">
        <f t="shared" si="73"/>
        <v>60.575999999999993</v>
      </c>
      <c r="J665" s="166">
        <f t="shared" si="74"/>
        <v>100.96</v>
      </c>
      <c r="K665" s="166">
        <f t="shared" si="76"/>
        <v>100.96</v>
      </c>
      <c r="L665" s="165">
        <f t="shared" si="75"/>
        <v>2.7492999999999999</v>
      </c>
      <c r="M665" s="168">
        <f t="shared" si="70"/>
        <v>0</v>
      </c>
      <c r="N665" s="236" t="s">
        <v>453</v>
      </c>
    </row>
    <row r="666" spans="1:14" ht="14">
      <c r="A666" s="149">
        <v>665</v>
      </c>
      <c r="B666" s="235" t="s">
        <v>52</v>
      </c>
      <c r="C666" s="231" t="s">
        <v>10</v>
      </c>
      <c r="D666" s="250" t="s">
        <v>1863</v>
      </c>
      <c r="E666" s="281">
        <v>0</v>
      </c>
      <c r="F666" s="249">
        <v>1455.3</v>
      </c>
      <c r="G666" s="164">
        <f t="shared" si="71"/>
        <v>8.7159999999999993</v>
      </c>
      <c r="H666" s="165">
        <f t="shared" si="72"/>
        <v>17.431999999999999</v>
      </c>
      <c r="I666" s="165">
        <f t="shared" si="73"/>
        <v>13.074</v>
      </c>
      <c r="J666" s="166">
        <f t="shared" si="74"/>
        <v>21.79</v>
      </c>
      <c r="K666" s="166">
        <f t="shared" si="76"/>
        <v>21.79</v>
      </c>
      <c r="L666" s="165">
        <f t="shared" si="75"/>
        <v>1.3638250000000001</v>
      </c>
      <c r="M666" s="168">
        <f t="shared" si="70"/>
        <v>0</v>
      </c>
      <c r="N666" s="236" t="s">
        <v>453</v>
      </c>
    </row>
    <row r="667" spans="1:14" ht="14">
      <c r="A667" s="149">
        <v>666</v>
      </c>
      <c r="B667" s="235" t="s">
        <v>52</v>
      </c>
      <c r="C667" s="231" t="s">
        <v>10</v>
      </c>
      <c r="D667" s="250" t="s">
        <v>1865</v>
      </c>
      <c r="E667" s="281">
        <v>0</v>
      </c>
      <c r="F667" s="249">
        <v>5952.45</v>
      </c>
      <c r="G667" s="164">
        <f t="shared" si="71"/>
        <v>34.414000000000001</v>
      </c>
      <c r="H667" s="165">
        <f t="shared" si="72"/>
        <v>68.828000000000003</v>
      </c>
      <c r="I667" s="165">
        <f t="shared" si="73"/>
        <v>51.620999999999995</v>
      </c>
      <c r="J667" s="166">
        <f t="shared" si="74"/>
        <v>86.034999999999997</v>
      </c>
      <c r="K667" s="166">
        <f t="shared" si="76"/>
        <v>86.034999999999997</v>
      </c>
      <c r="L667" s="165">
        <f t="shared" si="75"/>
        <v>2.4881124999999997</v>
      </c>
      <c r="M667" s="168">
        <f t="shared" si="70"/>
        <v>0</v>
      </c>
      <c r="N667" s="236" t="s">
        <v>453</v>
      </c>
    </row>
    <row r="668" spans="1:14" ht="14">
      <c r="A668" s="149">
        <v>667</v>
      </c>
      <c r="B668" s="235" t="s">
        <v>52</v>
      </c>
      <c r="C668" s="231" t="s">
        <v>10</v>
      </c>
      <c r="D668" s="250" t="s">
        <v>1867</v>
      </c>
      <c r="E668" s="281">
        <v>0</v>
      </c>
      <c r="F668" s="249">
        <v>382.2</v>
      </c>
      <c r="G668" s="164">
        <f t="shared" si="71"/>
        <v>2.5840000000000001</v>
      </c>
      <c r="H668" s="165">
        <f t="shared" si="72"/>
        <v>5.1680000000000001</v>
      </c>
      <c r="I668" s="165">
        <f t="shared" si="73"/>
        <v>3.8759999999999999</v>
      </c>
      <c r="J668" s="166">
        <f t="shared" si="74"/>
        <v>6.46</v>
      </c>
      <c r="K668" s="166">
        <f t="shared" si="76"/>
        <v>6.46</v>
      </c>
      <c r="L668" s="165">
        <f t="shared" si="75"/>
        <v>1.09555</v>
      </c>
      <c r="M668" s="168">
        <f t="shared" si="70"/>
        <v>0</v>
      </c>
      <c r="N668" s="236" t="s">
        <v>453</v>
      </c>
    </row>
    <row r="669" spans="1:14" ht="14">
      <c r="A669" s="149">
        <v>668</v>
      </c>
      <c r="B669" s="235" t="s">
        <v>52</v>
      </c>
      <c r="C669" s="231" t="s">
        <v>10</v>
      </c>
      <c r="D669" s="250" t="s">
        <v>1869</v>
      </c>
      <c r="E669" s="281">
        <v>0</v>
      </c>
      <c r="F669" s="249">
        <v>528.15</v>
      </c>
      <c r="G669" s="164">
        <f t="shared" si="71"/>
        <v>3.4180000000000001</v>
      </c>
      <c r="H669" s="165">
        <f t="shared" si="72"/>
        <v>6.8360000000000003</v>
      </c>
      <c r="I669" s="165">
        <f t="shared" si="73"/>
        <v>5.1269999999999998</v>
      </c>
      <c r="J669" s="166">
        <f t="shared" si="74"/>
        <v>8.5449999999999999</v>
      </c>
      <c r="K669" s="166">
        <f t="shared" si="76"/>
        <v>8.5449999999999999</v>
      </c>
      <c r="L669" s="165">
        <f t="shared" si="75"/>
        <v>1.1320375</v>
      </c>
      <c r="M669" s="168">
        <f t="shared" si="70"/>
        <v>0</v>
      </c>
      <c r="N669" s="236" t="s">
        <v>453</v>
      </c>
    </row>
    <row r="670" spans="1:14" ht="14">
      <c r="A670" s="149">
        <v>669</v>
      </c>
      <c r="B670" s="235" t="s">
        <v>52</v>
      </c>
      <c r="C670" s="231" t="s">
        <v>10</v>
      </c>
      <c r="D670" s="250" t="s">
        <v>1871</v>
      </c>
      <c r="E670" s="281">
        <v>0</v>
      </c>
      <c r="F670" s="249">
        <v>1516.2</v>
      </c>
      <c r="G670" s="164">
        <f t="shared" si="71"/>
        <v>9.0640000000000001</v>
      </c>
      <c r="H670" s="165">
        <f t="shared" si="72"/>
        <v>18.128</v>
      </c>
      <c r="I670" s="165">
        <f t="shared" si="73"/>
        <v>13.596</v>
      </c>
      <c r="J670" s="166">
        <f t="shared" si="74"/>
        <v>22.66</v>
      </c>
      <c r="K670" s="166">
        <f t="shared" si="76"/>
        <v>22.66</v>
      </c>
      <c r="L670" s="165">
        <f t="shared" si="75"/>
        <v>1.3790499999999999</v>
      </c>
      <c r="M670" s="168">
        <f t="shared" si="70"/>
        <v>0</v>
      </c>
      <c r="N670" s="236" t="s">
        <v>453</v>
      </c>
    </row>
    <row r="671" spans="1:14" ht="14">
      <c r="A671" s="149">
        <v>670</v>
      </c>
      <c r="B671" s="235" t="s">
        <v>52</v>
      </c>
      <c r="C671" s="231" t="s">
        <v>10</v>
      </c>
      <c r="D671" s="250" t="s">
        <v>1873</v>
      </c>
      <c r="E671" s="281">
        <v>0</v>
      </c>
      <c r="F671" s="249">
        <v>320.25</v>
      </c>
      <c r="G671" s="164">
        <f t="shared" si="71"/>
        <v>2.23</v>
      </c>
      <c r="H671" s="165">
        <f t="shared" si="72"/>
        <v>4.46</v>
      </c>
      <c r="I671" s="165">
        <f t="shared" si="73"/>
        <v>3.3450000000000002</v>
      </c>
      <c r="J671" s="166">
        <f t="shared" si="74"/>
        <v>5.5750000000000002</v>
      </c>
      <c r="K671" s="166">
        <f t="shared" si="76"/>
        <v>5.5750000000000002</v>
      </c>
      <c r="L671" s="165">
        <f t="shared" si="75"/>
        <v>1.0800624999999999</v>
      </c>
      <c r="M671" s="168">
        <f t="shared" si="70"/>
        <v>0</v>
      </c>
      <c r="N671" s="236" t="s">
        <v>453</v>
      </c>
    </row>
    <row r="672" spans="1:14" ht="14">
      <c r="A672" s="149">
        <v>671</v>
      </c>
      <c r="B672" s="235" t="s">
        <v>52</v>
      </c>
      <c r="C672" s="231" t="s">
        <v>10</v>
      </c>
      <c r="D672" s="250" t="s">
        <v>1875</v>
      </c>
      <c r="E672" s="281">
        <v>0</v>
      </c>
      <c r="F672" s="249">
        <v>1163.4000000000001</v>
      </c>
      <c r="G672" s="164">
        <f t="shared" si="71"/>
        <v>7.0480000000000009</v>
      </c>
      <c r="H672" s="165">
        <f t="shared" si="72"/>
        <v>14.096000000000002</v>
      </c>
      <c r="I672" s="165">
        <f t="shared" si="73"/>
        <v>10.572000000000001</v>
      </c>
      <c r="J672" s="166">
        <f t="shared" si="74"/>
        <v>17.62</v>
      </c>
      <c r="K672" s="166">
        <f t="shared" si="76"/>
        <v>17.62</v>
      </c>
      <c r="L672" s="165">
        <f t="shared" si="75"/>
        <v>1.2908500000000001</v>
      </c>
      <c r="M672" s="168">
        <f t="shared" si="70"/>
        <v>0</v>
      </c>
      <c r="N672" s="236" t="s">
        <v>453</v>
      </c>
    </row>
    <row r="673" spans="1:14" ht="14">
      <c r="A673" s="149">
        <v>672</v>
      </c>
      <c r="B673" s="235" t="s">
        <v>52</v>
      </c>
      <c r="C673" s="231" t="s">
        <v>10</v>
      </c>
      <c r="D673" s="250" t="s">
        <v>1877</v>
      </c>
      <c r="E673" s="281">
        <v>0</v>
      </c>
      <c r="F673" s="249">
        <v>2298.4499999999998</v>
      </c>
      <c r="G673" s="164">
        <f t="shared" si="71"/>
        <v>13.534000000000001</v>
      </c>
      <c r="H673" s="165">
        <f t="shared" si="72"/>
        <v>27.068000000000001</v>
      </c>
      <c r="I673" s="165">
        <f t="shared" si="73"/>
        <v>20.300999999999998</v>
      </c>
      <c r="J673" s="166">
        <f t="shared" si="74"/>
        <v>33.835000000000001</v>
      </c>
      <c r="K673" s="166">
        <f t="shared" si="76"/>
        <v>33.835000000000001</v>
      </c>
      <c r="L673" s="165">
        <f t="shared" si="75"/>
        <v>1.5746125</v>
      </c>
      <c r="M673" s="168">
        <f t="shared" si="70"/>
        <v>0</v>
      </c>
      <c r="N673" s="236" t="s">
        <v>453</v>
      </c>
    </row>
    <row r="674" spans="1:14" ht="14">
      <c r="A674" s="149">
        <v>673</v>
      </c>
      <c r="B674" s="235" t="s">
        <v>52</v>
      </c>
      <c r="C674" s="231" t="s">
        <v>10</v>
      </c>
      <c r="D674" s="250" t="s">
        <v>1879</v>
      </c>
      <c r="E674" s="281">
        <v>0</v>
      </c>
      <c r="F674" s="249">
        <v>942.9</v>
      </c>
      <c r="G674" s="164">
        <f t="shared" si="71"/>
        <v>5.7880000000000003</v>
      </c>
      <c r="H674" s="165">
        <f t="shared" si="72"/>
        <v>11.576000000000001</v>
      </c>
      <c r="I674" s="165">
        <f t="shared" si="73"/>
        <v>8.6819999999999986</v>
      </c>
      <c r="J674" s="166">
        <f t="shared" si="74"/>
        <v>14.469999999999999</v>
      </c>
      <c r="K674" s="166">
        <f t="shared" si="76"/>
        <v>14.469999999999999</v>
      </c>
      <c r="L674" s="165">
        <f t="shared" si="75"/>
        <v>1.235725</v>
      </c>
      <c r="M674" s="168">
        <f t="shared" si="70"/>
        <v>0</v>
      </c>
      <c r="N674" s="236" t="s">
        <v>453</v>
      </c>
    </row>
    <row r="675" spans="1:14" ht="14">
      <c r="A675" s="149">
        <v>674</v>
      </c>
      <c r="B675" s="235" t="s">
        <v>52</v>
      </c>
      <c r="C675" s="231" t="s">
        <v>10</v>
      </c>
      <c r="D675" s="250" t="s">
        <v>1881</v>
      </c>
      <c r="E675" s="281">
        <v>0</v>
      </c>
      <c r="F675" s="249">
        <v>1573.95</v>
      </c>
      <c r="G675" s="164">
        <f t="shared" si="71"/>
        <v>9.3940000000000001</v>
      </c>
      <c r="H675" s="165">
        <f t="shared" si="72"/>
        <v>18.788</v>
      </c>
      <c r="I675" s="165">
        <f t="shared" si="73"/>
        <v>14.090999999999999</v>
      </c>
      <c r="J675" s="166">
        <f t="shared" si="74"/>
        <v>23.484999999999999</v>
      </c>
      <c r="K675" s="166">
        <f t="shared" si="76"/>
        <v>23.484999999999999</v>
      </c>
      <c r="L675" s="165">
        <f t="shared" si="75"/>
        <v>1.3934875</v>
      </c>
      <c r="M675" s="168">
        <f t="shared" si="70"/>
        <v>0</v>
      </c>
      <c r="N675" s="236" t="s">
        <v>453</v>
      </c>
    </row>
    <row r="676" spans="1:14" ht="14">
      <c r="A676" s="149">
        <v>675</v>
      </c>
      <c r="B676" s="235" t="s">
        <v>52</v>
      </c>
      <c r="C676" s="231" t="s">
        <v>10</v>
      </c>
      <c r="D676" s="250" t="s">
        <v>1883</v>
      </c>
      <c r="E676" s="281">
        <v>0</v>
      </c>
      <c r="F676" s="249">
        <v>1817.55</v>
      </c>
      <c r="G676" s="164">
        <f t="shared" si="71"/>
        <v>10.786000000000001</v>
      </c>
      <c r="H676" s="165">
        <f t="shared" si="72"/>
        <v>21.572000000000003</v>
      </c>
      <c r="I676" s="165">
        <f t="shared" si="73"/>
        <v>16.178999999999998</v>
      </c>
      <c r="J676" s="166">
        <f t="shared" si="74"/>
        <v>26.965</v>
      </c>
      <c r="K676" s="166">
        <f t="shared" si="76"/>
        <v>26.965</v>
      </c>
      <c r="L676" s="165">
        <f t="shared" si="75"/>
        <v>1.4543874999999999</v>
      </c>
      <c r="M676" s="168">
        <f t="shared" si="70"/>
        <v>0</v>
      </c>
      <c r="N676" s="236" t="s">
        <v>453</v>
      </c>
    </row>
    <row r="677" spans="1:14" ht="14">
      <c r="A677" s="149">
        <v>676</v>
      </c>
      <c r="B677" s="235" t="s">
        <v>52</v>
      </c>
      <c r="C677" s="231" t="s">
        <v>10</v>
      </c>
      <c r="D677" s="250" t="s">
        <v>1886</v>
      </c>
      <c r="E677" s="281">
        <v>0</v>
      </c>
      <c r="F677" s="249">
        <v>1257.9000000000001</v>
      </c>
      <c r="G677" s="164">
        <f t="shared" si="71"/>
        <v>7.588000000000001</v>
      </c>
      <c r="H677" s="165">
        <f t="shared" si="72"/>
        <v>15.176000000000002</v>
      </c>
      <c r="I677" s="165">
        <f t="shared" si="73"/>
        <v>11.382000000000001</v>
      </c>
      <c r="J677" s="166">
        <f t="shared" si="74"/>
        <v>18.970000000000002</v>
      </c>
      <c r="K677" s="166">
        <f t="shared" si="76"/>
        <v>18.970000000000002</v>
      </c>
      <c r="L677" s="165">
        <f t="shared" si="75"/>
        <v>1.3144750000000001</v>
      </c>
      <c r="M677" s="168">
        <f t="shared" si="70"/>
        <v>0</v>
      </c>
      <c r="N677" s="236" t="s">
        <v>453</v>
      </c>
    </row>
    <row r="678" spans="1:14" ht="14">
      <c r="A678" s="149">
        <v>677</v>
      </c>
      <c r="B678" s="235" t="s">
        <v>52</v>
      </c>
      <c r="C678" s="231" t="s">
        <v>10</v>
      </c>
      <c r="D678" s="250" t="s">
        <v>1889</v>
      </c>
      <c r="E678" s="281">
        <v>0</v>
      </c>
      <c r="F678" s="249">
        <v>1066.8</v>
      </c>
      <c r="G678" s="164">
        <f t="shared" si="71"/>
        <v>6.4960000000000013</v>
      </c>
      <c r="H678" s="165">
        <f t="shared" si="72"/>
        <v>12.992000000000003</v>
      </c>
      <c r="I678" s="165">
        <f t="shared" si="73"/>
        <v>9.7440000000000015</v>
      </c>
      <c r="J678" s="166">
        <f t="shared" si="74"/>
        <v>16.240000000000002</v>
      </c>
      <c r="K678" s="166">
        <f t="shared" si="76"/>
        <v>16.240000000000002</v>
      </c>
      <c r="L678" s="165">
        <f t="shared" si="75"/>
        <v>1.2666999999999999</v>
      </c>
      <c r="M678" s="168">
        <f t="shared" si="70"/>
        <v>0</v>
      </c>
      <c r="N678" s="236" t="s">
        <v>457</v>
      </c>
    </row>
    <row r="679" spans="1:14" ht="14">
      <c r="A679" s="149">
        <v>678</v>
      </c>
      <c r="B679" s="235" t="s">
        <v>52</v>
      </c>
      <c r="C679" s="231" t="s">
        <v>10</v>
      </c>
      <c r="D679" s="250" t="s">
        <v>1891</v>
      </c>
      <c r="E679" s="281">
        <v>0</v>
      </c>
      <c r="F679" s="249">
        <v>6307.35</v>
      </c>
      <c r="G679" s="164">
        <f t="shared" si="71"/>
        <v>36.442</v>
      </c>
      <c r="H679" s="165">
        <f t="shared" si="72"/>
        <v>72.884</v>
      </c>
      <c r="I679" s="165">
        <f t="shared" si="73"/>
        <v>54.663000000000004</v>
      </c>
      <c r="J679" s="166">
        <f t="shared" si="74"/>
        <v>91.105000000000004</v>
      </c>
      <c r="K679" s="166">
        <f t="shared" si="76"/>
        <v>91.105000000000004</v>
      </c>
      <c r="L679" s="165">
        <f t="shared" si="75"/>
        <v>2.5768374999999999</v>
      </c>
      <c r="M679" s="168">
        <f t="shared" si="70"/>
        <v>0</v>
      </c>
      <c r="N679" s="236" t="s">
        <v>453</v>
      </c>
    </row>
    <row r="680" spans="1:14" ht="14">
      <c r="A680" s="149">
        <v>679</v>
      </c>
      <c r="B680" s="235" t="s">
        <v>52</v>
      </c>
      <c r="C680" s="231" t="s">
        <v>10</v>
      </c>
      <c r="D680" s="250" t="s">
        <v>1893</v>
      </c>
      <c r="E680" s="281">
        <v>0</v>
      </c>
      <c r="F680" s="249">
        <v>2341.5</v>
      </c>
      <c r="G680" s="164">
        <f t="shared" si="71"/>
        <v>13.780000000000001</v>
      </c>
      <c r="H680" s="165">
        <f t="shared" si="72"/>
        <v>27.560000000000002</v>
      </c>
      <c r="I680" s="165">
        <f t="shared" si="73"/>
        <v>20.67</v>
      </c>
      <c r="J680" s="166">
        <f t="shared" si="74"/>
        <v>34.450000000000003</v>
      </c>
      <c r="K680" s="166">
        <f t="shared" si="76"/>
        <v>34.450000000000003</v>
      </c>
      <c r="L680" s="165">
        <f t="shared" si="75"/>
        <v>1.585375</v>
      </c>
      <c r="M680" s="168">
        <f t="shared" si="70"/>
        <v>0</v>
      </c>
      <c r="N680" s="236" t="s">
        <v>453</v>
      </c>
    </row>
    <row r="681" spans="1:14" ht="14">
      <c r="A681" s="149">
        <v>680</v>
      </c>
      <c r="B681" s="235" t="s">
        <v>52</v>
      </c>
      <c r="C681" s="231" t="s">
        <v>10</v>
      </c>
      <c r="D681" s="250" t="s">
        <v>1895</v>
      </c>
      <c r="E681" s="281">
        <v>0</v>
      </c>
      <c r="F681" s="249">
        <v>722.4</v>
      </c>
      <c r="G681" s="164">
        <f t="shared" si="71"/>
        <v>4.5280000000000005</v>
      </c>
      <c r="H681" s="165">
        <f t="shared" si="72"/>
        <v>9.0560000000000009</v>
      </c>
      <c r="I681" s="165">
        <f t="shared" si="73"/>
        <v>6.7919999999999998</v>
      </c>
      <c r="J681" s="166">
        <f t="shared" si="74"/>
        <v>11.32</v>
      </c>
      <c r="K681" s="166">
        <f t="shared" si="76"/>
        <v>11.32</v>
      </c>
      <c r="L681" s="165">
        <f t="shared" si="75"/>
        <v>1.1806000000000001</v>
      </c>
      <c r="M681" s="168">
        <f t="shared" si="70"/>
        <v>0</v>
      </c>
      <c r="N681" s="236" t="s">
        <v>453</v>
      </c>
    </row>
    <row r="682" spans="1:14" ht="14">
      <c r="A682" s="149">
        <v>681</v>
      </c>
      <c r="B682" s="235" t="s">
        <v>52</v>
      </c>
      <c r="C682" s="231" t="s">
        <v>10</v>
      </c>
      <c r="D682" s="250" t="s">
        <v>1897</v>
      </c>
      <c r="E682" s="281">
        <v>0</v>
      </c>
      <c r="F682" s="249">
        <v>3278.1</v>
      </c>
      <c r="G682" s="164">
        <f t="shared" si="71"/>
        <v>19.132000000000001</v>
      </c>
      <c r="H682" s="165">
        <f t="shared" si="72"/>
        <v>38.264000000000003</v>
      </c>
      <c r="I682" s="165">
        <f t="shared" si="73"/>
        <v>28.697999999999997</v>
      </c>
      <c r="J682" s="166">
        <f t="shared" si="74"/>
        <v>47.83</v>
      </c>
      <c r="K682" s="166">
        <f t="shared" si="76"/>
        <v>47.83</v>
      </c>
      <c r="L682" s="165">
        <f t="shared" si="75"/>
        <v>1.8195250000000001</v>
      </c>
      <c r="M682" s="168">
        <f t="shared" si="70"/>
        <v>0</v>
      </c>
      <c r="N682" s="236" t="s">
        <v>453</v>
      </c>
    </row>
    <row r="683" spans="1:14" ht="14">
      <c r="A683" s="149">
        <v>682</v>
      </c>
      <c r="B683" s="235" t="s">
        <v>52</v>
      </c>
      <c r="C683" s="231" t="s">
        <v>10</v>
      </c>
      <c r="D683" s="250" t="s">
        <v>1899</v>
      </c>
      <c r="E683" s="281">
        <v>0</v>
      </c>
      <c r="F683" s="249">
        <v>389.55</v>
      </c>
      <c r="G683" s="164">
        <f t="shared" si="71"/>
        <v>2.6260000000000003</v>
      </c>
      <c r="H683" s="165">
        <f t="shared" si="72"/>
        <v>5.2520000000000007</v>
      </c>
      <c r="I683" s="165">
        <f t="shared" si="73"/>
        <v>3.9390000000000001</v>
      </c>
      <c r="J683" s="166">
        <f t="shared" si="74"/>
        <v>6.5650000000000004</v>
      </c>
      <c r="K683" s="166">
        <f t="shared" si="76"/>
        <v>6.5650000000000004</v>
      </c>
      <c r="L683" s="165">
        <f t="shared" si="75"/>
        <v>1.0973875</v>
      </c>
      <c r="M683" s="168">
        <f t="shared" si="70"/>
        <v>0</v>
      </c>
      <c r="N683" s="236" t="s">
        <v>453</v>
      </c>
    </row>
    <row r="684" spans="1:14" ht="14">
      <c r="A684" s="149">
        <v>683</v>
      </c>
      <c r="B684" s="235" t="s">
        <v>52</v>
      </c>
      <c r="C684" s="231" t="s">
        <v>10</v>
      </c>
      <c r="D684" s="250" t="s">
        <v>1901</v>
      </c>
      <c r="E684" s="281">
        <v>0</v>
      </c>
      <c r="F684" s="249">
        <v>1318.8</v>
      </c>
      <c r="G684" s="164">
        <f t="shared" si="71"/>
        <v>7.9359999999999999</v>
      </c>
      <c r="H684" s="165">
        <f t="shared" si="72"/>
        <v>15.872</v>
      </c>
      <c r="I684" s="165">
        <f t="shared" si="73"/>
        <v>11.904</v>
      </c>
      <c r="J684" s="166">
        <f t="shared" si="74"/>
        <v>19.84</v>
      </c>
      <c r="K684" s="166">
        <f t="shared" si="76"/>
        <v>19.84</v>
      </c>
      <c r="L684" s="165">
        <f t="shared" si="75"/>
        <v>1.3296999999999999</v>
      </c>
      <c r="M684" s="168">
        <f t="shared" si="70"/>
        <v>0</v>
      </c>
      <c r="N684" s="236" t="s">
        <v>453</v>
      </c>
    </row>
    <row r="685" spans="1:14" ht="14">
      <c r="A685" s="149">
        <v>684</v>
      </c>
      <c r="B685" s="235" t="s">
        <v>52</v>
      </c>
      <c r="C685" s="231" t="s">
        <v>10</v>
      </c>
      <c r="D685" s="250" t="s">
        <v>1903</v>
      </c>
      <c r="E685" s="281">
        <v>0</v>
      </c>
      <c r="F685" s="249">
        <v>359.1</v>
      </c>
      <c r="G685" s="164">
        <f t="shared" si="71"/>
        <v>2.452</v>
      </c>
      <c r="H685" s="165">
        <f t="shared" si="72"/>
        <v>4.9039999999999999</v>
      </c>
      <c r="I685" s="165">
        <f t="shared" si="73"/>
        <v>3.6779999999999999</v>
      </c>
      <c r="J685" s="166">
        <f t="shared" si="74"/>
        <v>6.13</v>
      </c>
      <c r="K685" s="166">
        <f t="shared" si="76"/>
        <v>6.13</v>
      </c>
      <c r="L685" s="165">
        <f t="shared" si="75"/>
        <v>1.0897749999999999</v>
      </c>
      <c r="M685" s="168">
        <f t="shared" si="70"/>
        <v>0</v>
      </c>
      <c r="N685" s="236" t="s">
        <v>453</v>
      </c>
    </row>
    <row r="686" spans="1:14" ht="14">
      <c r="A686" s="149">
        <v>685</v>
      </c>
      <c r="B686" s="235" t="s">
        <v>52</v>
      </c>
      <c r="C686" s="231" t="s">
        <v>10</v>
      </c>
      <c r="D686" s="250" t="s">
        <v>1905</v>
      </c>
      <c r="E686" s="281">
        <v>0</v>
      </c>
      <c r="F686" s="249">
        <v>315</v>
      </c>
      <c r="G686" s="164">
        <f t="shared" si="71"/>
        <v>2.2000000000000002</v>
      </c>
      <c r="H686" s="165">
        <f t="shared" si="72"/>
        <v>4.4000000000000004</v>
      </c>
      <c r="I686" s="165">
        <f t="shared" si="73"/>
        <v>3.3</v>
      </c>
      <c r="J686" s="166">
        <f t="shared" si="74"/>
        <v>5.5</v>
      </c>
      <c r="K686" s="166">
        <f t="shared" si="76"/>
        <v>5.5</v>
      </c>
      <c r="L686" s="165">
        <f t="shared" si="75"/>
        <v>1.0787500000000001</v>
      </c>
      <c r="M686" s="168">
        <f t="shared" si="70"/>
        <v>0</v>
      </c>
      <c r="N686" s="236" t="s">
        <v>453</v>
      </c>
    </row>
    <row r="687" spans="1:14" ht="14">
      <c r="A687" s="149">
        <v>686</v>
      </c>
      <c r="B687" s="235" t="s">
        <v>52</v>
      </c>
      <c r="C687" s="231" t="s">
        <v>10</v>
      </c>
      <c r="D687" s="250" t="s">
        <v>1907</v>
      </c>
      <c r="E687" s="281">
        <v>0</v>
      </c>
      <c r="F687" s="249">
        <v>10</v>
      </c>
      <c r="G687" s="164">
        <f t="shared" si="71"/>
        <v>0.45714285714285713</v>
      </c>
      <c r="H687" s="165">
        <f t="shared" si="72"/>
        <v>0.91428571428571426</v>
      </c>
      <c r="I687" s="165">
        <f t="shared" si="73"/>
        <v>0.68571428571428561</v>
      </c>
      <c r="J687" s="166">
        <f t="shared" si="74"/>
        <v>1.1428571428571428</v>
      </c>
      <c r="K687" s="166">
        <f t="shared" si="76"/>
        <v>1.1428571428571428</v>
      </c>
      <c r="L687" s="165">
        <f t="shared" si="75"/>
        <v>1.0024999999999999</v>
      </c>
      <c r="M687" s="168">
        <f t="shared" si="70"/>
        <v>0</v>
      </c>
      <c r="N687" s="236" t="s">
        <v>453</v>
      </c>
    </row>
    <row r="688" spans="1:14" ht="14">
      <c r="A688" s="149">
        <v>687</v>
      </c>
      <c r="B688" s="235" t="s">
        <v>52</v>
      </c>
      <c r="C688" s="231" t="s">
        <v>10</v>
      </c>
      <c r="D688" s="250" t="s">
        <v>1909</v>
      </c>
      <c r="E688" s="281">
        <v>0</v>
      </c>
      <c r="F688" s="249">
        <v>350</v>
      </c>
      <c r="G688" s="164">
        <f t="shared" si="71"/>
        <v>2.4000000000000004</v>
      </c>
      <c r="H688" s="165">
        <f t="shared" si="72"/>
        <v>4.8000000000000007</v>
      </c>
      <c r="I688" s="165">
        <f t="shared" si="73"/>
        <v>3.5999999999999996</v>
      </c>
      <c r="J688" s="166">
        <f t="shared" si="74"/>
        <v>6</v>
      </c>
      <c r="K688" s="166">
        <f t="shared" si="76"/>
        <v>6</v>
      </c>
      <c r="L688" s="165">
        <f t="shared" si="75"/>
        <v>1.0874999999999999</v>
      </c>
      <c r="M688" s="168">
        <f t="shared" si="70"/>
        <v>0</v>
      </c>
      <c r="N688" s="236" t="s">
        <v>453</v>
      </c>
    </row>
    <row r="689" spans="1:14" ht="14">
      <c r="A689" s="149">
        <v>688</v>
      </c>
      <c r="B689" s="235" t="s">
        <v>52</v>
      </c>
      <c r="C689" s="231" t="s">
        <v>10</v>
      </c>
      <c r="D689" s="250" t="s">
        <v>1911</v>
      </c>
      <c r="E689" s="281">
        <v>0</v>
      </c>
      <c r="F689" s="249">
        <v>315</v>
      </c>
      <c r="G689" s="164">
        <f t="shared" si="71"/>
        <v>2.2000000000000002</v>
      </c>
      <c r="H689" s="165">
        <f t="shared" si="72"/>
        <v>4.4000000000000004</v>
      </c>
      <c r="I689" s="165">
        <f t="shared" si="73"/>
        <v>3.3</v>
      </c>
      <c r="J689" s="166">
        <f t="shared" si="74"/>
        <v>5.5</v>
      </c>
      <c r="K689" s="166">
        <f t="shared" si="76"/>
        <v>5.5</v>
      </c>
      <c r="L689" s="165">
        <f t="shared" si="75"/>
        <v>1.0787500000000001</v>
      </c>
      <c r="M689" s="168">
        <f t="shared" si="70"/>
        <v>0</v>
      </c>
      <c r="N689" s="236" t="s">
        <v>453</v>
      </c>
    </row>
    <row r="690" spans="1:14" ht="14">
      <c r="A690" s="149">
        <v>689</v>
      </c>
      <c r="B690" s="235" t="s">
        <v>52</v>
      </c>
      <c r="C690" s="231" t="s">
        <v>10</v>
      </c>
      <c r="D690" s="250" t="s">
        <v>1913</v>
      </c>
      <c r="E690" s="281">
        <v>0</v>
      </c>
      <c r="F690" s="249">
        <v>425.25</v>
      </c>
      <c r="G690" s="164">
        <f t="shared" si="71"/>
        <v>2.83</v>
      </c>
      <c r="H690" s="165">
        <f t="shared" si="72"/>
        <v>5.66</v>
      </c>
      <c r="I690" s="165">
        <f t="shared" si="73"/>
        <v>4.2450000000000001</v>
      </c>
      <c r="J690" s="166">
        <f t="shared" si="74"/>
        <v>7.0750000000000002</v>
      </c>
      <c r="K690" s="166">
        <f t="shared" si="76"/>
        <v>7.0750000000000002</v>
      </c>
      <c r="L690" s="165">
        <f t="shared" si="75"/>
        <v>1.1063125</v>
      </c>
      <c r="M690" s="168">
        <f t="shared" si="70"/>
        <v>0</v>
      </c>
      <c r="N690" s="236" t="s">
        <v>453</v>
      </c>
    </row>
    <row r="691" spans="1:14" ht="14">
      <c r="A691" s="149">
        <v>690</v>
      </c>
      <c r="B691" s="235" t="s">
        <v>52</v>
      </c>
      <c r="C691" s="231" t="s">
        <v>10</v>
      </c>
      <c r="D691" s="250" t="s">
        <v>1915</v>
      </c>
      <c r="E691" s="281">
        <v>0</v>
      </c>
      <c r="F691" s="249">
        <v>315</v>
      </c>
      <c r="G691" s="164">
        <f t="shared" si="71"/>
        <v>2.2000000000000002</v>
      </c>
      <c r="H691" s="165">
        <f t="shared" si="72"/>
        <v>4.4000000000000004</v>
      </c>
      <c r="I691" s="165">
        <f t="shared" si="73"/>
        <v>3.3</v>
      </c>
      <c r="J691" s="166">
        <f t="shared" si="74"/>
        <v>5.5</v>
      </c>
      <c r="K691" s="166">
        <f t="shared" si="76"/>
        <v>5.5</v>
      </c>
      <c r="L691" s="165">
        <f t="shared" si="75"/>
        <v>1.0787500000000001</v>
      </c>
      <c r="M691" s="168">
        <f t="shared" si="70"/>
        <v>0</v>
      </c>
      <c r="N691" s="236" t="s">
        <v>453</v>
      </c>
    </row>
    <row r="692" spans="1:14" ht="14">
      <c r="A692" s="149">
        <v>691</v>
      </c>
      <c r="B692" s="235" t="s">
        <v>52</v>
      </c>
      <c r="C692" s="231" t="s">
        <v>10</v>
      </c>
      <c r="D692" s="250" t="s">
        <v>1916</v>
      </c>
      <c r="E692" s="281">
        <v>0</v>
      </c>
      <c r="F692" s="249">
        <v>570.15</v>
      </c>
      <c r="G692" s="164">
        <f t="shared" si="71"/>
        <v>3.6579999999999999</v>
      </c>
      <c r="H692" s="165">
        <f t="shared" si="72"/>
        <v>7.3159999999999998</v>
      </c>
      <c r="I692" s="165">
        <f t="shared" si="73"/>
        <v>5.4869999999999992</v>
      </c>
      <c r="J692" s="166">
        <f t="shared" si="74"/>
        <v>9.1449999999999996</v>
      </c>
      <c r="K692" s="166">
        <f t="shared" si="76"/>
        <v>9.1449999999999996</v>
      </c>
      <c r="L692" s="165">
        <f t="shared" si="75"/>
        <v>1.1425375</v>
      </c>
      <c r="M692" s="168">
        <f t="shared" si="70"/>
        <v>0</v>
      </c>
      <c r="N692" s="236" t="s">
        <v>453</v>
      </c>
    </row>
    <row r="693" spans="1:14" ht="14">
      <c r="A693" s="149">
        <v>692</v>
      </c>
      <c r="B693" s="235" t="s">
        <v>52</v>
      </c>
      <c r="C693" s="231" t="s">
        <v>10</v>
      </c>
      <c r="D693" s="250" t="s">
        <v>1918</v>
      </c>
      <c r="E693" s="281">
        <v>0</v>
      </c>
      <c r="F693" s="249">
        <v>1267.3499999999999</v>
      </c>
      <c r="G693" s="164">
        <f t="shared" si="71"/>
        <v>7.6420000000000003</v>
      </c>
      <c r="H693" s="165">
        <f t="shared" si="72"/>
        <v>15.284000000000001</v>
      </c>
      <c r="I693" s="165">
        <f t="shared" si="73"/>
        <v>11.462999999999999</v>
      </c>
      <c r="J693" s="166">
        <f t="shared" si="74"/>
        <v>19.105</v>
      </c>
      <c r="K693" s="166">
        <f t="shared" si="76"/>
        <v>19.105</v>
      </c>
      <c r="L693" s="165">
        <f t="shared" si="75"/>
        <v>1.3168375000000001</v>
      </c>
      <c r="M693" s="168">
        <f t="shared" si="70"/>
        <v>0</v>
      </c>
      <c r="N693" s="236" t="s">
        <v>453</v>
      </c>
    </row>
    <row r="694" spans="1:14" ht="14">
      <c r="A694" s="149">
        <v>693</v>
      </c>
      <c r="B694" s="235" t="s">
        <v>52</v>
      </c>
      <c r="C694" s="231" t="s">
        <v>10</v>
      </c>
      <c r="D694" s="250" t="s">
        <v>1920</v>
      </c>
      <c r="E694" s="281">
        <v>0</v>
      </c>
      <c r="F694" s="249">
        <v>1098.3</v>
      </c>
      <c r="G694" s="164">
        <f t="shared" si="71"/>
        <v>6.6759999999999993</v>
      </c>
      <c r="H694" s="165">
        <f t="shared" si="72"/>
        <v>13.351999999999999</v>
      </c>
      <c r="I694" s="165">
        <f t="shared" si="73"/>
        <v>10.013999999999998</v>
      </c>
      <c r="J694" s="166">
        <f t="shared" si="74"/>
        <v>16.689999999999998</v>
      </c>
      <c r="K694" s="166">
        <f t="shared" si="76"/>
        <v>16.689999999999998</v>
      </c>
      <c r="L694" s="165">
        <f t="shared" si="75"/>
        <v>1.274575</v>
      </c>
      <c r="M694" s="168">
        <f t="shared" si="70"/>
        <v>0</v>
      </c>
      <c r="N694" s="236" t="s">
        <v>453</v>
      </c>
    </row>
    <row r="695" spans="1:14" ht="14">
      <c r="A695" s="149">
        <v>694</v>
      </c>
      <c r="B695" s="235" t="s">
        <v>52</v>
      </c>
      <c r="C695" s="231" t="s">
        <v>10</v>
      </c>
      <c r="D695" s="250" t="s">
        <v>1922</v>
      </c>
      <c r="E695" s="281">
        <v>0</v>
      </c>
      <c r="F695" s="249">
        <v>628.95000000000005</v>
      </c>
      <c r="G695" s="164">
        <f t="shared" si="71"/>
        <v>3.9940000000000007</v>
      </c>
      <c r="H695" s="165">
        <f t="shared" si="72"/>
        <v>7.9880000000000013</v>
      </c>
      <c r="I695" s="165">
        <f t="shared" si="73"/>
        <v>5.9910000000000005</v>
      </c>
      <c r="J695" s="166">
        <f t="shared" si="74"/>
        <v>9.9850000000000012</v>
      </c>
      <c r="K695" s="166">
        <f t="shared" si="76"/>
        <v>9.9850000000000012</v>
      </c>
      <c r="L695" s="165">
        <f t="shared" si="75"/>
        <v>1.1572374999999999</v>
      </c>
      <c r="M695" s="168">
        <f t="shared" si="70"/>
        <v>0</v>
      </c>
      <c r="N695" s="236" t="s">
        <v>453</v>
      </c>
    </row>
    <row r="696" spans="1:14" ht="14">
      <c r="A696" s="149">
        <v>695</v>
      </c>
      <c r="B696" s="235" t="s">
        <v>52</v>
      </c>
      <c r="C696" s="231" t="s">
        <v>10</v>
      </c>
      <c r="D696" s="250" t="s">
        <v>1924</v>
      </c>
      <c r="E696" s="281">
        <v>0</v>
      </c>
      <c r="F696" s="249">
        <v>1111.95</v>
      </c>
      <c r="G696" s="164">
        <f t="shared" si="71"/>
        <v>6.7539999999999996</v>
      </c>
      <c r="H696" s="165">
        <f t="shared" si="72"/>
        <v>13.507999999999999</v>
      </c>
      <c r="I696" s="165">
        <f t="shared" si="73"/>
        <v>10.130999999999998</v>
      </c>
      <c r="J696" s="166">
        <f t="shared" si="74"/>
        <v>16.884999999999998</v>
      </c>
      <c r="K696" s="166">
        <f t="shared" si="76"/>
        <v>16.884999999999998</v>
      </c>
      <c r="L696" s="165">
        <f t="shared" si="75"/>
        <v>1.2779875000000001</v>
      </c>
      <c r="M696" s="168">
        <f t="shared" si="70"/>
        <v>0</v>
      </c>
      <c r="N696" s="236" t="s">
        <v>453</v>
      </c>
    </row>
    <row r="697" spans="1:14" ht="14">
      <c r="A697" s="149">
        <v>696</v>
      </c>
      <c r="B697" s="235" t="s">
        <v>52</v>
      </c>
      <c r="C697" s="231" t="s">
        <v>10</v>
      </c>
      <c r="D697" s="250" t="s">
        <v>1926</v>
      </c>
      <c r="E697" s="281">
        <v>0</v>
      </c>
      <c r="F697" s="249">
        <v>865.2</v>
      </c>
      <c r="G697" s="164">
        <f t="shared" si="71"/>
        <v>5.3440000000000012</v>
      </c>
      <c r="H697" s="165">
        <f t="shared" si="72"/>
        <v>10.688000000000002</v>
      </c>
      <c r="I697" s="165">
        <f t="shared" si="73"/>
        <v>8.016</v>
      </c>
      <c r="J697" s="166">
        <f t="shared" si="74"/>
        <v>13.360000000000001</v>
      </c>
      <c r="K697" s="166">
        <f t="shared" si="76"/>
        <v>13.360000000000001</v>
      </c>
      <c r="L697" s="165">
        <f t="shared" si="75"/>
        <v>1.2162999999999999</v>
      </c>
      <c r="M697" s="168">
        <f t="shared" si="70"/>
        <v>0</v>
      </c>
      <c r="N697" s="236" t="s">
        <v>453</v>
      </c>
    </row>
    <row r="698" spans="1:14" ht="14">
      <c r="A698" s="149">
        <v>697</v>
      </c>
      <c r="B698" s="235" t="s">
        <v>52</v>
      </c>
      <c r="C698" s="231" t="s">
        <v>10</v>
      </c>
      <c r="D698" s="250" t="s">
        <v>1928</v>
      </c>
      <c r="E698" s="281">
        <v>0</v>
      </c>
      <c r="F698" s="249">
        <v>879.9</v>
      </c>
      <c r="G698" s="164">
        <f t="shared" si="71"/>
        <v>5.4280000000000008</v>
      </c>
      <c r="H698" s="165">
        <f t="shared" si="72"/>
        <v>10.856000000000002</v>
      </c>
      <c r="I698" s="165">
        <f t="shared" si="73"/>
        <v>8.1419999999999995</v>
      </c>
      <c r="J698" s="166">
        <f t="shared" si="74"/>
        <v>13.57</v>
      </c>
      <c r="K698" s="166">
        <f t="shared" si="76"/>
        <v>13.57</v>
      </c>
      <c r="L698" s="165">
        <f t="shared" si="75"/>
        <v>1.219975</v>
      </c>
      <c r="M698" s="168">
        <f t="shared" si="70"/>
        <v>0</v>
      </c>
      <c r="N698" s="236" t="s">
        <v>453</v>
      </c>
    </row>
    <row r="699" spans="1:14" ht="14">
      <c r="A699" s="149">
        <v>698</v>
      </c>
      <c r="B699" s="235" t="s">
        <v>52</v>
      </c>
      <c r="C699" s="231" t="s">
        <v>10</v>
      </c>
      <c r="D699" s="250" t="s">
        <v>4656</v>
      </c>
      <c r="E699" s="281">
        <v>0</v>
      </c>
      <c r="F699" s="249">
        <v>741.3</v>
      </c>
      <c r="G699" s="164">
        <f t="shared" si="71"/>
        <v>4.6360000000000001</v>
      </c>
      <c r="H699" s="165">
        <f t="shared" si="72"/>
        <v>9.2720000000000002</v>
      </c>
      <c r="I699" s="165">
        <f t="shared" si="73"/>
        <v>6.9539999999999997</v>
      </c>
      <c r="J699" s="166">
        <f t="shared" si="74"/>
        <v>11.59</v>
      </c>
      <c r="K699" s="166">
        <f t="shared" si="76"/>
        <v>11.59</v>
      </c>
      <c r="L699" s="165">
        <f t="shared" si="75"/>
        <v>1.185325</v>
      </c>
      <c r="M699" s="168">
        <f t="shared" si="70"/>
        <v>0</v>
      </c>
      <c r="N699" s="236" t="s">
        <v>453</v>
      </c>
    </row>
    <row r="700" spans="1:14" ht="14">
      <c r="A700" s="149">
        <v>699</v>
      </c>
      <c r="B700" s="235" t="s">
        <v>52</v>
      </c>
      <c r="C700" s="231" t="s">
        <v>10</v>
      </c>
      <c r="D700" s="250" t="s">
        <v>1931</v>
      </c>
      <c r="E700" s="281">
        <v>0</v>
      </c>
      <c r="F700" s="249">
        <v>300</v>
      </c>
      <c r="G700" s="164">
        <f t="shared" si="71"/>
        <v>2.1142857142857143</v>
      </c>
      <c r="H700" s="165">
        <f t="shared" si="72"/>
        <v>4.2285714285714286</v>
      </c>
      <c r="I700" s="165">
        <f t="shared" si="73"/>
        <v>3.1714285714285713</v>
      </c>
      <c r="J700" s="166">
        <f t="shared" si="74"/>
        <v>5.2857142857142856</v>
      </c>
      <c r="K700" s="166">
        <f t="shared" si="76"/>
        <v>5.2857142857142856</v>
      </c>
      <c r="L700" s="165">
        <f t="shared" si="75"/>
        <v>1.075</v>
      </c>
      <c r="M700" s="168">
        <f t="shared" si="70"/>
        <v>0</v>
      </c>
      <c r="N700" s="236" t="s">
        <v>453</v>
      </c>
    </row>
    <row r="701" spans="1:14" ht="14">
      <c r="A701" s="149">
        <v>700</v>
      </c>
      <c r="B701" s="235" t="s">
        <v>52</v>
      </c>
      <c r="C701" s="231" t="s">
        <v>10</v>
      </c>
      <c r="D701" s="250" t="s">
        <v>1933</v>
      </c>
      <c r="E701" s="281">
        <v>0</v>
      </c>
      <c r="F701" s="249">
        <v>446.25</v>
      </c>
      <c r="G701" s="164">
        <f t="shared" si="71"/>
        <v>2.95</v>
      </c>
      <c r="H701" s="165">
        <f t="shared" si="72"/>
        <v>5.9</v>
      </c>
      <c r="I701" s="165">
        <f t="shared" si="73"/>
        <v>4.4249999999999998</v>
      </c>
      <c r="J701" s="166">
        <f t="shared" si="74"/>
        <v>7.375</v>
      </c>
      <c r="K701" s="166">
        <f t="shared" si="76"/>
        <v>7.375</v>
      </c>
      <c r="L701" s="165">
        <f t="shared" si="75"/>
        <v>1.1115625</v>
      </c>
      <c r="M701" s="168">
        <f t="shared" si="70"/>
        <v>0</v>
      </c>
      <c r="N701" s="236" t="s">
        <v>453</v>
      </c>
    </row>
    <row r="702" spans="1:14" ht="14">
      <c r="A702" s="149">
        <v>701</v>
      </c>
      <c r="B702" s="235" t="s">
        <v>52</v>
      </c>
      <c r="C702" s="231" t="s">
        <v>10</v>
      </c>
      <c r="D702" s="250" t="s">
        <v>1935</v>
      </c>
      <c r="E702" s="281">
        <v>0</v>
      </c>
      <c r="F702" s="249">
        <v>579.6</v>
      </c>
      <c r="G702" s="164">
        <f t="shared" si="71"/>
        <v>3.7120000000000006</v>
      </c>
      <c r="H702" s="165">
        <f t="shared" si="72"/>
        <v>7.4240000000000013</v>
      </c>
      <c r="I702" s="165">
        <f t="shared" si="73"/>
        <v>5.5680000000000005</v>
      </c>
      <c r="J702" s="166">
        <f t="shared" si="74"/>
        <v>9.2800000000000011</v>
      </c>
      <c r="K702" s="166">
        <f t="shared" si="76"/>
        <v>9.2800000000000011</v>
      </c>
      <c r="L702" s="165">
        <f t="shared" si="75"/>
        <v>1.1449</v>
      </c>
      <c r="M702" s="168">
        <f t="shared" si="70"/>
        <v>0</v>
      </c>
      <c r="N702" s="236" t="s">
        <v>453</v>
      </c>
    </row>
    <row r="703" spans="1:14" ht="14">
      <c r="A703" s="149">
        <v>702</v>
      </c>
      <c r="B703" s="235" t="s">
        <v>52</v>
      </c>
      <c r="C703" s="231" t="s">
        <v>10</v>
      </c>
      <c r="D703" s="250" t="s">
        <v>1937</v>
      </c>
      <c r="E703" s="281">
        <v>0</v>
      </c>
      <c r="F703" s="249">
        <v>787.5</v>
      </c>
      <c r="G703" s="164">
        <f t="shared" si="71"/>
        <v>4.9000000000000004</v>
      </c>
      <c r="H703" s="165">
        <f t="shared" si="72"/>
        <v>9.8000000000000007</v>
      </c>
      <c r="I703" s="165">
        <f t="shared" si="73"/>
        <v>7.35</v>
      </c>
      <c r="J703" s="166">
        <f t="shared" si="74"/>
        <v>12.25</v>
      </c>
      <c r="K703" s="166">
        <f t="shared" si="76"/>
        <v>12.25</v>
      </c>
      <c r="L703" s="165">
        <f t="shared" si="75"/>
        <v>1.1968749999999999</v>
      </c>
      <c r="M703" s="168">
        <f t="shared" si="70"/>
        <v>0</v>
      </c>
      <c r="N703" s="236" t="s">
        <v>453</v>
      </c>
    </row>
    <row r="704" spans="1:14" ht="14">
      <c r="A704" s="149">
        <v>703</v>
      </c>
      <c r="B704" s="235" t="s">
        <v>52</v>
      </c>
      <c r="C704" s="231" t="s">
        <v>10</v>
      </c>
      <c r="D704" s="250" t="s">
        <v>1939</v>
      </c>
      <c r="E704" s="281">
        <v>0</v>
      </c>
      <c r="F704" s="249">
        <v>771.75</v>
      </c>
      <c r="G704" s="164">
        <f t="shared" si="71"/>
        <v>4.8100000000000005</v>
      </c>
      <c r="H704" s="165">
        <f t="shared" si="72"/>
        <v>9.620000000000001</v>
      </c>
      <c r="I704" s="165">
        <f t="shared" si="73"/>
        <v>7.2149999999999999</v>
      </c>
      <c r="J704" s="166">
        <f t="shared" si="74"/>
        <v>12.025</v>
      </c>
      <c r="K704" s="166">
        <f t="shared" si="76"/>
        <v>12.025</v>
      </c>
      <c r="L704" s="165">
        <f t="shared" si="75"/>
        <v>1.1929375</v>
      </c>
      <c r="M704" s="168">
        <f t="shared" si="70"/>
        <v>0</v>
      </c>
      <c r="N704" s="236" t="s">
        <v>453</v>
      </c>
    </row>
    <row r="705" spans="1:14" ht="14">
      <c r="A705" s="149">
        <v>704</v>
      </c>
      <c r="B705" s="235" t="s">
        <v>52</v>
      </c>
      <c r="C705" s="231" t="s">
        <v>10</v>
      </c>
      <c r="D705" s="250" t="s">
        <v>1941</v>
      </c>
      <c r="E705" s="281">
        <v>0</v>
      </c>
      <c r="F705" s="249">
        <v>1619.1</v>
      </c>
      <c r="G705" s="164">
        <f t="shared" si="71"/>
        <v>9.652000000000001</v>
      </c>
      <c r="H705" s="165">
        <f t="shared" si="72"/>
        <v>19.304000000000002</v>
      </c>
      <c r="I705" s="165">
        <f t="shared" si="73"/>
        <v>14.477999999999998</v>
      </c>
      <c r="J705" s="166">
        <f t="shared" si="74"/>
        <v>24.13</v>
      </c>
      <c r="K705" s="166">
        <f t="shared" si="76"/>
        <v>24.13</v>
      </c>
      <c r="L705" s="165">
        <f t="shared" si="75"/>
        <v>1.4047749999999999</v>
      </c>
      <c r="M705" s="168">
        <f t="shared" si="70"/>
        <v>0</v>
      </c>
      <c r="N705" s="236" t="s">
        <v>453</v>
      </c>
    </row>
    <row r="706" spans="1:14" ht="14">
      <c r="A706" s="149">
        <v>705</v>
      </c>
      <c r="B706" s="235" t="s">
        <v>52</v>
      </c>
      <c r="C706" s="231" t="s">
        <v>10</v>
      </c>
      <c r="D706" s="250" t="s">
        <v>4657</v>
      </c>
      <c r="E706" s="281">
        <v>0</v>
      </c>
      <c r="F706" s="249">
        <v>315</v>
      </c>
      <c r="G706" s="164">
        <f t="shared" si="71"/>
        <v>2.2000000000000002</v>
      </c>
      <c r="H706" s="165">
        <f t="shared" si="72"/>
        <v>4.4000000000000004</v>
      </c>
      <c r="I706" s="165">
        <f t="shared" si="73"/>
        <v>3.3</v>
      </c>
      <c r="J706" s="166">
        <f t="shared" si="74"/>
        <v>5.5</v>
      </c>
      <c r="K706" s="166">
        <f t="shared" si="76"/>
        <v>5.5</v>
      </c>
      <c r="L706" s="165">
        <f t="shared" si="75"/>
        <v>1.0787500000000001</v>
      </c>
      <c r="M706" s="168">
        <f t="shared" ref="M706:M769" si="77">E706/60</f>
        <v>0</v>
      </c>
      <c r="N706" s="236" t="s">
        <v>453</v>
      </c>
    </row>
    <row r="707" spans="1:14" ht="14">
      <c r="A707" s="149">
        <v>706</v>
      </c>
      <c r="B707" s="235" t="s">
        <v>52</v>
      </c>
      <c r="C707" s="231" t="s">
        <v>10</v>
      </c>
      <c r="D707" s="250" t="s">
        <v>1944</v>
      </c>
      <c r="E707" s="281">
        <v>0</v>
      </c>
      <c r="F707" s="249">
        <v>1227.45</v>
      </c>
      <c r="G707" s="164">
        <f t="shared" ref="G707:G770" si="78">(((F707/70)+1)*0.4)</f>
        <v>7.4140000000000006</v>
      </c>
      <c r="H707" s="165">
        <f t="shared" ref="H707:H770" si="79">G707*2</f>
        <v>14.828000000000001</v>
      </c>
      <c r="I707" s="165">
        <f t="shared" ref="I707:I770" si="80">(((F707/70)+1)*0.6)</f>
        <v>11.121</v>
      </c>
      <c r="J707" s="166">
        <f t="shared" ref="J707:J770" si="81">I707+G707</f>
        <v>18.535</v>
      </c>
      <c r="K707" s="166">
        <f t="shared" si="76"/>
        <v>18.535</v>
      </c>
      <c r="L707" s="165">
        <f t="shared" ref="L707:L770" si="82">(F707/4000)+1</f>
        <v>1.3068625</v>
      </c>
      <c r="M707" s="168">
        <f t="shared" si="77"/>
        <v>0</v>
      </c>
      <c r="N707" s="236" t="s">
        <v>453</v>
      </c>
    </row>
    <row r="708" spans="1:14" ht="14">
      <c r="A708" s="149">
        <v>707</v>
      </c>
      <c r="B708" s="235" t="s">
        <v>52</v>
      </c>
      <c r="C708" s="231" t="s">
        <v>10</v>
      </c>
      <c r="D708" s="250" t="s">
        <v>1946</v>
      </c>
      <c r="E708" s="281">
        <v>0</v>
      </c>
      <c r="F708" s="249">
        <v>2422.35</v>
      </c>
      <c r="G708" s="164">
        <f t="shared" si="78"/>
        <v>14.241999999999999</v>
      </c>
      <c r="H708" s="165">
        <f t="shared" si="79"/>
        <v>28.483999999999998</v>
      </c>
      <c r="I708" s="165">
        <f t="shared" si="80"/>
        <v>21.362999999999996</v>
      </c>
      <c r="J708" s="166">
        <f t="shared" si="81"/>
        <v>35.604999999999997</v>
      </c>
      <c r="K708" s="166">
        <f t="shared" ref="K708:K771" si="83">J708</f>
        <v>35.604999999999997</v>
      </c>
      <c r="L708" s="165">
        <f t="shared" si="82"/>
        <v>1.6055874999999999</v>
      </c>
      <c r="M708" s="168">
        <f t="shared" si="77"/>
        <v>0</v>
      </c>
      <c r="N708" s="236" t="s">
        <v>453</v>
      </c>
    </row>
    <row r="709" spans="1:14" ht="14">
      <c r="A709" s="149">
        <v>708</v>
      </c>
      <c r="B709" s="235" t="s">
        <v>52</v>
      </c>
      <c r="C709" s="231" t="s">
        <v>10</v>
      </c>
      <c r="D709" s="250" t="s">
        <v>1948</v>
      </c>
      <c r="E709" s="281">
        <v>0</v>
      </c>
      <c r="F709" s="249">
        <v>4482.45</v>
      </c>
      <c r="G709" s="164">
        <f t="shared" si="78"/>
        <v>26.013999999999999</v>
      </c>
      <c r="H709" s="165">
        <f t="shared" si="79"/>
        <v>52.027999999999999</v>
      </c>
      <c r="I709" s="165">
        <f t="shared" si="80"/>
        <v>39.020999999999994</v>
      </c>
      <c r="J709" s="166">
        <f t="shared" si="81"/>
        <v>65.034999999999997</v>
      </c>
      <c r="K709" s="166">
        <f t="shared" si="83"/>
        <v>65.034999999999997</v>
      </c>
      <c r="L709" s="165">
        <f t="shared" si="82"/>
        <v>2.1206125</v>
      </c>
      <c r="M709" s="168">
        <f t="shared" si="77"/>
        <v>0</v>
      </c>
      <c r="N709" s="236" t="s">
        <v>453</v>
      </c>
    </row>
    <row r="710" spans="1:14" ht="14">
      <c r="A710" s="149">
        <v>709</v>
      </c>
      <c r="B710" s="235" t="s">
        <v>52</v>
      </c>
      <c r="C710" s="231" t="s">
        <v>10</v>
      </c>
      <c r="D710" s="250" t="s">
        <v>1950</v>
      </c>
      <c r="E710" s="281">
        <v>0</v>
      </c>
      <c r="F710" s="249">
        <v>358.05</v>
      </c>
      <c r="G710" s="164">
        <f t="shared" si="78"/>
        <v>2.4460000000000002</v>
      </c>
      <c r="H710" s="165">
        <f t="shared" si="79"/>
        <v>4.8920000000000003</v>
      </c>
      <c r="I710" s="165">
        <f t="shared" si="80"/>
        <v>3.669</v>
      </c>
      <c r="J710" s="166">
        <f t="shared" si="81"/>
        <v>6.1150000000000002</v>
      </c>
      <c r="K710" s="166">
        <f t="shared" si="83"/>
        <v>6.1150000000000002</v>
      </c>
      <c r="L710" s="165">
        <f t="shared" si="82"/>
        <v>1.0895125000000001</v>
      </c>
      <c r="M710" s="168">
        <f t="shared" si="77"/>
        <v>0</v>
      </c>
      <c r="N710" s="236" t="s">
        <v>453</v>
      </c>
    </row>
    <row r="711" spans="1:14" ht="14">
      <c r="A711" s="149">
        <v>710</v>
      </c>
      <c r="B711" s="235" t="s">
        <v>52</v>
      </c>
      <c r="C711" s="231" t="s">
        <v>10</v>
      </c>
      <c r="D711" s="250" t="s">
        <v>1952</v>
      </c>
      <c r="E711" s="281">
        <v>0</v>
      </c>
      <c r="F711" s="249">
        <v>1096.2</v>
      </c>
      <c r="G711" s="164">
        <f t="shared" si="78"/>
        <v>6.6640000000000006</v>
      </c>
      <c r="H711" s="165">
        <f t="shared" si="79"/>
        <v>13.328000000000001</v>
      </c>
      <c r="I711" s="165">
        <f t="shared" si="80"/>
        <v>9.9960000000000004</v>
      </c>
      <c r="J711" s="166">
        <f t="shared" si="81"/>
        <v>16.66</v>
      </c>
      <c r="K711" s="166">
        <f t="shared" si="83"/>
        <v>16.66</v>
      </c>
      <c r="L711" s="165">
        <f t="shared" si="82"/>
        <v>1.2740499999999999</v>
      </c>
      <c r="M711" s="168">
        <f t="shared" si="77"/>
        <v>0</v>
      </c>
      <c r="N711" s="236" t="s">
        <v>453</v>
      </c>
    </row>
    <row r="712" spans="1:14" ht="14">
      <c r="A712" s="149">
        <v>711</v>
      </c>
      <c r="B712" s="235" t="s">
        <v>52</v>
      </c>
      <c r="C712" s="231" t="s">
        <v>10</v>
      </c>
      <c r="D712" s="250" t="s">
        <v>1954</v>
      </c>
      <c r="E712" s="281">
        <v>0</v>
      </c>
      <c r="F712" s="249">
        <v>769.65</v>
      </c>
      <c r="G712" s="164">
        <f t="shared" si="78"/>
        <v>4.798</v>
      </c>
      <c r="H712" s="165">
        <f t="shared" si="79"/>
        <v>9.5960000000000001</v>
      </c>
      <c r="I712" s="165">
        <f t="shared" si="80"/>
        <v>7.1969999999999992</v>
      </c>
      <c r="J712" s="166">
        <f t="shared" si="81"/>
        <v>11.994999999999999</v>
      </c>
      <c r="K712" s="166">
        <f t="shared" si="83"/>
        <v>11.994999999999999</v>
      </c>
      <c r="L712" s="165">
        <f t="shared" si="82"/>
        <v>1.1924125000000001</v>
      </c>
      <c r="M712" s="168">
        <f t="shared" si="77"/>
        <v>0</v>
      </c>
      <c r="N712" s="236" t="s">
        <v>453</v>
      </c>
    </row>
    <row r="713" spans="1:14" ht="14">
      <c r="A713" s="149">
        <v>712</v>
      </c>
      <c r="B713" s="235" t="s">
        <v>52</v>
      </c>
      <c r="C713" s="231" t="s">
        <v>10</v>
      </c>
      <c r="D713" s="250" t="s">
        <v>1956</v>
      </c>
      <c r="E713" s="281">
        <v>0</v>
      </c>
      <c r="F713" s="249">
        <v>315</v>
      </c>
      <c r="G713" s="164">
        <f t="shared" si="78"/>
        <v>2.2000000000000002</v>
      </c>
      <c r="H713" s="165">
        <f t="shared" si="79"/>
        <v>4.4000000000000004</v>
      </c>
      <c r="I713" s="165">
        <f t="shared" si="80"/>
        <v>3.3</v>
      </c>
      <c r="J713" s="166">
        <f t="shared" si="81"/>
        <v>5.5</v>
      </c>
      <c r="K713" s="166">
        <f t="shared" si="83"/>
        <v>5.5</v>
      </c>
      <c r="L713" s="165">
        <f t="shared" si="82"/>
        <v>1.0787500000000001</v>
      </c>
      <c r="M713" s="168">
        <f t="shared" si="77"/>
        <v>0</v>
      </c>
      <c r="N713" s="236" t="s">
        <v>453</v>
      </c>
    </row>
    <row r="714" spans="1:14" ht="14">
      <c r="A714" s="149">
        <v>713</v>
      </c>
      <c r="B714" s="235" t="s">
        <v>52</v>
      </c>
      <c r="C714" s="231" t="s">
        <v>10</v>
      </c>
      <c r="D714" s="250" t="s">
        <v>4705</v>
      </c>
      <c r="E714" s="281">
        <v>0</v>
      </c>
      <c r="F714" s="249">
        <v>5697.3</v>
      </c>
      <c r="G714" s="164">
        <f t="shared" si="78"/>
        <v>32.956000000000003</v>
      </c>
      <c r="H714" s="165">
        <f t="shared" si="79"/>
        <v>65.912000000000006</v>
      </c>
      <c r="I714" s="165">
        <f t="shared" si="80"/>
        <v>49.433999999999997</v>
      </c>
      <c r="J714" s="166">
        <f t="shared" si="81"/>
        <v>82.39</v>
      </c>
      <c r="K714" s="166">
        <f t="shared" si="83"/>
        <v>82.39</v>
      </c>
      <c r="L714" s="165">
        <f t="shared" si="82"/>
        <v>2.4243250000000001</v>
      </c>
      <c r="M714" s="168">
        <f t="shared" si="77"/>
        <v>0</v>
      </c>
      <c r="N714" s="236" t="s">
        <v>453</v>
      </c>
    </row>
    <row r="715" spans="1:14" ht="14">
      <c r="A715" s="149">
        <v>714</v>
      </c>
      <c r="B715" s="235" t="s">
        <v>52</v>
      </c>
      <c r="C715" s="231" t="s">
        <v>10</v>
      </c>
      <c r="D715" s="250" t="s">
        <v>1959</v>
      </c>
      <c r="E715" s="281">
        <v>0</v>
      </c>
      <c r="F715" s="249">
        <v>315</v>
      </c>
      <c r="G715" s="164">
        <f t="shared" si="78"/>
        <v>2.2000000000000002</v>
      </c>
      <c r="H715" s="165">
        <f t="shared" si="79"/>
        <v>4.4000000000000004</v>
      </c>
      <c r="I715" s="165">
        <f t="shared" si="80"/>
        <v>3.3</v>
      </c>
      <c r="J715" s="166">
        <f t="shared" si="81"/>
        <v>5.5</v>
      </c>
      <c r="K715" s="166">
        <f t="shared" si="83"/>
        <v>5.5</v>
      </c>
      <c r="L715" s="165">
        <f t="shared" si="82"/>
        <v>1.0787500000000001</v>
      </c>
      <c r="M715" s="168">
        <f t="shared" si="77"/>
        <v>0</v>
      </c>
      <c r="N715" s="236" t="s">
        <v>453</v>
      </c>
    </row>
    <row r="716" spans="1:14" ht="14">
      <c r="A716" s="149">
        <v>715</v>
      </c>
      <c r="B716" s="235" t="s">
        <v>52</v>
      </c>
      <c r="C716" s="231" t="s">
        <v>10</v>
      </c>
      <c r="D716" s="250" t="s">
        <v>1961</v>
      </c>
      <c r="E716" s="281">
        <v>0</v>
      </c>
      <c r="F716" s="249">
        <v>315</v>
      </c>
      <c r="G716" s="164">
        <f t="shared" si="78"/>
        <v>2.2000000000000002</v>
      </c>
      <c r="H716" s="165">
        <f t="shared" si="79"/>
        <v>4.4000000000000004</v>
      </c>
      <c r="I716" s="165">
        <f t="shared" si="80"/>
        <v>3.3</v>
      </c>
      <c r="J716" s="166">
        <f t="shared" si="81"/>
        <v>5.5</v>
      </c>
      <c r="K716" s="166">
        <f t="shared" si="83"/>
        <v>5.5</v>
      </c>
      <c r="L716" s="165">
        <f t="shared" si="82"/>
        <v>1.0787500000000001</v>
      </c>
      <c r="M716" s="168">
        <f t="shared" si="77"/>
        <v>0</v>
      </c>
      <c r="N716" s="236" t="s">
        <v>457</v>
      </c>
    </row>
    <row r="717" spans="1:14" ht="14">
      <c r="A717" s="149">
        <v>716</v>
      </c>
      <c r="B717" s="235" t="s">
        <v>52</v>
      </c>
      <c r="C717" s="231" t="s">
        <v>10</v>
      </c>
      <c r="D717" s="250" t="s">
        <v>1963</v>
      </c>
      <c r="E717" s="281">
        <v>0</v>
      </c>
      <c r="F717" s="249">
        <v>416.85</v>
      </c>
      <c r="G717" s="164">
        <f t="shared" si="78"/>
        <v>2.782</v>
      </c>
      <c r="H717" s="165">
        <f t="shared" si="79"/>
        <v>5.5640000000000001</v>
      </c>
      <c r="I717" s="165">
        <f t="shared" si="80"/>
        <v>4.173</v>
      </c>
      <c r="J717" s="166">
        <f t="shared" si="81"/>
        <v>6.9550000000000001</v>
      </c>
      <c r="K717" s="166">
        <f t="shared" si="83"/>
        <v>6.9550000000000001</v>
      </c>
      <c r="L717" s="165">
        <f t="shared" si="82"/>
        <v>1.1042125</v>
      </c>
      <c r="M717" s="168">
        <f t="shared" si="77"/>
        <v>0</v>
      </c>
      <c r="N717" s="236" t="s">
        <v>453</v>
      </c>
    </row>
    <row r="718" spans="1:14" ht="14">
      <c r="A718" s="149">
        <v>717</v>
      </c>
      <c r="B718" s="235" t="s">
        <v>51</v>
      </c>
      <c r="C718" s="231" t="s">
        <v>10</v>
      </c>
      <c r="D718" s="250" t="s">
        <v>1965</v>
      </c>
      <c r="E718" s="281">
        <v>0</v>
      </c>
      <c r="F718" s="249">
        <v>1304.0999999999999</v>
      </c>
      <c r="G718" s="164">
        <f t="shared" si="78"/>
        <v>7.8520000000000003</v>
      </c>
      <c r="H718" s="165">
        <f t="shared" si="79"/>
        <v>15.704000000000001</v>
      </c>
      <c r="I718" s="165">
        <f t="shared" si="80"/>
        <v>11.777999999999999</v>
      </c>
      <c r="J718" s="166">
        <f t="shared" si="81"/>
        <v>19.63</v>
      </c>
      <c r="K718" s="166">
        <f t="shared" si="83"/>
        <v>19.63</v>
      </c>
      <c r="L718" s="165">
        <f t="shared" si="82"/>
        <v>1.326025</v>
      </c>
      <c r="M718" s="168">
        <f t="shared" si="77"/>
        <v>0</v>
      </c>
      <c r="N718" s="236" t="s">
        <v>453</v>
      </c>
    </row>
    <row r="719" spans="1:14" ht="14">
      <c r="A719" s="149">
        <v>718</v>
      </c>
      <c r="B719" s="235" t="s">
        <v>51</v>
      </c>
      <c r="C719" s="231" t="s">
        <v>10</v>
      </c>
      <c r="D719" s="250" t="s">
        <v>1967</v>
      </c>
      <c r="E719" s="281">
        <v>0</v>
      </c>
      <c r="F719" s="249">
        <v>577.5</v>
      </c>
      <c r="G719" s="164">
        <f t="shared" si="78"/>
        <v>3.7</v>
      </c>
      <c r="H719" s="165">
        <f t="shared" si="79"/>
        <v>7.4</v>
      </c>
      <c r="I719" s="165">
        <f t="shared" si="80"/>
        <v>5.55</v>
      </c>
      <c r="J719" s="166">
        <f t="shared" si="81"/>
        <v>9.25</v>
      </c>
      <c r="K719" s="166">
        <f t="shared" si="83"/>
        <v>9.25</v>
      </c>
      <c r="L719" s="165">
        <f t="shared" si="82"/>
        <v>1.1443749999999999</v>
      </c>
      <c r="M719" s="168">
        <f t="shared" si="77"/>
        <v>0</v>
      </c>
      <c r="N719" s="236" t="s">
        <v>453</v>
      </c>
    </row>
    <row r="720" spans="1:14" ht="14">
      <c r="A720" s="149">
        <v>719</v>
      </c>
      <c r="B720" s="235" t="s">
        <v>52</v>
      </c>
      <c r="C720" s="231" t="s">
        <v>10</v>
      </c>
      <c r="D720" s="250" t="s">
        <v>1969</v>
      </c>
      <c r="E720" s="281">
        <v>0</v>
      </c>
      <c r="F720" s="249">
        <v>573.29999999999995</v>
      </c>
      <c r="G720" s="164">
        <f t="shared" si="78"/>
        <v>3.6760000000000002</v>
      </c>
      <c r="H720" s="165">
        <f t="shared" si="79"/>
        <v>7.3520000000000003</v>
      </c>
      <c r="I720" s="165">
        <f t="shared" si="80"/>
        <v>5.5139999999999993</v>
      </c>
      <c r="J720" s="166">
        <f t="shared" si="81"/>
        <v>9.19</v>
      </c>
      <c r="K720" s="166">
        <f t="shared" si="83"/>
        <v>9.19</v>
      </c>
      <c r="L720" s="165">
        <f t="shared" si="82"/>
        <v>1.1433249999999999</v>
      </c>
      <c r="M720" s="168">
        <f t="shared" si="77"/>
        <v>0</v>
      </c>
      <c r="N720" s="236" t="s">
        <v>453</v>
      </c>
    </row>
    <row r="721" spans="1:14" ht="14">
      <c r="A721" s="149">
        <v>720</v>
      </c>
      <c r="B721" s="235" t="s">
        <v>51</v>
      </c>
      <c r="C721" s="231" t="s">
        <v>10</v>
      </c>
      <c r="D721" s="250" t="s">
        <v>1971</v>
      </c>
      <c r="E721" s="281">
        <v>0</v>
      </c>
      <c r="F721" s="249">
        <v>315</v>
      </c>
      <c r="G721" s="164">
        <f t="shared" si="78"/>
        <v>2.2000000000000002</v>
      </c>
      <c r="H721" s="165">
        <f t="shared" si="79"/>
        <v>4.4000000000000004</v>
      </c>
      <c r="I721" s="165">
        <f t="shared" si="80"/>
        <v>3.3</v>
      </c>
      <c r="J721" s="166">
        <f t="shared" si="81"/>
        <v>5.5</v>
      </c>
      <c r="K721" s="166">
        <f t="shared" si="83"/>
        <v>5.5</v>
      </c>
      <c r="L721" s="165">
        <f t="shared" si="82"/>
        <v>1.0787500000000001</v>
      </c>
      <c r="M721" s="168">
        <f t="shared" si="77"/>
        <v>0</v>
      </c>
      <c r="N721" s="236" t="s">
        <v>453</v>
      </c>
    </row>
    <row r="722" spans="1:14" ht="14">
      <c r="A722" s="149">
        <v>721</v>
      </c>
      <c r="B722" s="235" t="s">
        <v>52</v>
      </c>
      <c r="C722" s="231" t="s">
        <v>10</v>
      </c>
      <c r="D722" s="250" t="s">
        <v>1973</v>
      </c>
      <c r="E722" s="281">
        <v>0</v>
      </c>
      <c r="F722" s="249">
        <v>1955.1</v>
      </c>
      <c r="G722" s="164">
        <f t="shared" si="78"/>
        <v>11.572000000000001</v>
      </c>
      <c r="H722" s="165">
        <f t="shared" si="79"/>
        <v>23.144000000000002</v>
      </c>
      <c r="I722" s="165">
        <f t="shared" si="80"/>
        <v>17.358000000000001</v>
      </c>
      <c r="J722" s="166">
        <f t="shared" si="81"/>
        <v>28.93</v>
      </c>
      <c r="K722" s="166">
        <f t="shared" si="83"/>
        <v>28.93</v>
      </c>
      <c r="L722" s="165">
        <f t="shared" si="82"/>
        <v>1.488775</v>
      </c>
      <c r="M722" s="168">
        <f t="shared" si="77"/>
        <v>0</v>
      </c>
      <c r="N722" s="236" t="s">
        <v>453</v>
      </c>
    </row>
    <row r="723" spans="1:14" ht="14">
      <c r="A723" s="149">
        <v>722</v>
      </c>
      <c r="B723" s="235" t="s">
        <v>52</v>
      </c>
      <c r="C723" s="231" t="s">
        <v>10</v>
      </c>
      <c r="D723" s="250" t="s">
        <v>1975</v>
      </c>
      <c r="E723" s="281">
        <v>0</v>
      </c>
      <c r="F723" s="249">
        <v>315</v>
      </c>
      <c r="G723" s="164">
        <f t="shared" si="78"/>
        <v>2.2000000000000002</v>
      </c>
      <c r="H723" s="165">
        <f t="shared" si="79"/>
        <v>4.4000000000000004</v>
      </c>
      <c r="I723" s="165">
        <f t="shared" si="80"/>
        <v>3.3</v>
      </c>
      <c r="J723" s="166">
        <f t="shared" si="81"/>
        <v>5.5</v>
      </c>
      <c r="K723" s="166">
        <f t="shared" si="83"/>
        <v>5.5</v>
      </c>
      <c r="L723" s="165">
        <f t="shared" si="82"/>
        <v>1.0787500000000001</v>
      </c>
      <c r="M723" s="168">
        <f t="shared" si="77"/>
        <v>0</v>
      </c>
      <c r="N723" s="236" t="s">
        <v>453</v>
      </c>
    </row>
    <row r="724" spans="1:14" ht="14">
      <c r="A724" s="149">
        <v>723</v>
      </c>
      <c r="B724" s="235" t="s">
        <v>52</v>
      </c>
      <c r="C724" s="231" t="s">
        <v>10</v>
      </c>
      <c r="D724" s="250" t="s">
        <v>1976</v>
      </c>
      <c r="E724" s="281">
        <v>0</v>
      </c>
      <c r="F724" s="249">
        <v>739.2</v>
      </c>
      <c r="G724" s="164">
        <f t="shared" si="78"/>
        <v>4.6240000000000006</v>
      </c>
      <c r="H724" s="165">
        <f t="shared" si="79"/>
        <v>9.2480000000000011</v>
      </c>
      <c r="I724" s="165">
        <f t="shared" si="80"/>
        <v>6.9359999999999999</v>
      </c>
      <c r="J724" s="166">
        <f t="shared" si="81"/>
        <v>11.56</v>
      </c>
      <c r="K724" s="166">
        <f t="shared" si="83"/>
        <v>11.56</v>
      </c>
      <c r="L724" s="165">
        <f t="shared" si="82"/>
        <v>1.1848000000000001</v>
      </c>
      <c r="M724" s="168">
        <f t="shared" si="77"/>
        <v>0</v>
      </c>
      <c r="N724" s="236" t="s">
        <v>457</v>
      </c>
    </row>
    <row r="725" spans="1:14" ht="14">
      <c r="A725" s="149">
        <v>724</v>
      </c>
      <c r="B725" s="235" t="s">
        <v>52</v>
      </c>
      <c r="C725" s="231" t="s">
        <v>10</v>
      </c>
      <c r="D725" s="250" t="s">
        <v>1978</v>
      </c>
      <c r="E725" s="281">
        <v>0</v>
      </c>
      <c r="F725" s="249">
        <v>3247.65</v>
      </c>
      <c r="G725" s="164">
        <f t="shared" si="78"/>
        <v>18.958000000000002</v>
      </c>
      <c r="H725" s="165">
        <f t="shared" si="79"/>
        <v>37.916000000000004</v>
      </c>
      <c r="I725" s="165">
        <f t="shared" si="80"/>
        <v>28.437000000000001</v>
      </c>
      <c r="J725" s="166">
        <f t="shared" si="81"/>
        <v>47.395000000000003</v>
      </c>
      <c r="K725" s="166">
        <f t="shared" si="83"/>
        <v>47.395000000000003</v>
      </c>
      <c r="L725" s="165">
        <f t="shared" si="82"/>
        <v>1.8119125</v>
      </c>
      <c r="M725" s="168">
        <f t="shared" si="77"/>
        <v>0</v>
      </c>
      <c r="N725" s="236" t="s">
        <v>453</v>
      </c>
    </row>
    <row r="726" spans="1:14" ht="14">
      <c r="A726" s="149">
        <v>725</v>
      </c>
      <c r="B726" s="235" t="s">
        <v>52</v>
      </c>
      <c r="C726" s="231" t="s">
        <v>10</v>
      </c>
      <c r="D726" s="250" t="s">
        <v>1980</v>
      </c>
      <c r="E726" s="281">
        <v>0</v>
      </c>
      <c r="F726" s="249">
        <v>315</v>
      </c>
      <c r="G726" s="164">
        <f t="shared" si="78"/>
        <v>2.2000000000000002</v>
      </c>
      <c r="H726" s="165">
        <f t="shared" si="79"/>
        <v>4.4000000000000004</v>
      </c>
      <c r="I726" s="165">
        <f t="shared" si="80"/>
        <v>3.3</v>
      </c>
      <c r="J726" s="166">
        <f t="shared" si="81"/>
        <v>5.5</v>
      </c>
      <c r="K726" s="166">
        <f t="shared" si="83"/>
        <v>5.5</v>
      </c>
      <c r="L726" s="165">
        <f t="shared" si="82"/>
        <v>1.0787500000000001</v>
      </c>
      <c r="M726" s="168">
        <f t="shared" si="77"/>
        <v>0</v>
      </c>
      <c r="N726" s="236" t="s">
        <v>453</v>
      </c>
    </row>
    <row r="727" spans="1:14" ht="14">
      <c r="A727" s="149">
        <v>726</v>
      </c>
      <c r="B727" s="235" t="s">
        <v>52</v>
      </c>
      <c r="C727" s="231" t="s">
        <v>10</v>
      </c>
      <c r="D727" s="250" t="s">
        <v>1982</v>
      </c>
      <c r="E727" s="281">
        <v>0</v>
      </c>
      <c r="F727" s="249">
        <v>2242.8000000000002</v>
      </c>
      <c r="G727" s="164">
        <f t="shared" si="78"/>
        <v>13.216000000000001</v>
      </c>
      <c r="H727" s="165">
        <f t="shared" si="79"/>
        <v>26.432000000000002</v>
      </c>
      <c r="I727" s="165">
        <f t="shared" si="80"/>
        <v>19.823999999999998</v>
      </c>
      <c r="J727" s="166">
        <f t="shared" si="81"/>
        <v>33.04</v>
      </c>
      <c r="K727" s="166">
        <f t="shared" si="83"/>
        <v>33.04</v>
      </c>
      <c r="L727" s="165">
        <f t="shared" si="82"/>
        <v>1.5607000000000002</v>
      </c>
      <c r="M727" s="168">
        <f t="shared" si="77"/>
        <v>0</v>
      </c>
      <c r="N727" s="236" t="s">
        <v>453</v>
      </c>
    </row>
    <row r="728" spans="1:14" ht="14">
      <c r="A728" s="149">
        <v>727</v>
      </c>
      <c r="B728" s="235" t="s">
        <v>52</v>
      </c>
      <c r="C728" s="231" t="s">
        <v>10</v>
      </c>
      <c r="D728" s="250" t="s">
        <v>1984</v>
      </c>
      <c r="E728" s="281">
        <v>0</v>
      </c>
      <c r="F728" s="249">
        <v>3545.85</v>
      </c>
      <c r="G728" s="164">
        <f t="shared" si="78"/>
        <v>20.662000000000003</v>
      </c>
      <c r="H728" s="165">
        <f t="shared" si="79"/>
        <v>41.324000000000005</v>
      </c>
      <c r="I728" s="165">
        <f t="shared" si="80"/>
        <v>30.992999999999999</v>
      </c>
      <c r="J728" s="166">
        <f t="shared" si="81"/>
        <v>51.655000000000001</v>
      </c>
      <c r="K728" s="166">
        <f t="shared" si="83"/>
        <v>51.655000000000001</v>
      </c>
      <c r="L728" s="165">
        <f t="shared" si="82"/>
        <v>1.8864624999999999</v>
      </c>
      <c r="M728" s="168">
        <f t="shared" si="77"/>
        <v>0</v>
      </c>
      <c r="N728" s="236" t="s">
        <v>453</v>
      </c>
    </row>
    <row r="729" spans="1:14" ht="14">
      <c r="A729" s="149">
        <v>728</v>
      </c>
      <c r="B729" s="235" t="s">
        <v>52</v>
      </c>
      <c r="C729" s="231" t="s">
        <v>10</v>
      </c>
      <c r="D729" s="250" t="s">
        <v>1986</v>
      </c>
      <c r="E729" s="281">
        <v>0</v>
      </c>
      <c r="F729" s="249">
        <v>315</v>
      </c>
      <c r="G729" s="164">
        <f t="shared" si="78"/>
        <v>2.2000000000000002</v>
      </c>
      <c r="H729" s="165">
        <f t="shared" si="79"/>
        <v>4.4000000000000004</v>
      </c>
      <c r="I729" s="165">
        <f t="shared" si="80"/>
        <v>3.3</v>
      </c>
      <c r="J729" s="166">
        <f t="shared" si="81"/>
        <v>5.5</v>
      </c>
      <c r="K729" s="166">
        <f t="shared" si="83"/>
        <v>5.5</v>
      </c>
      <c r="L729" s="165">
        <f t="shared" si="82"/>
        <v>1.0787500000000001</v>
      </c>
      <c r="M729" s="168">
        <f t="shared" si="77"/>
        <v>0</v>
      </c>
      <c r="N729" s="236" t="s">
        <v>453</v>
      </c>
    </row>
    <row r="730" spans="1:14" ht="14">
      <c r="A730" s="149">
        <v>729</v>
      </c>
      <c r="B730" s="235" t="s">
        <v>52</v>
      </c>
      <c r="C730" s="231" t="s">
        <v>10</v>
      </c>
      <c r="D730" s="250" t="s">
        <v>1988</v>
      </c>
      <c r="E730" s="281">
        <v>0</v>
      </c>
      <c r="F730" s="249">
        <v>735</v>
      </c>
      <c r="G730" s="164">
        <f t="shared" si="78"/>
        <v>4.6000000000000005</v>
      </c>
      <c r="H730" s="165">
        <f t="shared" si="79"/>
        <v>9.2000000000000011</v>
      </c>
      <c r="I730" s="165">
        <f t="shared" si="80"/>
        <v>6.8999999999999995</v>
      </c>
      <c r="J730" s="166">
        <f t="shared" si="81"/>
        <v>11.5</v>
      </c>
      <c r="K730" s="166">
        <f t="shared" si="83"/>
        <v>11.5</v>
      </c>
      <c r="L730" s="165">
        <f t="shared" si="82"/>
        <v>1.1837500000000001</v>
      </c>
      <c r="M730" s="168">
        <f t="shared" si="77"/>
        <v>0</v>
      </c>
      <c r="N730" s="236" t="s">
        <v>453</v>
      </c>
    </row>
    <row r="731" spans="1:14" ht="14">
      <c r="A731" s="149">
        <v>730</v>
      </c>
      <c r="B731" s="235" t="s">
        <v>52</v>
      </c>
      <c r="C731" s="231" t="s">
        <v>10</v>
      </c>
      <c r="D731" s="250" t="s">
        <v>1990</v>
      </c>
      <c r="E731" s="281">
        <v>0</v>
      </c>
      <c r="F731" s="249">
        <v>342.3</v>
      </c>
      <c r="G731" s="164">
        <f t="shared" si="78"/>
        <v>2.3560000000000003</v>
      </c>
      <c r="H731" s="165">
        <f t="shared" si="79"/>
        <v>4.7120000000000006</v>
      </c>
      <c r="I731" s="165">
        <f t="shared" si="80"/>
        <v>3.5340000000000003</v>
      </c>
      <c r="J731" s="166">
        <f t="shared" si="81"/>
        <v>5.8900000000000006</v>
      </c>
      <c r="K731" s="166">
        <f t="shared" si="83"/>
        <v>5.8900000000000006</v>
      </c>
      <c r="L731" s="165">
        <f t="shared" si="82"/>
        <v>1.085575</v>
      </c>
      <c r="M731" s="168">
        <f t="shared" si="77"/>
        <v>0</v>
      </c>
      <c r="N731" s="236" t="s">
        <v>453</v>
      </c>
    </row>
    <row r="732" spans="1:14" ht="14">
      <c r="A732" s="149">
        <v>731</v>
      </c>
      <c r="B732" s="235" t="s">
        <v>52</v>
      </c>
      <c r="C732" s="231" t="s">
        <v>10</v>
      </c>
      <c r="D732" s="250" t="s">
        <v>1992</v>
      </c>
      <c r="E732" s="281">
        <v>0</v>
      </c>
      <c r="F732" s="249">
        <v>1473.15</v>
      </c>
      <c r="G732" s="164">
        <f t="shared" si="78"/>
        <v>8.8180000000000014</v>
      </c>
      <c r="H732" s="165">
        <f t="shared" si="79"/>
        <v>17.636000000000003</v>
      </c>
      <c r="I732" s="165">
        <f t="shared" si="80"/>
        <v>13.227</v>
      </c>
      <c r="J732" s="166">
        <f t="shared" si="81"/>
        <v>22.045000000000002</v>
      </c>
      <c r="K732" s="166">
        <f t="shared" si="83"/>
        <v>22.045000000000002</v>
      </c>
      <c r="L732" s="165">
        <f t="shared" si="82"/>
        <v>1.3682875000000001</v>
      </c>
      <c r="M732" s="168">
        <f t="shared" si="77"/>
        <v>0</v>
      </c>
      <c r="N732" s="236" t="s">
        <v>453</v>
      </c>
    </row>
    <row r="733" spans="1:14" ht="14">
      <c r="A733" s="149">
        <v>732</v>
      </c>
      <c r="B733" s="235" t="s">
        <v>52</v>
      </c>
      <c r="C733" s="231" t="s">
        <v>10</v>
      </c>
      <c r="D733" s="250" t="s">
        <v>1994</v>
      </c>
      <c r="E733" s="281">
        <v>0</v>
      </c>
      <c r="F733" s="249">
        <v>931.35</v>
      </c>
      <c r="G733" s="164">
        <f t="shared" si="78"/>
        <v>5.7220000000000004</v>
      </c>
      <c r="H733" s="165">
        <f t="shared" si="79"/>
        <v>11.444000000000001</v>
      </c>
      <c r="I733" s="165">
        <f t="shared" si="80"/>
        <v>8.5830000000000002</v>
      </c>
      <c r="J733" s="166">
        <f t="shared" si="81"/>
        <v>14.305</v>
      </c>
      <c r="K733" s="166">
        <f t="shared" si="83"/>
        <v>14.305</v>
      </c>
      <c r="L733" s="165">
        <f t="shared" si="82"/>
        <v>1.2328375</v>
      </c>
      <c r="M733" s="168">
        <f t="shared" si="77"/>
        <v>0</v>
      </c>
      <c r="N733" s="236" t="s">
        <v>453</v>
      </c>
    </row>
    <row r="734" spans="1:14" ht="14">
      <c r="A734" s="149">
        <v>733</v>
      </c>
      <c r="B734" s="235" t="s">
        <v>52</v>
      </c>
      <c r="C734" s="231" t="s">
        <v>10</v>
      </c>
      <c r="D734" s="250" t="s">
        <v>1996</v>
      </c>
      <c r="E734" s="281">
        <v>0</v>
      </c>
      <c r="F734" s="249">
        <v>917.7</v>
      </c>
      <c r="G734" s="164">
        <f t="shared" si="78"/>
        <v>5.644000000000001</v>
      </c>
      <c r="H734" s="165">
        <f t="shared" si="79"/>
        <v>11.288000000000002</v>
      </c>
      <c r="I734" s="165">
        <f t="shared" si="80"/>
        <v>8.4660000000000011</v>
      </c>
      <c r="J734" s="166">
        <f t="shared" si="81"/>
        <v>14.110000000000003</v>
      </c>
      <c r="K734" s="166">
        <f t="shared" si="83"/>
        <v>14.110000000000003</v>
      </c>
      <c r="L734" s="165">
        <f t="shared" si="82"/>
        <v>1.229425</v>
      </c>
      <c r="M734" s="168">
        <f t="shared" si="77"/>
        <v>0</v>
      </c>
      <c r="N734" s="236" t="s">
        <v>453</v>
      </c>
    </row>
    <row r="735" spans="1:14" ht="14">
      <c r="A735" s="149">
        <v>734</v>
      </c>
      <c r="B735" s="235" t="s">
        <v>52</v>
      </c>
      <c r="C735" s="231" t="s">
        <v>10</v>
      </c>
      <c r="D735" s="250" t="s">
        <v>1998</v>
      </c>
      <c r="E735" s="281">
        <v>0</v>
      </c>
      <c r="F735" s="249">
        <v>568.04999999999995</v>
      </c>
      <c r="G735" s="164">
        <f t="shared" si="78"/>
        <v>3.6460000000000004</v>
      </c>
      <c r="H735" s="165">
        <f t="shared" si="79"/>
        <v>7.2920000000000007</v>
      </c>
      <c r="I735" s="165">
        <f t="shared" si="80"/>
        <v>5.4690000000000003</v>
      </c>
      <c r="J735" s="166">
        <f t="shared" si="81"/>
        <v>9.1150000000000002</v>
      </c>
      <c r="K735" s="166">
        <f t="shared" si="83"/>
        <v>9.1150000000000002</v>
      </c>
      <c r="L735" s="165">
        <f t="shared" si="82"/>
        <v>1.1420124999999999</v>
      </c>
      <c r="M735" s="168">
        <f t="shared" si="77"/>
        <v>0</v>
      </c>
      <c r="N735" s="236" t="s">
        <v>453</v>
      </c>
    </row>
    <row r="736" spans="1:14" ht="14">
      <c r="A736" s="149">
        <v>735</v>
      </c>
      <c r="B736" s="235" t="s">
        <v>52</v>
      </c>
      <c r="C736" s="231" t="s">
        <v>10</v>
      </c>
      <c r="D736" s="250" t="s">
        <v>2000</v>
      </c>
      <c r="E736" s="281">
        <v>0</v>
      </c>
      <c r="F736" s="249">
        <v>929.25</v>
      </c>
      <c r="G736" s="164">
        <f t="shared" si="78"/>
        <v>5.7100000000000009</v>
      </c>
      <c r="H736" s="165">
        <f t="shared" si="79"/>
        <v>11.420000000000002</v>
      </c>
      <c r="I736" s="165">
        <f t="shared" si="80"/>
        <v>8.5649999999999995</v>
      </c>
      <c r="J736" s="166">
        <f t="shared" si="81"/>
        <v>14.275</v>
      </c>
      <c r="K736" s="166">
        <f t="shared" si="83"/>
        <v>14.275</v>
      </c>
      <c r="L736" s="165">
        <f t="shared" si="82"/>
        <v>1.2323124999999999</v>
      </c>
      <c r="M736" s="168">
        <f t="shared" si="77"/>
        <v>0</v>
      </c>
      <c r="N736" s="236" t="s">
        <v>457</v>
      </c>
    </row>
    <row r="737" spans="1:14" ht="14">
      <c r="A737" s="149">
        <v>736</v>
      </c>
      <c r="B737" s="235" t="s">
        <v>52</v>
      </c>
      <c r="C737" s="231" t="s">
        <v>10</v>
      </c>
      <c r="D737" s="250" t="s">
        <v>2002</v>
      </c>
      <c r="E737" s="281">
        <v>0</v>
      </c>
      <c r="F737" s="249">
        <v>483</v>
      </c>
      <c r="G737" s="164">
        <f t="shared" si="78"/>
        <v>3.16</v>
      </c>
      <c r="H737" s="165">
        <f t="shared" si="79"/>
        <v>6.32</v>
      </c>
      <c r="I737" s="165">
        <f t="shared" si="80"/>
        <v>4.74</v>
      </c>
      <c r="J737" s="166">
        <f t="shared" si="81"/>
        <v>7.9</v>
      </c>
      <c r="K737" s="166">
        <f t="shared" si="83"/>
        <v>7.9</v>
      </c>
      <c r="L737" s="165">
        <f t="shared" si="82"/>
        <v>1.1207499999999999</v>
      </c>
      <c r="M737" s="168">
        <f t="shared" si="77"/>
        <v>0</v>
      </c>
      <c r="N737" s="236" t="s">
        <v>453</v>
      </c>
    </row>
    <row r="738" spans="1:14" ht="14">
      <c r="A738" s="149">
        <v>737</v>
      </c>
      <c r="B738" s="235" t="s">
        <v>52</v>
      </c>
      <c r="C738" s="231" t="s">
        <v>10</v>
      </c>
      <c r="D738" s="250" t="s">
        <v>2004</v>
      </c>
      <c r="E738" s="281">
        <v>0</v>
      </c>
      <c r="F738" s="249">
        <v>386.4</v>
      </c>
      <c r="G738" s="164">
        <f t="shared" si="78"/>
        <v>2.6080000000000001</v>
      </c>
      <c r="H738" s="165">
        <f t="shared" si="79"/>
        <v>5.2160000000000002</v>
      </c>
      <c r="I738" s="165">
        <f t="shared" si="80"/>
        <v>3.9119999999999995</v>
      </c>
      <c r="J738" s="166">
        <f t="shared" si="81"/>
        <v>6.52</v>
      </c>
      <c r="K738" s="166">
        <f t="shared" si="83"/>
        <v>6.52</v>
      </c>
      <c r="L738" s="165">
        <f t="shared" si="82"/>
        <v>1.0966</v>
      </c>
      <c r="M738" s="168">
        <f t="shared" si="77"/>
        <v>0</v>
      </c>
      <c r="N738" s="236" t="s">
        <v>453</v>
      </c>
    </row>
    <row r="739" spans="1:14" ht="14">
      <c r="A739" s="149">
        <v>738</v>
      </c>
      <c r="B739" s="235" t="s">
        <v>52</v>
      </c>
      <c r="C739" s="231" t="s">
        <v>10</v>
      </c>
      <c r="D739" s="250" t="s">
        <v>2006</v>
      </c>
      <c r="E739" s="281">
        <v>0</v>
      </c>
      <c r="F739" s="249">
        <v>706.65</v>
      </c>
      <c r="G739" s="164">
        <f t="shared" si="78"/>
        <v>4.4379999999999997</v>
      </c>
      <c r="H739" s="165">
        <f t="shared" si="79"/>
        <v>8.8759999999999994</v>
      </c>
      <c r="I739" s="165">
        <f t="shared" si="80"/>
        <v>6.6569999999999991</v>
      </c>
      <c r="J739" s="166">
        <f t="shared" si="81"/>
        <v>11.094999999999999</v>
      </c>
      <c r="K739" s="166">
        <f t="shared" si="83"/>
        <v>11.094999999999999</v>
      </c>
      <c r="L739" s="165">
        <f t="shared" si="82"/>
        <v>1.1766624999999999</v>
      </c>
      <c r="M739" s="168">
        <f t="shared" si="77"/>
        <v>0</v>
      </c>
      <c r="N739" s="236" t="s">
        <v>453</v>
      </c>
    </row>
    <row r="740" spans="1:14" ht="14">
      <c r="A740" s="149">
        <v>739</v>
      </c>
      <c r="B740" s="235" t="s">
        <v>52</v>
      </c>
      <c r="C740" s="231" t="s">
        <v>10</v>
      </c>
      <c r="D740" s="250" t="s">
        <v>2008</v>
      </c>
      <c r="E740" s="281">
        <v>0</v>
      </c>
      <c r="F740" s="249">
        <v>1581.3</v>
      </c>
      <c r="G740" s="164">
        <f t="shared" si="78"/>
        <v>9.4359999999999999</v>
      </c>
      <c r="H740" s="165">
        <f t="shared" si="79"/>
        <v>18.872</v>
      </c>
      <c r="I740" s="165">
        <f t="shared" si="80"/>
        <v>14.154</v>
      </c>
      <c r="J740" s="166">
        <f t="shared" si="81"/>
        <v>23.59</v>
      </c>
      <c r="K740" s="166">
        <f t="shared" si="83"/>
        <v>23.59</v>
      </c>
      <c r="L740" s="165">
        <f t="shared" si="82"/>
        <v>1.3953249999999999</v>
      </c>
      <c r="M740" s="168">
        <f t="shared" si="77"/>
        <v>0</v>
      </c>
      <c r="N740" s="236" t="s">
        <v>453</v>
      </c>
    </row>
    <row r="741" spans="1:14" ht="14">
      <c r="A741" s="149">
        <v>740</v>
      </c>
      <c r="B741" s="235" t="s">
        <v>52</v>
      </c>
      <c r="C741" s="231" t="s">
        <v>10</v>
      </c>
      <c r="D741" s="250" t="s">
        <v>2010</v>
      </c>
      <c r="E741" s="281">
        <v>0</v>
      </c>
      <c r="F741" s="249">
        <v>315</v>
      </c>
      <c r="G741" s="164">
        <f t="shared" si="78"/>
        <v>2.2000000000000002</v>
      </c>
      <c r="H741" s="165">
        <f t="shared" si="79"/>
        <v>4.4000000000000004</v>
      </c>
      <c r="I741" s="165">
        <f t="shared" si="80"/>
        <v>3.3</v>
      </c>
      <c r="J741" s="166">
        <f t="shared" si="81"/>
        <v>5.5</v>
      </c>
      <c r="K741" s="166">
        <f t="shared" si="83"/>
        <v>5.5</v>
      </c>
      <c r="L741" s="165">
        <f t="shared" si="82"/>
        <v>1.0787500000000001</v>
      </c>
      <c r="M741" s="168">
        <f t="shared" si="77"/>
        <v>0</v>
      </c>
      <c r="N741" s="236" t="s">
        <v>453</v>
      </c>
    </row>
    <row r="742" spans="1:14" ht="14">
      <c r="A742" s="149">
        <v>741</v>
      </c>
      <c r="B742" s="235" t="s">
        <v>52</v>
      </c>
      <c r="C742" s="231" t="s">
        <v>10</v>
      </c>
      <c r="D742" s="250" t="s">
        <v>2012</v>
      </c>
      <c r="E742" s="281">
        <v>0</v>
      </c>
      <c r="F742" s="249">
        <v>1423.8</v>
      </c>
      <c r="G742" s="164">
        <f t="shared" si="78"/>
        <v>8.5359999999999996</v>
      </c>
      <c r="H742" s="165">
        <f t="shared" si="79"/>
        <v>17.071999999999999</v>
      </c>
      <c r="I742" s="165">
        <f t="shared" si="80"/>
        <v>12.804</v>
      </c>
      <c r="J742" s="166">
        <f t="shared" si="81"/>
        <v>21.34</v>
      </c>
      <c r="K742" s="166">
        <f t="shared" si="83"/>
        <v>21.34</v>
      </c>
      <c r="L742" s="165">
        <f t="shared" si="82"/>
        <v>1.35595</v>
      </c>
      <c r="M742" s="168">
        <f t="shared" si="77"/>
        <v>0</v>
      </c>
      <c r="N742" s="236" t="s">
        <v>453</v>
      </c>
    </row>
    <row r="743" spans="1:14" ht="14">
      <c r="A743" s="149">
        <v>742</v>
      </c>
      <c r="B743" s="235" t="s">
        <v>49</v>
      </c>
      <c r="C743" s="231" t="s">
        <v>10</v>
      </c>
      <c r="D743" s="250" t="s">
        <v>2014</v>
      </c>
      <c r="E743" s="281">
        <v>0</v>
      </c>
      <c r="F743" s="249">
        <v>354.9</v>
      </c>
      <c r="G743" s="164">
        <f t="shared" si="78"/>
        <v>2.4279999999999999</v>
      </c>
      <c r="H743" s="165">
        <f t="shared" si="79"/>
        <v>4.8559999999999999</v>
      </c>
      <c r="I743" s="165">
        <f t="shared" si="80"/>
        <v>3.6419999999999995</v>
      </c>
      <c r="J743" s="166">
        <f t="shared" si="81"/>
        <v>6.0699999999999994</v>
      </c>
      <c r="K743" s="166">
        <f t="shared" si="83"/>
        <v>6.0699999999999994</v>
      </c>
      <c r="L743" s="165">
        <f t="shared" si="82"/>
        <v>1.0887249999999999</v>
      </c>
      <c r="M743" s="168">
        <f t="shared" si="77"/>
        <v>0</v>
      </c>
      <c r="N743" s="236" t="s">
        <v>453</v>
      </c>
    </row>
    <row r="744" spans="1:14" ht="14">
      <c r="A744" s="149">
        <v>743</v>
      </c>
      <c r="B744" s="235" t="s">
        <v>52</v>
      </c>
      <c r="C744" s="231" t="s">
        <v>10</v>
      </c>
      <c r="D744" s="250" t="s">
        <v>2016</v>
      </c>
      <c r="E744" s="281">
        <v>0</v>
      </c>
      <c r="F744" s="249">
        <v>723.45</v>
      </c>
      <c r="G744" s="164">
        <f t="shared" si="78"/>
        <v>4.5340000000000007</v>
      </c>
      <c r="H744" s="165">
        <f t="shared" si="79"/>
        <v>9.0680000000000014</v>
      </c>
      <c r="I744" s="165">
        <f t="shared" si="80"/>
        <v>6.8010000000000002</v>
      </c>
      <c r="J744" s="166">
        <f t="shared" si="81"/>
        <v>11.335000000000001</v>
      </c>
      <c r="K744" s="166">
        <f t="shared" si="83"/>
        <v>11.335000000000001</v>
      </c>
      <c r="L744" s="165">
        <f t="shared" si="82"/>
        <v>1.1808624999999999</v>
      </c>
      <c r="M744" s="168">
        <f t="shared" si="77"/>
        <v>0</v>
      </c>
      <c r="N744" s="236" t="s">
        <v>453</v>
      </c>
    </row>
    <row r="745" spans="1:14" ht="14">
      <c r="A745" s="149">
        <v>744</v>
      </c>
      <c r="B745" s="235" t="s">
        <v>52</v>
      </c>
      <c r="C745" s="231" t="s">
        <v>10</v>
      </c>
      <c r="D745" s="250" t="s">
        <v>2018</v>
      </c>
      <c r="E745" s="281">
        <v>0</v>
      </c>
      <c r="F745" s="249">
        <v>569.1</v>
      </c>
      <c r="G745" s="164">
        <f t="shared" si="78"/>
        <v>3.6520000000000006</v>
      </c>
      <c r="H745" s="165">
        <f t="shared" si="79"/>
        <v>7.3040000000000012</v>
      </c>
      <c r="I745" s="165">
        <f t="shared" si="80"/>
        <v>5.4780000000000006</v>
      </c>
      <c r="J745" s="166">
        <f t="shared" si="81"/>
        <v>9.1300000000000008</v>
      </c>
      <c r="K745" s="166">
        <f t="shared" si="83"/>
        <v>9.1300000000000008</v>
      </c>
      <c r="L745" s="165">
        <f t="shared" si="82"/>
        <v>1.1422749999999999</v>
      </c>
      <c r="M745" s="168">
        <f t="shared" si="77"/>
        <v>0</v>
      </c>
      <c r="N745" s="236" t="s">
        <v>453</v>
      </c>
    </row>
    <row r="746" spans="1:14" ht="14">
      <c r="A746" s="149">
        <v>745</v>
      </c>
      <c r="B746" s="235" t="s">
        <v>52</v>
      </c>
      <c r="C746" s="231" t="s">
        <v>10</v>
      </c>
      <c r="D746" s="250" t="s">
        <v>2020</v>
      </c>
      <c r="E746" s="281">
        <v>0</v>
      </c>
      <c r="F746" s="249">
        <v>315</v>
      </c>
      <c r="G746" s="164">
        <f t="shared" si="78"/>
        <v>2.2000000000000002</v>
      </c>
      <c r="H746" s="165">
        <f t="shared" si="79"/>
        <v>4.4000000000000004</v>
      </c>
      <c r="I746" s="165">
        <f t="shared" si="80"/>
        <v>3.3</v>
      </c>
      <c r="J746" s="166">
        <f t="shared" si="81"/>
        <v>5.5</v>
      </c>
      <c r="K746" s="166">
        <f t="shared" si="83"/>
        <v>5.5</v>
      </c>
      <c r="L746" s="165">
        <f t="shared" si="82"/>
        <v>1.0787500000000001</v>
      </c>
      <c r="M746" s="168">
        <f t="shared" si="77"/>
        <v>0</v>
      </c>
      <c r="N746" s="236" t="s">
        <v>453</v>
      </c>
    </row>
    <row r="747" spans="1:14" ht="14">
      <c r="A747" s="149">
        <v>746</v>
      </c>
      <c r="B747" s="235" t="s">
        <v>52</v>
      </c>
      <c r="C747" s="231" t="s">
        <v>10</v>
      </c>
      <c r="D747" s="250" t="s">
        <v>2022</v>
      </c>
      <c r="E747" s="281">
        <v>0</v>
      </c>
      <c r="F747" s="249">
        <v>1409.1</v>
      </c>
      <c r="G747" s="164">
        <f t="shared" si="78"/>
        <v>8.452</v>
      </c>
      <c r="H747" s="165">
        <f t="shared" si="79"/>
        <v>16.904</v>
      </c>
      <c r="I747" s="165">
        <f t="shared" si="80"/>
        <v>12.677999999999999</v>
      </c>
      <c r="J747" s="166">
        <f t="shared" si="81"/>
        <v>21.13</v>
      </c>
      <c r="K747" s="166">
        <f t="shared" si="83"/>
        <v>21.13</v>
      </c>
      <c r="L747" s="165">
        <f t="shared" si="82"/>
        <v>1.3522750000000001</v>
      </c>
      <c r="M747" s="168">
        <f t="shared" si="77"/>
        <v>0</v>
      </c>
      <c r="N747" s="236" t="s">
        <v>453</v>
      </c>
    </row>
    <row r="748" spans="1:14" ht="14">
      <c r="A748" s="149">
        <v>747</v>
      </c>
      <c r="B748" s="235" t="s">
        <v>52</v>
      </c>
      <c r="C748" s="231" t="s">
        <v>10</v>
      </c>
      <c r="D748" s="250" t="s">
        <v>2024</v>
      </c>
      <c r="E748" s="281">
        <v>0</v>
      </c>
      <c r="F748" s="249">
        <v>2200</v>
      </c>
      <c r="G748" s="164">
        <f t="shared" si="78"/>
        <v>12.971428571428573</v>
      </c>
      <c r="H748" s="165">
        <f t="shared" si="79"/>
        <v>25.942857142857147</v>
      </c>
      <c r="I748" s="165">
        <f t="shared" si="80"/>
        <v>19.457142857142859</v>
      </c>
      <c r="J748" s="166">
        <f t="shared" si="81"/>
        <v>32.428571428571431</v>
      </c>
      <c r="K748" s="166">
        <f t="shared" si="83"/>
        <v>32.428571428571431</v>
      </c>
      <c r="L748" s="165">
        <f t="shared" si="82"/>
        <v>1.55</v>
      </c>
      <c r="M748" s="168">
        <f t="shared" si="77"/>
        <v>0</v>
      </c>
      <c r="N748" s="236" t="s">
        <v>453</v>
      </c>
    </row>
    <row r="749" spans="1:14" ht="14">
      <c r="A749" s="149">
        <v>748</v>
      </c>
      <c r="B749" s="235" t="s">
        <v>52</v>
      </c>
      <c r="C749" s="231" t="s">
        <v>10</v>
      </c>
      <c r="D749" s="250" t="s">
        <v>2026</v>
      </c>
      <c r="E749" s="281">
        <v>0</v>
      </c>
      <c r="F749" s="249">
        <v>1562.4</v>
      </c>
      <c r="G749" s="164">
        <f t="shared" si="78"/>
        <v>9.3280000000000012</v>
      </c>
      <c r="H749" s="165">
        <f t="shared" si="79"/>
        <v>18.656000000000002</v>
      </c>
      <c r="I749" s="165">
        <f t="shared" si="80"/>
        <v>13.991999999999999</v>
      </c>
      <c r="J749" s="166">
        <f t="shared" si="81"/>
        <v>23.32</v>
      </c>
      <c r="K749" s="166">
        <f t="shared" si="83"/>
        <v>23.32</v>
      </c>
      <c r="L749" s="165">
        <f t="shared" si="82"/>
        <v>1.3906000000000001</v>
      </c>
      <c r="M749" s="168">
        <f t="shared" si="77"/>
        <v>0</v>
      </c>
      <c r="N749" s="236" t="s">
        <v>453</v>
      </c>
    </row>
    <row r="750" spans="1:14" ht="14">
      <c r="A750" s="149">
        <v>749</v>
      </c>
      <c r="B750" s="235" t="s">
        <v>52</v>
      </c>
      <c r="C750" s="231" t="s">
        <v>10</v>
      </c>
      <c r="D750" s="250" t="s">
        <v>2028</v>
      </c>
      <c r="E750" s="281">
        <v>0</v>
      </c>
      <c r="F750" s="249">
        <v>1250.55</v>
      </c>
      <c r="G750" s="164">
        <f t="shared" si="78"/>
        <v>7.5459999999999994</v>
      </c>
      <c r="H750" s="165">
        <f t="shared" si="79"/>
        <v>15.091999999999999</v>
      </c>
      <c r="I750" s="165">
        <f t="shared" si="80"/>
        <v>11.318999999999999</v>
      </c>
      <c r="J750" s="166">
        <f t="shared" si="81"/>
        <v>18.864999999999998</v>
      </c>
      <c r="K750" s="166">
        <f t="shared" si="83"/>
        <v>18.864999999999998</v>
      </c>
      <c r="L750" s="165">
        <f t="shared" si="82"/>
        <v>1.3126375000000001</v>
      </c>
      <c r="M750" s="168">
        <f t="shared" si="77"/>
        <v>0</v>
      </c>
      <c r="N750" s="236" t="s">
        <v>453</v>
      </c>
    </row>
    <row r="751" spans="1:14" ht="14">
      <c r="A751" s="149">
        <v>750</v>
      </c>
      <c r="B751" s="235" t="s">
        <v>52</v>
      </c>
      <c r="C751" s="231" t="s">
        <v>10</v>
      </c>
      <c r="D751" s="250" t="s">
        <v>2030</v>
      </c>
      <c r="E751" s="281">
        <v>0</v>
      </c>
      <c r="F751" s="249">
        <v>1843.8</v>
      </c>
      <c r="G751" s="164">
        <f t="shared" si="78"/>
        <v>10.936</v>
      </c>
      <c r="H751" s="165">
        <f t="shared" si="79"/>
        <v>21.872</v>
      </c>
      <c r="I751" s="165">
        <f t="shared" si="80"/>
        <v>16.404</v>
      </c>
      <c r="J751" s="166">
        <f t="shared" si="81"/>
        <v>27.34</v>
      </c>
      <c r="K751" s="166">
        <f t="shared" si="83"/>
        <v>27.34</v>
      </c>
      <c r="L751" s="165">
        <f t="shared" si="82"/>
        <v>1.46095</v>
      </c>
      <c r="M751" s="168">
        <f t="shared" si="77"/>
        <v>0</v>
      </c>
      <c r="N751" s="236" t="s">
        <v>453</v>
      </c>
    </row>
    <row r="752" spans="1:14" ht="14">
      <c r="A752" s="149">
        <v>751</v>
      </c>
      <c r="B752" s="235" t="s">
        <v>52</v>
      </c>
      <c r="C752" s="231" t="s">
        <v>10</v>
      </c>
      <c r="D752" s="250" t="s">
        <v>2032</v>
      </c>
      <c r="E752" s="281">
        <v>0</v>
      </c>
      <c r="F752" s="249">
        <v>979.65</v>
      </c>
      <c r="G752" s="164">
        <f t="shared" si="78"/>
        <v>5.9980000000000002</v>
      </c>
      <c r="H752" s="165">
        <f t="shared" si="79"/>
        <v>11.996</v>
      </c>
      <c r="I752" s="165">
        <f t="shared" si="80"/>
        <v>8.9969999999999999</v>
      </c>
      <c r="J752" s="166">
        <f t="shared" si="81"/>
        <v>14.995000000000001</v>
      </c>
      <c r="K752" s="166">
        <f t="shared" si="83"/>
        <v>14.995000000000001</v>
      </c>
      <c r="L752" s="165">
        <f t="shared" si="82"/>
        <v>1.2449125000000001</v>
      </c>
      <c r="M752" s="168">
        <f t="shared" si="77"/>
        <v>0</v>
      </c>
      <c r="N752" s="236" t="s">
        <v>453</v>
      </c>
    </row>
    <row r="753" spans="1:14" ht="14">
      <c r="A753" s="149">
        <v>752</v>
      </c>
      <c r="B753" s="235" t="s">
        <v>52</v>
      </c>
      <c r="C753" s="231" t="s">
        <v>10</v>
      </c>
      <c r="D753" s="250" t="s">
        <v>2034</v>
      </c>
      <c r="E753" s="281">
        <v>0</v>
      </c>
      <c r="F753" s="249">
        <v>753.9</v>
      </c>
      <c r="G753" s="164">
        <f t="shared" si="78"/>
        <v>4.7080000000000002</v>
      </c>
      <c r="H753" s="165">
        <f t="shared" si="79"/>
        <v>9.4160000000000004</v>
      </c>
      <c r="I753" s="165">
        <f t="shared" si="80"/>
        <v>7.0619999999999994</v>
      </c>
      <c r="J753" s="166">
        <f t="shared" si="81"/>
        <v>11.77</v>
      </c>
      <c r="K753" s="166">
        <f t="shared" si="83"/>
        <v>11.77</v>
      </c>
      <c r="L753" s="165">
        <f t="shared" si="82"/>
        <v>1.1884749999999999</v>
      </c>
      <c r="M753" s="168">
        <f t="shared" si="77"/>
        <v>0</v>
      </c>
      <c r="N753" s="236" t="s">
        <v>453</v>
      </c>
    </row>
    <row r="754" spans="1:14" ht="14">
      <c r="A754" s="149">
        <v>753</v>
      </c>
      <c r="B754" s="235" t="s">
        <v>52</v>
      </c>
      <c r="C754" s="231" t="s">
        <v>10</v>
      </c>
      <c r="D754" s="250" t="s">
        <v>2036</v>
      </c>
      <c r="E754" s="281">
        <v>0</v>
      </c>
      <c r="F754" s="249">
        <v>830</v>
      </c>
      <c r="G754" s="164">
        <f t="shared" si="78"/>
        <v>5.1428571428571432</v>
      </c>
      <c r="H754" s="165">
        <f t="shared" si="79"/>
        <v>10.285714285714286</v>
      </c>
      <c r="I754" s="165">
        <f t="shared" si="80"/>
        <v>7.7142857142857144</v>
      </c>
      <c r="J754" s="166">
        <f t="shared" si="81"/>
        <v>12.857142857142858</v>
      </c>
      <c r="K754" s="166">
        <f t="shared" si="83"/>
        <v>12.857142857142858</v>
      </c>
      <c r="L754" s="165">
        <f t="shared" si="82"/>
        <v>1.2075</v>
      </c>
      <c r="M754" s="168">
        <f t="shared" si="77"/>
        <v>0</v>
      </c>
      <c r="N754" s="236" t="s">
        <v>453</v>
      </c>
    </row>
    <row r="755" spans="1:14" ht="14">
      <c r="A755" s="149">
        <v>754</v>
      </c>
      <c r="B755" s="235" t="s">
        <v>52</v>
      </c>
      <c r="C755" s="231" t="s">
        <v>10</v>
      </c>
      <c r="D755" s="250" t="s">
        <v>2038</v>
      </c>
      <c r="E755" s="281">
        <v>0</v>
      </c>
      <c r="F755" s="249">
        <v>315</v>
      </c>
      <c r="G755" s="164">
        <f t="shared" si="78"/>
        <v>2.2000000000000002</v>
      </c>
      <c r="H755" s="165">
        <f t="shared" si="79"/>
        <v>4.4000000000000004</v>
      </c>
      <c r="I755" s="165">
        <f t="shared" si="80"/>
        <v>3.3</v>
      </c>
      <c r="J755" s="166">
        <f t="shared" si="81"/>
        <v>5.5</v>
      </c>
      <c r="K755" s="166">
        <f t="shared" si="83"/>
        <v>5.5</v>
      </c>
      <c r="L755" s="165">
        <f t="shared" si="82"/>
        <v>1.0787500000000001</v>
      </c>
      <c r="M755" s="168">
        <f t="shared" si="77"/>
        <v>0</v>
      </c>
      <c r="N755" s="236" t="s">
        <v>453</v>
      </c>
    </row>
    <row r="756" spans="1:14" ht="14">
      <c r="A756" s="149">
        <v>755</v>
      </c>
      <c r="B756" s="235" t="s">
        <v>52</v>
      </c>
      <c r="C756" s="231" t="s">
        <v>10</v>
      </c>
      <c r="D756" s="250" t="s">
        <v>2040</v>
      </c>
      <c r="E756" s="281">
        <v>0</v>
      </c>
      <c r="F756" s="249">
        <v>250</v>
      </c>
      <c r="G756" s="164">
        <f t="shared" si="78"/>
        <v>1.8285714285714285</v>
      </c>
      <c r="H756" s="165">
        <f t="shared" si="79"/>
        <v>3.657142857142857</v>
      </c>
      <c r="I756" s="165">
        <f t="shared" si="80"/>
        <v>2.7428571428571424</v>
      </c>
      <c r="J756" s="166">
        <f t="shared" si="81"/>
        <v>4.5714285714285712</v>
      </c>
      <c r="K756" s="166">
        <f t="shared" si="83"/>
        <v>4.5714285714285712</v>
      </c>
      <c r="L756" s="165">
        <f t="shared" si="82"/>
        <v>1.0625</v>
      </c>
      <c r="M756" s="168">
        <f t="shared" si="77"/>
        <v>0</v>
      </c>
      <c r="N756" s="236" t="s">
        <v>453</v>
      </c>
    </row>
    <row r="757" spans="1:14" ht="14">
      <c r="A757" s="149">
        <v>756</v>
      </c>
      <c r="B757" s="235" t="s">
        <v>52</v>
      </c>
      <c r="C757" s="231" t="s">
        <v>10</v>
      </c>
      <c r="D757" s="250" t="s">
        <v>2042</v>
      </c>
      <c r="E757" s="281">
        <v>0</v>
      </c>
      <c r="F757" s="249">
        <v>315</v>
      </c>
      <c r="G757" s="164">
        <f t="shared" si="78"/>
        <v>2.2000000000000002</v>
      </c>
      <c r="H757" s="165">
        <f t="shared" si="79"/>
        <v>4.4000000000000004</v>
      </c>
      <c r="I757" s="165">
        <f t="shared" si="80"/>
        <v>3.3</v>
      </c>
      <c r="J757" s="166">
        <f t="shared" si="81"/>
        <v>5.5</v>
      </c>
      <c r="K757" s="166">
        <f t="shared" si="83"/>
        <v>5.5</v>
      </c>
      <c r="L757" s="165">
        <f t="shared" si="82"/>
        <v>1.0787500000000001</v>
      </c>
      <c r="M757" s="168">
        <f t="shared" si="77"/>
        <v>0</v>
      </c>
      <c r="N757" s="236" t="s">
        <v>453</v>
      </c>
    </row>
    <row r="758" spans="1:14" ht="14">
      <c r="A758" s="149">
        <v>757</v>
      </c>
      <c r="B758" s="235" t="s">
        <v>52</v>
      </c>
      <c r="C758" s="231" t="s">
        <v>10</v>
      </c>
      <c r="D758" s="250" t="s">
        <v>4702</v>
      </c>
      <c r="E758" s="281">
        <v>0</v>
      </c>
      <c r="F758" s="249">
        <v>315</v>
      </c>
      <c r="G758" s="164">
        <f t="shared" si="78"/>
        <v>2.2000000000000002</v>
      </c>
      <c r="H758" s="165">
        <f t="shared" si="79"/>
        <v>4.4000000000000004</v>
      </c>
      <c r="I758" s="165">
        <f t="shared" si="80"/>
        <v>3.3</v>
      </c>
      <c r="J758" s="166">
        <f t="shared" si="81"/>
        <v>5.5</v>
      </c>
      <c r="K758" s="166">
        <f t="shared" si="83"/>
        <v>5.5</v>
      </c>
      <c r="L758" s="165">
        <f t="shared" si="82"/>
        <v>1.0787500000000001</v>
      </c>
      <c r="M758" s="168">
        <f t="shared" si="77"/>
        <v>0</v>
      </c>
      <c r="N758" s="236" t="s">
        <v>453</v>
      </c>
    </row>
    <row r="759" spans="1:14" ht="14">
      <c r="A759" s="149">
        <v>758</v>
      </c>
      <c r="B759" s="235" t="s">
        <v>52</v>
      </c>
      <c r="C759" s="231" t="s">
        <v>10</v>
      </c>
      <c r="D759" s="250" t="s">
        <v>2047</v>
      </c>
      <c r="E759" s="281">
        <v>0</v>
      </c>
      <c r="F759" s="249">
        <v>315</v>
      </c>
      <c r="G759" s="164">
        <f t="shared" si="78"/>
        <v>2.2000000000000002</v>
      </c>
      <c r="H759" s="165">
        <f t="shared" si="79"/>
        <v>4.4000000000000004</v>
      </c>
      <c r="I759" s="165">
        <f t="shared" si="80"/>
        <v>3.3</v>
      </c>
      <c r="J759" s="166">
        <f t="shared" si="81"/>
        <v>5.5</v>
      </c>
      <c r="K759" s="166">
        <f t="shared" si="83"/>
        <v>5.5</v>
      </c>
      <c r="L759" s="165">
        <f t="shared" si="82"/>
        <v>1.0787500000000001</v>
      </c>
      <c r="M759" s="168">
        <f t="shared" si="77"/>
        <v>0</v>
      </c>
      <c r="N759" s="236" t="s">
        <v>453</v>
      </c>
    </row>
    <row r="760" spans="1:14" ht="14">
      <c r="A760" s="149">
        <v>759</v>
      </c>
      <c r="B760" s="235" t="s">
        <v>52</v>
      </c>
      <c r="C760" s="231" t="s">
        <v>10</v>
      </c>
      <c r="D760" s="250" t="s">
        <v>2049</v>
      </c>
      <c r="E760" s="281">
        <v>0</v>
      </c>
      <c r="F760" s="249">
        <v>500</v>
      </c>
      <c r="G760" s="164">
        <f t="shared" si="78"/>
        <v>3.2571428571428571</v>
      </c>
      <c r="H760" s="165">
        <f t="shared" si="79"/>
        <v>6.5142857142857142</v>
      </c>
      <c r="I760" s="165">
        <f t="shared" si="80"/>
        <v>4.8857142857142852</v>
      </c>
      <c r="J760" s="166">
        <f t="shared" si="81"/>
        <v>8.1428571428571423</v>
      </c>
      <c r="K760" s="166">
        <f t="shared" si="83"/>
        <v>8.1428571428571423</v>
      </c>
      <c r="L760" s="165">
        <f t="shared" si="82"/>
        <v>1.125</v>
      </c>
      <c r="M760" s="168">
        <f t="shared" si="77"/>
        <v>0</v>
      </c>
      <c r="N760" s="236" t="s">
        <v>453</v>
      </c>
    </row>
    <row r="761" spans="1:14" ht="14">
      <c r="A761" s="149">
        <v>760</v>
      </c>
      <c r="B761" s="235" t="s">
        <v>52</v>
      </c>
      <c r="C761" s="231" t="s">
        <v>10</v>
      </c>
      <c r="D761" s="250" t="s">
        <v>4612</v>
      </c>
      <c r="E761" s="281">
        <v>0</v>
      </c>
      <c r="F761" s="249">
        <v>315</v>
      </c>
      <c r="G761" s="164">
        <f t="shared" si="78"/>
        <v>2.2000000000000002</v>
      </c>
      <c r="H761" s="165">
        <f t="shared" si="79"/>
        <v>4.4000000000000004</v>
      </c>
      <c r="I761" s="165">
        <f t="shared" si="80"/>
        <v>3.3</v>
      </c>
      <c r="J761" s="166">
        <f t="shared" si="81"/>
        <v>5.5</v>
      </c>
      <c r="K761" s="166">
        <f t="shared" si="83"/>
        <v>5.5</v>
      </c>
      <c r="L761" s="165">
        <f t="shared" si="82"/>
        <v>1.0787500000000001</v>
      </c>
      <c r="M761" s="168">
        <f t="shared" si="77"/>
        <v>0</v>
      </c>
      <c r="N761" s="236" t="s">
        <v>453</v>
      </c>
    </row>
    <row r="762" spans="1:14" ht="14">
      <c r="A762" s="149">
        <v>761</v>
      </c>
      <c r="B762" s="235" t="s">
        <v>52</v>
      </c>
      <c r="C762" s="231" t="s">
        <v>10</v>
      </c>
      <c r="D762" s="250" t="s">
        <v>2052</v>
      </c>
      <c r="E762" s="281">
        <v>0</v>
      </c>
      <c r="F762" s="249">
        <v>2260</v>
      </c>
      <c r="G762" s="164">
        <f t="shared" si="78"/>
        <v>13.314285714285715</v>
      </c>
      <c r="H762" s="165">
        <f t="shared" si="79"/>
        <v>26.62857142857143</v>
      </c>
      <c r="I762" s="165">
        <f t="shared" si="80"/>
        <v>19.971428571428572</v>
      </c>
      <c r="J762" s="166">
        <f t="shared" si="81"/>
        <v>33.285714285714285</v>
      </c>
      <c r="K762" s="166">
        <f t="shared" si="83"/>
        <v>33.285714285714285</v>
      </c>
      <c r="L762" s="165">
        <f t="shared" si="82"/>
        <v>1.5649999999999999</v>
      </c>
      <c r="M762" s="168">
        <f t="shared" si="77"/>
        <v>0</v>
      </c>
      <c r="N762" s="236" t="s">
        <v>453</v>
      </c>
    </row>
    <row r="763" spans="1:14" ht="14">
      <c r="A763" s="149">
        <v>762</v>
      </c>
      <c r="B763" s="235" t="s">
        <v>52</v>
      </c>
      <c r="C763" s="231" t="s">
        <v>10</v>
      </c>
      <c r="D763" s="250" t="s">
        <v>2054</v>
      </c>
      <c r="E763" s="281">
        <v>0</v>
      </c>
      <c r="F763" s="249">
        <v>315</v>
      </c>
      <c r="G763" s="164">
        <f t="shared" si="78"/>
        <v>2.2000000000000002</v>
      </c>
      <c r="H763" s="165">
        <f t="shared" si="79"/>
        <v>4.4000000000000004</v>
      </c>
      <c r="I763" s="165">
        <f t="shared" si="80"/>
        <v>3.3</v>
      </c>
      <c r="J763" s="166">
        <f t="shared" si="81"/>
        <v>5.5</v>
      </c>
      <c r="K763" s="166">
        <f t="shared" si="83"/>
        <v>5.5</v>
      </c>
      <c r="L763" s="165">
        <f t="shared" si="82"/>
        <v>1.0787500000000001</v>
      </c>
      <c r="M763" s="168">
        <f t="shared" si="77"/>
        <v>0</v>
      </c>
      <c r="N763" s="236" t="s">
        <v>453</v>
      </c>
    </row>
    <row r="764" spans="1:14" ht="14">
      <c r="A764" s="149">
        <v>763</v>
      </c>
      <c r="B764" s="235" t="s">
        <v>52</v>
      </c>
      <c r="C764" s="231" t="s">
        <v>10</v>
      </c>
      <c r="D764" s="250" t="s">
        <v>2056</v>
      </c>
      <c r="E764" s="281">
        <v>0</v>
      </c>
      <c r="F764" s="249">
        <v>315</v>
      </c>
      <c r="G764" s="164">
        <f t="shared" si="78"/>
        <v>2.2000000000000002</v>
      </c>
      <c r="H764" s="165">
        <f t="shared" si="79"/>
        <v>4.4000000000000004</v>
      </c>
      <c r="I764" s="165">
        <f t="shared" si="80"/>
        <v>3.3</v>
      </c>
      <c r="J764" s="166">
        <f t="shared" si="81"/>
        <v>5.5</v>
      </c>
      <c r="K764" s="166">
        <f t="shared" si="83"/>
        <v>5.5</v>
      </c>
      <c r="L764" s="165">
        <f t="shared" si="82"/>
        <v>1.0787500000000001</v>
      </c>
      <c r="M764" s="168">
        <f t="shared" si="77"/>
        <v>0</v>
      </c>
      <c r="N764" s="236" t="s">
        <v>453</v>
      </c>
    </row>
    <row r="765" spans="1:14" ht="14">
      <c r="A765" s="149">
        <v>764</v>
      </c>
      <c r="B765" s="235" t="s">
        <v>52</v>
      </c>
      <c r="C765" s="231" t="s">
        <v>10</v>
      </c>
      <c r="D765" s="250" t="s">
        <v>2058</v>
      </c>
      <c r="E765" s="281">
        <v>0</v>
      </c>
      <c r="F765" s="249">
        <v>588</v>
      </c>
      <c r="G765" s="164">
        <f t="shared" si="78"/>
        <v>3.7600000000000002</v>
      </c>
      <c r="H765" s="165">
        <f t="shared" si="79"/>
        <v>7.5200000000000005</v>
      </c>
      <c r="I765" s="165">
        <f t="shared" si="80"/>
        <v>5.64</v>
      </c>
      <c r="J765" s="166">
        <f t="shared" si="81"/>
        <v>9.4</v>
      </c>
      <c r="K765" s="166">
        <f t="shared" si="83"/>
        <v>9.4</v>
      </c>
      <c r="L765" s="165">
        <f t="shared" si="82"/>
        <v>1.147</v>
      </c>
      <c r="M765" s="168">
        <f t="shared" si="77"/>
        <v>0</v>
      </c>
      <c r="N765" s="236" t="s">
        <v>453</v>
      </c>
    </row>
    <row r="766" spans="1:14" ht="14">
      <c r="A766" s="149">
        <v>765</v>
      </c>
      <c r="B766" s="235" t="s">
        <v>52</v>
      </c>
      <c r="C766" s="231" t="s">
        <v>10</v>
      </c>
      <c r="D766" s="250" t="s">
        <v>2060</v>
      </c>
      <c r="E766" s="281">
        <v>0</v>
      </c>
      <c r="F766" s="249">
        <v>1575</v>
      </c>
      <c r="G766" s="164">
        <f t="shared" si="78"/>
        <v>9.4</v>
      </c>
      <c r="H766" s="165">
        <f t="shared" si="79"/>
        <v>18.8</v>
      </c>
      <c r="I766" s="165">
        <f t="shared" si="80"/>
        <v>14.1</v>
      </c>
      <c r="J766" s="166">
        <f t="shared" si="81"/>
        <v>23.5</v>
      </c>
      <c r="K766" s="166">
        <f t="shared" si="83"/>
        <v>23.5</v>
      </c>
      <c r="L766" s="165">
        <f t="shared" si="82"/>
        <v>1.39375</v>
      </c>
      <c r="M766" s="168">
        <f t="shared" si="77"/>
        <v>0</v>
      </c>
      <c r="N766" s="236" t="s">
        <v>453</v>
      </c>
    </row>
    <row r="767" spans="1:14" ht="14">
      <c r="A767" s="149">
        <v>766</v>
      </c>
      <c r="B767" s="235" t="s">
        <v>52</v>
      </c>
      <c r="C767" s="231" t="s">
        <v>10</v>
      </c>
      <c r="D767" s="250" t="s">
        <v>2062</v>
      </c>
      <c r="E767" s="281">
        <v>0</v>
      </c>
      <c r="F767" s="249">
        <v>650</v>
      </c>
      <c r="G767" s="164">
        <f t="shared" si="78"/>
        <v>4.1142857142857148</v>
      </c>
      <c r="H767" s="165">
        <f t="shared" si="79"/>
        <v>8.2285714285714295</v>
      </c>
      <c r="I767" s="165">
        <f t="shared" si="80"/>
        <v>6.1714285714285717</v>
      </c>
      <c r="J767" s="166">
        <f t="shared" si="81"/>
        <v>10.285714285714286</v>
      </c>
      <c r="K767" s="166">
        <f t="shared" si="83"/>
        <v>10.285714285714286</v>
      </c>
      <c r="L767" s="165">
        <f t="shared" si="82"/>
        <v>1.1625000000000001</v>
      </c>
      <c r="M767" s="168">
        <f t="shared" si="77"/>
        <v>0</v>
      </c>
      <c r="N767" s="236" t="s">
        <v>453</v>
      </c>
    </row>
    <row r="768" spans="1:14" ht="14">
      <c r="A768" s="149">
        <v>767</v>
      </c>
      <c r="B768" s="235" t="s">
        <v>52</v>
      </c>
      <c r="C768" s="231" t="s">
        <v>10</v>
      </c>
      <c r="D768" s="250" t="s">
        <v>2063</v>
      </c>
      <c r="E768" s="281">
        <v>0</v>
      </c>
      <c r="F768" s="249">
        <v>580</v>
      </c>
      <c r="G768" s="164">
        <f t="shared" si="78"/>
        <v>3.7142857142857149</v>
      </c>
      <c r="H768" s="165">
        <f t="shared" si="79"/>
        <v>7.4285714285714297</v>
      </c>
      <c r="I768" s="165">
        <f t="shared" si="80"/>
        <v>5.5714285714285721</v>
      </c>
      <c r="J768" s="166">
        <f t="shared" si="81"/>
        <v>9.2857142857142865</v>
      </c>
      <c r="K768" s="166">
        <f t="shared" si="83"/>
        <v>9.2857142857142865</v>
      </c>
      <c r="L768" s="165">
        <f t="shared" si="82"/>
        <v>1.145</v>
      </c>
      <c r="M768" s="168">
        <f t="shared" si="77"/>
        <v>0</v>
      </c>
      <c r="N768" s="236" t="s">
        <v>453</v>
      </c>
    </row>
    <row r="769" spans="1:14" ht="14">
      <c r="A769" s="149">
        <v>768</v>
      </c>
      <c r="B769" s="235" t="s">
        <v>52</v>
      </c>
      <c r="C769" s="231" t="s">
        <v>10</v>
      </c>
      <c r="D769" s="250" t="s">
        <v>2065</v>
      </c>
      <c r="E769" s="281">
        <v>0</v>
      </c>
      <c r="F769" s="249">
        <v>7081</v>
      </c>
      <c r="G769" s="164">
        <f t="shared" si="78"/>
        <v>40.862857142857145</v>
      </c>
      <c r="H769" s="165">
        <f t="shared" si="79"/>
        <v>81.72571428571429</v>
      </c>
      <c r="I769" s="165">
        <f t="shared" si="80"/>
        <v>61.294285714285714</v>
      </c>
      <c r="J769" s="166">
        <f t="shared" si="81"/>
        <v>102.15714285714286</v>
      </c>
      <c r="K769" s="166">
        <f t="shared" si="83"/>
        <v>102.15714285714286</v>
      </c>
      <c r="L769" s="165">
        <f t="shared" si="82"/>
        <v>2.7702499999999999</v>
      </c>
      <c r="M769" s="168">
        <f t="shared" si="77"/>
        <v>0</v>
      </c>
      <c r="N769" s="236" t="s">
        <v>453</v>
      </c>
    </row>
    <row r="770" spans="1:14" ht="14">
      <c r="A770" s="149">
        <v>769</v>
      </c>
      <c r="B770" s="235" t="s">
        <v>52</v>
      </c>
      <c r="C770" s="231" t="s">
        <v>10</v>
      </c>
      <c r="D770" s="250" t="s">
        <v>2067</v>
      </c>
      <c r="E770" s="281">
        <v>0</v>
      </c>
      <c r="F770" s="249">
        <v>500</v>
      </c>
      <c r="G770" s="164">
        <f t="shared" si="78"/>
        <v>3.2571428571428571</v>
      </c>
      <c r="H770" s="165">
        <f t="shared" si="79"/>
        <v>6.5142857142857142</v>
      </c>
      <c r="I770" s="165">
        <f t="shared" si="80"/>
        <v>4.8857142857142852</v>
      </c>
      <c r="J770" s="166">
        <f t="shared" si="81"/>
        <v>8.1428571428571423</v>
      </c>
      <c r="K770" s="166">
        <f t="shared" si="83"/>
        <v>8.1428571428571423</v>
      </c>
      <c r="L770" s="165">
        <f t="shared" si="82"/>
        <v>1.125</v>
      </c>
      <c r="M770" s="168">
        <f t="shared" ref="M770:M833" si="84">E770/60</f>
        <v>0</v>
      </c>
      <c r="N770" s="236" t="s">
        <v>453</v>
      </c>
    </row>
    <row r="771" spans="1:14" ht="14">
      <c r="A771" s="149">
        <v>770</v>
      </c>
      <c r="B771" s="235" t="s">
        <v>52</v>
      </c>
      <c r="C771" s="231" t="s">
        <v>10</v>
      </c>
      <c r="D771" s="250" t="s">
        <v>2069</v>
      </c>
      <c r="E771" s="281">
        <v>0</v>
      </c>
      <c r="F771" s="249">
        <v>600</v>
      </c>
      <c r="G771" s="164">
        <f t="shared" ref="G771:G834" si="85">(((F771/70)+1)*0.4)</f>
        <v>3.8285714285714287</v>
      </c>
      <c r="H771" s="165">
        <f t="shared" ref="H771:H834" si="86">G771*2</f>
        <v>7.6571428571428575</v>
      </c>
      <c r="I771" s="165">
        <f t="shared" ref="I771:I834" si="87">(((F771/70)+1)*0.6)</f>
        <v>5.7428571428571429</v>
      </c>
      <c r="J771" s="166">
        <f t="shared" ref="J771:J834" si="88">I771+G771</f>
        <v>9.5714285714285712</v>
      </c>
      <c r="K771" s="166">
        <f t="shared" si="83"/>
        <v>9.5714285714285712</v>
      </c>
      <c r="L771" s="165">
        <f t="shared" ref="L771:L834" si="89">(F771/4000)+1</f>
        <v>1.1499999999999999</v>
      </c>
      <c r="M771" s="168">
        <f t="shared" si="84"/>
        <v>0</v>
      </c>
      <c r="N771" s="236" t="s">
        <v>453</v>
      </c>
    </row>
    <row r="772" spans="1:14" ht="14">
      <c r="A772" s="149">
        <v>771</v>
      </c>
      <c r="B772" s="235" t="s">
        <v>52</v>
      </c>
      <c r="C772" s="231" t="s">
        <v>10</v>
      </c>
      <c r="D772" s="250" t="s">
        <v>2071</v>
      </c>
      <c r="E772" s="281">
        <v>0</v>
      </c>
      <c r="F772" s="249">
        <v>315</v>
      </c>
      <c r="G772" s="164">
        <f t="shared" si="85"/>
        <v>2.2000000000000002</v>
      </c>
      <c r="H772" s="165">
        <f t="shared" si="86"/>
        <v>4.4000000000000004</v>
      </c>
      <c r="I772" s="165">
        <f t="shared" si="87"/>
        <v>3.3</v>
      </c>
      <c r="J772" s="166">
        <f t="shared" si="88"/>
        <v>5.5</v>
      </c>
      <c r="K772" s="166">
        <f t="shared" ref="K772:K835" si="90">J772</f>
        <v>5.5</v>
      </c>
      <c r="L772" s="165">
        <f t="shared" si="89"/>
        <v>1.0787500000000001</v>
      </c>
      <c r="M772" s="168">
        <f t="shared" si="84"/>
        <v>0</v>
      </c>
      <c r="N772" s="236" t="s">
        <v>453</v>
      </c>
    </row>
    <row r="773" spans="1:14" ht="14">
      <c r="A773" s="149">
        <v>772</v>
      </c>
      <c r="B773" s="235" t="s">
        <v>52</v>
      </c>
      <c r="C773" s="231" t="s">
        <v>10</v>
      </c>
      <c r="D773" s="250" t="s">
        <v>2073</v>
      </c>
      <c r="E773" s="281">
        <v>0</v>
      </c>
      <c r="F773" s="249">
        <v>800</v>
      </c>
      <c r="G773" s="164">
        <f t="shared" si="85"/>
        <v>4.9714285714285715</v>
      </c>
      <c r="H773" s="165">
        <f t="shared" si="86"/>
        <v>9.9428571428571431</v>
      </c>
      <c r="I773" s="165">
        <f t="shared" si="87"/>
        <v>7.4571428571428573</v>
      </c>
      <c r="J773" s="166">
        <f t="shared" si="88"/>
        <v>12.428571428571429</v>
      </c>
      <c r="K773" s="166">
        <f t="shared" si="90"/>
        <v>12.428571428571429</v>
      </c>
      <c r="L773" s="165">
        <f t="shared" si="89"/>
        <v>1.2</v>
      </c>
      <c r="M773" s="168">
        <f t="shared" si="84"/>
        <v>0</v>
      </c>
      <c r="N773" s="236" t="s">
        <v>453</v>
      </c>
    </row>
    <row r="774" spans="1:14" ht="14">
      <c r="A774" s="149">
        <v>773</v>
      </c>
      <c r="B774" s="235" t="s">
        <v>52</v>
      </c>
      <c r="C774" s="231" t="s">
        <v>10</v>
      </c>
      <c r="D774" s="250" t="s">
        <v>2075</v>
      </c>
      <c r="E774" s="281">
        <v>0</v>
      </c>
      <c r="F774" s="249">
        <v>2271</v>
      </c>
      <c r="G774" s="164">
        <f t="shared" si="85"/>
        <v>13.377142857142857</v>
      </c>
      <c r="H774" s="165">
        <f t="shared" si="86"/>
        <v>26.754285714285714</v>
      </c>
      <c r="I774" s="165">
        <f t="shared" si="87"/>
        <v>20.065714285714286</v>
      </c>
      <c r="J774" s="166">
        <f t="shared" si="88"/>
        <v>33.442857142857143</v>
      </c>
      <c r="K774" s="166">
        <f t="shared" si="90"/>
        <v>33.442857142857143</v>
      </c>
      <c r="L774" s="165">
        <f t="shared" si="89"/>
        <v>1.56775</v>
      </c>
      <c r="M774" s="168">
        <f t="shared" si="84"/>
        <v>0</v>
      </c>
      <c r="N774" s="236" t="s">
        <v>457</v>
      </c>
    </row>
    <row r="775" spans="1:14" ht="14">
      <c r="A775" s="149">
        <v>774</v>
      </c>
      <c r="B775" s="235" t="s">
        <v>52</v>
      </c>
      <c r="C775" s="231" t="s">
        <v>10</v>
      </c>
      <c r="D775" s="250" t="s">
        <v>2077</v>
      </c>
      <c r="E775" s="281">
        <v>0</v>
      </c>
      <c r="F775" s="249">
        <v>4000</v>
      </c>
      <c r="G775" s="164">
        <f t="shared" si="85"/>
        <v>23.25714285714286</v>
      </c>
      <c r="H775" s="165">
        <f t="shared" si="86"/>
        <v>46.51428571428572</v>
      </c>
      <c r="I775" s="165">
        <f t="shared" si="87"/>
        <v>34.885714285714286</v>
      </c>
      <c r="J775" s="166">
        <f t="shared" si="88"/>
        <v>58.142857142857146</v>
      </c>
      <c r="K775" s="166">
        <f t="shared" si="90"/>
        <v>58.142857142857146</v>
      </c>
      <c r="L775" s="165">
        <f t="shared" si="89"/>
        <v>2</v>
      </c>
      <c r="M775" s="168">
        <f t="shared" si="84"/>
        <v>0</v>
      </c>
      <c r="N775" s="236" t="s">
        <v>453</v>
      </c>
    </row>
    <row r="776" spans="1:14" ht="14">
      <c r="A776" s="149">
        <v>775</v>
      </c>
      <c r="B776" s="235" t="s">
        <v>52</v>
      </c>
      <c r="C776" s="231" t="s">
        <v>10</v>
      </c>
      <c r="D776" s="250" t="s">
        <v>2079</v>
      </c>
      <c r="E776" s="281">
        <v>0</v>
      </c>
      <c r="F776" s="249">
        <v>400</v>
      </c>
      <c r="G776" s="164">
        <f t="shared" si="85"/>
        <v>2.6857142857142859</v>
      </c>
      <c r="H776" s="165">
        <f t="shared" si="86"/>
        <v>5.3714285714285719</v>
      </c>
      <c r="I776" s="165">
        <f t="shared" si="87"/>
        <v>4.0285714285714285</v>
      </c>
      <c r="J776" s="166">
        <f t="shared" si="88"/>
        <v>6.7142857142857144</v>
      </c>
      <c r="K776" s="166">
        <f t="shared" si="90"/>
        <v>6.7142857142857144</v>
      </c>
      <c r="L776" s="165">
        <f t="shared" si="89"/>
        <v>1.1000000000000001</v>
      </c>
      <c r="M776" s="168">
        <f t="shared" si="84"/>
        <v>0</v>
      </c>
      <c r="N776" s="236" t="s">
        <v>453</v>
      </c>
    </row>
    <row r="777" spans="1:14" ht="14">
      <c r="A777" s="149">
        <v>776</v>
      </c>
      <c r="B777" s="235" t="s">
        <v>52</v>
      </c>
      <c r="C777" s="231" t="s">
        <v>10</v>
      </c>
      <c r="D777" s="250" t="s">
        <v>2081</v>
      </c>
      <c r="E777" s="281">
        <v>0</v>
      </c>
      <c r="F777" s="249">
        <v>50</v>
      </c>
      <c r="G777" s="164">
        <f t="shared" si="85"/>
        <v>0.68571428571428583</v>
      </c>
      <c r="H777" s="165">
        <f t="shared" si="86"/>
        <v>1.3714285714285717</v>
      </c>
      <c r="I777" s="165">
        <f t="shared" si="87"/>
        <v>1.0285714285714287</v>
      </c>
      <c r="J777" s="166">
        <f t="shared" si="88"/>
        <v>1.7142857142857144</v>
      </c>
      <c r="K777" s="166">
        <f t="shared" si="90"/>
        <v>1.7142857142857144</v>
      </c>
      <c r="L777" s="165">
        <f t="shared" si="89"/>
        <v>1.0125</v>
      </c>
      <c r="M777" s="168">
        <f t="shared" si="84"/>
        <v>0</v>
      </c>
      <c r="N777" s="236" t="s">
        <v>453</v>
      </c>
    </row>
    <row r="778" spans="1:14" ht="14">
      <c r="A778" s="149">
        <v>777</v>
      </c>
      <c r="B778" s="235" t="s">
        <v>52</v>
      </c>
      <c r="C778" s="231" t="s">
        <v>10</v>
      </c>
      <c r="D778" s="250" t="s">
        <v>2083</v>
      </c>
      <c r="E778" s="281">
        <v>0</v>
      </c>
      <c r="F778" s="249">
        <v>850</v>
      </c>
      <c r="G778" s="164">
        <f t="shared" si="85"/>
        <v>5.2571428571428571</v>
      </c>
      <c r="H778" s="165">
        <f t="shared" si="86"/>
        <v>10.514285714285714</v>
      </c>
      <c r="I778" s="165">
        <f t="shared" si="87"/>
        <v>7.8857142857142852</v>
      </c>
      <c r="J778" s="166">
        <f t="shared" si="88"/>
        <v>13.142857142857142</v>
      </c>
      <c r="K778" s="166">
        <f t="shared" si="90"/>
        <v>13.142857142857142</v>
      </c>
      <c r="L778" s="165">
        <f t="shared" si="89"/>
        <v>1.2124999999999999</v>
      </c>
      <c r="M778" s="168">
        <f t="shared" si="84"/>
        <v>0</v>
      </c>
      <c r="N778" s="236" t="s">
        <v>453</v>
      </c>
    </row>
    <row r="779" spans="1:14" ht="14">
      <c r="A779" s="149">
        <v>778</v>
      </c>
      <c r="B779" s="235" t="s">
        <v>52</v>
      </c>
      <c r="C779" s="231" t="s">
        <v>10</v>
      </c>
      <c r="D779" s="250" t="s">
        <v>2085</v>
      </c>
      <c r="E779" s="281">
        <v>0</v>
      </c>
      <c r="F779" s="249">
        <v>65</v>
      </c>
      <c r="G779" s="164">
        <f t="shared" si="85"/>
        <v>0.77142857142857146</v>
      </c>
      <c r="H779" s="165">
        <f t="shared" si="86"/>
        <v>1.5428571428571429</v>
      </c>
      <c r="I779" s="165">
        <f t="shared" si="87"/>
        <v>1.157142857142857</v>
      </c>
      <c r="J779" s="166">
        <f t="shared" si="88"/>
        <v>1.9285714285714284</v>
      </c>
      <c r="K779" s="166">
        <f t="shared" si="90"/>
        <v>1.9285714285714284</v>
      </c>
      <c r="L779" s="165">
        <f t="shared" si="89"/>
        <v>1.0162500000000001</v>
      </c>
      <c r="M779" s="168">
        <f t="shared" si="84"/>
        <v>0</v>
      </c>
      <c r="N779" s="236" t="s">
        <v>453</v>
      </c>
    </row>
    <row r="780" spans="1:14" ht="14">
      <c r="A780" s="149">
        <v>779</v>
      </c>
      <c r="B780" s="235" t="s">
        <v>52</v>
      </c>
      <c r="C780" s="231" t="s">
        <v>10</v>
      </c>
      <c r="D780" s="250" t="s">
        <v>2087</v>
      </c>
      <c r="E780" s="281">
        <v>0</v>
      </c>
      <c r="F780" s="249">
        <v>60</v>
      </c>
      <c r="G780" s="164">
        <f t="shared" si="85"/>
        <v>0.74285714285714288</v>
      </c>
      <c r="H780" s="165">
        <f t="shared" si="86"/>
        <v>1.4857142857142858</v>
      </c>
      <c r="I780" s="165">
        <f t="shared" si="87"/>
        <v>1.1142857142857143</v>
      </c>
      <c r="J780" s="166">
        <f t="shared" si="88"/>
        <v>1.8571428571428572</v>
      </c>
      <c r="K780" s="166">
        <f t="shared" si="90"/>
        <v>1.8571428571428572</v>
      </c>
      <c r="L780" s="165">
        <f t="shared" si="89"/>
        <v>1.0149999999999999</v>
      </c>
      <c r="M780" s="168">
        <f t="shared" si="84"/>
        <v>0</v>
      </c>
      <c r="N780" s="236" t="s">
        <v>453</v>
      </c>
    </row>
    <row r="781" spans="1:14" ht="14">
      <c r="A781" s="149">
        <v>780</v>
      </c>
      <c r="B781" s="235" t="s">
        <v>52</v>
      </c>
      <c r="C781" s="231" t="s">
        <v>10</v>
      </c>
      <c r="D781" s="250" t="s">
        <v>2090</v>
      </c>
      <c r="E781" s="281">
        <v>0</v>
      </c>
      <c r="F781" s="249">
        <v>155</v>
      </c>
      <c r="G781" s="164">
        <f t="shared" si="85"/>
        <v>1.2857142857142858</v>
      </c>
      <c r="H781" s="165">
        <f t="shared" si="86"/>
        <v>2.5714285714285716</v>
      </c>
      <c r="I781" s="165">
        <f t="shared" si="87"/>
        <v>1.9285714285714286</v>
      </c>
      <c r="J781" s="166">
        <f t="shared" si="88"/>
        <v>3.2142857142857144</v>
      </c>
      <c r="K781" s="166">
        <f t="shared" si="90"/>
        <v>3.2142857142857144</v>
      </c>
      <c r="L781" s="165">
        <f t="shared" si="89"/>
        <v>1.0387500000000001</v>
      </c>
      <c r="M781" s="168">
        <f t="shared" si="84"/>
        <v>0</v>
      </c>
      <c r="N781" s="236" t="s">
        <v>453</v>
      </c>
    </row>
    <row r="782" spans="1:14" ht="14">
      <c r="A782" s="149">
        <v>781</v>
      </c>
      <c r="B782" s="235" t="s">
        <v>52</v>
      </c>
      <c r="C782" s="231" t="s">
        <v>10</v>
      </c>
      <c r="D782" s="250" t="s">
        <v>2093</v>
      </c>
      <c r="E782" s="281">
        <v>0</v>
      </c>
      <c r="F782" s="249">
        <v>100</v>
      </c>
      <c r="G782" s="164">
        <f t="shared" si="85"/>
        <v>0.97142857142857153</v>
      </c>
      <c r="H782" s="165">
        <f t="shared" si="86"/>
        <v>1.9428571428571431</v>
      </c>
      <c r="I782" s="165">
        <f t="shared" si="87"/>
        <v>1.4571428571428573</v>
      </c>
      <c r="J782" s="166">
        <f t="shared" si="88"/>
        <v>2.4285714285714288</v>
      </c>
      <c r="K782" s="166">
        <f t="shared" si="90"/>
        <v>2.4285714285714288</v>
      </c>
      <c r="L782" s="165">
        <f t="shared" si="89"/>
        <v>1.0249999999999999</v>
      </c>
      <c r="M782" s="168">
        <f t="shared" si="84"/>
        <v>0</v>
      </c>
      <c r="N782" s="236" t="s">
        <v>453</v>
      </c>
    </row>
    <row r="783" spans="1:14" ht="14">
      <c r="A783" s="149">
        <v>782</v>
      </c>
      <c r="B783" s="235" t="s">
        <v>52</v>
      </c>
      <c r="C783" s="231" t="s">
        <v>10</v>
      </c>
      <c r="D783" s="250" t="s">
        <v>2095</v>
      </c>
      <c r="E783" s="281">
        <v>0</v>
      </c>
      <c r="F783" s="249">
        <v>2100</v>
      </c>
      <c r="G783" s="164">
        <f t="shared" si="85"/>
        <v>12.4</v>
      </c>
      <c r="H783" s="165">
        <f t="shared" si="86"/>
        <v>24.8</v>
      </c>
      <c r="I783" s="165">
        <f t="shared" si="87"/>
        <v>18.599999999999998</v>
      </c>
      <c r="J783" s="166">
        <f t="shared" si="88"/>
        <v>31</v>
      </c>
      <c r="K783" s="166">
        <f t="shared" si="90"/>
        <v>31</v>
      </c>
      <c r="L783" s="165">
        <f t="shared" si="89"/>
        <v>1.5249999999999999</v>
      </c>
      <c r="M783" s="168">
        <f t="shared" si="84"/>
        <v>0</v>
      </c>
      <c r="N783" s="236" t="s">
        <v>453</v>
      </c>
    </row>
    <row r="784" spans="1:14" ht="14">
      <c r="A784" s="149">
        <v>783</v>
      </c>
      <c r="B784" s="235" t="s">
        <v>52</v>
      </c>
      <c r="C784" s="231" t="s">
        <v>10</v>
      </c>
      <c r="D784" s="248" t="s">
        <v>4615</v>
      </c>
      <c r="E784" s="281">
        <v>0</v>
      </c>
      <c r="F784" s="249">
        <v>340</v>
      </c>
      <c r="G784" s="164">
        <f t="shared" si="85"/>
        <v>2.342857142857143</v>
      </c>
      <c r="H784" s="165">
        <f t="shared" si="86"/>
        <v>4.6857142857142859</v>
      </c>
      <c r="I784" s="165">
        <f t="shared" si="87"/>
        <v>3.5142857142857138</v>
      </c>
      <c r="J784" s="166">
        <f t="shared" si="88"/>
        <v>5.8571428571428568</v>
      </c>
      <c r="K784" s="166">
        <f t="shared" si="90"/>
        <v>5.8571428571428568</v>
      </c>
      <c r="L784" s="165">
        <f t="shared" si="89"/>
        <v>1.085</v>
      </c>
      <c r="M784" s="168">
        <f t="shared" si="84"/>
        <v>0</v>
      </c>
      <c r="N784" s="236" t="s">
        <v>453</v>
      </c>
    </row>
    <row r="785" spans="1:14" ht="14">
      <c r="A785" s="149">
        <v>784</v>
      </c>
      <c r="B785" s="235" t="s">
        <v>52</v>
      </c>
      <c r="C785" s="231" t="s">
        <v>10</v>
      </c>
      <c r="D785" s="250" t="s">
        <v>2098</v>
      </c>
      <c r="E785" s="281">
        <v>0</v>
      </c>
      <c r="F785" s="249">
        <v>1478</v>
      </c>
      <c r="G785" s="164">
        <f t="shared" si="85"/>
        <v>8.8457142857142852</v>
      </c>
      <c r="H785" s="165">
        <f t="shared" si="86"/>
        <v>17.69142857142857</v>
      </c>
      <c r="I785" s="165">
        <f t="shared" si="87"/>
        <v>13.268571428571429</v>
      </c>
      <c r="J785" s="166">
        <f t="shared" si="88"/>
        <v>22.114285714285714</v>
      </c>
      <c r="K785" s="166">
        <f t="shared" si="90"/>
        <v>22.114285714285714</v>
      </c>
      <c r="L785" s="165">
        <f t="shared" si="89"/>
        <v>1.3694999999999999</v>
      </c>
      <c r="M785" s="168">
        <f t="shared" si="84"/>
        <v>0</v>
      </c>
      <c r="N785" s="236" t="s">
        <v>453</v>
      </c>
    </row>
    <row r="786" spans="1:14" ht="14">
      <c r="A786" s="149">
        <v>785</v>
      </c>
      <c r="B786" s="235" t="s">
        <v>52</v>
      </c>
      <c r="C786" s="231" t="s">
        <v>10</v>
      </c>
      <c r="D786" s="239" t="s">
        <v>2100</v>
      </c>
      <c r="E786" s="281">
        <v>0</v>
      </c>
      <c r="F786" s="249">
        <v>800</v>
      </c>
      <c r="G786" s="164">
        <f t="shared" si="85"/>
        <v>4.9714285714285715</v>
      </c>
      <c r="H786" s="165">
        <f t="shared" si="86"/>
        <v>9.9428571428571431</v>
      </c>
      <c r="I786" s="165">
        <f t="shared" si="87"/>
        <v>7.4571428571428573</v>
      </c>
      <c r="J786" s="166">
        <f t="shared" si="88"/>
        <v>12.428571428571429</v>
      </c>
      <c r="K786" s="166">
        <f t="shared" si="90"/>
        <v>12.428571428571429</v>
      </c>
      <c r="L786" s="165">
        <f t="shared" si="89"/>
        <v>1.2</v>
      </c>
      <c r="M786" s="168">
        <f t="shared" si="84"/>
        <v>0</v>
      </c>
      <c r="N786" s="236" t="s">
        <v>453</v>
      </c>
    </row>
    <row r="787" spans="1:14" ht="14">
      <c r="A787" s="149">
        <v>786</v>
      </c>
      <c r="B787" s="235" t="s">
        <v>52</v>
      </c>
      <c r="C787" s="231" t="s">
        <v>10</v>
      </c>
      <c r="D787" s="239" t="s">
        <v>2102</v>
      </c>
      <c r="E787" s="281">
        <v>0</v>
      </c>
      <c r="F787" s="249">
        <v>1400</v>
      </c>
      <c r="G787" s="164">
        <f t="shared" si="85"/>
        <v>8.4</v>
      </c>
      <c r="H787" s="165">
        <f t="shared" si="86"/>
        <v>16.8</v>
      </c>
      <c r="I787" s="165">
        <f t="shared" si="87"/>
        <v>12.6</v>
      </c>
      <c r="J787" s="166">
        <f t="shared" si="88"/>
        <v>21</v>
      </c>
      <c r="K787" s="166">
        <f t="shared" si="90"/>
        <v>21</v>
      </c>
      <c r="L787" s="165">
        <f t="shared" si="89"/>
        <v>1.35</v>
      </c>
      <c r="M787" s="168">
        <f t="shared" si="84"/>
        <v>0</v>
      </c>
      <c r="N787" s="236" t="s">
        <v>453</v>
      </c>
    </row>
    <row r="788" spans="1:14" ht="14">
      <c r="A788" s="149">
        <v>787</v>
      </c>
      <c r="B788" s="235" t="s">
        <v>52</v>
      </c>
      <c r="C788" s="231" t="s">
        <v>10</v>
      </c>
      <c r="D788" s="239" t="s">
        <v>2104</v>
      </c>
      <c r="E788" s="281">
        <v>0</v>
      </c>
      <c r="F788" s="249">
        <v>350</v>
      </c>
      <c r="G788" s="164">
        <f t="shared" si="85"/>
        <v>2.4000000000000004</v>
      </c>
      <c r="H788" s="165">
        <f t="shared" si="86"/>
        <v>4.8000000000000007</v>
      </c>
      <c r="I788" s="165">
        <f t="shared" si="87"/>
        <v>3.5999999999999996</v>
      </c>
      <c r="J788" s="166">
        <f t="shared" si="88"/>
        <v>6</v>
      </c>
      <c r="K788" s="166">
        <f t="shared" si="90"/>
        <v>6</v>
      </c>
      <c r="L788" s="165">
        <f t="shared" si="89"/>
        <v>1.0874999999999999</v>
      </c>
      <c r="M788" s="168">
        <f t="shared" si="84"/>
        <v>0</v>
      </c>
      <c r="N788" s="236" t="s">
        <v>453</v>
      </c>
    </row>
    <row r="789" spans="1:14" ht="14">
      <c r="A789" s="149">
        <v>788</v>
      </c>
      <c r="B789" s="235" t="s">
        <v>52</v>
      </c>
      <c r="C789" s="231" t="s">
        <v>10</v>
      </c>
      <c r="D789" s="239" t="s">
        <v>2106</v>
      </c>
      <c r="E789" s="281">
        <v>0</v>
      </c>
      <c r="F789" s="249">
        <v>300</v>
      </c>
      <c r="G789" s="164">
        <f t="shared" si="85"/>
        <v>2.1142857142857143</v>
      </c>
      <c r="H789" s="165">
        <f t="shared" si="86"/>
        <v>4.2285714285714286</v>
      </c>
      <c r="I789" s="165">
        <f t="shared" si="87"/>
        <v>3.1714285714285713</v>
      </c>
      <c r="J789" s="166">
        <f t="shared" si="88"/>
        <v>5.2857142857142856</v>
      </c>
      <c r="K789" s="166">
        <f t="shared" si="90"/>
        <v>5.2857142857142856</v>
      </c>
      <c r="L789" s="165">
        <f t="shared" si="89"/>
        <v>1.075</v>
      </c>
      <c r="M789" s="168">
        <f t="shared" si="84"/>
        <v>0</v>
      </c>
      <c r="N789" s="236" t="s">
        <v>453</v>
      </c>
    </row>
    <row r="790" spans="1:14" ht="14">
      <c r="A790" s="149">
        <v>789</v>
      </c>
      <c r="B790" s="235" t="s">
        <v>52</v>
      </c>
      <c r="C790" s="231" t="s">
        <v>10</v>
      </c>
      <c r="D790" s="239" t="s">
        <v>2108</v>
      </c>
      <c r="E790" s="281">
        <v>0</v>
      </c>
      <c r="F790" s="249">
        <v>500</v>
      </c>
      <c r="G790" s="164">
        <f t="shared" si="85"/>
        <v>3.2571428571428571</v>
      </c>
      <c r="H790" s="165">
        <f t="shared" si="86"/>
        <v>6.5142857142857142</v>
      </c>
      <c r="I790" s="165">
        <f t="shared" si="87"/>
        <v>4.8857142857142852</v>
      </c>
      <c r="J790" s="166">
        <f t="shared" si="88"/>
        <v>8.1428571428571423</v>
      </c>
      <c r="K790" s="166">
        <f t="shared" si="90"/>
        <v>8.1428571428571423</v>
      </c>
      <c r="L790" s="165">
        <f t="shared" si="89"/>
        <v>1.125</v>
      </c>
      <c r="M790" s="168">
        <f t="shared" si="84"/>
        <v>0</v>
      </c>
      <c r="N790" s="236" t="s">
        <v>453</v>
      </c>
    </row>
    <row r="791" spans="1:14" ht="14">
      <c r="A791" s="149">
        <v>790</v>
      </c>
      <c r="B791" s="235" t="s">
        <v>52</v>
      </c>
      <c r="C791" s="231" t="s">
        <v>10</v>
      </c>
      <c r="D791" s="239" t="s">
        <v>2110</v>
      </c>
      <c r="E791" s="281">
        <v>0</v>
      </c>
      <c r="F791" s="249">
        <v>500</v>
      </c>
      <c r="G791" s="164">
        <f t="shared" si="85"/>
        <v>3.2571428571428571</v>
      </c>
      <c r="H791" s="165">
        <f t="shared" si="86"/>
        <v>6.5142857142857142</v>
      </c>
      <c r="I791" s="165">
        <f t="shared" si="87"/>
        <v>4.8857142857142852</v>
      </c>
      <c r="J791" s="166">
        <f t="shared" si="88"/>
        <v>8.1428571428571423</v>
      </c>
      <c r="K791" s="166">
        <f t="shared" si="90"/>
        <v>8.1428571428571423</v>
      </c>
      <c r="L791" s="165">
        <f t="shared" si="89"/>
        <v>1.125</v>
      </c>
      <c r="M791" s="168">
        <f t="shared" si="84"/>
        <v>0</v>
      </c>
      <c r="N791" s="236" t="s">
        <v>453</v>
      </c>
    </row>
    <row r="792" spans="1:14" ht="14">
      <c r="A792" s="149">
        <v>791</v>
      </c>
      <c r="B792" s="235" t="s">
        <v>52</v>
      </c>
      <c r="C792" s="231" t="s">
        <v>10</v>
      </c>
      <c r="D792" s="250" t="s">
        <v>2112</v>
      </c>
      <c r="E792" s="281">
        <v>0</v>
      </c>
      <c r="F792" s="249">
        <v>300</v>
      </c>
      <c r="G792" s="164">
        <f t="shared" si="85"/>
        <v>2.1142857142857143</v>
      </c>
      <c r="H792" s="165">
        <f t="shared" si="86"/>
        <v>4.2285714285714286</v>
      </c>
      <c r="I792" s="165">
        <f t="shared" si="87"/>
        <v>3.1714285714285713</v>
      </c>
      <c r="J792" s="166">
        <f t="shared" si="88"/>
        <v>5.2857142857142856</v>
      </c>
      <c r="K792" s="166">
        <f t="shared" si="90"/>
        <v>5.2857142857142856</v>
      </c>
      <c r="L792" s="165">
        <f t="shared" si="89"/>
        <v>1.075</v>
      </c>
      <c r="M792" s="168">
        <f t="shared" si="84"/>
        <v>0</v>
      </c>
      <c r="N792" s="236" t="s">
        <v>453</v>
      </c>
    </row>
    <row r="793" spans="1:14" ht="14">
      <c r="A793" s="149">
        <v>792</v>
      </c>
      <c r="B793" s="235" t="s">
        <v>52</v>
      </c>
      <c r="C793" s="231" t="s">
        <v>10</v>
      </c>
      <c r="D793" s="250" t="s">
        <v>2114</v>
      </c>
      <c r="E793" s="281">
        <v>0</v>
      </c>
      <c r="F793" s="249">
        <v>300</v>
      </c>
      <c r="G793" s="164">
        <f t="shared" si="85"/>
        <v>2.1142857142857143</v>
      </c>
      <c r="H793" s="165">
        <f t="shared" si="86"/>
        <v>4.2285714285714286</v>
      </c>
      <c r="I793" s="165">
        <f t="shared" si="87"/>
        <v>3.1714285714285713</v>
      </c>
      <c r="J793" s="166">
        <f t="shared" si="88"/>
        <v>5.2857142857142856</v>
      </c>
      <c r="K793" s="166">
        <f t="shared" si="90"/>
        <v>5.2857142857142856</v>
      </c>
      <c r="L793" s="165">
        <f t="shared" si="89"/>
        <v>1.075</v>
      </c>
      <c r="M793" s="168">
        <f t="shared" si="84"/>
        <v>0</v>
      </c>
      <c r="N793" s="236" t="s">
        <v>453</v>
      </c>
    </row>
    <row r="794" spans="1:14" ht="14">
      <c r="A794" s="149">
        <v>793</v>
      </c>
      <c r="B794" s="235" t="s">
        <v>52</v>
      </c>
      <c r="C794" s="231" t="s">
        <v>10</v>
      </c>
      <c r="D794" s="250" t="s">
        <v>2116</v>
      </c>
      <c r="E794" s="281">
        <v>0</v>
      </c>
      <c r="F794" s="249">
        <v>1000</v>
      </c>
      <c r="G794" s="164">
        <f t="shared" si="85"/>
        <v>6.1142857142857148</v>
      </c>
      <c r="H794" s="165">
        <f t="shared" si="86"/>
        <v>12.22857142857143</v>
      </c>
      <c r="I794" s="165">
        <f t="shared" si="87"/>
        <v>9.1714285714285708</v>
      </c>
      <c r="J794" s="166">
        <f t="shared" si="88"/>
        <v>15.285714285714285</v>
      </c>
      <c r="K794" s="166">
        <f t="shared" si="90"/>
        <v>15.285714285714285</v>
      </c>
      <c r="L794" s="165">
        <f t="shared" si="89"/>
        <v>1.25</v>
      </c>
      <c r="M794" s="168">
        <f t="shared" si="84"/>
        <v>0</v>
      </c>
      <c r="N794" s="236" t="s">
        <v>453</v>
      </c>
    </row>
    <row r="795" spans="1:14" ht="14">
      <c r="A795" s="149">
        <v>794</v>
      </c>
      <c r="B795" s="235" t="s">
        <v>52</v>
      </c>
      <c r="C795" s="231" t="s">
        <v>10</v>
      </c>
      <c r="D795" s="250" t="s">
        <v>2118</v>
      </c>
      <c r="E795" s="281">
        <v>0</v>
      </c>
      <c r="F795" s="249">
        <v>450</v>
      </c>
      <c r="G795" s="164">
        <f t="shared" si="85"/>
        <v>2.9714285714285715</v>
      </c>
      <c r="H795" s="165">
        <f t="shared" si="86"/>
        <v>5.9428571428571431</v>
      </c>
      <c r="I795" s="165">
        <f t="shared" si="87"/>
        <v>4.4571428571428573</v>
      </c>
      <c r="J795" s="166">
        <f t="shared" si="88"/>
        <v>7.4285714285714288</v>
      </c>
      <c r="K795" s="166">
        <f t="shared" si="90"/>
        <v>7.4285714285714288</v>
      </c>
      <c r="L795" s="165">
        <f t="shared" si="89"/>
        <v>1.1125</v>
      </c>
      <c r="M795" s="168">
        <f t="shared" si="84"/>
        <v>0</v>
      </c>
      <c r="N795" s="236" t="s">
        <v>453</v>
      </c>
    </row>
    <row r="796" spans="1:14" ht="14">
      <c r="A796" s="149">
        <v>795</v>
      </c>
      <c r="B796" s="235" t="s">
        <v>52</v>
      </c>
      <c r="C796" s="231" t="s">
        <v>10</v>
      </c>
      <c r="D796" s="250" t="s">
        <v>2120</v>
      </c>
      <c r="E796" s="281">
        <v>0</v>
      </c>
      <c r="F796" s="249">
        <v>1200</v>
      </c>
      <c r="G796" s="164">
        <f t="shared" si="85"/>
        <v>7.2571428571428571</v>
      </c>
      <c r="H796" s="165">
        <f t="shared" si="86"/>
        <v>14.514285714285714</v>
      </c>
      <c r="I796" s="165">
        <f t="shared" si="87"/>
        <v>10.885714285714284</v>
      </c>
      <c r="J796" s="166">
        <f t="shared" si="88"/>
        <v>18.142857142857142</v>
      </c>
      <c r="K796" s="166">
        <f t="shared" si="90"/>
        <v>18.142857142857142</v>
      </c>
      <c r="L796" s="165">
        <f t="shared" si="89"/>
        <v>1.3</v>
      </c>
      <c r="M796" s="168">
        <f t="shared" si="84"/>
        <v>0</v>
      </c>
      <c r="N796" s="236" t="s">
        <v>453</v>
      </c>
    </row>
    <row r="797" spans="1:14" ht="14">
      <c r="A797" s="149">
        <v>796</v>
      </c>
      <c r="B797" s="235" t="s">
        <v>52</v>
      </c>
      <c r="C797" s="231" t="s">
        <v>10</v>
      </c>
      <c r="D797" s="250" t="s">
        <v>2122</v>
      </c>
      <c r="E797" s="281">
        <v>0</v>
      </c>
      <c r="F797" s="249">
        <v>600</v>
      </c>
      <c r="G797" s="164">
        <f t="shared" si="85"/>
        <v>3.8285714285714287</v>
      </c>
      <c r="H797" s="165">
        <f t="shared" si="86"/>
        <v>7.6571428571428575</v>
      </c>
      <c r="I797" s="165">
        <f t="shared" si="87"/>
        <v>5.7428571428571429</v>
      </c>
      <c r="J797" s="166">
        <f t="shared" si="88"/>
        <v>9.5714285714285712</v>
      </c>
      <c r="K797" s="166">
        <f t="shared" si="90"/>
        <v>9.5714285714285712</v>
      </c>
      <c r="L797" s="165">
        <f t="shared" si="89"/>
        <v>1.1499999999999999</v>
      </c>
      <c r="M797" s="168">
        <f t="shared" si="84"/>
        <v>0</v>
      </c>
      <c r="N797" s="236" t="s">
        <v>453</v>
      </c>
    </row>
    <row r="798" spans="1:14" ht="14">
      <c r="A798" s="149">
        <v>797</v>
      </c>
      <c r="B798" s="235" t="s">
        <v>52</v>
      </c>
      <c r="C798" s="231" t="s">
        <v>10</v>
      </c>
      <c r="D798" s="250" t="s">
        <v>2124</v>
      </c>
      <c r="E798" s="281">
        <v>0</v>
      </c>
      <c r="F798" s="249">
        <v>350</v>
      </c>
      <c r="G798" s="164">
        <f t="shared" si="85"/>
        <v>2.4000000000000004</v>
      </c>
      <c r="H798" s="165">
        <f t="shared" si="86"/>
        <v>4.8000000000000007</v>
      </c>
      <c r="I798" s="165">
        <f t="shared" si="87"/>
        <v>3.5999999999999996</v>
      </c>
      <c r="J798" s="166">
        <f t="shared" si="88"/>
        <v>6</v>
      </c>
      <c r="K798" s="166">
        <f t="shared" si="90"/>
        <v>6</v>
      </c>
      <c r="L798" s="165">
        <f t="shared" si="89"/>
        <v>1.0874999999999999</v>
      </c>
      <c r="M798" s="168">
        <f t="shared" si="84"/>
        <v>0</v>
      </c>
      <c r="N798" s="236" t="s">
        <v>453</v>
      </c>
    </row>
    <row r="799" spans="1:14" ht="14">
      <c r="A799" s="149">
        <v>798</v>
      </c>
      <c r="B799" s="235" t="s">
        <v>52</v>
      </c>
      <c r="C799" s="231" t="s">
        <v>10</v>
      </c>
      <c r="D799" s="250" t="s">
        <v>2126</v>
      </c>
      <c r="E799" s="281">
        <v>0</v>
      </c>
      <c r="F799" s="249">
        <v>400</v>
      </c>
      <c r="G799" s="164">
        <f t="shared" si="85"/>
        <v>2.6857142857142859</v>
      </c>
      <c r="H799" s="165">
        <f t="shared" si="86"/>
        <v>5.3714285714285719</v>
      </c>
      <c r="I799" s="165">
        <f t="shared" si="87"/>
        <v>4.0285714285714285</v>
      </c>
      <c r="J799" s="166">
        <f t="shared" si="88"/>
        <v>6.7142857142857144</v>
      </c>
      <c r="K799" s="166">
        <f t="shared" si="90"/>
        <v>6.7142857142857144</v>
      </c>
      <c r="L799" s="165">
        <f t="shared" si="89"/>
        <v>1.1000000000000001</v>
      </c>
      <c r="M799" s="168">
        <f t="shared" si="84"/>
        <v>0</v>
      </c>
      <c r="N799" s="236" t="s">
        <v>453</v>
      </c>
    </row>
    <row r="800" spans="1:14" ht="14">
      <c r="A800" s="149">
        <v>799</v>
      </c>
      <c r="B800" s="235" t="s">
        <v>52</v>
      </c>
      <c r="C800" s="231" t="s">
        <v>10</v>
      </c>
      <c r="D800" s="250" t="s">
        <v>2128</v>
      </c>
      <c r="E800" s="281">
        <v>0</v>
      </c>
      <c r="F800" s="249">
        <v>500</v>
      </c>
      <c r="G800" s="164">
        <f t="shared" si="85"/>
        <v>3.2571428571428571</v>
      </c>
      <c r="H800" s="165">
        <f t="shared" si="86"/>
        <v>6.5142857142857142</v>
      </c>
      <c r="I800" s="165">
        <f t="shared" si="87"/>
        <v>4.8857142857142852</v>
      </c>
      <c r="J800" s="166">
        <f t="shared" si="88"/>
        <v>8.1428571428571423</v>
      </c>
      <c r="K800" s="166">
        <f t="shared" si="90"/>
        <v>8.1428571428571423</v>
      </c>
      <c r="L800" s="165">
        <f t="shared" si="89"/>
        <v>1.125</v>
      </c>
      <c r="M800" s="168">
        <f t="shared" si="84"/>
        <v>0</v>
      </c>
      <c r="N800" s="236" t="s">
        <v>453</v>
      </c>
    </row>
    <row r="801" spans="1:14" ht="14">
      <c r="A801" s="149">
        <v>800</v>
      </c>
      <c r="B801" s="235" t="s">
        <v>52</v>
      </c>
      <c r="C801" s="231" t="s">
        <v>10</v>
      </c>
      <c r="D801" s="250" t="s">
        <v>2130</v>
      </c>
      <c r="E801" s="281">
        <v>0</v>
      </c>
      <c r="F801" s="249">
        <v>1500</v>
      </c>
      <c r="G801" s="164">
        <f t="shared" si="85"/>
        <v>8.9714285714285715</v>
      </c>
      <c r="H801" s="165">
        <f t="shared" si="86"/>
        <v>17.942857142857143</v>
      </c>
      <c r="I801" s="165">
        <f t="shared" si="87"/>
        <v>13.457142857142856</v>
      </c>
      <c r="J801" s="166">
        <f t="shared" si="88"/>
        <v>22.428571428571427</v>
      </c>
      <c r="K801" s="166">
        <f t="shared" si="90"/>
        <v>22.428571428571427</v>
      </c>
      <c r="L801" s="165">
        <f t="shared" si="89"/>
        <v>1.375</v>
      </c>
      <c r="M801" s="168">
        <f t="shared" si="84"/>
        <v>0</v>
      </c>
      <c r="N801" s="236" t="s">
        <v>453</v>
      </c>
    </row>
    <row r="802" spans="1:14" ht="14">
      <c r="A802" s="149">
        <v>801</v>
      </c>
      <c r="B802" s="235" t="s">
        <v>52</v>
      </c>
      <c r="C802" s="231" t="s">
        <v>10</v>
      </c>
      <c r="D802" s="250" t="s">
        <v>2132</v>
      </c>
      <c r="E802" s="281">
        <v>0</v>
      </c>
      <c r="F802" s="249">
        <v>300</v>
      </c>
      <c r="G802" s="164">
        <f t="shared" si="85"/>
        <v>2.1142857142857143</v>
      </c>
      <c r="H802" s="165">
        <f t="shared" si="86"/>
        <v>4.2285714285714286</v>
      </c>
      <c r="I802" s="165">
        <f t="shared" si="87"/>
        <v>3.1714285714285713</v>
      </c>
      <c r="J802" s="166">
        <f t="shared" si="88"/>
        <v>5.2857142857142856</v>
      </c>
      <c r="K802" s="166">
        <f t="shared" si="90"/>
        <v>5.2857142857142856</v>
      </c>
      <c r="L802" s="165">
        <f t="shared" si="89"/>
        <v>1.075</v>
      </c>
      <c r="M802" s="168">
        <f t="shared" si="84"/>
        <v>0</v>
      </c>
      <c r="N802" s="236" t="s">
        <v>453</v>
      </c>
    </row>
    <row r="803" spans="1:14" ht="14">
      <c r="A803" s="149">
        <v>802</v>
      </c>
      <c r="B803" s="235" t="s">
        <v>52</v>
      </c>
      <c r="C803" s="231" t="s">
        <v>10</v>
      </c>
      <c r="D803" s="250" t="s">
        <v>2134</v>
      </c>
      <c r="E803" s="281">
        <v>0</v>
      </c>
      <c r="F803" s="249">
        <v>600</v>
      </c>
      <c r="G803" s="164">
        <f t="shared" si="85"/>
        <v>3.8285714285714287</v>
      </c>
      <c r="H803" s="165">
        <f t="shared" si="86"/>
        <v>7.6571428571428575</v>
      </c>
      <c r="I803" s="165">
        <f t="shared" si="87"/>
        <v>5.7428571428571429</v>
      </c>
      <c r="J803" s="166">
        <f t="shared" si="88"/>
        <v>9.5714285714285712</v>
      </c>
      <c r="K803" s="166">
        <f t="shared" si="90"/>
        <v>9.5714285714285712</v>
      </c>
      <c r="L803" s="165">
        <f t="shared" si="89"/>
        <v>1.1499999999999999</v>
      </c>
      <c r="M803" s="168">
        <f t="shared" si="84"/>
        <v>0</v>
      </c>
      <c r="N803" s="236" t="s">
        <v>453</v>
      </c>
    </row>
    <row r="804" spans="1:14" ht="14">
      <c r="A804" s="149">
        <v>803</v>
      </c>
      <c r="B804" s="235" t="s">
        <v>52</v>
      </c>
      <c r="C804" s="231" t="s">
        <v>10</v>
      </c>
      <c r="D804" s="250" t="s">
        <v>2136</v>
      </c>
      <c r="E804" s="281">
        <v>0</v>
      </c>
      <c r="F804" s="249">
        <v>350</v>
      </c>
      <c r="G804" s="164">
        <f t="shared" si="85"/>
        <v>2.4000000000000004</v>
      </c>
      <c r="H804" s="165">
        <f t="shared" si="86"/>
        <v>4.8000000000000007</v>
      </c>
      <c r="I804" s="165">
        <f t="shared" si="87"/>
        <v>3.5999999999999996</v>
      </c>
      <c r="J804" s="166">
        <f t="shared" si="88"/>
        <v>6</v>
      </c>
      <c r="K804" s="166">
        <f t="shared" si="90"/>
        <v>6</v>
      </c>
      <c r="L804" s="165">
        <f t="shared" si="89"/>
        <v>1.0874999999999999</v>
      </c>
      <c r="M804" s="168">
        <f t="shared" si="84"/>
        <v>0</v>
      </c>
      <c r="N804" s="236" t="s">
        <v>453</v>
      </c>
    </row>
    <row r="805" spans="1:14" ht="14">
      <c r="A805" s="149">
        <v>804</v>
      </c>
      <c r="B805" s="235" t="s">
        <v>52</v>
      </c>
      <c r="C805" s="231" t="s">
        <v>10</v>
      </c>
      <c r="D805" s="250" t="s">
        <v>2138</v>
      </c>
      <c r="E805" s="281">
        <v>0</v>
      </c>
      <c r="F805" s="249">
        <v>600</v>
      </c>
      <c r="G805" s="164">
        <f t="shared" si="85"/>
        <v>3.8285714285714287</v>
      </c>
      <c r="H805" s="165">
        <f t="shared" si="86"/>
        <v>7.6571428571428575</v>
      </c>
      <c r="I805" s="165">
        <f t="shared" si="87"/>
        <v>5.7428571428571429</v>
      </c>
      <c r="J805" s="166">
        <f t="shared" si="88"/>
        <v>9.5714285714285712</v>
      </c>
      <c r="K805" s="166">
        <f t="shared" si="90"/>
        <v>9.5714285714285712</v>
      </c>
      <c r="L805" s="165">
        <f t="shared" si="89"/>
        <v>1.1499999999999999</v>
      </c>
      <c r="M805" s="168">
        <f t="shared" si="84"/>
        <v>0</v>
      </c>
      <c r="N805" s="236" t="s">
        <v>453</v>
      </c>
    </row>
    <row r="806" spans="1:14" ht="14">
      <c r="A806" s="149">
        <v>805</v>
      </c>
      <c r="B806" s="235" t="s">
        <v>52</v>
      </c>
      <c r="C806" s="231" t="s">
        <v>10</v>
      </c>
      <c r="D806" s="250" t="s">
        <v>2140</v>
      </c>
      <c r="E806" s="281">
        <v>0</v>
      </c>
      <c r="F806" s="249">
        <v>300</v>
      </c>
      <c r="G806" s="164">
        <f t="shared" si="85"/>
        <v>2.1142857142857143</v>
      </c>
      <c r="H806" s="165">
        <f t="shared" si="86"/>
        <v>4.2285714285714286</v>
      </c>
      <c r="I806" s="165">
        <f t="shared" si="87"/>
        <v>3.1714285714285713</v>
      </c>
      <c r="J806" s="166">
        <f t="shared" si="88"/>
        <v>5.2857142857142856</v>
      </c>
      <c r="K806" s="166">
        <f t="shared" si="90"/>
        <v>5.2857142857142856</v>
      </c>
      <c r="L806" s="165">
        <f t="shared" si="89"/>
        <v>1.075</v>
      </c>
      <c r="M806" s="168">
        <f t="shared" si="84"/>
        <v>0</v>
      </c>
      <c r="N806" s="236" t="s">
        <v>453</v>
      </c>
    </row>
    <row r="807" spans="1:14" ht="14">
      <c r="A807" s="149">
        <v>806</v>
      </c>
      <c r="B807" s="235" t="s">
        <v>52</v>
      </c>
      <c r="C807" s="231" t="s">
        <v>10</v>
      </c>
      <c r="D807" s="250" t="s">
        <v>2142</v>
      </c>
      <c r="E807" s="281">
        <v>0</v>
      </c>
      <c r="F807" s="249">
        <v>1300</v>
      </c>
      <c r="G807" s="164">
        <f t="shared" si="85"/>
        <v>7.8285714285714292</v>
      </c>
      <c r="H807" s="165">
        <f t="shared" si="86"/>
        <v>15.657142857142858</v>
      </c>
      <c r="I807" s="165">
        <f t="shared" si="87"/>
        <v>11.742857142857144</v>
      </c>
      <c r="J807" s="166">
        <f t="shared" si="88"/>
        <v>19.571428571428573</v>
      </c>
      <c r="K807" s="166">
        <f t="shared" si="90"/>
        <v>19.571428571428573</v>
      </c>
      <c r="L807" s="165">
        <f t="shared" si="89"/>
        <v>1.325</v>
      </c>
      <c r="M807" s="168">
        <f t="shared" si="84"/>
        <v>0</v>
      </c>
      <c r="N807" s="236" t="s">
        <v>453</v>
      </c>
    </row>
    <row r="808" spans="1:14" ht="14">
      <c r="A808" s="149">
        <v>807</v>
      </c>
      <c r="B808" s="235" t="s">
        <v>52</v>
      </c>
      <c r="C808" s="231" t="s">
        <v>10</v>
      </c>
      <c r="D808" s="250" t="s">
        <v>2144</v>
      </c>
      <c r="E808" s="281">
        <v>0</v>
      </c>
      <c r="F808" s="249">
        <v>600</v>
      </c>
      <c r="G808" s="164">
        <f t="shared" si="85"/>
        <v>3.8285714285714287</v>
      </c>
      <c r="H808" s="165">
        <f t="shared" si="86"/>
        <v>7.6571428571428575</v>
      </c>
      <c r="I808" s="165">
        <f t="shared" si="87"/>
        <v>5.7428571428571429</v>
      </c>
      <c r="J808" s="166">
        <f t="shared" si="88"/>
        <v>9.5714285714285712</v>
      </c>
      <c r="K808" s="166">
        <f t="shared" si="90"/>
        <v>9.5714285714285712</v>
      </c>
      <c r="L808" s="165">
        <f t="shared" si="89"/>
        <v>1.1499999999999999</v>
      </c>
      <c r="M808" s="168">
        <f t="shared" si="84"/>
        <v>0</v>
      </c>
      <c r="N808" s="236" t="s">
        <v>453</v>
      </c>
    </row>
    <row r="809" spans="1:14" ht="14">
      <c r="A809" s="149">
        <v>808</v>
      </c>
      <c r="B809" s="235" t="s">
        <v>52</v>
      </c>
      <c r="C809" s="231" t="s">
        <v>10</v>
      </c>
      <c r="D809" s="250" t="s">
        <v>2146</v>
      </c>
      <c r="E809" s="281">
        <v>0</v>
      </c>
      <c r="F809" s="249">
        <v>650</v>
      </c>
      <c r="G809" s="164">
        <f t="shared" si="85"/>
        <v>4.1142857142857148</v>
      </c>
      <c r="H809" s="165">
        <f t="shared" si="86"/>
        <v>8.2285714285714295</v>
      </c>
      <c r="I809" s="165">
        <f t="shared" si="87"/>
        <v>6.1714285714285717</v>
      </c>
      <c r="J809" s="166">
        <f t="shared" si="88"/>
        <v>10.285714285714286</v>
      </c>
      <c r="K809" s="166">
        <f t="shared" si="90"/>
        <v>10.285714285714286</v>
      </c>
      <c r="L809" s="165">
        <f t="shared" si="89"/>
        <v>1.1625000000000001</v>
      </c>
      <c r="M809" s="168">
        <f t="shared" si="84"/>
        <v>0</v>
      </c>
      <c r="N809" s="236" t="s">
        <v>453</v>
      </c>
    </row>
    <row r="810" spans="1:14" ht="14">
      <c r="A810" s="149">
        <v>809</v>
      </c>
      <c r="B810" s="235" t="s">
        <v>52</v>
      </c>
      <c r="C810" s="231" t="s">
        <v>10</v>
      </c>
      <c r="D810" s="250" t="s">
        <v>2148</v>
      </c>
      <c r="E810" s="281">
        <v>0</v>
      </c>
      <c r="F810" s="249">
        <v>0</v>
      </c>
      <c r="G810" s="164">
        <f t="shared" si="85"/>
        <v>0.4</v>
      </c>
      <c r="H810" s="165">
        <f t="shared" si="86"/>
        <v>0.8</v>
      </c>
      <c r="I810" s="165">
        <f t="shared" si="87"/>
        <v>0.6</v>
      </c>
      <c r="J810" s="166">
        <f t="shared" si="88"/>
        <v>1</v>
      </c>
      <c r="K810" s="166">
        <f t="shared" si="90"/>
        <v>1</v>
      </c>
      <c r="L810" s="165">
        <f t="shared" si="89"/>
        <v>1</v>
      </c>
      <c r="M810" s="168">
        <f t="shared" si="84"/>
        <v>0</v>
      </c>
      <c r="N810" s="236" t="s">
        <v>453</v>
      </c>
    </row>
    <row r="811" spans="1:14" ht="14">
      <c r="A811" s="149">
        <v>810</v>
      </c>
      <c r="B811" s="235" t="s">
        <v>52</v>
      </c>
      <c r="C811" s="231" t="s">
        <v>10</v>
      </c>
      <c r="D811" s="250" t="s">
        <v>2150</v>
      </c>
      <c r="E811" s="281">
        <v>0</v>
      </c>
      <c r="F811" s="249">
        <v>750</v>
      </c>
      <c r="G811" s="164">
        <f t="shared" si="85"/>
        <v>4.6857142857142859</v>
      </c>
      <c r="H811" s="165">
        <f t="shared" si="86"/>
        <v>9.3714285714285719</v>
      </c>
      <c r="I811" s="165">
        <f t="shared" si="87"/>
        <v>7.0285714285714276</v>
      </c>
      <c r="J811" s="166">
        <f t="shared" si="88"/>
        <v>11.714285714285714</v>
      </c>
      <c r="K811" s="166">
        <f t="shared" si="90"/>
        <v>11.714285714285714</v>
      </c>
      <c r="L811" s="165">
        <f t="shared" si="89"/>
        <v>1.1875</v>
      </c>
      <c r="M811" s="168">
        <f t="shared" si="84"/>
        <v>0</v>
      </c>
      <c r="N811" s="236" t="s">
        <v>453</v>
      </c>
    </row>
    <row r="812" spans="1:14" ht="14">
      <c r="A812" s="149">
        <v>811</v>
      </c>
      <c r="B812" s="235" t="s">
        <v>52</v>
      </c>
      <c r="C812" s="231" t="s">
        <v>10</v>
      </c>
      <c r="D812" s="250" t="s">
        <v>2152</v>
      </c>
      <c r="E812" s="281">
        <v>0</v>
      </c>
      <c r="F812" s="249">
        <v>2400</v>
      </c>
      <c r="G812" s="164">
        <f t="shared" si="85"/>
        <v>14.114285714285714</v>
      </c>
      <c r="H812" s="165">
        <f t="shared" si="86"/>
        <v>28.228571428571428</v>
      </c>
      <c r="I812" s="165">
        <f t="shared" si="87"/>
        <v>21.171428571428571</v>
      </c>
      <c r="J812" s="166">
        <f t="shared" si="88"/>
        <v>35.285714285714285</v>
      </c>
      <c r="K812" s="166">
        <f t="shared" si="90"/>
        <v>35.285714285714285</v>
      </c>
      <c r="L812" s="165">
        <f t="shared" si="89"/>
        <v>1.6</v>
      </c>
      <c r="M812" s="168">
        <f t="shared" si="84"/>
        <v>0</v>
      </c>
      <c r="N812" s="236" t="s">
        <v>453</v>
      </c>
    </row>
    <row r="813" spans="1:14" ht="14">
      <c r="A813" s="149">
        <v>812</v>
      </c>
      <c r="B813" s="235" t="s">
        <v>52</v>
      </c>
      <c r="C813" s="231" t="s">
        <v>10</v>
      </c>
      <c r="D813" s="248" t="s">
        <v>2154</v>
      </c>
      <c r="E813" s="281">
        <v>0</v>
      </c>
      <c r="F813" s="249">
        <v>300</v>
      </c>
      <c r="G813" s="164">
        <f t="shared" si="85"/>
        <v>2.1142857142857143</v>
      </c>
      <c r="H813" s="165">
        <f t="shared" si="86"/>
        <v>4.2285714285714286</v>
      </c>
      <c r="I813" s="165">
        <f t="shared" si="87"/>
        <v>3.1714285714285713</v>
      </c>
      <c r="J813" s="166">
        <f t="shared" si="88"/>
        <v>5.2857142857142856</v>
      </c>
      <c r="K813" s="166">
        <f t="shared" si="90"/>
        <v>5.2857142857142856</v>
      </c>
      <c r="L813" s="165">
        <f t="shared" si="89"/>
        <v>1.075</v>
      </c>
      <c r="M813" s="168">
        <f t="shared" si="84"/>
        <v>0</v>
      </c>
      <c r="N813" s="236" t="s">
        <v>453</v>
      </c>
    </row>
    <row r="814" spans="1:14" ht="14">
      <c r="A814" s="149">
        <v>813</v>
      </c>
      <c r="B814" s="235" t="s">
        <v>52</v>
      </c>
      <c r="C814" s="231" t="s">
        <v>10</v>
      </c>
      <c r="D814" s="250" t="s">
        <v>2156</v>
      </c>
      <c r="E814" s="281">
        <v>0</v>
      </c>
      <c r="F814" s="249">
        <v>700</v>
      </c>
      <c r="G814" s="164">
        <f t="shared" si="85"/>
        <v>4.4000000000000004</v>
      </c>
      <c r="H814" s="165">
        <f t="shared" si="86"/>
        <v>8.8000000000000007</v>
      </c>
      <c r="I814" s="165">
        <f t="shared" si="87"/>
        <v>6.6</v>
      </c>
      <c r="J814" s="166">
        <f t="shared" si="88"/>
        <v>11</v>
      </c>
      <c r="K814" s="166">
        <f t="shared" si="90"/>
        <v>11</v>
      </c>
      <c r="L814" s="165">
        <f t="shared" si="89"/>
        <v>1.175</v>
      </c>
      <c r="M814" s="168">
        <f t="shared" si="84"/>
        <v>0</v>
      </c>
      <c r="N814" s="236" t="s">
        <v>453</v>
      </c>
    </row>
    <row r="815" spans="1:14" ht="14">
      <c r="A815" s="149">
        <v>814</v>
      </c>
      <c r="B815" s="235" t="s">
        <v>52</v>
      </c>
      <c r="C815" s="231" t="s">
        <v>10</v>
      </c>
      <c r="D815" s="250" t="s">
        <v>2158</v>
      </c>
      <c r="E815" s="281">
        <v>0</v>
      </c>
      <c r="F815" s="249">
        <v>750</v>
      </c>
      <c r="G815" s="164">
        <f t="shared" si="85"/>
        <v>4.6857142857142859</v>
      </c>
      <c r="H815" s="165">
        <f t="shared" si="86"/>
        <v>9.3714285714285719</v>
      </c>
      <c r="I815" s="165">
        <f t="shared" si="87"/>
        <v>7.0285714285714276</v>
      </c>
      <c r="J815" s="166">
        <f t="shared" si="88"/>
        <v>11.714285714285714</v>
      </c>
      <c r="K815" s="166">
        <f t="shared" si="90"/>
        <v>11.714285714285714</v>
      </c>
      <c r="L815" s="165">
        <f t="shared" si="89"/>
        <v>1.1875</v>
      </c>
      <c r="M815" s="168">
        <f t="shared" si="84"/>
        <v>0</v>
      </c>
      <c r="N815" s="236" t="s">
        <v>453</v>
      </c>
    </row>
    <row r="816" spans="1:14" ht="14">
      <c r="A816" s="149">
        <v>815</v>
      </c>
      <c r="B816" s="235" t="s">
        <v>52</v>
      </c>
      <c r="C816" s="231" t="s">
        <v>10</v>
      </c>
      <c r="D816" s="250" t="s">
        <v>2160</v>
      </c>
      <c r="E816" s="281">
        <v>0</v>
      </c>
      <c r="F816" s="249">
        <v>750</v>
      </c>
      <c r="G816" s="164">
        <f t="shared" si="85"/>
        <v>4.6857142857142859</v>
      </c>
      <c r="H816" s="165">
        <f t="shared" si="86"/>
        <v>9.3714285714285719</v>
      </c>
      <c r="I816" s="165">
        <f t="shared" si="87"/>
        <v>7.0285714285714276</v>
      </c>
      <c r="J816" s="166">
        <f t="shared" si="88"/>
        <v>11.714285714285714</v>
      </c>
      <c r="K816" s="166">
        <f t="shared" si="90"/>
        <v>11.714285714285714</v>
      </c>
      <c r="L816" s="165">
        <f t="shared" si="89"/>
        <v>1.1875</v>
      </c>
      <c r="M816" s="168">
        <f t="shared" si="84"/>
        <v>0</v>
      </c>
      <c r="N816" s="236" t="s">
        <v>453</v>
      </c>
    </row>
    <row r="817" spans="1:14" ht="14">
      <c r="A817" s="149">
        <v>816</v>
      </c>
      <c r="B817" s="235" t="s">
        <v>52</v>
      </c>
      <c r="C817" s="231" t="s">
        <v>10</v>
      </c>
      <c r="D817" s="250" t="s">
        <v>2162</v>
      </c>
      <c r="E817" s="281">
        <v>0</v>
      </c>
      <c r="F817" s="249">
        <v>650</v>
      </c>
      <c r="G817" s="164">
        <f t="shared" si="85"/>
        <v>4.1142857142857148</v>
      </c>
      <c r="H817" s="165">
        <f t="shared" si="86"/>
        <v>8.2285714285714295</v>
      </c>
      <c r="I817" s="165">
        <f t="shared" si="87"/>
        <v>6.1714285714285717</v>
      </c>
      <c r="J817" s="166">
        <f t="shared" si="88"/>
        <v>10.285714285714286</v>
      </c>
      <c r="K817" s="166">
        <f t="shared" si="90"/>
        <v>10.285714285714286</v>
      </c>
      <c r="L817" s="165">
        <f t="shared" si="89"/>
        <v>1.1625000000000001</v>
      </c>
      <c r="M817" s="168">
        <f t="shared" si="84"/>
        <v>0</v>
      </c>
      <c r="N817" s="236" t="s">
        <v>453</v>
      </c>
    </row>
    <row r="818" spans="1:14" ht="14">
      <c r="A818" s="149">
        <v>817</v>
      </c>
      <c r="B818" s="235" t="s">
        <v>52</v>
      </c>
      <c r="C818" s="231" t="s">
        <v>10</v>
      </c>
      <c r="D818" s="248" t="s">
        <v>2164</v>
      </c>
      <c r="E818" s="281">
        <v>0</v>
      </c>
      <c r="F818" s="249">
        <v>1800</v>
      </c>
      <c r="G818" s="164">
        <f t="shared" si="85"/>
        <v>10.685714285714287</v>
      </c>
      <c r="H818" s="165">
        <f t="shared" si="86"/>
        <v>21.371428571428574</v>
      </c>
      <c r="I818" s="165">
        <f t="shared" si="87"/>
        <v>16.028571428571428</v>
      </c>
      <c r="J818" s="166">
        <f t="shared" si="88"/>
        <v>26.714285714285715</v>
      </c>
      <c r="K818" s="166">
        <f t="shared" si="90"/>
        <v>26.714285714285715</v>
      </c>
      <c r="L818" s="165">
        <f t="shared" si="89"/>
        <v>1.45</v>
      </c>
      <c r="M818" s="168">
        <f t="shared" si="84"/>
        <v>0</v>
      </c>
      <c r="N818" s="236" t="s">
        <v>453</v>
      </c>
    </row>
    <row r="819" spans="1:14" ht="14">
      <c r="A819" s="149">
        <v>818</v>
      </c>
      <c r="B819" s="235" t="s">
        <v>52</v>
      </c>
      <c r="C819" s="231" t="s">
        <v>10</v>
      </c>
      <c r="D819" s="250" t="s">
        <v>2166</v>
      </c>
      <c r="E819" s="281">
        <v>0</v>
      </c>
      <c r="F819" s="249">
        <v>300</v>
      </c>
      <c r="G819" s="164">
        <f t="shared" si="85"/>
        <v>2.1142857142857143</v>
      </c>
      <c r="H819" s="165">
        <f t="shared" si="86"/>
        <v>4.2285714285714286</v>
      </c>
      <c r="I819" s="165">
        <f t="shared" si="87"/>
        <v>3.1714285714285713</v>
      </c>
      <c r="J819" s="166">
        <f t="shared" si="88"/>
        <v>5.2857142857142856</v>
      </c>
      <c r="K819" s="166">
        <f t="shared" si="90"/>
        <v>5.2857142857142856</v>
      </c>
      <c r="L819" s="165">
        <f t="shared" si="89"/>
        <v>1.075</v>
      </c>
      <c r="M819" s="168">
        <f t="shared" si="84"/>
        <v>0</v>
      </c>
      <c r="N819" s="236" t="s">
        <v>453</v>
      </c>
    </row>
    <row r="820" spans="1:14" ht="14">
      <c r="A820" s="149">
        <v>819</v>
      </c>
      <c r="B820" s="235" t="s">
        <v>51</v>
      </c>
      <c r="C820" s="231" t="s">
        <v>10</v>
      </c>
      <c r="D820" s="250" t="s">
        <v>2168</v>
      </c>
      <c r="E820" s="281">
        <v>0</v>
      </c>
      <c r="F820" s="249">
        <v>350</v>
      </c>
      <c r="G820" s="164">
        <f t="shared" si="85"/>
        <v>2.4000000000000004</v>
      </c>
      <c r="H820" s="165">
        <f t="shared" si="86"/>
        <v>4.8000000000000007</v>
      </c>
      <c r="I820" s="165">
        <f t="shared" si="87"/>
        <v>3.5999999999999996</v>
      </c>
      <c r="J820" s="166">
        <f t="shared" si="88"/>
        <v>6</v>
      </c>
      <c r="K820" s="166">
        <f t="shared" si="90"/>
        <v>6</v>
      </c>
      <c r="L820" s="165">
        <f t="shared" si="89"/>
        <v>1.0874999999999999</v>
      </c>
      <c r="M820" s="168">
        <f t="shared" si="84"/>
        <v>0</v>
      </c>
      <c r="N820" s="236" t="s">
        <v>453</v>
      </c>
    </row>
    <row r="821" spans="1:14" ht="14">
      <c r="A821" s="149">
        <v>820</v>
      </c>
      <c r="B821" s="235" t="s">
        <v>52</v>
      </c>
      <c r="C821" s="231" t="s">
        <v>10</v>
      </c>
      <c r="D821" s="250" t="s">
        <v>2170</v>
      </c>
      <c r="E821" s="281">
        <v>0</v>
      </c>
      <c r="F821" s="249">
        <v>550</v>
      </c>
      <c r="G821" s="164">
        <f t="shared" si="85"/>
        <v>3.5428571428571431</v>
      </c>
      <c r="H821" s="165">
        <f t="shared" si="86"/>
        <v>7.0857142857142863</v>
      </c>
      <c r="I821" s="165">
        <f t="shared" si="87"/>
        <v>5.3142857142857141</v>
      </c>
      <c r="J821" s="166">
        <f t="shared" si="88"/>
        <v>8.8571428571428577</v>
      </c>
      <c r="K821" s="166">
        <f t="shared" si="90"/>
        <v>8.8571428571428577</v>
      </c>
      <c r="L821" s="165">
        <f t="shared" si="89"/>
        <v>1.1375</v>
      </c>
      <c r="M821" s="168">
        <f t="shared" si="84"/>
        <v>0</v>
      </c>
      <c r="N821" s="236" t="s">
        <v>453</v>
      </c>
    </row>
    <row r="822" spans="1:14" ht="14">
      <c r="A822" s="149">
        <v>821</v>
      </c>
      <c r="B822" s="235" t="s">
        <v>52</v>
      </c>
      <c r="C822" s="231" t="s">
        <v>10</v>
      </c>
      <c r="D822" s="250" t="s">
        <v>2172</v>
      </c>
      <c r="E822" s="281">
        <v>0</v>
      </c>
      <c r="F822" s="249">
        <v>1700</v>
      </c>
      <c r="G822" s="164">
        <f t="shared" si="85"/>
        <v>10.114285714285714</v>
      </c>
      <c r="H822" s="165">
        <f t="shared" si="86"/>
        <v>20.228571428571428</v>
      </c>
      <c r="I822" s="165">
        <f t="shared" si="87"/>
        <v>15.171428571428571</v>
      </c>
      <c r="J822" s="166">
        <f t="shared" si="88"/>
        <v>25.285714285714285</v>
      </c>
      <c r="K822" s="166">
        <f t="shared" si="90"/>
        <v>25.285714285714285</v>
      </c>
      <c r="L822" s="165">
        <f t="shared" si="89"/>
        <v>1.425</v>
      </c>
      <c r="M822" s="168">
        <f t="shared" si="84"/>
        <v>0</v>
      </c>
      <c r="N822" s="236" t="s">
        <v>453</v>
      </c>
    </row>
    <row r="823" spans="1:14" ht="14">
      <c r="A823" s="149">
        <v>822</v>
      </c>
      <c r="B823" s="235" t="s">
        <v>52</v>
      </c>
      <c r="C823" s="231" t="s">
        <v>10</v>
      </c>
      <c r="D823" s="250" t="s">
        <v>2174</v>
      </c>
      <c r="E823" s="281">
        <v>0</v>
      </c>
      <c r="F823" s="249">
        <v>450</v>
      </c>
      <c r="G823" s="164">
        <f t="shared" si="85"/>
        <v>2.9714285714285715</v>
      </c>
      <c r="H823" s="165">
        <f t="shared" si="86"/>
        <v>5.9428571428571431</v>
      </c>
      <c r="I823" s="165">
        <f t="shared" si="87"/>
        <v>4.4571428571428573</v>
      </c>
      <c r="J823" s="166">
        <f t="shared" si="88"/>
        <v>7.4285714285714288</v>
      </c>
      <c r="K823" s="166">
        <f t="shared" si="90"/>
        <v>7.4285714285714288</v>
      </c>
      <c r="L823" s="165">
        <f t="shared" si="89"/>
        <v>1.1125</v>
      </c>
      <c r="M823" s="168">
        <f t="shared" si="84"/>
        <v>0</v>
      </c>
      <c r="N823" s="236" t="s">
        <v>453</v>
      </c>
    </row>
    <row r="824" spans="1:14" ht="14">
      <c r="A824" s="149">
        <v>823</v>
      </c>
      <c r="B824" s="235" t="s">
        <v>52</v>
      </c>
      <c r="C824" s="231" t="s">
        <v>10</v>
      </c>
      <c r="D824" s="250" t="s">
        <v>2176</v>
      </c>
      <c r="E824" s="281">
        <v>0</v>
      </c>
      <c r="F824" s="249">
        <v>50</v>
      </c>
      <c r="G824" s="164">
        <f t="shared" si="85"/>
        <v>0.68571428571428583</v>
      </c>
      <c r="H824" s="165">
        <f t="shared" si="86"/>
        <v>1.3714285714285717</v>
      </c>
      <c r="I824" s="165">
        <f t="shared" si="87"/>
        <v>1.0285714285714287</v>
      </c>
      <c r="J824" s="166">
        <f t="shared" si="88"/>
        <v>1.7142857142857144</v>
      </c>
      <c r="K824" s="166">
        <f t="shared" si="90"/>
        <v>1.7142857142857144</v>
      </c>
      <c r="L824" s="165">
        <f t="shared" si="89"/>
        <v>1.0125</v>
      </c>
      <c r="M824" s="168">
        <f t="shared" si="84"/>
        <v>0</v>
      </c>
      <c r="N824" s="236" t="s">
        <v>453</v>
      </c>
    </row>
    <row r="825" spans="1:14" ht="14">
      <c r="A825" s="149">
        <v>824</v>
      </c>
      <c r="B825" s="235" t="s">
        <v>52</v>
      </c>
      <c r="C825" s="231" t="s">
        <v>10</v>
      </c>
      <c r="D825" s="250" t="s">
        <v>4617</v>
      </c>
      <c r="E825" s="281">
        <v>0</v>
      </c>
      <c r="F825" s="249">
        <v>800</v>
      </c>
      <c r="G825" s="164">
        <f t="shared" si="85"/>
        <v>4.9714285714285715</v>
      </c>
      <c r="H825" s="165">
        <f t="shared" si="86"/>
        <v>9.9428571428571431</v>
      </c>
      <c r="I825" s="165">
        <f t="shared" si="87"/>
        <v>7.4571428571428573</v>
      </c>
      <c r="J825" s="166">
        <f t="shared" si="88"/>
        <v>12.428571428571429</v>
      </c>
      <c r="K825" s="166">
        <f t="shared" si="90"/>
        <v>12.428571428571429</v>
      </c>
      <c r="L825" s="165">
        <f t="shared" si="89"/>
        <v>1.2</v>
      </c>
      <c r="M825" s="168">
        <f t="shared" si="84"/>
        <v>0</v>
      </c>
      <c r="N825" s="236" t="s">
        <v>453</v>
      </c>
    </row>
    <row r="826" spans="1:14" ht="14">
      <c r="A826" s="149">
        <v>825</v>
      </c>
      <c r="B826" s="235" t="s">
        <v>52</v>
      </c>
      <c r="C826" s="231" t="s">
        <v>10</v>
      </c>
      <c r="D826" s="250" t="s">
        <v>2179</v>
      </c>
      <c r="E826" s="281">
        <v>0</v>
      </c>
      <c r="F826" s="249">
        <v>500</v>
      </c>
      <c r="G826" s="164">
        <f t="shared" si="85"/>
        <v>3.2571428571428571</v>
      </c>
      <c r="H826" s="165">
        <f t="shared" si="86"/>
        <v>6.5142857142857142</v>
      </c>
      <c r="I826" s="165">
        <f t="shared" si="87"/>
        <v>4.8857142857142852</v>
      </c>
      <c r="J826" s="166">
        <f t="shared" si="88"/>
        <v>8.1428571428571423</v>
      </c>
      <c r="K826" s="166">
        <f t="shared" si="90"/>
        <v>8.1428571428571423</v>
      </c>
      <c r="L826" s="165">
        <f t="shared" si="89"/>
        <v>1.125</v>
      </c>
      <c r="M826" s="168">
        <f t="shared" si="84"/>
        <v>0</v>
      </c>
      <c r="N826" s="236" t="s">
        <v>453</v>
      </c>
    </row>
    <row r="827" spans="1:14" ht="14">
      <c r="A827" s="149">
        <v>826</v>
      </c>
      <c r="B827" s="235" t="s">
        <v>52</v>
      </c>
      <c r="C827" s="231" t="s">
        <v>10</v>
      </c>
      <c r="D827" s="250" t="s">
        <v>2181</v>
      </c>
      <c r="E827" s="281">
        <v>0</v>
      </c>
      <c r="F827" s="249">
        <v>250</v>
      </c>
      <c r="G827" s="164">
        <f t="shared" si="85"/>
        <v>1.8285714285714285</v>
      </c>
      <c r="H827" s="165">
        <f t="shared" si="86"/>
        <v>3.657142857142857</v>
      </c>
      <c r="I827" s="165">
        <f t="shared" si="87"/>
        <v>2.7428571428571424</v>
      </c>
      <c r="J827" s="166">
        <f t="shared" si="88"/>
        <v>4.5714285714285712</v>
      </c>
      <c r="K827" s="166">
        <f t="shared" si="90"/>
        <v>4.5714285714285712</v>
      </c>
      <c r="L827" s="165">
        <f t="shared" si="89"/>
        <v>1.0625</v>
      </c>
      <c r="M827" s="168">
        <f t="shared" si="84"/>
        <v>0</v>
      </c>
      <c r="N827" s="236" t="s">
        <v>453</v>
      </c>
    </row>
    <row r="828" spans="1:14" ht="14">
      <c r="A828" s="149">
        <v>827</v>
      </c>
      <c r="B828" s="235" t="s">
        <v>52</v>
      </c>
      <c r="C828" s="231" t="s">
        <v>10</v>
      </c>
      <c r="D828" s="250" t="s">
        <v>2183</v>
      </c>
      <c r="E828" s="281">
        <v>0</v>
      </c>
      <c r="F828" s="249">
        <v>750</v>
      </c>
      <c r="G828" s="164">
        <f t="shared" si="85"/>
        <v>4.6857142857142859</v>
      </c>
      <c r="H828" s="165">
        <f t="shared" si="86"/>
        <v>9.3714285714285719</v>
      </c>
      <c r="I828" s="165">
        <f t="shared" si="87"/>
        <v>7.0285714285714276</v>
      </c>
      <c r="J828" s="166">
        <f t="shared" si="88"/>
        <v>11.714285714285714</v>
      </c>
      <c r="K828" s="166">
        <f t="shared" si="90"/>
        <v>11.714285714285714</v>
      </c>
      <c r="L828" s="165">
        <f t="shared" si="89"/>
        <v>1.1875</v>
      </c>
      <c r="M828" s="168">
        <f t="shared" si="84"/>
        <v>0</v>
      </c>
      <c r="N828" s="236" t="s">
        <v>453</v>
      </c>
    </row>
    <row r="829" spans="1:14" ht="14">
      <c r="A829" s="149">
        <v>828</v>
      </c>
      <c r="B829" s="235" t="s">
        <v>52</v>
      </c>
      <c r="C829" s="231" t="s">
        <v>10</v>
      </c>
      <c r="D829" s="250" t="s">
        <v>2185</v>
      </c>
      <c r="E829" s="281">
        <v>0</v>
      </c>
      <c r="F829" s="249">
        <v>450</v>
      </c>
      <c r="G829" s="164">
        <f t="shared" si="85"/>
        <v>2.9714285714285715</v>
      </c>
      <c r="H829" s="165">
        <f t="shared" si="86"/>
        <v>5.9428571428571431</v>
      </c>
      <c r="I829" s="165">
        <f t="shared" si="87"/>
        <v>4.4571428571428573</v>
      </c>
      <c r="J829" s="166">
        <f t="shared" si="88"/>
        <v>7.4285714285714288</v>
      </c>
      <c r="K829" s="166">
        <f t="shared" si="90"/>
        <v>7.4285714285714288</v>
      </c>
      <c r="L829" s="165">
        <f t="shared" si="89"/>
        <v>1.1125</v>
      </c>
      <c r="M829" s="168">
        <f t="shared" si="84"/>
        <v>0</v>
      </c>
      <c r="N829" s="236" t="s">
        <v>453</v>
      </c>
    </row>
    <row r="830" spans="1:14" ht="14">
      <c r="A830" s="149">
        <v>829</v>
      </c>
      <c r="B830" s="235" t="s">
        <v>52</v>
      </c>
      <c r="C830" s="231" t="s">
        <v>10</v>
      </c>
      <c r="D830" s="250" t="s">
        <v>2187</v>
      </c>
      <c r="E830" s="281">
        <v>0</v>
      </c>
      <c r="F830" s="249">
        <v>400</v>
      </c>
      <c r="G830" s="164">
        <f t="shared" si="85"/>
        <v>2.6857142857142859</v>
      </c>
      <c r="H830" s="165">
        <f t="shared" si="86"/>
        <v>5.3714285714285719</v>
      </c>
      <c r="I830" s="165">
        <f t="shared" si="87"/>
        <v>4.0285714285714285</v>
      </c>
      <c r="J830" s="166">
        <f t="shared" si="88"/>
        <v>6.7142857142857144</v>
      </c>
      <c r="K830" s="166">
        <f t="shared" si="90"/>
        <v>6.7142857142857144</v>
      </c>
      <c r="L830" s="165">
        <f t="shared" si="89"/>
        <v>1.1000000000000001</v>
      </c>
      <c r="M830" s="168">
        <f t="shared" si="84"/>
        <v>0</v>
      </c>
      <c r="N830" s="236" t="s">
        <v>453</v>
      </c>
    </row>
    <row r="831" spans="1:14" ht="14">
      <c r="A831" s="149">
        <v>830</v>
      </c>
      <c r="B831" s="235" t="s">
        <v>52</v>
      </c>
      <c r="C831" s="231" t="s">
        <v>10</v>
      </c>
      <c r="D831" s="250" t="s">
        <v>4620</v>
      </c>
      <c r="E831" s="281">
        <v>0</v>
      </c>
      <c r="F831" s="249">
        <v>300</v>
      </c>
      <c r="G831" s="164">
        <f t="shared" si="85"/>
        <v>2.1142857142857143</v>
      </c>
      <c r="H831" s="165">
        <f t="shared" si="86"/>
        <v>4.2285714285714286</v>
      </c>
      <c r="I831" s="165">
        <f t="shared" si="87"/>
        <v>3.1714285714285713</v>
      </c>
      <c r="J831" s="166">
        <f t="shared" si="88"/>
        <v>5.2857142857142856</v>
      </c>
      <c r="K831" s="166">
        <f t="shared" si="90"/>
        <v>5.2857142857142856</v>
      </c>
      <c r="L831" s="165">
        <f t="shared" si="89"/>
        <v>1.075</v>
      </c>
      <c r="M831" s="168">
        <f t="shared" si="84"/>
        <v>0</v>
      </c>
      <c r="N831" s="236" t="s">
        <v>453</v>
      </c>
    </row>
    <row r="832" spans="1:14" ht="14">
      <c r="A832" s="149">
        <v>831</v>
      </c>
      <c r="B832" s="235" t="s">
        <v>52</v>
      </c>
      <c r="C832" s="231" t="s">
        <v>10</v>
      </c>
      <c r="D832" s="250" t="s">
        <v>2190</v>
      </c>
      <c r="E832" s="281">
        <v>0</v>
      </c>
      <c r="F832" s="249">
        <v>2500</v>
      </c>
      <c r="G832" s="164">
        <f t="shared" si="85"/>
        <v>14.685714285714287</v>
      </c>
      <c r="H832" s="165">
        <f t="shared" si="86"/>
        <v>29.371428571428574</v>
      </c>
      <c r="I832" s="165">
        <f t="shared" si="87"/>
        <v>22.028571428571428</v>
      </c>
      <c r="J832" s="166">
        <f t="shared" si="88"/>
        <v>36.714285714285715</v>
      </c>
      <c r="K832" s="166">
        <f t="shared" si="90"/>
        <v>36.714285714285715</v>
      </c>
      <c r="L832" s="165">
        <f t="shared" si="89"/>
        <v>1.625</v>
      </c>
      <c r="M832" s="168">
        <f t="shared" si="84"/>
        <v>0</v>
      </c>
      <c r="N832" s="236" t="s">
        <v>453</v>
      </c>
    </row>
    <row r="833" spans="1:14" ht="14">
      <c r="A833" s="149">
        <v>832</v>
      </c>
      <c r="B833" s="235" t="s">
        <v>52</v>
      </c>
      <c r="C833" s="231" t="s">
        <v>10</v>
      </c>
      <c r="D833" s="250" t="s">
        <v>2192</v>
      </c>
      <c r="E833" s="281">
        <v>0</v>
      </c>
      <c r="F833" s="249">
        <v>300</v>
      </c>
      <c r="G833" s="164">
        <f t="shared" si="85"/>
        <v>2.1142857142857143</v>
      </c>
      <c r="H833" s="165">
        <f t="shared" si="86"/>
        <v>4.2285714285714286</v>
      </c>
      <c r="I833" s="165">
        <f t="shared" si="87"/>
        <v>3.1714285714285713</v>
      </c>
      <c r="J833" s="166">
        <f t="shared" si="88"/>
        <v>5.2857142857142856</v>
      </c>
      <c r="K833" s="166">
        <f t="shared" si="90"/>
        <v>5.2857142857142856</v>
      </c>
      <c r="L833" s="165">
        <f t="shared" si="89"/>
        <v>1.075</v>
      </c>
      <c r="M833" s="168">
        <f t="shared" si="84"/>
        <v>0</v>
      </c>
      <c r="N833" s="236" t="s">
        <v>453</v>
      </c>
    </row>
    <row r="834" spans="1:14" ht="14">
      <c r="A834" s="149">
        <v>833</v>
      </c>
      <c r="B834" s="235" t="s">
        <v>52</v>
      </c>
      <c r="C834" s="231" t="s">
        <v>10</v>
      </c>
      <c r="D834" s="250" t="s">
        <v>2194</v>
      </c>
      <c r="E834" s="281">
        <v>0</v>
      </c>
      <c r="F834" s="249">
        <v>250</v>
      </c>
      <c r="G834" s="164">
        <f t="shared" si="85"/>
        <v>1.8285714285714285</v>
      </c>
      <c r="H834" s="165">
        <f t="shared" si="86"/>
        <v>3.657142857142857</v>
      </c>
      <c r="I834" s="165">
        <f t="shared" si="87"/>
        <v>2.7428571428571424</v>
      </c>
      <c r="J834" s="166">
        <f t="shared" si="88"/>
        <v>4.5714285714285712</v>
      </c>
      <c r="K834" s="166">
        <f t="shared" si="90"/>
        <v>4.5714285714285712</v>
      </c>
      <c r="L834" s="165">
        <f t="shared" si="89"/>
        <v>1.0625</v>
      </c>
      <c r="M834" s="168">
        <f t="shared" ref="M834:M897" si="91">E834/60</f>
        <v>0</v>
      </c>
      <c r="N834" s="236" t="s">
        <v>453</v>
      </c>
    </row>
    <row r="835" spans="1:14" ht="14">
      <c r="A835" s="149">
        <v>834</v>
      </c>
      <c r="B835" s="235" t="s">
        <v>52</v>
      </c>
      <c r="C835" s="231" t="s">
        <v>10</v>
      </c>
      <c r="D835" s="250" t="s">
        <v>2196</v>
      </c>
      <c r="E835" s="281">
        <v>0</v>
      </c>
      <c r="F835" s="249">
        <v>600</v>
      </c>
      <c r="G835" s="164">
        <f t="shared" ref="G835:G898" si="92">(((F835/70)+1)*0.4)</f>
        <v>3.8285714285714287</v>
      </c>
      <c r="H835" s="165">
        <f t="shared" ref="H835:H898" si="93">G835*2</f>
        <v>7.6571428571428575</v>
      </c>
      <c r="I835" s="165">
        <f t="shared" ref="I835:I898" si="94">(((F835/70)+1)*0.6)</f>
        <v>5.7428571428571429</v>
      </c>
      <c r="J835" s="166">
        <f t="shared" ref="J835:J898" si="95">I835+G835</f>
        <v>9.5714285714285712</v>
      </c>
      <c r="K835" s="166">
        <f t="shared" si="90"/>
        <v>9.5714285714285712</v>
      </c>
      <c r="L835" s="165">
        <f t="shared" ref="L835:L898" si="96">(F835/4000)+1</f>
        <v>1.1499999999999999</v>
      </c>
      <c r="M835" s="168">
        <f t="shared" si="91"/>
        <v>0</v>
      </c>
      <c r="N835" s="236" t="s">
        <v>453</v>
      </c>
    </row>
    <row r="836" spans="1:14" ht="14">
      <c r="A836" s="149">
        <v>835</v>
      </c>
      <c r="B836" s="235" t="s">
        <v>52</v>
      </c>
      <c r="C836" s="231" t="s">
        <v>10</v>
      </c>
      <c r="D836" s="250" t="s">
        <v>2198</v>
      </c>
      <c r="E836" s="281">
        <v>0</v>
      </c>
      <c r="F836" s="249">
        <v>350</v>
      </c>
      <c r="G836" s="164">
        <f t="shared" si="92"/>
        <v>2.4000000000000004</v>
      </c>
      <c r="H836" s="165">
        <f t="shared" si="93"/>
        <v>4.8000000000000007</v>
      </c>
      <c r="I836" s="165">
        <f t="shared" si="94"/>
        <v>3.5999999999999996</v>
      </c>
      <c r="J836" s="166">
        <f t="shared" si="95"/>
        <v>6</v>
      </c>
      <c r="K836" s="166">
        <f t="shared" ref="K836:K899" si="97">J836</f>
        <v>6</v>
      </c>
      <c r="L836" s="165">
        <f t="shared" si="96"/>
        <v>1.0874999999999999</v>
      </c>
      <c r="M836" s="168">
        <f t="shared" si="91"/>
        <v>0</v>
      </c>
      <c r="N836" s="236" t="s">
        <v>453</v>
      </c>
    </row>
    <row r="837" spans="1:14" ht="14">
      <c r="A837" s="149">
        <v>836</v>
      </c>
      <c r="B837" s="235" t="s">
        <v>52</v>
      </c>
      <c r="C837" s="231" t="s">
        <v>10</v>
      </c>
      <c r="D837" s="250" t="s">
        <v>2200</v>
      </c>
      <c r="E837" s="281">
        <v>0</v>
      </c>
      <c r="F837" s="249">
        <v>350</v>
      </c>
      <c r="G837" s="164">
        <f t="shared" si="92"/>
        <v>2.4000000000000004</v>
      </c>
      <c r="H837" s="165">
        <f t="shared" si="93"/>
        <v>4.8000000000000007</v>
      </c>
      <c r="I837" s="165">
        <f t="shared" si="94"/>
        <v>3.5999999999999996</v>
      </c>
      <c r="J837" s="166">
        <f t="shared" si="95"/>
        <v>6</v>
      </c>
      <c r="K837" s="166">
        <f t="shared" si="97"/>
        <v>6</v>
      </c>
      <c r="L837" s="165">
        <f t="shared" si="96"/>
        <v>1.0874999999999999</v>
      </c>
      <c r="M837" s="168">
        <f t="shared" si="91"/>
        <v>0</v>
      </c>
      <c r="N837" s="236" t="s">
        <v>453</v>
      </c>
    </row>
    <row r="838" spans="1:14" ht="14">
      <c r="A838" s="149">
        <v>837</v>
      </c>
      <c r="B838" s="235" t="s">
        <v>52</v>
      </c>
      <c r="C838" s="231" t="s">
        <v>10</v>
      </c>
      <c r="D838" s="250" t="s">
        <v>2202</v>
      </c>
      <c r="E838" s="281">
        <v>0</v>
      </c>
      <c r="F838" s="249">
        <v>431</v>
      </c>
      <c r="G838" s="164">
        <f t="shared" si="92"/>
        <v>2.862857142857143</v>
      </c>
      <c r="H838" s="165">
        <f t="shared" si="93"/>
        <v>5.725714285714286</v>
      </c>
      <c r="I838" s="165">
        <f t="shared" si="94"/>
        <v>4.2942857142857145</v>
      </c>
      <c r="J838" s="166">
        <f t="shared" si="95"/>
        <v>7.1571428571428575</v>
      </c>
      <c r="K838" s="166">
        <f t="shared" si="97"/>
        <v>7.1571428571428575</v>
      </c>
      <c r="L838" s="165">
        <f t="shared" si="96"/>
        <v>1.10775</v>
      </c>
      <c r="M838" s="168">
        <f t="shared" si="91"/>
        <v>0</v>
      </c>
      <c r="N838" s="236" t="s">
        <v>453</v>
      </c>
    </row>
    <row r="839" spans="1:14" ht="14">
      <c r="A839" s="149">
        <v>838</v>
      </c>
      <c r="B839" s="235" t="s">
        <v>52</v>
      </c>
      <c r="C839" s="231" t="s">
        <v>10</v>
      </c>
      <c r="D839" s="254" t="s">
        <v>2204</v>
      </c>
      <c r="E839" s="281">
        <v>0</v>
      </c>
      <c r="F839" s="249">
        <v>300</v>
      </c>
      <c r="G839" s="164">
        <f t="shared" si="92"/>
        <v>2.1142857142857143</v>
      </c>
      <c r="H839" s="165">
        <f t="shared" si="93"/>
        <v>4.2285714285714286</v>
      </c>
      <c r="I839" s="165">
        <f t="shared" si="94"/>
        <v>3.1714285714285713</v>
      </c>
      <c r="J839" s="166">
        <f t="shared" si="95"/>
        <v>5.2857142857142856</v>
      </c>
      <c r="K839" s="166">
        <f t="shared" si="97"/>
        <v>5.2857142857142856</v>
      </c>
      <c r="L839" s="165">
        <f t="shared" si="96"/>
        <v>1.075</v>
      </c>
      <c r="M839" s="168">
        <f t="shared" si="91"/>
        <v>0</v>
      </c>
      <c r="N839" s="236" t="s">
        <v>453</v>
      </c>
    </row>
    <row r="840" spans="1:14" ht="14">
      <c r="A840" s="149">
        <v>839</v>
      </c>
      <c r="B840" s="235" t="s">
        <v>52</v>
      </c>
      <c r="C840" s="231" t="s">
        <v>10</v>
      </c>
      <c r="D840" s="248" t="s">
        <v>2206</v>
      </c>
      <c r="E840" s="281">
        <v>0</v>
      </c>
      <c r="F840" s="249">
        <v>300</v>
      </c>
      <c r="G840" s="164">
        <f t="shared" si="92"/>
        <v>2.1142857142857143</v>
      </c>
      <c r="H840" s="165">
        <f t="shared" si="93"/>
        <v>4.2285714285714286</v>
      </c>
      <c r="I840" s="165">
        <f t="shared" si="94"/>
        <v>3.1714285714285713</v>
      </c>
      <c r="J840" s="166">
        <f t="shared" si="95"/>
        <v>5.2857142857142856</v>
      </c>
      <c r="K840" s="166">
        <f t="shared" si="97"/>
        <v>5.2857142857142856</v>
      </c>
      <c r="L840" s="165">
        <f t="shared" si="96"/>
        <v>1.075</v>
      </c>
      <c r="M840" s="168">
        <f t="shared" si="91"/>
        <v>0</v>
      </c>
      <c r="N840" s="236" t="s">
        <v>453</v>
      </c>
    </row>
    <row r="841" spans="1:14" ht="14">
      <c r="A841" s="149">
        <v>840</v>
      </c>
      <c r="B841" s="235" t="s">
        <v>52</v>
      </c>
      <c r="C841" s="231" t="s">
        <v>10</v>
      </c>
      <c r="D841" s="250" t="s">
        <v>2208</v>
      </c>
      <c r="E841" s="281">
        <v>0</v>
      </c>
      <c r="F841" s="249">
        <v>5300</v>
      </c>
      <c r="G841" s="164">
        <f t="shared" si="92"/>
        <v>30.685714285714283</v>
      </c>
      <c r="H841" s="165">
        <f t="shared" si="93"/>
        <v>61.371428571428567</v>
      </c>
      <c r="I841" s="165">
        <f t="shared" si="94"/>
        <v>46.028571428571425</v>
      </c>
      <c r="J841" s="166">
        <f t="shared" si="95"/>
        <v>76.714285714285708</v>
      </c>
      <c r="K841" s="166">
        <f t="shared" si="97"/>
        <v>76.714285714285708</v>
      </c>
      <c r="L841" s="165">
        <f t="shared" si="96"/>
        <v>2.3250000000000002</v>
      </c>
      <c r="M841" s="168">
        <f t="shared" si="91"/>
        <v>0</v>
      </c>
      <c r="N841" s="236" t="s">
        <v>453</v>
      </c>
    </row>
    <row r="842" spans="1:14" ht="14">
      <c r="A842" s="149">
        <v>841</v>
      </c>
      <c r="B842" s="235" t="s">
        <v>52</v>
      </c>
      <c r="C842" s="231" t="s">
        <v>10</v>
      </c>
      <c r="D842" s="248" t="s">
        <v>2210</v>
      </c>
      <c r="E842" s="281">
        <v>0</v>
      </c>
      <c r="F842" s="249">
        <v>400</v>
      </c>
      <c r="G842" s="164">
        <f t="shared" si="92"/>
        <v>2.6857142857142859</v>
      </c>
      <c r="H842" s="165">
        <f t="shared" si="93"/>
        <v>5.3714285714285719</v>
      </c>
      <c r="I842" s="165">
        <f t="shared" si="94"/>
        <v>4.0285714285714285</v>
      </c>
      <c r="J842" s="166">
        <f t="shared" si="95"/>
        <v>6.7142857142857144</v>
      </c>
      <c r="K842" s="166">
        <f t="shared" si="97"/>
        <v>6.7142857142857144</v>
      </c>
      <c r="L842" s="165">
        <f t="shared" si="96"/>
        <v>1.1000000000000001</v>
      </c>
      <c r="M842" s="168">
        <f t="shared" si="91"/>
        <v>0</v>
      </c>
      <c r="N842" s="236" t="s">
        <v>453</v>
      </c>
    </row>
    <row r="843" spans="1:14" ht="14">
      <c r="A843" s="149">
        <v>842</v>
      </c>
      <c r="B843" s="235" t="s">
        <v>52</v>
      </c>
      <c r="C843" s="231" t="s">
        <v>10</v>
      </c>
      <c r="D843" s="250" t="s">
        <v>2212</v>
      </c>
      <c r="E843" s="281">
        <v>0</v>
      </c>
      <c r="F843" s="249">
        <v>600</v>
      </c>
      <c r="G843" s="164">
        <f t="shared" si="92"/>
        <v>3.8285714285714287</v>
      </c>
      <c r="H843" s="165">
        <f t="shared" si="93"/>
        <v>7.6571428571428575</v>
      </c>
      <c r="I843" s="165">
        <f t="shared" si="94"/>
        <v>5.7428571428571429</v>
      </c>
      <c r="J843" s="166">
        <f t="shared" si="95"/>
        <v>9.5714285714285712</v>
      </c>
      <c r="K843" s="166">
        <f t="shared" si="97"/>
        <v>9.5714285714285712</v>
      </c>
      <c r="L843" s="165">
        <f t="shared" si="96"/>
        <v>1.1499999999999999</v>
      </c>
      <c r="M843" s="168">
        <f t="shared" si="91"/>
        <v>0</v>
      </c>
      <c r="N843" s="236" t="s">
        <v>453</v>
      </c>
    </row>
    <row r="844" spans="1:14" ht="14">
      <c r="A844" s="149">
        <v>843</v>
      </c>
      <c r="B844" s="235" t="s">
        <v>52</v>
      </c>
      <c r="C844" s="231" t="s">
        <v>10</v>
      </c>
      <c r="D844" s="250" t="s">
        <v>2214</v>
      </c>
      <c r="E844" s="281">
        <v>0</v>
      </c>
      <c r="F844" s="249">
        <v>300</v>
      </c>
      <c r="G844" s="164">
        <f t="shared" si="92"/>
        <v>2.1142857142857143</v>
      </c>
      <c r="H844" s="165">
        <f t="shared" si="93"/>
        <v>4.2285714285714286</v>
      </c>
      <c r="I844" s="165">
        <f t="shared" si="94"/>
        <v>3.1714285714285713</v>
      </c>
      <c r="J844" s="166">
        <f t="shared" si="95"/>
        <v>5.2857142857142856</v>
      </c>
      <c r="K844" s="166">
        <f t="shared" si="97"/>
        <v>5.2857142857142856</v>
      </c>
      <c r="L844" s="165">
        <f t="shared" si="96"/>
        <v>1.075</v>
      </c>
      <c r="M844" s="168">
        <f t="shared" si="91"/>
        <v>0</v>
      </c>
      <c r="N844" s="236" t="s">
        <v>453</v>
      </c>
    </row>
    <row r="845" spans="1:14" ht="14">
      <c r="A845" s="149">
        <v>844</v>
      </c>
      <c r="B845" s="235" t="s">
        <v>52</v>
      </c>
      <c r="C845" s="231" t="s">
        <v>10</v>
      </c>
      <c r="D845" s="250" t="s">
        <v>2216</v>
      </c>
      <c r="E845" s="281">
        <v>0</v>
      </c>
      <c r="F845" s="249">
        <v>300</v>
      </c>
      <c r="G845" s="164">
        <f t="shared" si="92"/>
        <v>2.1142857142857143</v>
      </c>
      <c r="H845" s="165">
        <f t="shared" si="93"/>
        <v>4.2285714285714286</v>
      </c>
      <c r="I845" s="165">
        <f t="shared" si="94"/>
        <v>3.1714285714285713</v>
      </c>
      <c r="J845" s="166">
        <f t="shared" si="95"/>
        <v>5.2857142857142856</v>
      </c>
      <c r="K845" s="166">
        <f t="shared" si="97"/>
        <v>5.2857142857142856</v>
      </c>
      <c r="L845" s="165">
        <f t="shared" si="96"/>
        <v>1.075</v>
      </c>
      <c r="M845" s="168">
        <f t="shared" si="91"/>
        <v>0</v>
      </c>
      <c r="N845" s="236" t="s">
        <v>453</v>
      </c>
    </row>
    <row r="846" spans="1:14" ht="14">
      <c r="A846" s="149">
        <v>845</v>
      </c>
      <c r="B846" s="235" t="s">
        <v>52</v>
      </c>
      <c r="C846" s="231" t="s">
        <v>10</v>
      </c>
      <c r="D846" s="250" t="s">
        <v>2218</v>
      </c>
      <c r="E846" s="281">
        <v>0</v>
      </c>
      <c r="F846" s="249">
        <v>600</v>
      </c>
      <c r="G846" s="164">
        <f t="shared" si="92"/>
        <v>3.8285714285714287</v>
      </c>
      <c r="H846" s="165">
        <f t="shared" si="93"/>
        <v>7.6571428571428575</v>
      </c>
      <c r="I846" s="165">
        <f t="shared" si="94"/>
        <v>5.7428571428571429</v>
      </c>
      <c r="J846" s="166">
        <f t="shared" si="95"/>
        <v>9.5714285714285712</v>
      </c>
      <c r="K846" s="166">
        <f t="shared" si="97"/>
        <v>9.5714285714285712</v>
      </c>
      <c r="L846" s="165">
        <f t="shared" si="96"/>
        <v>1.1499999999999999</v>
      </c>
      <c r="M846" s="168">
        <f t="shared" si="91"/>
        <v>0</v>
      </c>
      <c r="N846" s="236" t="s">
        <v>453</v>
      </c>
    </row>
    <row r="847" spans="1:14" ht="14">
      <c r="A847" s="149">
        <v>846</v>
      </c>
      <c r="B847" s="235" t="s">
        <v>52</v>
      </c>
      <c r="C847" s="231" t="s">
        <v>10</v>
      </c>
      <c r="D847" s="250" t="s">
        <v>2220</v>
      </c>
      <c r="E847" s="281">
        <v>0</v>
      </c>
      <c r="F847" s="249">
        <v>1500</v>
      </c>
      <c r="G847" s="164">
        <f t="shared" si="92"/>
        <v>8.9714285714285715</v>
      </c>
      <c r="H847" s="165">
        <f t="shared" si="93"/>
        <v>17.942857142857143</v>
      </c>
      <c r="I847" s="165">
        <f t="shared" si="94"/>
        <v>13.457142857142856</v>
      </c>
      <c r="J847" s="166">
        <f t="shared" si="95"/>
        <v>22.428571428571427</v>
      </c>
      <c r="K847" s="166">
        <f t="shared" si="97"/>
        <v>22.428571428571427</v>
      </c>
      <c r="L847" s="165">
        <f t="shared" si="96"/>
        <v>1.375</v>
      </c>
      <c r="M847" s="168">
        <f t="shared" si="91"/>
        <v>0</v>
      </c>
      <c r="N847" s="236" t="s">
        <v>453</v>
      </c>
    </row>
    <row r="848" spans="1:14" ht="14">
      <c r="A848" s="149">
        <v>847</v>
      </c>
      <c r="B848" s="235" t="s">
        <v>52</v>
      </c>
      <c r="C848" s="231" t="s">
        <v>10</v>
      </c>
      <c r="D848" s="250" t="s">
        <v>2222</v>
      </c>
      <c r="E848" s="281">
        <v>0</v>
      </c>
      <c r="F848" s="249">
        <v>455</v>
      </c>
      <c r="G848" s="164">
        <f t="shared" si="92"/>
        <v>3</v>
      </c>
      <c r="H848" s="165">
        <f t="shared" si="93"/>
        <v>6</v>
      </c>
      <c r="I848" s="165">
        <f t="shared" si="94"/>
        <v>4.5</v>
      </c>
      <c r="J848" s="166">
        <f t="shared" si="95"/>
        <v>7.5</v>
      </c>
      <c r="K848" s="166">
        <f t="shared" si="97"/>
        <v>7.5</v>
      </c>
      <c r="L848" s="165">
        <f t="shared" si="96"/>
        <v>1.11375</v>
      </c>
      <c r="M848" s="168">
        <f t="shared" si="91"/>
        <v>0</v>
      </c>
      <c r="N848" s="236" t="s">
        <v>453</v>
      </c>
    </row>
    <row r="849" spans="1:14" ht="14">
      <c r="A849" s="149">
        <v>848</v>
      </c>
      <c r="B849" s="235" t="s">
        <v>52</v>
      </c>
      <c r="C849" s="231" t="s">
        <v>10</v>
      </c>
      <c r="D849" s="250" t="s">
        <v>2224</v>
      </c>
      <c r="E849" s="281">
        <v>0</v>
      </c>
      <c r="F849" s="249">
        <v>700</v>
      </c>
      <c r="G849" s="164">
        <f t="shared" si="92"/>
        <v>4.4000000000000004</v>
      </c>
      <c r="H849" s="165">
        <f t="shared" si="93"/>
        <v>8.8000000000000007</v>
      </c>
      <c r="I849" s="165">
        <f t="shared" si="94"/>
        <v>6.6</v>
      </c>
      <c r="J849" s="166">
        <f t="shared" si="95"/>
        <v>11</v>
      </c>
      <c r="K849" s="166">
        <f t="shared" si="97"/>
        <v>11</v>
      </c>
      <c r="L849" s="165">
        <f t="shared" si="96"/>
        <v>1.175</v>
      </c>
      <c r="M849" s="168">
        <f t="shared" si="91"/>
        <v>0</v>
      </c>
      <c r="N849" s="236" t="s">
        <v>453</v>
      </c>
    </row>
    <row r="850" spans="1:14" ht="14">
      <c r="A850" s="149">
        <v>849</v>
      </c>
      <c r="B850" s="235" t="s">
        <v>52</v>
      </c>
      <c r="C850" s="231" t="s">
        <v>10</v>
      </c>
      <c r="D850" s="250" t="s">
        <v>2226</v>
      </c>
      <c r="E850" s="281">
        <v>0</v>
      </c>
      <c r="F850" s="249">
        <v>300</v>
      </c>
      <c r="G850" s="164">
        <f t="shared" si="92"/>
        <v>2.1142857142857143</v>
      </c>
      <c r="H850" s="165">
        <f t="shared" si="93"/>
        <v>4.2285714285714286</v>
      </c>
      <c r="I850" s="165">
        <f t="shared" si="94"/>
        <v>3.1714285714285713</v>
      </c>
      <c r="J850" s="166">
        <f t="shared" si="95"/>
        <v>5.2857142857142856</v>
      </c>
      <c r="K850" s="166">
        <f t="shared" si="97"/>
        <v>5.2857142857142856</v>
      </c>
      <c r="L850" s="165">
        <f t="shared" si="96"/>
        <v>1.075</v>
      </c>
      <c r="M850" s="168">
        <f t="shared" si="91"/>
        <v>0</v>
      </c>
      <c r="N850" s="236" t="s">
        <v>453</v>
      </c>
    </row>
    <row r="851" spans="1:14" ht="14">
      <c r="A851" s="149">
        <v>850</v>
      </c>
      <c r="B851" s="235" t="s">
        <v>52</v>
      </c>
      <c r="C851" s="231" t="s">
        <v>10</v>
      </c>
      <c r="D851" s="250" t="s">
        <v>2228</v>
      </c>
      <c r="E851" s="281">
        <v>0</v>
      </c>
      <c r="F851" s="249">
        <v>2500</v>
      </c>
      <c r="G851" s="164">
        <f t="shared" si="92"/>
        <v>14.685714285714287</v>
      </c>
      <c r="H851" s="165">
        <f t="shared" si="93"/>
        <v>29.371428571428574</v>
      </c>
      <c r="I851" s="165">
        <f t="shared" si="94"/>
        <v>22.028571428571428</v>
      </c>
      <c r="J851" s="166">
        <f t="shared" si="95"/>
        <v>36.714285714285715</v>
      </c>
      <c r="K851" s="166">
        <f t="shared" si="97"/>
        <v>36.714285714285715</v>
      </c>
      <c r="L851" s="165">
        <f t="shared" si="96"/>
        <v>1.625</v>
      </c>
      <c r="M851" s="168">
        <f t="shared" si="91"/>
        <v>0</v>
      </c>
      <c r="N851" s="236" t="s">
        <v>453</v>
      </c>
    </row>
    <row r="852" spans="1:14" ht="14">
      <c r="A852" s="149">
        <v>851</v>
      </c>
      <c r="B852" s="235" t="s">
        <v>52</v>
      </c>
      <c r="C852" s="231" t="s">
        <v>10</v>
      </c>
      <c r="D852" s="250" t="s">
        <v>2230</v>
      </c>
      <c r="E852" s="281">
        <v>0</v>
      </c>
      <c r="F852" s="249">
        <v>300</v>
      </c>
      <c r="G852" s="164">
        <f t="shared" si="92"/>
        <v>2.1142857142857143</v>
      </c>
      <c r="H852" s="165">
        <f t="shared" si="93"/>
        <v>4.2285714285714286</v>
      </c>
      <c r="I852" s="165">
        <f t="shared" si="94"/>
        <v>3.1714285714285713</v>
      </c>
      <c r="J852" s="166">
        <f t="shared" si="95"/>
        <v>5.2857142857142856</v>
      </c>
      <c r="K852" s="166">
        <f t="shared" si="97"/>
        <v>5.2857142857142856</v>
      </c>
      <c r="L852" s="165">
        <f t="shared" si="96"/>
        <v>1.075</v>
      </c>
      <c r="M852" s="168">
        <f t="shared" si="91"/>
        <v>0</v>
      </c>
      <c r="N852" s="236" t="s">
        <v>453</v>
      </c>
    </row>
    <row r="853" spans="1:14" ht="14">
      <c r="A853" s="149">
        <v>852</v>
      </c>
      <c r="B853" s="235" t="s">
        <v>52</v>
      </c>
      <c r="C853" s="231" t="s">
        <v>10</v>
      </c>
      <c r="D853" s="250" t="s">
        <v>2232</v>
      </c>
      <c r="E853" s="281">
        <v>0</v>
      </c>
      <c r="F853" s="249">
        <v>300</v>
      </c>
      <c r="G853" s="164">
        <f t="shared" si="92"/>
        <v>2.1142857142857143</v>
      </c>
      <c r="H853" s="165">
        <f t="shared" si="93"/>
        <v>4.2285714285714286</v>
      </c>
      <c r="I853" s="165">
        <f t="shared" si="94"/>
        <v>3.1714285714285713</v>
      </c>
      <c r="J853" s="166">
        <f t="shared" si="95"/>
        <v>5.2857142857142856</v>
      </c>
      <c r="K853" s="166">
        <f t="shared" si="97"/>
        <v>5.2857142857142856</v>
      </c>
      <c r="L853" s="165">
        <f t="shared" si="96"/>
        <v>1.075</v>
      </c>
      <c r="M853" s="168">
        <f t="shared" si="91"/>
        <v>0</v>
      </c>
      <c r="N853" s="236" t="s">
        <v>453</v>
      </c>
    </row>
    <row r="854" spans="1:14" ht="14">
      <c r="A854" s="149">
        <v>853</v>
      </c>
      <c r="B854" s="235" t="s">
        <v>52</v>
      </c>
      <c r="C854" s="231" t="s">
        <v>10</v>
      </c>
      <c r="D854" s="248" t="s">
        <v>2234</v>
      </c>
      <c r="E854" s="281">
        <v>0</v>
      </c>
      <c r="F854" s="249">
        <v>500</v>
      </c>
      <c r="G854" s="164">
        <f t="shared" si="92"/>
        <v>3.2571428571428571</v>
      </c>
      <c r="H854" s="165">
        <f t="shared" si="93"/>
        <v>6.5142857142857142</v>
      </c>
      <c r="I854" s="165">
        <f t="shared" si="94"/>
        <v>4.8857142857142852</v>
      </c>
      <c r="J854" s="166">
        <f t="shared" si="95"/>
        <v>8.1428571428571423</v>
      </c>
      <c r="K854" s="166">
        <f t="shared" si="97"/>
        <v>8.1428571428571423</v>
      </c>
      <c r="L854" s="165">
        <f t="shared" si="96"/>
        <v>1.125</v>
      </c>
      <c r="M854" s="168">
        <f t="shared" si="91"/>
        <v>0</v>
      </c>
      <c r="N854" s="236" t="s">
        <v>453</v>
      </c>
    </row>
    <row r="855" spans="1:14" ht="14">
      <c r="A855" s="149">
        <v>854</v>
      </c>
      <c r="B855" s="235" t="s">
        <v>52</v>
      </c>
      <c r="C855" s="231" t="s">
        <v>10</v>
      </c>
      <c r="D855" s="248" t="s">
        <v>2236</v>
      </c>
      <c r="E855" s="281">
        <v>0</v>
      </c>
      <c r="F855" s="249">
        <v>700</v>
      </c>
      <c r="G855" s="164">
        <f t="shared" si="92"/>
        <v>4.4000000000000004</v>
      </c>
      <c r="H855" s="165">
        <f t="shared" si="93"/>
        <v>8.8000000000000007</v>
      </c>
      <c r="I855" s="165">
        <f t="shared" si="94"/>
        <v>6.6</v>
      </c>
      <c r="J855" s="166">
        <f t="shared" si="95"/>
        <v>11</v>
      </c>
      <c r="K855" s="166">
        <f t="shared" si="97"/>
        <v>11</v>
      </c>
      <c r="L855" s="165">
        <f t="shared" si="96"/>
        <v>1.175</v>
      </c>
      <c r="M855" s="168">
        <f t="shared" si="91"/>
        <v>0</v>
      </c>
      <c r="N855" s="236" t="s">
        <v>453</v>
      </c>
    </row>
    <row r="856" spans="1:14" ht="14">
      <c r="A856" s="149">
        <v>855</v>
      </c>
      <c r="B856" s="235" t="s">
        <v>52</v>
      </c>
      <c r="C856" s="231" t="s">
        <v>10</v>
      </c>
      <c r="D856" s="252" t="s">
        <v>2238</v>
      </c>
      <c r="E856" s="281">
        <v>0</v>
      </c>
      <c r="F856" s="249">
        <v>750</v>
      </c>
      <c r="G856" s="164">
        <f t="shared" si="92"/>
        <v>4.6857142857142859</v>
      </c>
      <c r="H856" s="165">
        <f t="shared" si="93"/>
        <v>9.3714285714285719</v>
      </c>
      <c r="I856" s="165">
        <f t="shared" si="94"/>
        <v>7.0285714285714276</v>
      </c>
      <c r="J856" s="166">
        <f t="shared" si="95"/>
        <v>11.714285714285714</v>
      </c>
      <c r="K856" s="166">
        <f t="shared" si="97"/>
        <v>11.714285714285714</v>
      </c>
      <c r="L856" s="165">
        <f t="shared" si="96"/>
        <v>1.1875</v>
      </c>
      <c r="M856" s="168">
        <f t="shared" si="91"/>
        <v>0</v>
      </c>
      <c r="N856" s="236" t="s">
        <v>457</v>
      </c>
    </row>
    <row r="857" spans="1:14" ht="14">
      <c r="A857" s="149">
        <v>856</v>
      </c>
      <c r="B857" s="235" t="s">
        <v>53</v>
      </c>
      <c r="C857" s="231" t="s">
        <v>10</v>
      </c>
      <c r="D857" s="250" t="s">
        <v>2240</v>
      </c>
      <c r="E857" s="281">
        <v>0</v>
      </c>
      <c r="F857" s="249">
        <v>830</v>
      </c>
      <c r="G857" s="164">
        <f t="shared" si="92"/>
        <v>5.1428571428571432</v>
      </c>
      <c r="H857" s="165">
        <f t="shared" si="93"/>
        <v>10.285714285714286</v>
      </c>
      <c r="I857" s="165">
        <f t="shared" si="94"/>
        <v>7.7142857142857144</v>
      </c>
      <c r="J857" s="166">
        <f t="shared" si="95"/>
        <v>12.857142857142858</v>
      </c>
      <c r="K857" s="166">
        <f t="shared" si="97"/>
        <v>12.857142857142858</v>
      </c>
      <c r="L857" s="165">
        <f t="shared" si="96"/>
        <v>1.2075</v>
      </c>
      <c r="M857" s="168">
        <f t="shared" si="91"/>
        <v>0</v>
      </c>
      <c r="N857" s="236" t="s">
        <v>453</v>
      </c>
    </row>
    <row r="858" spans="1:14" ht="14">
      <c r="A858" s="149">
        <v>857</v>
      </c>
      <c r="B858" s="235" t="s">
        <v>53</v>
      </c>
      <c r="C858" s="231" t="s">
        <v>10</v>
      </c>
      <c r="D858" s="248" t="s">
        <v>2243</v>
      </c>
      <c r="E858" s="281">
        <v>0</v>
      </c>
      <c r="F858" s="249">
        <v>1000</v>
      </c>
      <c r="G858" s="164">
        <f t="shared" si="92"/>
        <v>6.1142857142857148</v>
      </c>
      <c r="H858" s="165">
        <f t="shared" si="93"/>
        <v>12.22857142857143</v>
      </c>
      <c r="I858" s="165">
        <f t="shared" si="94"/>
        <v>9.1714285714285708</v>
      </c>
      <c r="J858" s="166">
        <f t="shared" si="95"/>
        <v>15.285714285714285</v>
      </c>
      <c r="K858" s="166">
        <f t="shared" si="97"/>
        <v>15.285714285714285</v>
      </c>
      <c r="L858" s="165">
        <f t="shared" si="96"/>
        <v>1.25</v>
      </c>
      <c r="M858" s="168">
        <f t="shared" si="91"/>
        <v>0</v>
      </c>
      <c r="N858" s="236" t="s">
        <v>453</v>
      </c>
    </row>
    <row r="859" spans="1:14" ht="14">
      <c r="A859" s="149">
        <v>858</v>
      </c>
      <c r="B859" s="235" t="s">
        <v>53</v>
      </c>
      <c r="C859" s="231" t="s">
        <v>10</v>
      </c>
      <c r="D859" s="250" t="s">
        <v>2246</v>
      </c>
      <c r="E859" s="281">
        <v>0</v>
      </c>
      <c r="F859" s="249">
        <v>1000</v>
      </c>
      <c r="G859" s="164">
        <f t="shared" si="92"/>
        <v>6.1142857142857148</v>
      </c>
      <c r="H859" s="165">
        <f t="shared" si="93"/>
        <v>12.22857142857143</v>
      </c>
      <c r="I859" s="165">
        <f t="shared" si="94"/>
        <v>9.1714285714285708</v>
      </c>
      <c r="J859" s="166">
        <f t="shared" si="95"/>
        <v>15.285714285714285</v>
      </c>
      <c r="K859" s="166">
        <f t="shared" si="97"/>
        <v>15.285714285714285</v>
      </c>
      <c r="L859" s="165">
        <f t="shared" si="96"/>
        <v>1.25</v>
      </c>
      <c r="M859" s="168">
        <f t="shared" si="91"/>
        <v>0</v>
      </c>
      <c r="N859" s="236" t="s">
        <v>453</v>
      </c>
    </row>
    <row r="860" spans="1:14" ht="14">
      <c r="A860" s="149">
        <v>859</v>
      </c>
      <c r="B860" s="235" t="s">
        <v>55</v>
      </c>
      <c r="C860" s="231" t="s">
        <v>10</v>
      </c>
      <c r="D860" s="250" t="s">
        <v>2247</v>
      </c>
      <c r="E860" s="281">
        <v>0</v>
      </c>
      <c r="F860" s="249">
        <v>1000</v>
      </c>
      <c r="G860" s="164">
        <f t="shared" si="92"/>
        <v>6.1142857142857148</v>
      </c>
      <c r="H860" s="165">
        <f t="shared" si="93"/>
        <v>12.22857142857143</v>
      </c>
      <c r="I860" s="165">
        <f t="shared" si="94"/>
        <v>9.1714285714285708</v>
      </c>
      <c r="J860" s="166">
        <f t="shared" si="95"/>
        <v>15.285714285714285</v>
      </c>
      <c r="K860" s="166">
        <f t="shared" si="97"/>
        <v>15.285714285714285</v>
      </c>
      <c r="L860" s="165">
        <f t="shared" si="96"/>
        <v>1.25</v>
      </c>
      <c r="M860" s="168">
        <f t="shared" si="91"/>
        <v>0</v>
      </c>
      <c r="N860" s="236" t="s">
        <v>453</v>
      </c>
    </row>
    <row r="861" spans="1:14" ht="14">
      <c r="A861" s="149">
        <v>860</v>
      </c>
      <c r="B861" s="235" t="s">
        <v>55</v>
      </c>
      <c r="C861" s="231" t="s">
        <v>10</v>
      </c>
      <c r="D861" s="250" t="s">
        <v>2249</v>
      </c>
      <c r="E861" s="281">
        <v>0</v>
      </c>
      <c r="F861" s="249">
        <v>3000</v>
      </c>
      <c r="G861" s="164">
        <f t="shared" si="92"/>
        <v>17.542857142857141</v>
      </c>
      <c r="H861" s="165">
        <f t="shared" si="93"/>
        <v>35.085714285714282</v>
      </c>
      <c r="I861" s="165">
        <f t="shared" si="94"/>
        <v>26.314285714285713</v>
      </c>
      <c r="J861" s="166">
        <f t="shared" si="95"/>
        <v>43.857142857142854</v>
      </c>
      <c r="K861" s="166">
        <f t="shared" si="97"/>
        <v>43.857142857142854</v>
      </c>
      <c r="L861" s="165">
        <f t="shared" si="96"/>
        <v>1.75</v>
      </c>
      <c r="M861" s="168">
        <f t="shared" si="91"/>
        <v>0</v>
      </c>
      <c r="N861" s="236" t="s">
        <v>453</v>
      </c>
    </row>
    <row r="862" spans="1:14" ht="14">
      <c r="A862" s="149">
        <v>861</v>
      </c>
      <c r="B862" s="235" t="s">
        <v>55</v>
      </c>
      <c r="C862" s="231" t="s">
        <v>10</v>
      </c>
      <c r="D862" s="250" t="s">
        <v>2251</v>
      </c>
      <c r="E862" s="281">
        <v>0</v>
      </c>
      <c r="F862" s="249">
        <v>3500</v>
      </c>
      <c r="G862" s="164">
        <f t="shared" si="92"/>
        <v>20.400000000000002</v>
      </c>
      <c r="H862" s="165">
        <f t="shared" si="93"/>
        <v>40.800000000000004</v>
      </c>
      <c r="I862" s="165">
        <f t="shared" si="94"/>
        <v>30.599999999999998</v>
      </c>
      <c r="J862" s="166">
        <f t="shared" si="95"/>
        <v>51</v>
      </c>
      <c r="K862" s="166">
        <f t="shared" si="97"/>
        <v>51</v>
      </c>
      <c r="L862" s="165">
        <f t="shared" si="96"/>
        <v>1.875</v>
      </c>
      <c r="M862" s="168">
        <f t="shared" si="91"/>
        <v>0</v>
      </c>
      <c r="N862" s="236" t="s">
        <v>453</v>
      </c>
    </row>
    <row r="863" spans="1:14" ht="14">
      <c r="A863" s="149">
        <v>862</v>
      </c>
      <c r="B863" s="235" t="s">
        <v>55</v>
      </c>
      <c r="C863" s="231" t="s">
        <v>10</v>
      </c>
      <c r="D863" s="250" t="s">
        <v>2253</v>
      </c>
      <c r="E863" s="281">
        <v>0</v>
      </c>
      <c r="F863" s="249">
        <v>2500</v>
      </c>
      <c r="G863" s="164">
        <f t="shared" si="92"/>
        <v>14.685714285714287</v>
      </c>
      <c r="H863" s="165">
        <f t="shared" si="93"/>
        <v>29.371428571428574</v>
      </c>
      <c r="I863" s="165">
        <f t="shared" si="94"/>
        <v>22.028571428571428</v>
      </c>
      <c r="J863" s="166">
        <f t="shared" si="95"/>
        <v>36.714285714285715</v>
      </c>
      <c r="K863" s="166">
        <f t="shared" si="97"/>
        <v>36.714285714285715</v>
      </c>
      <c r="L863" s="165">
        <f t="shared" si="96"/>
        <v>1.625</v>
      </c>
      <c r="M863" s="168">
        <f t="shared" si="91"/>
        <v>0</v>
      </c>
      <c r="N863" s="236" t="s">
        <v>453</v>
      </c>
    </row>
    <row r="864" spans="1:14" ht="14">
      <c r="A864" s="149">
        <v>863</v>
      </c>
      <c r="B864" s="235" t="s">
        <v>55</v>
      </c>
      <c r="C864" s="231" t="s">
        <v>10</v>
      </c>
      <c r="D864" s="250" t="s">
        <v>2255</v>
      </c>
      <c r="E864" s="281">
        <v>0</v>
      </c>
      <c r="F864" s="249">
        <v>1300</v>
      </c>
      <c r="G864" s="164">
        <f t="shared" si="92"/>
        <v>7.8285714285714292</v>
      </c>
      <c r="H864" s="165">
        <f t="shared" si="93"/>
        <v>15.657142857142858</v>
      </c>
      <c r="I864" s="165">
        <f t="shared" si="94"/>
        <v>11.742857142857144</v>
      </c>
      <c r="J864" s="166">
        <f t="shared" si="95"/>
        <v>19.571428571428573</v>
      </c>
      <c r="K864" s="166">
        <f t="shared" si="97"/>
        <v>19.571428571428573</v>
      </c>
      <c r="L864" s="165">
        <f t="shared" si="96"/>
        <v>1.325</v>
      </c>
      <c r="M864" s="168">
        <f t="shared" si="91"/>
        <v>0</v>
      </c>
      <c r="N864" s="236" t="s">
        <v>453</v>
      </c>
    </row>
    <row r="865" spans="1:14" ht="14">
      <c r="A865" s="149">
        <v>864</v>
      </c>
      <c r="B865" s="235" t="s">
        <v>55</v>
      </c>
      <c r="C865" s="231" t="s">
        <v>10</v>
      </c>
      <c r="D865" s="250" t="s">
        <v>2257</v>
      </c>
      <c r="E865" s="281">
        <v>0</v>
      </c>
      <c r="F865" s="249">
        <v>1500</v>
      </c>
      <c r="G865" s="164">
        <f t="shared" si="92"/>
        <v>8.9714285714285715</v>
      </c>
      <c r="H865" s="165">
        <f t="shared" si="93"/>
        <v>17.942857142857143</v>
      </c>
      <c r="I865" s="165">
        <f t="shared" si="94"/>
        <v>13.457142857142856</v>
      </c>
      <c r="J865" s="166">
        <f t="shared" si="95"/>
        <v>22.428571428571427</v>
      </c>
      <c r="K865" s="166">
        <f t="shared" si="97"/>
        <v>22.428571428571427</v>
      </c>
      <c r="L865" s="165">
        <f t="shared" si="96"/>
        <v>1.375</v>
      </c>
      <c r="M865" s="168">
        <f t="shared" si="91"/>
        <v>0</v>
      </c>
      <c r="N865" s="236" t="s">
        <v>453</v>
      </c>
    </row>
    <row r="866" spans="1:14" ht="14">
      <c r="A866" s="149">
        <v>865</v>
      </c>
      <c r="B866" s="235" t="s">
        <v>55</v>
      </c>
      <c r="C866" s="231" t="s">
        <v>10</v>
      </c>
      <c r="D866" s="250" t="s">
        <v>2259</v>
      </c>
      <c r="E866" s="281">
        <v>0</v>
      </c>
      <c r="F866" s="249">
        <v>2500</v>
      </c>
      <c r="G866" s="164">
        <f t="shared" si="92"/>
        <v>14.685714285714287</v>
      </c>
      <c r="H866" s="165">
        <f t="shared" si="93"/>
        <v>29.371428571428574</v>
      </c>
      <c r="I866" s="165">
        <f t="shared" si="94"/>
        <v>22.028571428571428</v>
      </c>
      <c r="J866" s="166">
        <f t="shared" si="95"/>
        <v>36.714285714285715</v>
      </c>
      <c r="K866" s="166">
        <f t="shared" si="97"/>
        <v>36.714285714285715</v>
      </c>
      <c r="L866" s="165">
        <f t="shared" si="96"/>
        <v>1.625</v>
      </c>
      <c r="M866" s="168">
        <f t="shared" si="91"/>
        <v>0</v>
      </c>
      <c r="N866" s="236" t="s">
        <v>453</v>
      </c>
    </row>
    <row r="867" spans="1:14" ht="14">
      <c r="A867" s="149">
        <v>866</v>
      </c>
      <c r="B867" s="235" t="s">
        <v>55</v>
      </c>
      <c r="C867" s="231" t="s">
        <v>10</v>
      </c>
      <c r="D867" s="250" t="s">
        <v>2261</v>
      </c>
      <c r="E867" s="281">
        <v>0</v>
      </c>
      <c r="F867" s="249">
        <v>100</v>
      </c>
      <c r="G867" s="164">
        <f t="shared" si="92"/>
        <v>0.97142857142857153</v>
      </c>
      <c r="H867" s="165">
        <f t="shared" si="93"/>
        <v>1.9428571428571431</v>
      </c>
      <c r="I867" s="165">
        <f t="shared" si="94"/>
        <v>1.4571428571428573</v>
      </c>
      <c r="J867" s="166">
        <f t="shared" si="95"/>
        <v>2.4285714285714288</v>
      </c>
      <c r="K867" s="166">
        <f t="shared" si="97"/>
        <v>2.4285714285714288</v>
      </c>
      <c r="L867" s="165">
        <f t="shared" si="96"/>
        <v>1.0249999999999999</v>
      </c>
      <c r="M867" s="168">
        <f t="shared" si="91"/>
        <v>0</v>
      </c>
      <c r="N867" s="236" t="s">
        <v>453</v>
      </c>
    </row>
    <row r="868" spans="1:14" ht="14">
      <c r="A868" s="149">
        <v>867</v>
      </c>
      <c r="B868" s="235" t="s">
        <v>55</v>
      </c>
      <c r="C868" s="231" t="s">
        <v>10</v>
      </c>
      <c r="D868" s="250" t="s">
        <v>2263</v>
      </c>
      <c r="E868" s="281">
        <v>0</v>
      </c>
      <c r="F868" s="249">
        <v>1000</v>
      </c>
      <c r="G868" s="164">
        <f t="shared" si="92"/>
        <v>6.1142857142857148</v>
      </c>
      <c r="H868" s="165">
        <f t="shared" si="93"/>
        <v>12.22857142857143</v>
      </c>
      <c r="I868" s="165">
        <f t="shared" si="94"/>
        <v>9.1714285714285708</v>
      </c>
      <c r="J868" s="166">
        <f t="shared" si="95"/>
        <v>15.285714285714285</v>
      </c>
      <c r="K868" s="166">
        <f t="shared" si="97"/>
        <v>15.285714285714285</v>
      </c>
      <c r="L868" s="165">
        <f t="shared" si="96"/>
        <v>1.25</v>
      </c>
      <c r="M868" s="168">
        <f t="shared" si="91"/>
        <v>0</v>
      </c>
      <c r="N868" s="236" t="s">
        <v>453</v>
      </c>
    </row>
    <row r="869" spans="1:14" ht="14">
      <c r="A869" s="149">
        <v>868</v>
      </c>
      <c r="B869" s="235" t="s">
        <v>55</v>
      </c>
      <c r="C869" s="231" t="s">
        <v>10</v>
      </c>
      <c r="D869" s="250" t="s">
        <v>2265</v>
      </c>
      <c r="E869" s="281">
        <v>0</v>
      </c>
      <c r="F869" s="249">
        <v>800</v>
      </c>
      <c r="G869" s="164">
        <f t="shared" si="92"/>
        <v>4.9714285714285715</v>
      </c>
      <c r="H869" s="165">
        <f t="shared" si="93"/>
        <v>9.9428571428571431</v>
      </c>
      <c r="I869" s="165">
        <f t="shared" si="94"/>
        <v>7.4571428571428573</v>
      </c>
      <c r="J869" s="166">
        <f t="shared" si="95"/>
        <v>12.428571428571429</v>
      </c>
      <c r="K869" s="166">
        <f t="shared" si="97"/>
        <v>12.428571428571429</v>
      </c>
      <c r="L869" s="165">
        <f t="shared" si="96"/>
        <v>1.2</v>
      </c>
      <c r="M869" s="168">
        <f t="shared" si="91"/>
        <v>0</v>
      </c>
      <c r="N869" s="236" t="s">
        <v>453</v>
      </c>
    </row>
    <row r="870" spans="1:14" ht="14">
      <c r="A870" s="149">
        <v>869</v>
      </c>
      <c r="B870" s="235" t="s">
        <v>55</v>
      </c>
      <c r="C870" s="231" t="s">
        <v>10</v>
      </c>
      <c r="D870" s="250" t="s">
        <v>2267</v>
      </c>
      <c r="E870" s="281">
        <v>0</v>
      </c>
      <c r="F870" s="249">
        <v>800</v>
      </c>
      <c r="G870" s="164">
        <f t="shared" si="92"/>
        <v>4.9714285714285715</v>
      </c>
      <c r="H870" s="165">
        <f t="shared" si="93"/>
        <v>9.9428571428571431</v>
      </c>
      <c r="I870" s="165">
        <f t="shared" si="94"/>
        <v>7.4571428571428573</v>
      </c>
      <c r="J870" s="166">
        <f t="shared" si="95"/>
        <v>12.428571428571429</v>
      </c>
      <c r="K870" s="166">
        <f t="shared" si="97"/>
        <v>12.428571428571429</v>
      </c>
      <c r="L870" s="165">
        <f t="shared" si="96"/>
        <v>1.2</v>
      </c>
      <c r="M870" s="168">
        <f t="shared" si="91"/>
        <v>0</v>
      </c>
      <c r="N870" s="236" t="s">
        <v>453</v>
      </c>
    </row>
    <row r="871" spans="1:14" ht="14">
      <c r="A871" s="149">
        <v>870</v>
      </c>
      <c r="B871" s="235" t="s">
        <v>55</v>
      </c>
      <c r="C871" s="231" t="s">
        <v>10</v>
      </c>
      <c r="D871" s="250" t="s">
        <v>2269</v>
      </c>
      <c r="E871" s="281">
        <v>0</v>
      </c>
      <c r="F871" s="249">
        <v>1000</v>
      </c>
      <c r="G871" s="164">
        <f t="shared" si="92"/>
        <v>6.1142857142857148</v>
      </c>
      <c r="H871" s="165">
        <f t="shared" si="93"/>
        <v>12.22857142857143</v>
      </c>
      <c r="I871" s="165">
        <f t="shared" si="94"/>
        <v>9.1714285714285708</v>
      </c>
      <c r="J871" s="166">
        <f t="shared" si="95"/>
        <v>15.285714285714285</v>
      </c>
      <c r="K871" s="166">
        <f t="shared" si="97"/>
        <v>15.285714285714285</v>
      </c>
      <c r="L871" s="165">
        <f t="shared" si="96"/>
        <v>1.25</v>
      </c>
      <c r="M871" s="168">
        <f t="shared" si="91"/>
        <v>0</v>
      </c>
      <c r="N871" s="236" t="s">
        <v>453</v>
      </c>
    </row>
    <row r="872" spans="1:14" ht="14">
      <c r="A872" s="149">
        <v>871</v>
      </c>
      <c r="B872" s="235" t="s">
        <v>55</v>
      </c>
      <c r="C872" s="231" t="s">
        <v>10</v>
      </c>
      <c r="D872" s="250" t="s">
        <v>2271</v>
      </c>
      <c r="E872" s="281">
        <v>0</v>
      </c>
      <c r="F872" s="249">
        <v>4500</v>
      </c>
      <c r="G872" s="164">
        <f t="shared" si="92"/>
        <v>26.114285714285717</v>
      </c>
      <c r="H872" s="165">
        <f t="shared" si="93"/>
        <v>52.228571428571435</v>
      </c>
      <c r="I872" s="165">
        <f t="shared" si="94"/>
        <v>39.171428571428571</v>
      </c>
      <c r="J872" s="166">
        <f t="shared" si="95"/>
        <v>65.285714285714292</v>
      </c>
      <c r="K872" s="166">
        <f t="shared" si="97"/>
        <v>65.285714285714292</v>
      </c>
      <c r="L872" s="165">
        <f t="shared" si="96"/>
        <v>2.125</v>
      </c>
      <c r="M872" s="168">
        <f t="shared" si="91"/>
        <v>0</v>
      </c>
      <c r="N872" s="236" t="s">
        <v>453</v>
      </c>
    </row>
    <row r="873" spans="1:14" ht="14">
      <c r="A873" s="149">
        <v>872</v>
      </c>
      <c r="B873" s="235" t="s">
        <v>55</v>
      </c>
      <c r="C873" s="231" t="s">
        <v>10</v>
      </c>
      <c r="D873" s="250" t="s">
        <v>2273</v>
      </c>
      <c r="E873" s="281">
        <v>0</v>
      </c>
      <c r="F873" s="249">
        <v>3156</v>
      </c>
      <c r="G873" s="164">
        <f t="shared" si="92"/>
        <v>18.434285714285718</v>
      </c>
      <c r="H873" s="165">
        <f t="shared" si="93"/>
        <v>36.868571428571435</v>
      </c>
      <c r="I873" s="165">
        <f t="shared" si="94"/>
        <v>27.651428571428571</v>
      </c>
      <c r="J873" s="166">
        <f t="shared" si="95"/>
        <v>46.085714285714289</v>
      </c>
      <c r="K873" s="166">
        <f t="shared" si="97"/>
        <v>46.085714285714289</v>
      </c>
      <c r="L873" s="165">
        <f t="shared" si="96"/>
        <v>1.7890000000000001</v>
      </c>
      <c r="M873" s="168">
        <f t="shared" si="91"/>
        <v>0</v>
      </c>
      <c r="N873" s="236" t="s">
        <v>453</v>
      </c>
    </row>
    <row r="874" spans="1:14" ht="14">
      <c r="A874" s="149">
        <v>873</v>
      </c>
      <c r="B874" s="235" t="s">
        <v>55</v>
      </c>
      <c r="C874" s="231" t="s">
        <v>10</v>
      </c>
      <c r="D874" s="250" t="s">
        <v>2276</v>
      </c>
      <c r="E874" s="281">
        <v>0</v>
      </c>
      <c r="F874" s="249">
        <v>60153</v>
      </c>
      <c r="G874" s="164">
        <f t="shared" si="92"/>
        <v>344.13142857142861</v>
      </c>
      <c r="H874" s="165">
        <f t="shared" si="93"/>
        <v>688.26285714285723</v>
      </c>
      <c r="I874" s="165">
        <f t="shared" si="94"/>
        <v>516.19714285714281</v>
      </c>
      <c r="J874" s="166">
        <f t="shared" si="95"/>
        <v>860.32857142857142</v>
      </c>
      <c r="K874" s="166">
        <f t="shared" si="97"/>
        <v>860.32857142857142</v>
      </c>
      <c r="L874" s="165">
        <f t="shared" si="96"/>
        <v>16.038249999999998</v>
      </c>
      <c r="M874" s="168">
        <f t="shared" si="91"/>
        <v>0</v>
      </c>
      <c r="N874" s="236" t="s">
        <v>453</v>
      </c>
    </row>
    <row r="875" spans="1:14" ht="14">
      <c r="A875" s="149">
        <v>874</v>
      </c>
      <c r="B875" s="235" t="s">
        <v>55</v>
      </c>
      <c r="C875" s="231" t="s">
        <v>10</v>
      </c>
      <c r="D875" s="250" t="s">
        <v>2279</v>
      </c>
      <c r="E875" s="281">
        <v>0</v>
      </c>
      <c r="F875" s="249">
        <v>1000</v>
      </c>
      <c r="G875" s="164">
        <f t="shared" si="92"/>
        <v>6.1142857142857148</v>
      </c>
      <c r="H875" s="165">
        <f t="shared" si="93"/>
        <v>12.22857142857143</v>
      </c>
      <c r="I875" s="165">
        <f t="shared" si="94"/>
        <v>9.1714285714285708</v>
      </c>
      <c r="J875" s="166">
        <f t="shared" si="95"/>
        <v>15.285714285714285</v>
      </c>
      <c r="K875" s="166">
        <f t="shared" si="97"/>
        <v>15.285714285714285</v>
      </c>
      <c r="L875" s="165">
        <f t="shared" si="96"/>
        <v>1.25</v>
      </c>
      <c r="M875" s="168">
        <f t="shared" si="91"/>
        <v>0</v>
      </c>
      <c r="N875" s="236" t="s">
        <v>453</v>
      </c>
    </row>
    <row r="876" spans="1:14" ht="14">
      <c r="A876" s="149">
        <v>875</v>
      </c>
      <c r="B876" s="235" t="s">
        <v>55</v>
      </c>
      <c r="C876" s="231" t="s">
        <v>10</v>
      </c>
      <c r="D876" s="250" t="s">
        <v>2281</v>
      </c>
      <c r="E876" s="281">
        <v>0</v>
      </c>
      <c r="F876" s="249">
        <v>1100</v>
      </c>
      <c r="G876" s="164">
        <f t="shared" si="92"/>
        <v>6.6857142857142868</v>
      </c>
      <c r="H876" s="165">
        <f t="shared" si="93"/>
        <v>13.371428571428574</v>
      </c>
      <c r="I876" s="165">
        <f t="shared" si="94"/>
        <v>10.028571428571428</v>
      </c>
      <c r="J876" s="166">
        <f t="shared" si="95"/>
        <v>16.714285714285715</v>
      </c>
      <c r="K876" s="166">
        <f t="shared" si="97"/>
        <v>16.714285714285715</v>
      </c>
      <c r="L876" s="165">
        <f t="shared" si="96"/>
        <v>1.2749999999999999</v>
      </c>
      <c r="M876" s="168">
        <f t="shared" si="91"/>
        <v>0</v>
      </c>
      <c r="N876" s="236" t="s">
        <v>453</v>
      </c>
    </row>
    <row r="877" spans="1:14" ht="14">
      <c r="A877" s="149">
        <v>876</v>
      </c>
      <c r="B877" s="235" t="s">
        <v>55</v>
      </c>
      <c r="C877" s="231" t="s">
        <v>10</v>
      </c>
      <c r="D877" s="250" t="s">
        <v>4654</v>
      </c>
      <c r="E877" s="281">
        <v>0</v>
      </c>
      <c r="F877" s="249">
        <v>3220</v>
      </c>
      <c r="G877" s="164">
        <f t="shared" si="92"/>
        <v>18.8</v>
      </c>
      <c r="H877" s="165">
        <f t="shared" si="93"/>
        <v>37.6</v>
      </c>
      <c r="I877" s="165">
        <f t="shared" si="94"/>
        <v>28.2</v>
      </c>
      <c r="J877" s="166">
        <f t="shared" si="95"/>
        <v>47</v>
      </c>
      <c r="K877" s="166">
        <f t="shared" si="97"/>
        <v>47</v>
      </c>
      <c r="L877" s="165">
        <f t="shared" si="96"/>
        <v>1.8050000000000002</v>
      </c>
      <c r="M877" s="168">
        <f t="shared" si="91"/>
        <v>0</v>
      </c>
      <c r="N877" s="236" t="s">
        <v>453</v>
      </c>
    </row>
    <row r="878" spans="1:14" ht="14">
      <c r="A878" s="149">
        <v>877</v>
      </c>
      <c r="B878" s="235" t="s">
        <v>55</v>
      </c>
      <c r="C878" s="231" t="s">
        <v>10</v>
      </c>
      <c r="D878" s="250" t="s">
        <v>2284</v>
      </c>
      <c r="E878" s="281">
        <v>0</v>
      </c>
      <c r="F878" s="249">
        <v>3550</v>
      </c>
      <c r="G878" s="164">
        <f t="shared" si="92"/>
        <v>20.685714285714287</v>
      </c>
      <c r="H878" s="165">
        <f t="shared" si="93"/>
        <v>41.371428571428574</v>
      </c>
      <c r="I878" s="165">
        <f t="shared" si="94"/>
        <v>31.028571428571428</v>
      </c>
      <c r="J878" s="166">
        <f t="shared" si="95"/>
        <v>51.714285714285715</v>
      </c>
      <c r="K878" s="166">
        <f t="shared" si="97"/>
        <v>51.714285714285715</v>
      </c>
      <c r="L878" s="165">
        <f t="shared" si="96"/>
        <v>1.8875</v>
      </c>
      <c r="M878" s="168">
        <f t="shared" si="91"/>
        <v>0</v>
      </c>
      <c r="N878" s="236" t="s">
        <v>453</v>
      </c>
    </row>
    <row r="879" spans="1:14" ht="14">
      <c r="A879" s="149">
        <v>878</v>
      </c>
      <c r="B879" s="235" t="s">
        <v>51</v>
      </c>
      <c r="C879" s="231" t="s">
        <v>10</v>
      </c>
      <c r="D879" s="250" t="s">
        <v>2286</v>
      </c>
      <c r="E879" s="281">
        <v>0</v>
      </c>
      <c r="F879" s="249">
        <v>1300</v>
      </c>
      <c r="G879" s="164">
        <f t="shared" si="92"/>
        <v>7.8285714285714292</v>
      </c>
      <c r="H879" s="165">
        <f t="shared" si="93"/>
        <v>15.657142857142858</v>
      </c>
      <c r="I879" s="165">
        <f t="shared" si="94"/>
        <v>11.742857142857144</v>
      </c>
      <c r="J879" s="166">
        <f t="shared" si="95"/>
        <v>19.571428571428573</v>
      </c>
      <c r="K879" s="166">
        <f t="shared" si="97"/>
        <v>19.571428571428573</v>
      </c>
      <c r="L879" s="165">
        <f t="shared" si="96"/>
        <v>1.325</v>
      </c>
      <c r="M879" s="168">
        <f t="shared" si="91"/>
        <v>0</v>
      </c>
      <c r="N879" s="236" t="s">
        <v>453</v>
      </c>
    </row>
    <row r="880" spans="1:14" ht="14">
      <c r="A880" s="149">
        <v>879</v>
      </c>
      <c r="B880" s="235" t="s">
        <v>55</v>
      </c>
      <c r="C880" s="231" t="s">
        <v>10</v>
      </c>
      <c r="D880" s="250" t="s">
        <v>2288</v>
      </c>
      <c r="E880" s="281">
        <v>0</v>
      </c>
      <c r="F880" s="249">
        <v>1950</v>
      </c>
      <c r="G880" s="164">
        <f t="shared" si="92"/>
        <v>11.542857142857144</v>
      </c>
      <c r="H880" s="165">
        <f t="shared" si="93"/>
        <v>23.085714285714289</v>
      </c>
      <c r="I880" s="165">
        <f t="shared" si="94"/>
        <v>17.314285714285713</v>
      </c>
      <c r="J880" s="166">
        <f t="shared" si="95"/>
        <v>28.857142857142858</v>
      </c>
      <c r="K880" s="166">
        <f t="shared" si="97"/>
        <v>28.857142857142858</v>
      </c>
      <c r="L880" s="165">
        <f t="shared" si="96"/>
        <v>1.4875</v>
      </c>
      <c r="M880" s="168">
        <f t="shared" si="91"/>
        <v>0</v>
      </c>
      <c r="N880" s="236" t="s">
        <v>453</v>
      </c>
    </row>
    <row r="881" spans="1:14" ht="14">
      <c r="A881" s="149">
        <v>880</v>
      </c>
      <c r="B881" s="235" t="s">
        <v>55</v>
      </c>
      <c r="C881" s="231" t="s">
        <v>10</v>
      </c>
      <c r="D881" s="250" t="s">
        <v>2290</v>
      </c>
      <c r="E881" s="281">
        <v>0</v>
      </c>
      <c r="F881" s="249">
        <v>580</v>
      </c>
      <c r="G881" s="164">
        <f t="shared" si="92"/>
        <v>3.7142857142857149</v>
      </c>
      <c r="H881" s="165">
        <f t="shared" si="93"/>
        <v>7.4285714285714297</v>
      </c>
      <c r="I881" s="165">
        <f t="shared" si="94"/>
        <v>5.5714285714285721</v>
      </c>
      <c r="J881" s="166">
        <f t="shared" si="95"/>
        <v>9.2857142857142865</v>
      </c>
      <c r="K881" s="166">
        <f t="shared" si="97"/>
        <v>9.2857142857142865</v>
      </c>
      <c r="L881" s="165">
        <f t="shared" si="96"/>
        <v>1.145</v>
      </c>
      <c r="M881" s="168">
        <f t="shared" si="91"/>
        <v>0</v>
      </c>
      <c r="N881" s="236" t="s">
        <v>453</v>
      </c>
    </row>
    <row r="882" spans="1:14" ht="14">
      <c r="A882" s="149">
        <v>881</v>
      </c>
      <c r="B882" s="235" t="s">
        <v>55</v>
      </c>
      <c r="C882" s="231" t="s">
        <v>10</v>
      </c>
      <c r="D882" s="250" t="s">
        <v>2292</v>
      </c>
      <c r="E882" s="281">
        <v>0</v>
      </c>
      <c r="F882" s="249">
        <v>4106</v>
      </c>
      <c r="G882" s="164">
        <f t="shared" si="92"/>
        <v>23.862857142857145</v>
      </c>
      <c r="H882" s="165">
        <f t="shared" si="93"/>
        <v>47.72571428571429</v>
      </c>
      <c r="I882" s="165">
        <f t="shared" si="94"/>
        <v>35.794285714285714</v>
      </c>
      <c r="J882" s="166">
        <f t="shared" si="95"/>
        <v>59.657142857142858</v>
      </c>
      <c r="K882" s="166">
        <f t="shared" si="97"/>
        <v>59.657142857142858</v>
      </c>
      <c r="L882" s="165">
        <f t="shared" si="96"/>
        <v>2.0265</v>
      </c>
      <c r="M882" s="168">
        <f t="shared" si="91"/>
        <v>0</v>
      </c>
      <c r="N882" s="236" t="s">
        <v>453</v>
      </c>
    </row>
    <row r="883" spans="1:14" ht="14">
      <c r="A883" s="149">
        <v>882</v>
      </c>
      <c r="B883" s="235" t="s">
        <v>55</v>
      </c>
      <c r="C883" s="231" t="s">
        <v>10</v>
      </c>
      <c r="D883" s="239" t="s">
        <v>2294</v>
      </c>
      <c r="E883" s="281">
        <v>0</v>
      </c>
      <c r="F883" s="249">
        <v>1500</v>
      </c>
      <c r="G883" s="164">
        <f t="shared" si="92"/>
        <v>8.9714285714285715</v>
      </c>
      <c r="H883" s="165">
        <f t="shared" si="93"/>
        <v>17.942857142857143</v>
      </c>
      <c r="I883" s="165">
        <f t="shared" si="94"/>
        <v>13.457142857142856</v>
      </c>
      <c r="J883" s="166">
        <f t="shared" si="95"/>
        <v>22.428571428571427</v>
      </c>
      <c r="K883" s="166">
        <f t="shared" si="97"/>
        <v>22.428571428571427</v>
      </c>
      <c r="L883" s="165">
        <f t="shared" si="96"/>
        <v>1.375</v>
      </c>
      <c r="M883" s="168">
        <f t="shared" si="91"/>
        <v>0</v>
      </c>
      <c r="N883" s="236" t="s">
        <v>453</v>
      </c>
    </row>
    <row r="884" spans="1:14" ht="14">
      <c r="A884" s="149">
        <v>883</v>
      </c>
      <c r="B884" s="235" t="s">
        <v>55</v>
      </c>
      <c r="C884" s="231" t="s">
        <v>10</v>
      </c>
      <c r="D884" s="250" t="s">
        <v>2296</v>
      </c>
      <c r="E884" s="281">
        <v>0</v>
      </c>
      <c r="F884" s="249">
        <v>1369</v>
      </c>
      <c r="G884" s="164">
        <f t="shared" si="92"/>
        <v>8.2228571428571424</v>
      </c>
      <c r="H884" s="165">
        <f t="shared" si="93"/>
        <v>16.445714285714285</v>
      </c>
      <c r="I884" s="165">
        <f t="shared" si="94"/>
        <v>12.334285714285715</v>
      </c>
      <c r="J884" s="166">
        <f t="shared" si="95"/>
        <v>20.557142857142857</v>
      </c>
      <c r="K884" s="166">
        <f t="shared" si="97"/>
        <v>20.557142857142857</v>
      </c>
      <c r="L884" s="165">
        <f t="shared" si="96"/>
        <v>1.3422499999999999</v>
      </c>
      <c r="M884" s="168">
        <f t="shared" si="91"/>
        <v>0</v>
      </c>
      <c r="N884" s="236" t="s">
        <v>453</v>
      </c>
    </row>
    <row r="885" spans="1:14" ht="14">
      <c r="A885" s="149">
        <v>884</v>
      </c>
      <c r="B885" s="235" t="s">
        <v>51</v>
      </c>
      <c r="C885" s="231" t="s">
        <v>10</v>
      </c>
      <c r="D885" s="250" t="s">
        <v>2299</v>
      </c>
      <c r="E885" s="281">
        <v>0</v>
      </c>
      <c r="F885" s="249">
        <v>1200</v>
      </c>
      <c r="G885" s="164">
        <f t="shared" si="92"/>
        <v>7.2571428571428571</v>
      </c>
      <c r="H885" s="165">
        <f t="shared" si="93"/>
        <v>14.514285714285714</v>
      </c>
      <c r="I885" s="165">
        <f t="shared" si="94"/>
        <v>10.885714285714284</v>
      </c>
      <c r="J885" s="166">
        <f t="shared" si="95"/>
        <v>18.142857142857142</v>
      </c>
      <c r="K885" s="166">
        <f t="shared" si="97"/>
        <v>18.142857142857142</v>
      </c>
      <c r="L885" s="165">
        <f t="shared" si="96"/>
        <v>1.3</v>
      </c>
      <c r="M885" s="168">
        <f t="shared" si="91"/>
        <v>0</v>
      </c>
      <c r="N885" s="236" t="s">
        <v>453</v>
      </c>
    </row>
    <row r="886" spans="1:14" ht="14">
      <c r="A886" s="149">
        <v>885</v>
      </c>
      <c r="B886" s="235" t="s">
        <v>49</v>
      </c>
      <c r="C886" s="231" t="s">
        <v>10</v>
      </c>
      <c r="D886" s="250" t="s">
        <v>2302</v>
      </c>
      <c r="E886" s="281">
        <v>0</v>
      </c>
      <c r="F886" s="249">
        <v>300</v>
      </c>
      <c r="G886" s="164">
        <f t="shared" si="92"/>
        <v>2.1142857142857143</v>
      </c>
      <c r="H886" s="165">
        <f t="shared" si="93"/>
        <v>4.2285714285714286</v>
      </c>
      <c r="I886" s="165">
        <f t="shared" si="94"/>
        <v>3.1714285714285713</v>
      </c>
      <c r="J886" s="166">
        <f t="shared" si="95"/>
        <v>5.2857142857142856</v>
      </c>
      <c r="K886" s="166">
        <f t="shared" si="97"/>
        <v>5.2857142857142856</v>
      </c>
      <c r="L886" s="165">
        <f t="shared" si="96"/>
        <v>1.075</v>
      </c>
      <c r="M886" s="168">
        <f t="shared" si="91"/>
        <v>0</v>
      </c>
      <c r="N886" s="236" t="s">
        <v>453</v>
      </c>
    </row>
    <row r="887" spans="1:14" ht="14">
      <c r="A887" s="149">
        <v>886</v>
      </c>
      <c r="B887" s="235" t="s">
        <v>55</v>
      </c>
      <c r="C887" s="231" t="s">
        <v>10</v>
      </c>
      <c r="D887" s="250" t="s">
        <v>2304</v>
      </c>
      <c r="E887" s="281">
        <v>0</v>
      </c>
      <c r="F887" s="249">
        <v>1200</v>
      </c>
      <c r="G887" s="164">
        <f t="shared" si="92"/>
        <v>7.2571428571428571</v>
      </c>
      <c r="H887" s="165">
        <f t="shared" si="93"/>
        <v>14.514285714285714</v>
      </c>
      <c r="I887" s="165">
        <f t="shared" si="94"/>
        <v>10.885714285714284</v>
      </c>
      <c r="J887" s="166">
        <f t="shared" si="95"/>
        <v>18.142857142857142</v>
      </c>
      <c r="K887" s="166">
        <f t="shared" si="97"/>
        <v>18.142857142857142</v>
      </c>
      <c r="L887" s="165">
        <f t="shared" si="96"/>
        <v>1.3</v>
      </c>
      <c r="M887" s="168">
        <f t="shared" si="91"/>
        <v>0</v>
      </c>
      <c r="N887" s="236" t="s">
        <v>453</v>
      </c>
    </row>
    <row r="888" spans="1:14" ht="14">
      <c r="A888" s="149">
        <v>887</v>
      </c>
      <c r="B888" s="235" t="s">
        <v>55</v>
      </c>
      <c r="C888" s="231" t="s">
        <v>10</v>
      </c>
      <c r="D888" s="250" t="s">
        <v>2307</v>
      </c>
      <c r="E888" s="281">
        <v>0</v>
      </c>
      <c r="F888" s="249">
        <v>500</v>
      </c>
      <c r="G888" s="164">
        <f t="shared" si="92"/>
        <v>3.2571428571428571</v>
      </c>
      <c r="H888" s="165">
        <f t="shared" si="93"/>
        <v>6.5142857142857142</v>
      </c>
      <c r="I888" s="165">
        <f t="shared" si="94"/>
        <v>4.8857142857142852</v>
      </c>
      <c r="J888" s="166">
        <f t="shared" si="95"/>
        <v>8.1428571428571423</v>
      </c>
      <c r="K888" s="166">
        <f t="shared" si="97"/>
        <v>8.1428571428571423</v>
      </c>
      <c r="L888" s="165">
        <f t="shared" si="96"/>
        <v>1.125</v>
      </c>
      <c r="M888" s="168">
        <f t="shared" si="91"/>
        <v>0</v>
      </c>
      <c r="N888" s="236" t="s">
        <v>453</v>
      </c>
    </row>
    <row r="889" spans="1:14" ht="14">
      <c r="A889" s="149">
        <v>888</v>
      </c>
      <c r="B889" s="235" t="s">
        <v>55</v>
      </c>
      <c r="C889" s="231" t="s">
        <v>10</v>
      </c>
      <c r="D889" s="250" t="s">
        <v>2309</v>
      </c>
      <c r="E889" s="281">
        <v>0</v>
      </c>
      <c r="F889" s="249">
        <v>380</v>
      </c>
      <c r="G889" s="164">
        <f t="shared" si="92"/>
        <v>2.5714285714285716</v>
      </c>
      <c r="H889" s="165">
        <f t="shared" si="93"/>
        <v>5.1428571428571432</v>
      </c>
      <c r="I889" s="165">
        <f t="shared" si="94"/>
        <v>3.8571428571428572</v>
      </c>
      <c r="J889" s="166">
        <f t="shared" si="95"/>
        <v>6.4285714285714288</v>
      </c>
      <c r="K889" s="166">
        <f t="shared" si="97"/>
        <v>6.4285714285714288</v>
      </c>
      <c r="L889" s="165">
        <f t="shared" si="96"/>
        <v>1.095</v>
      </c>
      <c r="M889" s="168">
        <f t="shared" si="91"/>
        <v>0</v>
      </c>
      <c r="N889" s="236" t="s">
        <v>453</v>
      </c>
    </row>
    <row r="890" spans="1:14" ht="14">
      <c r="A890" s="149">
        <v>889</v>
      </c>
      <c r="B890" s="235" t="s">
        <v>55</v>
      </c>
      <c r="C890" s="231" t="s">
        <v>10</v>
      </c>
      <c r="D890" s="250" t="s">
        <v>2311</v>
      </c>
      <c r="E890" s="281">
        <v>0</v>
      </c>
      <c r="F890" s="249">
        <v>500</v>
      </c>
      <c r="G890" s="164">
        <f t="shared" si="92"/>
        <v>3.2571428571428571</v>
      </c>
      <c r="H890" s="165">
        <f t="shared" si="93"/>
        <v>6.5142857142857142</v>
      </c>
      <c r="I890" s="165">
        <f t="shared" si="94"/>
        <v>4.8857142857142852</v>
      </c>
      <c r="J890" s="166">
        <f t="shared" si="95"/>
        <v>8.1428571428571423</v>
      </c>
      <c r="K890" s="166">
        <f t="shared" si="97"/>
        <v>8.1428571428571423</v>
      </c>
      <c r="L890" s="165">
        <f t="shared" si="96"/>
        <v>1.125</v>
      </c>
      <c r="M890" s="168">
        <f t="shared" si="91"/>
        <v>0</v>
      </c>
      <c r="N890" s="236" t="s">
        <v>453</v>
      </c>
    </row>
    <row r="891" spans="1:14" ht="14">
      <c r="A891" s="149">
        <v>890</v>
      </c>
      <c r="B891" s="235" t="s">
        <v>55</v>
      </c>
      <c r="C891" s="231" t="s">
        <v>10</v>
      </c>
      <c r="D891" s="250" t="s">
        <v>2313</v>
      </c>
      <c r="E891" s="281">
        <v>0</v>
      </c>
      <c r="F891" s="249">
        <v>500</v>
      </c>
      <c r="G891" s="164">
        <f t="shared" si="92"/>
        <v>3.2571428571428571</v>
      </c>
      <c r="H891" s="165">
        <f t="shared" si="93"/>
        <v>6.5142857142857142</v>
      </c>
      <c r="I891" s="165">
        <f t="shared" si="94"/>
        <v>4.8857142857142852</v>
      </c>
      <c r="J891" s="166">
        <f t="shared" si="95"/>
        <v>8.1428571428571423</v>
      </c>
      <c r="K891" s="166">
        <f t="shared" si="97"/>
        <v>8.1428571428571423</v>
      </c>
      <c r="L891" s="165">
        <f t="shared" si="96"/>
        <v>1.125</v>
      </c>
      <c r="M891" s="168">
        <f t="shared" si="91"/>
        <v>0</v>
      </c>
      <c r="N891" s="236" t="s">
        <v>453</v>
      </c>
    </row>
    <row r="892" spans="1:14" ht="14">
      <c r="A892" s="149">
        <v>891</v>
      </c>
      <c r="B892" s="235" t="s">
        <v>49</v>
      </c>
      <c r="C892" s="231" t="s">
        <v>10</v>
      </c>
      <c r="D892" s="250" t="s">
        <v>2315</v>
      </c>
      <c r="E892" s="281">
        <v>0</v>
      </c>
      <c r="F892" s="249">
        <v>300</v>
      </c>
      <c r="G892" s="164">
        <f t="shared" si="92"/>
        <v>2.1142857142857143</v>
      </c>
      <c r="H892" s="165">
        <f t="shared" si="93"/>
        <v>4.2285714285714286</v>
      </c>
      <c r="I892" s="165">
        <f t="shared" si="94"/>
        <v>3.1714285714285713</v>
      </c>
      <c r="J892" s="166">
        <f t="shared" si="95"/>
        <v>5.2857142857142856</v>
      </c>
      <c r="K892" s="166">
        <f t="shared" si="97"/>
        <v>5.2857142857142856</v>
      </c>
      <c r="L892" s="165">
        <f t="shared" si="96"/>
        <v>1.075</v>
      </c>
      <c r="M892" s="168">
        <f t="shared" si="91"/>
        <v>0</v>
      </c>
      <c r="N892" s="236" t="s">
        <v>453</v>
      </c>
    </row>
    <row r="893" spans="1:14" ht="14">
      <c r="A893" s="149">
        <v>892</v>
      </c>
      <c r="B893" s="235" t="s">
        <v>55</v>
      </c>
      <c r="C893" s="231" t="s">
        <v>10</v>
      </c>
      <c r="D893" s="250" t="s">
        <v>2317</v>
      </c>
      <c r="E893" s="281">
        <v>0</v>
      </c>
      <c r="F893" s="249">
        <v>260</v>
      </c>
      <c r="G893" s="164">
        <f t="shared" si="92"/>
        <v>1.8857142857142859</v>
      </c>
      <c r="H893" s="165">
        <f t="shared" si="93"/>
        <v>3.7714285714285718</v>
      </c>
      <c r="I893" s="165">
        <f t="shared" si="94"/>
        <v>2.8285714285714287</v>
      </c>
      <c r="J893" s="166">
        <f t="shared" si="95"/>
        <v>4.7142857142857144</v>
      </c>
      <c r="K893" s="166">
        <f t="shared" si="97"/>
        <v>4.7142857142857144</v>
      </c>
      <c r="L893" s="165">
        <f t="shared" si="96"/>
        <v>1.0649999999999999</v>
      </c>
      <c r="M893" s="168">
        <f t="shared" si="91"/>
        <v>0</v>
      </c>
      <c r="N893" s="236" t="s">
        <v>453</v>
      </c>
    </row>
    <row r="894" spans="1:14" ht="14">
      <c r="A894" s="149">
        <v>893</v>
      </c>
      <c r="B894" s="235" t="s">
        <v>55</v>
      </c>
      <c r="C894" s="231" t="s">
        <v>10</v>
      </c>
      <c r="D894" s="250" t="s">
        <v>2319</v>
      </c>
      <c r="E894" s="281">
        <v>0</v>
      </c>
      <c r="F894" s="249">
        <v>800</v>
      </c>
      <c r="G894" s="164">
        <f t="shared" si="92"/>
        <v>4.9714285714285715</v>
      </c>
      <c r="H894" s="165">
        <f t="shared" si="93"/>
        <v>9.9428571428571431</v>
      </c>
      <c r="I894" s="165">
        <f t="shared" si="94"/>
        <v>7.4571428571428573</v>
      </c>
      <c r="J894" s="166">
        <f t="shared" si="95"/>
        <v>12.428571428571429</v>
      </c>
      <c r="K894" s="166">
        <f t="shared" si="97"/>
        <v>12.428571428571429</v>
      </c>
      <c r="L894" s="165">
        <f t="shared" si="96"/>
        <v>1.2</v>
      </c>
      <c r="M894" s="168">
        <f t="shared" si="91"/>
        <v>0</v>
      </c>
      <c r="N894" s="236" t="s">
        <v>453</v>
      </c>
    </row>
    <row r="895" spans="1:14" ht="14">
      <c r="A895" s="149">
        <v>894</v>
      </c>
      <c r="B895" s="235" t="s">
        <v>55</v>
      </c>
      <c r="C895" s="231" t="s">
        <v>10</v>
      </c>
      <c r="D895" s="250" t="s">
        <v>2321</v>
      </c>
      <c r="E895" s="281">
        <v>0</v>
      </c>
      <c r="F895" s="249">
        <v>1375</v>
      </c>
      <c r="G895" s="164">
        <f t="shared" si="92"/>
        <v>8.257142857142858</v>
      </c>
      <c r="H895" s="165">
        <f t="shared" si="93"/>
        <v>16.514285714285716</v>
      </c>
      <c r="I895" s="165">
        <f t="shared" si="94"/>
        <v>12.385714285714284</v>
      </c>
      <c r="J895" s="166">
        <f t="shared" si="95"/>
        <v>20.642857142857142</v>
      </c>
      <c r="K895" s="166">
        <f t="shared" si="97"/>
        <v>20.642857142857142</v>
      </c>
      <c r="L895" s="165">
        <f t="shared" si="96"/>
        <v>1.34375</v>
      </c>
      <c r="M895" s="168">
        <f t="shared" si="91"/>
        <v>0</v>
      </c>
      <c r="N895" s="236" t="s">
        <v>453</v>
      </c>
    </row>
    <row r="896" spans="1:14" ht="14">
      <c r="A896" s="149">
        <v>895</v>
      </c>
      <c r="B896" s="235" t="s">
        <v>55</v>
      </c>
      <c r="C896" s="231" t="s">
        <v>10</v>
      </c>
      <c r="D896" s="252" t="s">
        <v>2323</v>
      </c>
      <c r="E896" s="281">
        <v>0</v>
      </c>
      <c r="F896" s="249">
        <v>7000</v>
      </c>
      <c r="G896" s="164">
        <f t="shared" si="92"/>
        <v>40.400000000000006</v>
      </c>
      <c r="H896" s="165">
        <f t="shared" si="93"/>
        <v>80.800000000000011</v>
      </c>
      <c r="I896" s="165">
        <f t="shared" si="94"/>
        <v>60.599999999999994</v>
      </c>
      <c r="J896" s="166">
        <f t="shared" si="95"/>
        <v>101</v>
      </c>
      <c r="K896" s="166">
        <f t="shared" si="97"/>
        <v>101</v>
      </c>
      <c r="L896" s="165">
        <f t="shared" si="96"/>
        <v>2.75</v>
      </c>
      <c r="M896" s="168">
        <f t="shared" si="91"/>
        <v>0</v>
      </c>
      <c r="N896" s="236" t="s">
        <v>453</v>
      </c>
    </row>
    <row r="897" spans="1:14" ht="14">
      <c r="A897" s="149">
        <v>896</v>
      </c>
      <c r="B897" s="235" t="s">
        <v>55</v>
      </c>
      <c r="C897" s="231" t="s">
        <v>10</v>
      </c>
      <c r="D897" s="252" t="s">
        <v>2325</v>
      </c>
      <c r="E897" s="281">
        <v>0</v>
      </c>
      <c r="F897" s="249">
        <v>700</v>
      </c>
      <c r="G897" s="164">
        <f t="shared" si="92"/>
        <v>4.4000000000000004</v>
      </c>
      <c r="H897" s="165">
        <f t="shared" si="93"/>
        <v>8.8000000000000007</v>
      </c>
      <c r="I897" s="165">
        <f t="shared" si="94"/>
        <v>6.6</v>
      </c>
      <c r="J897" s="166">
        <f t="shared" si="95"/>
        <v>11</v>
      </c>
      <c r="K897" s="166">
        <f t="shared" si="97"/>
        <v>11</v>
      </c>
      <c r="L897" s="165">
        <f t="shared" si="96"/>
        <v>1.175</v>
      </c>
      <c r="M897" s="168">
        <f t="shared" si="91"/>
        <v>0</v>
      </c>
      <c r="N897" s="236" t="s">
        <v>453</v>
      </c>
    </row>
    <row r="898" spans="1:14" ht="14">
      <c r="A898" s="149">
        <v>897</v>
      </c>
      <c r="B898" s="235" t="s">
        <v>53</v>
      </c>
      <c r="C898" s="231" t="s">
        <v>10</v>
      </c>
      <c r="D898" s="252" t="s">
        <v>2327</v>
      </c>
      <c r="E898" s="281">
        <v>0</v>
      </c>
      <c r="F898" s="249">
        <v>2800</v>
      </c>
      <c r="G898" s="164">
        <f t="shared" si="92"/>
        <v>16.400000000000002</v>
      </c>
      <c r="H898" s="165">
        <f t="shared" si="93"/>
        <v>32.800000000000004</v>
      </c>
      <c r="I898" s="165">
        <f t="shared" si="94"/>
        <v>24.599999999999998</v>
      </c>
      <c r="J898" s="166">
        <f t="shared" si="95"/>
        <v>41</v>
      </c>
      <c r="K898" s="166">
        <f t="shared" si="97"/>
        <v>41</v>
      </c>
      <c r="L898" s="165">
        <f t="shared" si="96"/>
        <v>1.7</v>
      </c>
      <c r="M898" s="168">
        <f t="shared" ref="M898:M961" si="98">E898/60</f>
        <v>0</v>
      </c>
      <c r="N898" s="236" t="s">
        <v>453</v>
      </c>
    </row>
    <row r="899" spans="1:14" ht="14">
      <c r="A899" s="149">
        <v>898</v>
      </c>
      <c r="B899" s="235" t="s">
        <v>53</v>
      </c>
      <c r="C899" s="231" t="s">
        <v>10</v>
      </c>
      <c r="D899" s="252" t="s">
        <v>2330</v>
      </c>
      <c r="E899" s="281">
        <v>0</v>
      </c>
      <c r="F899" s="249">
        <v>700</v>
      </c>
      <c r="G899" s="164">
        <f t="shared" ref="G899:G962" si="99">(((F899/70)+1)*0.4)</f>
        <v>4.4000000000000004</v>
      </c>
      <c r="H899" s="165">
        <f t="shared" ref="H899:H962" si="100">G899*2</f>
        <v>8.8000000000000007</v>
      </c>
      <c r="I899" s="165">
        <f t="shared" ref="I899:I962" si="101">(((F899/70)+1)*0.6)</f>
        <v>6.6</v>
      </c>
      <c r="J899" s="166">
        <f t="shared" ref="J899:J962" si="102">I899+G899</f>
        <v>11</v>
      </c>
      <c r="K899" s="166">
        <f t="shared" si="97"/>
        <v>11</v>
      </c>
      <c r="L899" s="165">
        <f t="shared" ref="L899:L962" si="103">(F899/4000)+1</f>
        <v>1.175</v>
      </c>
      <c r="M899" s="168">
        <f t="shared" si="98"/>
        <v>0</v>
      </c>
      <c r="N899" s="236" t="s">
        <v>453</v>
      </c>
    </row>
    <row r="900" spans="1:14" ht="14">
      <c r="A900" s="149">
        <v>899</v>
      </c>
      <c r="B900" s="235" t="s">
        <v>51</v>
      </c>
      <c r="C900" s="231" t="s">
        <v>10</v>
      </c>
      <c r="D900" s="252" t="s">
        <v>2333</v>
      </c>
      <c r="E900" s="281">
        <v>0</v>
      </c>
      <c r="F900" s="249">
        <v>400</v>
      </c>
      <c r="G900" s="164">
        <f t="shared" si="99"/>
        <v>2.6857142857142859</v>
      </c>
      <c r="H900" s="165">
        <f t="shared" si="100"/>
        <v>5.3714285714285719</v>
      </c>
      <c r="I900" s="165">
        <f t="shared" si="101"/>
        <v>4.0285714285714285</v>
      </c>
      <c r="J900" s="166">
        <f t="shared" si="102"/>
        <v>6.7142857142857144</v>
      </c>
      <c r="K900" s="166">
        <f t="shared" ref="K900:K963" si="104">J900</f>
        <v>6.7142857142857144</v>
      </c>
      <c r="L900" s="165">
        <f t="shared" si="103"/>
        <v>1.1000000000000001</v>
      </c>
      <c r="M900" s="168">
        <f t="shared" si="98"/>
        <v>0</v>
      </c>
      <c r="N900" s="236" t="s">
        <v>453</v>
      </c>
    </row>
    <row r="901" spans="1:14" ht="14">
      <c r="A901" s="149">
        <v>900</v>
      </c>
      <c r="B901" s="235" t="s">
        <v>55</v>
      </c>
      <c r="C901" s="231" t="s">
        <v>10</v>
      </c>
      <c r="D901" s="252" t="s">
        <v>2336</v>
      </c>
      <c r="E901" s="281">
        <v>0</v>
      </c>
      <c r="F901" s="249">
        <v>1000</v>
      </c>
      <c r="G901" s="164">
        <f t="shared" si="99"/>
        <v>6.1142857142857148</v>
      </c>
      <c r="H901" s="165">
        <f t="shared" si="100"/>
        <v>12.22857142857143</v>
      </c>
      <c r="I901" s="165">
        <f t="shared" si="101"/>
        <v>9.1714285714285708</v>
      </c>
      <c r="J901" s="166">
        <f t="shared" si="102"/>
        <v>15.285714285714285</v>
      </c>
      <c r="K901" s="166">
        <f t="shared" si="104"/>
        <v>15.285714285714285</v>
      </c>
      <c r="L901" s="165">
        <f t="shared" si="103"/>
        <v>1.25</v>
      </c>
      <c r="M901" s="168">
        <f t="shared" si="98"/>
        <v>0</v>
      </c>
      <c r="N901" s="236" t="s">
        <v>453</v>
      </c>
    </row>
    <row r="902" spans="1:14" ht="14">
      <c r="A902" s="149">
        <v>901</v>
      </c>
      <c r="B902" s="235" t="s">
        <v>52</v>
      </c>
      <c r="C902" s="231" t="s">
        <v>10</v>
      </c>
      <c r="D902" s="252" t="s">
        <v>2339</v>
      </c>
      <c r="E902" s="281">
        <v>0</v>
      </c>
      <c r="F902" s="249">
        <v>1110</v>
      </c>
      <c r="G902" s="164">
        <f t="shared" si="99"/>
        <v>6.7428571428571438</v>
      </c>
      <c r="H902" s="165">
        <f t="shared" si="100"/>
        <v>13.485714285714288</v>
      </c>
      <c r="I902" s="165">
        <f t="shared" si="101"/>
        <v>10.114285714285714</v>
      </c>
      <c r="J902" s="166">
        <f t="shared" si="102"/>
        <v>16.857142857142858</v>
      </c>
      <c r="K902" s="166">
        <f t="shared" si="104"/>
        <v>16.857142857142858</v>
      </c>
      <c r="L902" s="165">
        <f t="shared" si="103"/>
        <v>1.2775000000000001</v>
      </c>
      <c r="M902" s="168">
        <f t="shared" si="98"/>
        <v>0</v>
      </c>
      <c r="N902" s="236" t="s">
        <v>453</v>
      </c>
    </row>
    <row r="903" spans="1:14" ht="14">
      <c r="A903" s="149">
        <v>902</v>
      </c>
      <c r="B903" s="235" t="s">
        <v>52</v>
      </c>
      <c r="C903" s="231" t="s">
        <v>10</v>
      </c>
      <c r="D903" s="252" t="s">
        <v>2342</v>
      </c>
      <c r="E903" s="281">
        <v>0</v>
      </c>
      <c r="F903" s="249">
        <v>300</v>
      </c>
      <c r="G903" s="164">
        <f t="shared" si="99"/>
        <v>2.1142857142857143</v>
      </c>
      <c r="H903" s="165">
        <f t="shared" si="100"/>
        <v>4.2285714285714286</v>
      </c>
      <c r="I903" s="165">
        <f t="shared" si="101"/>
        <v>3.1714285714285713</v>
      </c>
      <c r="J903" s="166">
        <f t="shared" si="102"/>
        <v>5.2857142857142856</v>
      </c>
      <c r="K903" s="166">
        <f t="shared" si="104"/>
        <v>5.2857142857142856</v>
      </c>
      <c r="L903" s="165">
        <f t="shared" si="103"/>
        <v>1.075</v>
      </c>
      <c r="M903" s="168">
        <f t="shared" si="98"/>
        <v>0</v>
      </c>
      <c r="N903" s="236" t="s">
        <v>453</v>
      </c>
    </row>
    <row r="904" spans="1:14" ht="14">
      <c r="A904" s="149">
        <v>903</v>
      </c>
      <c r="B904" s="235" t="s">
        <v>52</v>
      </c>
      <c r="C904" s="231" t="s">
        <v>10</v>
      </c>
      <c r="D904" s="252" t="s">
        <v>2345</v>
      </c>
      <c r="E904" s="281">
        <v>0</v>
      </c>
      <c r="F904" s="249">
        <v>450</v>
      </c>
      <c r="G904" s="164">
        <f t="shared" si="99"/>
        <v>2.9714285714285715</v>
      </c>
      <c r="H904" s="165">
        <f t="shared" si="100"/>
        <v>5.9428571428571431</v>
      </c>
      <c r="I904" s="165">
        <f t="shared" si="101"/>
        <v>4.4571428571428573</v>
      </c>
      <c r="J904" s="166">
        <f t="shared" si="102"/>
        <v>7.4285714285714288</v>
      </c>
      <c r="K904" s="166">
        <f t="shared" si="104"/>
        <v>7.4285714285714288</v>
      </c>
      <c r="L904" s="165">
        <f t="shared" si="103"/>
        <v>1.1125</v>
      </c>
      <c r="M904" s="168">
        <f t="shared" si="98"/>
        <v>0</v>
      </c>
      <c r="N904" s="236" t="s">
        <v>453</v>
      </c>
    </row>
    <row r="905" spans="1:14" ht="14">
      <c r="A905" s="149">
        <v>904</v>
      </c>
      <c r="B905" s="235" t="s">
        <v>52</v>
      </c>
      <c r="C905" s="231" t="s">
        <v>10</v>
      </c>
      <c r="D905" s="252" t="s">
        <v>2348</v>
      </c>
      <c r="E905" s="281">
        <v>0</v>
      </c>
      <c r="F905" s="249">
        <v>700</v>
      </c>
      <c r="G905" s="164">
        <f t="shared" si="99"/>
        <v>4.4000000000000004</v>
      </c>
      <c r="H905" s="165">
        <f t="shared" si="100"/>
        <v>8.8000000000000007</v>
      </c>
      <c r="I905" s="165">
        <f t="shared" si="101"/>
        <v>6.6</v>
      </c>
      <c r="J905" s="166">
        <f t="shared" si="102"/>
        <v>11</v>
      </c>
      <c r="K905" s="166">
        <f t="shared" si="104"/>
        <v>11</v>
      </c>
      <c r="L905" s="165">
        <f t="shared" si="103"/>
        <v>1.175</v>
      </c>
      <c r="M905" s="168">
        <f t="shared" si="98"/>
        <v>0</v>
      </c>
      <c r="N905" s="236" t="s">
        <v>453</v>
      </c>
    </row>
    <row r="906" spans="1:14" ht="14">
      <c r="A906" s="149">
        <v>905</v>
      </c>
      <c r="B906" s="235" t="s">
        <v>52</v>
      </c>
      <c r="C906" s="231" t="s">
        <v>10</v>
      </c>
      <c r="D906" s="252" t="s">
        <v>2351</v>
      </c>
      <c r="E906" s="281">
        <v>0</v>
      </c>
      <c r="F906" s="249">
        <v>1700</v>
      </c>
      <c r="G906" s="164">
        <f t="shared" si="99"/>
        <v>10.114285714285714</v>
      </c>
      <c r="H906" s="165">
        <f t="shared" si="100"/>
        <v>20.228571428571428</v>
      </c>
      <c r="I906" s="165">
        <f t="shared" si="101"/>
        <v>15.171428571428571</v>
      </c>
      <c r="J906" s="166">
        <f t="shared" si="102"/>
        <v>25.285714285714285</v>
      </c>
      <c r="K906" s="166">
        <f t="shared" si="104"/>
        <v>25.285714285714285</v>
      </c>
      <c r="L906" s="165">
        <f t="shared" si="103"/>
        <v>1.425</v>
      </c>
      <c r="M906" s="168">
        <f t="shared" si="98"/>
        <v>0</v>
      </c>
      <c r="N906" s="236" t="s">
        <v>453</v>
      </c>
    </row>
    <row r="907" spans="1:14" ht="14">
      <c r="A907" s="149">
        <v>906</v>
      </c>
      <c r="B907" s="235" t="s">
        <v>49</v>
      </c>
      <c r="C907" s="231" t="s">
        <v>10</v>
      </c>
      <c r="D907" s="252" t="s">
        <v>2353</v>
      </c>
      <c r="E907" s="281">
        <v>0</v>
      </c>
      <c r="F907" s="249">
        <v>450</v>
      </c>
      <c r="G907" s="164">
        <f t="shared" si="99"/>
        <v>2.9714285714285715</v>
      </c>
      <c r="H907" s="165">
        <f t="shared" si="100"/>
        <v>5.9428571428571431</v>
      </c>
      <c r="I907" s="165">
        <f t="shared" si="101"/>
        <v>4.4571428571428573</v>
      </c>
      <c r="J907" s="166">
        <f t="shared" si="102"/>
        <v>7.4285714285714288</v>
      </c>
      <c r="K907" s="166">
        <f t="shared" si="104"/>
        <v>7.4285714285714288</v>
      </c>
      <c r="L907" s="165">
        <f t="shared" si="103"/>
        <v>1.1125</v>
      </c>
      <c r="M907" s="168">
        <f t="shared" si="98"/>
        <v>0</v>
      </c>
      <c r="N907" s="236" t="s">
        <v>453</v>
      </c>
    </row>
    <row r="908" spans="1:14" ht="14">
      <c r="A908" s="149">
        <v>907</v>
      </c>
      <c r="B908" s="235" t="s">
        <v>52</v>
      </c>
      <c r="C908" s="231" t="s">
        <v>10</v>
      </c>
      <c r="D908" s="252" t="s">
        <v>2356</v>
      </c>
      <c r="E908" s="281">
        <v>0</v>
      </c>
      <c r="F908" s="249">
        <v>500</v>
      </c>
      <c r="G908" s="164">
        <f t="shared" si="99"/>
        <v>3.2571428571428571</v>
      </c>
      <c r="H908" s="165">
        <f t="shared" si="100"/>
        <v>6.5142857142857142</v>
      </c>
      <c r="I908" s="165">
        <f t="shared" si="101"/>
        <v>4.8857142857142852</v>
      </c>
      <c r="J908" s="166">
        <f t="shared" si="102"/>
        <v>8.1428571428571423</v>
      </c>
      <c r="K908" s="166">
        <f t="shared" si="104"/>
        <v>8.1428571428571423</v>
      </c>
      <c r="L908" s="165">
        <f t="shared" si="103"/>
        <v>1.125</v>
      </c>
      <c r="M908" s="168">
        <f t="shared" si="98"/>
        <v>0</v>
      </c>
      <c r="N908" s="236" t="s">
        <v>453</v>
      </c>
    </row>
    <row r="909" spans="1:14" ht="14">
      <c r="A909" s="149">
        <v>908</v>
      </c>
      <c r="B909" s="235" t="s">
        <v>52</v>
      </c>
      <c r="C909" s="231" t="s">
        <v>10</v>
      </c>
      <c r="D909" s="252" t="s">
        <v>2358</v>
      </c>
      <c r="E909" s="281">
        <v>0</v>
      </c>
      <c r="F909" s="249">
        <v>600</v>
      </c>
      <c r="G909" s="164">
        <f t="shared" si="99"/>
        <v>3.8285714285714287</v>
      </c>
      <c r="H909" s="165">
        <f t="shared" si="100"/>
        <v>7.6571428571428575</v>
      </c>
      <c r="I909" s="165">
        <f t="shared" si="101"/>
        <v>5.7428571428571429</v>
      </c>
      <c r="J909" s="166">
        <f t="shared" si="102"/>
        <v>9.5714285714285712</v>
      </c>
      <c r="K909" s="166">
        <f t="shared" si="104"/>
        <v>9.5714285714285712</v>
      </c>
      <c r="L909" s="165">
        <f t="shared" si="103"/>
        <v>1.1499999999999999</v>
      </c>
      <c r="M909" s="168">
        <f t="shared" si="98"/>
        <v>0</v>
      </c>
      <c r="N909" s="236" t="s">
        <v>457</v>
      </c>
    </row>
    <row r="910" spans="1:14" ht="14">
      <c r="A910" s="149">
        <v>909</v>
      </c>
      <c r="B910" s="235" t="s">
        <v>51</v>
      </c>
      <c r="C910" s="231" t="s">
        <v>10</v>
      </c>
      <c r="D910" s="252" t="s">
        <v>2361</v>
      </c>
      <c r="E910" s="281">
        <v>0</v>
      </c>
      <c r="F910" s="249">
        <v>300</v>
      </c>
      <c r="G910" s="164">
        <f t="shared" si="99"/>
        <v>2.1142857142857143</v>
      </c>
      <c r="H910" s="165">
        <f t="shared" si="100"/>
        <v>4.2285714285714286</v>
      </c>
      <c r="I910" s="165">
        <f t="shared" si="101"/>
        <v>3.1714285714285713</v>
      </c>
      <c r="J910" s="166">
        <f t="shared" si="102"/>
        <v>5.2857142857142856</v>
      </c>
      <c r="K910" s="166">
        <f t="shared" si="104"/>
        <v>5.2857142857142856</v>
      </c>
      <c r="L910" s="165">
        <f t="shared" si="103"/>
        <v>1.075</v>
      </c>
      <c r="M910" s="168">
        <f t="shared" si="98"/>
        <v>0</v>
      </c>
      <c r="N910" s="236" t="s">
        <v>453</v>
      </c>
    </row>
    <row r="911" spans="1:14" ht="14">
      <c r="A911" s="149">
        <v>910</v>
      </c>
      <c r="B911" s="235" t="s">
        <v>52</v>
      </c>
      <c r="C911" s="231" t="s">
        <v>10</v>
      </c>
      <c r="D911" s="252" t="s">
        <v>2364</v>
      </c>
      <c r="E911" s="281">
        <v>0</v>
      </c>
      <c r="F911" s="249">
        <v>300</v>
      </c>
      <c r="G911" s="164">
        <f t="shared" si="99"/>
        <v>2.1142857142857143</v>
      </c>
      <c r="H911" s="165">
        <f t="shared" si="100"/>
        <v>4.2285714285714286</v>
      </c>
      <c r="I911" s="165">
        <f t="shared" si="101"/>
        <v>3.1714285714285713</v>
      </c>
      <c r="J911" s="166">
        <f t="shared" si="102"/>
        <v>5.2857142857142856</v>
      </c>
      <c r="K911" s="166">
        <f t="shared" si="104"/>
        <v>5.2857142857142856</v>
      </c>
      <c r="L911" s="165">
        <f t="shared" si="103"/>
        <v>1.075</v>
      </c>
      <c r="M911" s="168">
        <f t="shared" si="98"/>
        <v>0</v>
      </c>
      <c r="N911" s="236" t="s">
        <v>453</v>
      </c>
    </row>
    <row r="912" spans="1:14" ht="14">
      <c r="A912" s="149">
        <v>911</v>
      </c>
      <c r="B912" s="235" t="s">
        <v>52</v>
      </c>
      <c r="C912" s="231" t="s">
        <v>10</v>
      </c>
      <c r="D912" s="252" t="s">
        <v>2367</v>
      </c>
      <c r="E912" s="281">
        <v>0</v>
      </c>
      <c r="F912" s="249">
        <v>100</v>
      </c>
      <c r="G912" s="164">
        <f t="shared" si="99"/>
        <v>0.97142857142857153</v>
      </c>
      <c r="H912" s="165">
        <f t="shared" si="100"/>
        <v>1.9428571428571431</v>
      </c>
      <c r="I912" s="165">
        <f t="shared" si="101"/>
        <v>1.4571428571428573</v>
      </c>
      <c r="J912" s="166">
        <f t="shared" si="102"/>
        <v>2.4285714285714288</v>
      </c>
      <c r="K912" s="166">
        <f t="shared" si="104"/>
        <v>2.4285714285714288</v>
      </c>
      <c r="L912" s="165">
        <f t="shared" si="103"/>
        <v>1.0249999999999999</v>
      </c>
      <c r="M912" s="168">
        <f t="shared" si="98"/>
        <v>0</v>
      </c>
      <c r="N912" s="236" t="s">
        <v>453</v>
      </c>
    </row>
    <row r="913" spans="1:14" ht="14">
      <c r="A913" s="149">
        <v>912</v>
      </c>
      <c r="B913" s="235" t="s">
        <v>55</v>
      </c>
      <c r="C913" s="231" t="s">
        <v>10</v>
      </c>
      <c r="D913" s="252" t="s">
        <v>2370</v>
      </c>
      <c r="E913" s="281">
        <v>0</v>
      </c>
      <c r="F913" s="249">
        <v>850</v>
      </c>
      <c r="G913" s="164">
        <f t="shared" si="99"/>
        <v>5.2571428571428571</v>
      </c>
      <c r="H913" s="165">
        <f t="shared" si="100"/>
        <v>10.514285714285714</v>
      </c>
      <c r="I913" s="165">
        <f t="shared" si="101"/>
        <v>7.8857142857142852</v>
      </c>
      <c r="J913" s="166">
        <f t="shared" si="102"/>
        <v>13.142857142857142</v>
      </c>
      <c r="K913" s="166">
        <f t="shared" si="104"/>
        <v>13.142857142857142</v>
      </c>
      <c r="L913" s="165">
        <f t="shared" si="103"/>
        <v>1.2124999999999999</v>
      </c>
      <c r="M913" s="168">
        <f t="shared" si="98"/>
        <v>0</v>
      </c>
      <c r="N913" s="236" t="s">
        <v>453</v>
      </c>
    </row>
    <row r="914" spans="1:14" ht="14">
      <c r="A914" s="149">
        <v>913</v>
      </c>
      <c r="B914" s="235" t="s">
        <v>52</v>
      </c>
      <c r="C914" s="231" t="s">
        <v>10</v>
      </c>
      <c r="D914" s="252" t="s">
        <v>2373</v>
      </c>
      <c r="E914" s="281">
        <v>0</v>
      </c>
      <c r="F914" s="249">
        <v>800</v>
      </c>
      <c r="G914" s="164">
        <f t="shared" si="99"/>
        <v>4.9714285714285715</v>
      </c>
      <c r="H914" s="165">
        <f t="shared" si="100"/>
        <v>9.9428571428571431</v>
      </c>
      <c r="I914" s="165">
        <f t="shared" si="101"/>
        <v>7.4571428571428573</v>
      </c>
      <c r="J914" s="166">
        <f t="shared" si="102"/>
        <v>12.428571428571429</v>
      </c>
      <c r="K914" s="166">
        <f t="shared" si="104"/>
        <v>12.428571428571429</v>
      </c>
      <c r="L914" s="165">
        <f t="shared" si="103"/>
        <v>1.2</v>
      </c>
      <c r="M914" s="168">
        <f t="shared" si="98"/>
        <v>0</v>
      </c>
      <c r="N914" s="236" t="s">
        <v>453</v>
      </c>
    </row>
    <row r="915" spans="1:14" ht="14">
      <c r="A915" s="149">
        <v>914</v>
      </c>
      <c r="B915" s="235" t="s">
        <v>52</v>
      </c>
      <c r="C915" s="231" t="s">
        <v>10</v>
      </c>
      <c r="D915" s="252" t="s">
        <v>2376</v>
      </c>
      <c r="E915" s="281">
        <v>0</v>
      </c>
      <c r="F915" s="249">
        <v>600</v>
      </c>
      <c r="G915" s="164">
        <f t="shared" si="99"/>
        <v>3.8285714285714287</v>
      </c>
      <c r="H915" s="165">
        <f t="shared" si="100"/>
        <v>7.6571428571428575</v>
      </c>
      <c r="I915" s="165">
        <f t="shared" si="101"/>
        <v>5.7428571428571429</v>
      </c>
      <c r="J915" s="166">
        <f t="shared" si="102"/>
        <v>9.5714285714285712</v>
      </c>
      <c r="K915" s="166">
        <f t="shared" si="104"/>
        <v>9.5714285714285712</v>
      </c>
      <c r="L915" s="165">
        <f t="shared" si="103"/>
        <v>1.1499999999999999</v>
      </c>
      <c r="M915" s="168">
        <f t="shared" si="98"/>
        <v>0</v>
      </c>
      <c r="N915" s="236" t="s">
        <v>453</v>
      </c>
    </row>
    <row r="916" spans="1:14" ht="14">
      <c r="A916" s="149">
        <v>915</v>
      </c>
      <c r="B916" s="235" t="s">
        <v>52</v>
      </c>
      <c r="C916" s="231" t="s">
        <v>10</v>
      </c>
      <c r="D916" s="252" t="s">
        <v>2379</v>
      </c>
      <c r="E916" s="281">
        <v>0</v>
      </c>
      <c r="F916" s="249">
        <v>450</v>
      </c>
      <c r="G916" s="164">
        <f t="shared" si="99"/>
        <v>2.9714285714285715</v>
      </c>
      <c r="H916" s="165">
        <f t="shared" si="100"/>
        <v>5.9428571428571431</v>
      </c>
      <c r="I916" s="165">
        <f t="shared" si="101"/>
        <v>4.4571428571428573</v>
      </c>
      <c r="J916" s="166">
        <f t="shared" si="102"/>
        <v>7.4285714285714288</v>
      </c>
      <c r="K916" s="166">
        <f t="shared" si="104"/>
        <v>7.4285714285714288</v>
      </c>
      <c r="L916" s="165">
        <f t="shared" si="103"/>
        <v>1.1125</v>
      </c>
      <c r="M916" s="168">
        <f t="shared" si="98"/>
        <v>0</v>
      </c>
      <c r="N916" s="236" t="s">
        <v>453</v>
      </c>
    </row>
    <row r="917" spans="1:14" ht="14">
      <c r="A917" s="149">
        <v>916</v>
      </c>
      <c r="B917" s="235" t="s">
        <v>52</v>
      </c>
      <c r="C917" s="231" t="s">
        <v>10</v>
      </c>
      <c r="D917" s="252" t="s">
        <v>2381</v>
      </c>
      <c r="E917" s="281">
        <v>0</v>
      </c>
      <c r="F917" s="249">
        <v>350</v>
      </c>
      <c r="G917" s="164">
        <f t="shared" si="99"/>
        <v>2.4000000000000004</v>
      </c>
      <c r="H917" s="165">
        <f t="shared" si="100"/>
        <v>4.8000000000000007</v>
      </c>
      <c r="I917" s="165">
        <f t="shared" si="101"/>
        <v>3.5999999999999996</v>
      </c>
      <c r="J917" s="166">
        <f t="shared" si="102"/>
        <v>6</v>
      </c>
      <c r="K917" s="166">
        <f t="shared" si="104"/>
        <v>6</v>
      </c>
      <c r="L917" s="165">
        <f t="shared" si="103"/>
        <v>1.0874999999999999</v>
      </c>
      <c r="M917" s="168">
        <f t="shared" si="98"/>
        <v>0</v>
      </c>
      <c r="N917" s="236" t="s">
        <v>453</v>
      </c>
    </row>
    <row r="918" spans="1:14" ht="14">
      <c r="A918" s="149">
        <v>917</v>
      </c>
      <c r="B918" s="235" t="s">
        <v>52</v>
      </c>
      <c r="C918" s="231" t="s">
        <v>10</v>
      </c>
      <c r="D918" s="256" t="s">
        <v>2383</v>
      </c>
      <c r="E918" s="281">
        <v>0</v>
      </c>
      <c r="F918" s="249">
        <v>2200</v>
      </c>
      <c r="G918" s="164">
        <f t="shared" si="99"/>
        <v>12.971428571428573</v>
      </c>
      <c r="H918" s="165">
        <f t="shared" si="100"/>
        <v>25.942857142857147</v>
      </c>
      <c r="I918" s="165">
        <f t="shared" si="101"/>
        <v>19.457142857142859</v>
      </c>
      <c r="J918" s="166">
        <f t="shared" si="102"/>
        <v>32.428571428571431</v>
      </c>
      <c r="K918" s="166">
        <f t="shared" si="104"/>
        <v>32.428571428571431</v>
      </c>
      <c r="L918" s="165">
        <f t="shared" si="103"/>
        <v>1.55</v>
      </c>
      <c r="M918" s="168">
        <f t="shared" si="98"/>
        <v>0</v>
      </c>
      <c r="N918" s="236" t="s">
        <v>453</v>
      </c>
    </row>
    <row r="919" spans="1:14" ht="14">
      <c r="A919" s="149">
        <v>918</v>
      </c>
      <c r="B919" s="235" t="s">
        <v>52</v>
      </c>
      <c r="C919" s="231" t="s">
        <v>10</v>
      </c>
      <c r="D919" s="252" t="s">
        <v>4706</v>
      </c>
      <c r="E919" s="281">
        <v>0</v>
      </c>
      <c r="F919" s="249">
        <v>500</v>
      </c>
      <c r="G919" s="164">
        <f t="shared" si="99"/>
        <v>3.2571428571428571</v>
      </c>
      <c r="H919" s="165">
        <f t="shared" si="100"/>
        <v>6.5142857142857142</v>
      </c>
      <c r="I919" s="165">
        <f t="shared" si="101"/>
        <v>4.8857142857142852</v>
      </c>
      <c r="J919" s="166">
        <f t="shared" si="102"/>
        <v>8.1428571428571423</v>
      </c>
      <c r="K919" s="166">
        <f t="shared" si="104"/>
        <v>8.1428571428571423</v>
      </c>
      <c r="L919" s="165">
        <f t="shared" si="103"/>
        <v>1.125</v>
      </c>
      <c r="M919" s="168">
        <f t="shared" si="98"/>
        <v>0</v>
      </c>
      <c r="N919" s="236" t="s">
        <v>453</v>
      </c>
    </row>
    <row r="920" spans="1:14" ht="14">
      <c r="A920" s="149">
        <v>919</v>
      </c>
      <c r="B920" s="235" t="s">
        <v>51</v>
      </c>
      <c r="C920" s="231" t="s">
        <v>10</v>
      </c>
      <c r="D920" s="252" t="s">
        <v>2385</v>
      </c>
      <c r="E920" s="281">
        <v>0</v>
      </c>
      <c r="F920" s="249">
        <v>300</v>
      </c>
      <c r="G920" s="164">
        <f t="shared" si="99"/>
        <v>2.1142857142857143</v>
      </c>
      <c r="H920" s="165">
        <f t="shared" si="100"/>
        <v>4.2285714285714286</v>
      </c>
      <c r="I920" s="165">
        <f t="shared" si="101"/>
        <v>3.1714285714285713</v>
      </c>
      <c r="J920" s="166">
        <f t="shared" si="102"/>
        <v>5.2857142857142856</v>
      </c>
      <c r="K920" s="166">
        <f t="shared" si="104"/>
        <v>5.2857142857142856</v>
      </c>
      <c r="L920" s="165">
        <f t="shared" si="103"/>
        <v>1.075</v>
      </c>
      <c r="M920" s="168">
        <f t="shared" si="98"/>
        <v>0</v>
      </c>
      <c r="N920" s="236" t="s">
        <v>453</v>
      </c>
    </row>
    <row r="921" spans="1:14" ht="14">
      <c r="A921" s="149">
        <v>920</v>
      </c>
      <c r="B921" s="235" t="s">
        <v>51</v>
      </c>
      <c r="C921" s="231" t="s">
        <v>10</v>
      </c>
      <c r="D921" s="250" t="s">
        <v>2387</v>
      </c>
      <c r="E921" s="281">
        <v>0</v>
      </c>
      <c r="F921" s="249">
        <v>150</v>
      </c>
      <c r="G921" s="164">
        <f t="shared" si="99"/>
        <v>1.2571428571428571</v>
      </c>
      <c r="H921" s="165">
        <f t="shared" si="100"/>
        <v>2.5142857142857142</v>
      </c>
      <c r="I921" s="165">
        <f t="shared" si="101"/>
        <v>1.8857142857142857</v>
      </c>
      <c r="J921" s="166">
        <f t="shared" si="102"/>
        <v>3.1428571428571428</v>
      </c>
      <c r="K921" s="166">
        <f t="shared" si="104"/>
        <v>3.1428571428571428</v>
      </c>
      <c r="L921" s="165">
        <f t="shared" si="103"/>
        <v>1.0375000000000001</v>
      </c>
      <c r="M921" s="168">
        <f t="shared" si="98"/>
        <v>0</v>
      </c>
      <c r="N921" s="236" t="s">
        <v>453</v>
      </c>
    </row>
    <row r="922" spans="1:14" ht="14">
      <c r="A922" s="149">
        <v>921</v>
      </c>
      <c r="B922" s="235" t="s">
        <v>52</v>
      </c>
      <c r="C922" s="231" t="s">
        <v>10</v>
      </c>
      <c r="D922" s="250" t="s">
        <v>2389</v>
      </c>
      <c r="E922" s="281">
        <v>0</v>
      </c>
      <c r="F922" s="249">
        <v>300</v>
      </c>
      <c r="G922" s="164">
        <f t="shared" si="99"/>
        <v>2.1142857142857143</v>
      </c>
      <c r="H922" s="165">
        <f t="shared" si="100"/>
        <v>4.2285714285714286</v>
      </c>
      <c r="I922" s="165">
        <f t="shared" si="101"/>
        <v>3.1714285714285713</v>
      </c>
      <c r="J922" s="166">
        <f t="shared" si="102"/>
        <v>5.2857142857142856</v>
      </c>
      <c r="K922" s="166">
        <f t="shared" si="104"/>
        <v>5.2857142857142856</v>
      </c>
      <c r="L922" s="165">
        <f t="shared" si="103"/>
        <v>1.075</v>
      </c>
      <c r="M922" s="168">
        <f t="shared" si="98"/>
        <v>0</v>
      </c>
      <c r="N922" s="236" t="s">
        <v>453</v>
      </c>
    </row>
    <row r="923" spans="1:14" ht="14">
      <c r="A923" s="149">
        <v>922</v>
      </c>
      <c r="B923" s="235" t="s">
        <v>52</v>
      </c>
      <c r="C923" s="231" t="s">
        <v>10</v>
      </c>
      <c r="D923" s="250" t="s">
        <v>2391</v>
      </c>
      <c r="E923" s="281">
        <v>0</v>
      </c>
      <c r="F923" s="249">
        <v>300</v>
      </c>
      <c r="G923" s="164">
        <f t="shared" si="99"/>
        <v>2.1142857142857143</v>
      </c>
      <c r="H923" s="165">
        <f t="shared" si="100"/>
        <v>4.2285714285714286</v>
      </c>
      <c r="I923" s="165">
        <f t="shared" si="101"/>
        <v>3.1714285714285713</v>
      </c>
      <c r="J923" s="166">
        <f t="shared" si="102"/>
        <v>5.2857142857142856</v>
      </c>
      <c r="K923" s="166">
        <f t="shared" si="104"/>
        <v>5.2857142857142856</v>
      </c>
      <c r="L923" s="165">
        <f t="shared" si="103"/>
        <v>1.075</v>
      </c>
      <c r="M923" s="168">
        <f t="shared" si="98"/>
        <v>0</v>
      </c>
      <c r="N923" s="236" t="s">
        <v>453</v>
      </c>
    </row>
    <row r="924" spans="1:14" ht="14">
      <c r="A924" s="149">
        <v>923</v>
      </c>
      <c r="B924" s="235" t="s">
        <v>52</v>
      </c>
      <c r="C924" s="231" t="s">
        <v>10</v>
      </c>
      <c r="D924" s="250" t="s">
        <v>2392</v>
      </c>
      <c r="E924" s="281">
        <v>0</v>
      </c>
      <c r="F924" s="249">
        <v>1700</v>
      </c>
      <c r="G924" s="164">
        <f t="shared" si="99"/>
        <v>10.114285714285714</v>
      </c>
      <c r="H924" s="165">
        <f t="shared" si="100"/>
        <v>20.228571428571428</v>
      </c>
      <c r="I924" s="165">
        <f t="shared" si="101"/>
        <v>15.171428571428571</v>
      </c>
      <c r="J924" s="166">
        <f t="shared" si="102"/>
        <v>25.285714285714285</v>
      </c>
      <c r="K924" s="166">
        <f t="shared" si="104"/>
        <v>25.285714285714285</v>
      </c>
      <c r="L924" s="165">
        <f t="shared" si="103"/>
        <v>1.425</v>
      </c>
      <c r="M924" s="168">
        <f t="shared" si="98"/>
        <v>0</v>
      </c>
      <c r="N924" s="236" t="s">
        <v>453</v>
      </c>
    </row>
    <row r="925" spans="1:14" ht="14">
      <c r="A925" s="149">
        <v>924</v>
      </c>
      <c r="B925" s="235" t="s">
        <v>55</v>
      </c>
      <c r="C925" s="231" t="s">
        <v>10</v>
      </c>
      <c r="D925" s="250" t="s">
        <v>2394</v>
      </c>
      <c r="E925" s="281">
        <v>0</v>
      </c>
      <c r="F925" s="249">
        <v>0</v>
      </c>
      <c r="G925" s="164">
        <f t="shared" si="99"/>
        <v>0.4</v>
      </c>
      <c r="H925" s="165">
        <f t="shared" si="100"/>
        <v>0.8</v>
      </c>
      <c r="I925" s="165">
        <f t="shared" si="101"/>
        <v>0.6</v>
      </c>
      <c r="J925" s="166">
        <f t="shared" si="102"/>
        <v>1</v>
      </c>
      <c r="K925" s="166">
        <f t="shared" si="104"/>
        <v>1</v>
      </c>
      <c r="L925" s="165">
        <f t="shared" si="103"/>
        <v>1</v>
      </c>
      <c r="M925" s="168">
        <f t="shared" si="98"/>
        <v>0</v>
      </c>
      <c r="N925" s="236" t="s">
        <v>453</v>
      </c>
    </row>
    <row r="926" spans="1:14" ht="14">
      <c r="A926" s="149">
        <v>925</v>
      </c>
      <c r="B926" s="235" t="s">
        <v>52</v>
      </c>
      <c r="C926" s="231" t="s">
        <v>10</v>
      </c>
      <c r="D926" s="250" t="s">
        <v>2398</v>
      </c>
      <c r="E926" s="281">
        <v>0</v>
      </c>
      <c r="F926" s="249">
        <v>600</v>
      </c>
      <c r="G926" s="164">
        <f t="shared" si="99"/>
        <v>3.8285714285714287</v>
      </c>
      <c r="H926" s="165">
        <f t="shared" si="100"/>
        <v>7.6571428571428575</v>
      </c>
      <c r="I926" s="165">
        <f t="shared" si="101"/>
        <v>5.7428571428571429</v>
      </c>
      <c r="J926" s="166">
        <f t="shared" si="102"/>
        <v>9.5714285714285712</v>
      </c>
      <c r="K926" s="166">
        <f t="shared" si="104"/>
        <v>9.5714285714285712</v>
      </c>
      <c r="L926" s="165">
        <f t="shared" si="103"/>
        <v>1.1499999999999999</v>
      </c>
      <c r="M926" s="168">
        <f t="shared" si="98"/>
        <v>0</v>
      </c>
      <c r="N926" s="236" t="s">
        <v>453</v>
      </c>
    </row>
    <row r="927" spans="1:14" ht="14">
      <c r="A927" s="149">
        <v>926</v>
      </c>
      <c r="B927" s="235" t="s">
        <v>51</v>
      </c>
      <c r="C927" s="231" t="s">
        <v>10</v>
      </c>
      <c r="D927" s="250" t="s">
        <v>2400</v>
      </c>
      <c r="E927" s="281">
        <v>0</v>
      </c>
      <c r="F927" s="249">
        <v>700</v>
      </c>
      <c r="G927" s="164">
        <f t="shared" si="99"/>
        <v>4.4000000000000004</v>
      </c>
      <c r="H927" s="165">
        <f t="shared" si="100"/>
        <v>8.8000000000000007</v>
      </c>
      <c r="I927" s="165">
        <f t="shared" si="101"/>
        <v>6.6</v>
      </c>
      <c r="J927" s="166">
        <f t="shared" si="102"/>
        <v>11</v>
      </c>
      <c r="K927" s="166">
        <f t="shared" si="104"/>
        <v>11</v>
      </c>
      <c r="L927" s="165">
        <f t="shared" si="103"/>
        <v>1.175</v>
      </c>
      <c r="M927" s="168">
        <f t="shared" si="98"/>
        <v>0</v>
      </c>
      <c r="N927" s="236" t="s">
        <v>453</v>
      </c>
    </row>
    <row r="928" spans="1:14" ht="14">
      <c r="A928" s="149">
        <v>927</v>
      </c>
      <c r="B928" s="235" t="s">
        <v>52</v>
      </c>
      <c r="C928" s="231" t="s">
        <v>10</v>
      </c>
      <c r="D928" s="250" t="s">
        <v>2402</v>
      </c>
      <c r="E928" s="281">
        <v>0</v>
      </c>
      <c r="F928" s="249">
        <v>3100</v>
      </c>
      <c r="G928" s="164">
        <f t="shared" si="99"/>
        <v>18.114285714285714</v>
      </c>
      <c r="H928" s="165">
        <f t="shared" si="100"/>
        <v>36.228571428571428</v>
      </c>
      <c r="I928" s="165">
        <f t="shared" si="101"/>
        <v>27.171428571428571</v>
      </c>
      <c r="J928" s="166">
        <f t="shared" si="102"/>
        <v>45.285714285714285</v>
      </c>
      <c r="K928" s="166">
        <f t="shared" si="104"/>
        <v>45.285714285714285</v>
      </c>
      <c r="L928" s="165">
        <f t="shared" si="103"/>
        <v>1.7749999999999999</v>
      </c>
      <c r="M928" s="168">
        <f t="shared" si="98"/>
        <v>0</v>
      </c>
      <c r="N928" s="236" t="s">
        <v>453</v>
      </c>
    </row>
    <row r="929" spans="1:14" ht="14">
      <c r="A929" s="149">
        <v>928</v>
      </c>
      <c r="B929" s="235" t="s">
        <v>52</v>
      </c>
      <c r="C929" s="231" t="s">
        <v>10</v>
      </c>
      <c r="D929" s="250" t="s">
        <v>2405</v>
      </c>
      <c r="E929" s="281">
        <v>0</v>
      </c>
      <c r="F929" s="249">
        <v>3100</v>
      </c>
      <c r="G929" s="164">
        <f t="shared" si="99"/>
        <v>18.114285714285714</v>
      </c>
      <c r="H929" s="165">
        <f t="shared" si="100"/>
        <v>36.228571428571428</v>
      </c>
      <c r="I929" s="165">
        <f t="shared" si="101"/>
        <v>27.171428571428571</v>
      </c>
      <c r="J929" s="166">
        <f t="shared" si="102"/>
        <v>45.285714285714285</v>
      </c>
      <c r="K929" s="166">
        <f t="shared" si="104"/>
        <v>45.285714285714285</v>
      </c>
      <c r="L929" s="165">
        <f t="shared" si="103"/>
        <v>1.7749999999999999</v>
      </c>
      <c r="M929" s="168">
        <f t="shared" si="98"/>
        <v>0</v>
      </c>
      <c r="N929" s="236" t="s">
        <v>457</v>
      </c>
    </row>
    <row r="930" spans="1:14" ht="14">
      <c r="A930" s="149">
        <v>929</v>
      </c>
      <c r="B930" s="235" t="s">
        <v>51</v>
      </c>
      <c r="C930" s="231" t="s">
        <v>10</v>
      </c>
      <c r="D930" s="250" t="s">
        <v>2406</v>
      </c>
      <c r="E930" s="281">
        <v>0</v>
      </c>
      <c r="F930" s="249">
        <v>300</v>
      </c>
      <c r="G930" s="164">
        <f t="shared" si="99"/>
        <v>2.1142857142857143</v>
      </c>
      <c r="H930" s="165">
        <f t="shared" si="100"/>
        <v>4.2285714285714286</v>
      </c>
      <c r="I930" s="165">
        <f t="shared" si="101"/>
        <v>3.1714285714285713</v>
      </c>
      <c r="J930" s="166">
        <f t="shared" si="102"/>
        <v>5.2857142857142856</v>
      </c>
      <c r="K930" s="166">
        <f t="shared" si="104"/>
        <v>5.2857142857142856</v>
      </c>
      <c r="L930" s="165">
        <f t="shared" si="103"/>
        <v>1.075</v>
      </c>
      <c r="M930" s="168">
        <f t="shared" si="98"/>
        <v>0</v>
      </c>
      <c r="N930" s="236" t="s">
        <v>453</v>
      </c>
    </row>
    <row r="931" spans="1:14" ht="14">
      <c r="A931" s="149">
        <v>930</v>
      </c>
      <c r="B931" s="235" t="s">
        <v>50</v>
      </c>
      <c r="C931" s="231" t="s">
        <v>10</v>
      </c>
      <c r="D931" s="250" t="s">
        <v>4707</v>
      </c>
      <c r="E931" s="281">
        <v>0</v>
      </c>
      <c r="F931" s="249">
        <v>1500</v>
      </c>
      <c r="G931" s="164">
        <f t="shared" si="99"/>
        <v>8.9714285714285715</v>
      </c>
      <c r="H931" s="165">
        <f t="shared" si="100"/>
        <v>17.942857142857143</v>
      </c>
      <c r="I931" s="165">
        <f t="shared" si="101"/>
        <v>13.457142857142856</v>
      </c>
      <c r="J931" s="166">
        <f t="shared" si="102"/>
        <v>22.428571428571427</v>
      </c>
      <c r="K931" s="166">
        <f t="shared" si="104"/>
        <v>22.428571428571427</v>
      </c>
      <c r="L931" s="165">
        <f t="shared" si="103"/>
        <v>1.375</v>
      </c>
      <c r="M931" s="168">
        <f t="shared" si="98"/>
        <v>0</v>
      </c>
      <c r="N931" s="236" t="s">
        <v>453</v>
      </c>
    </row>
    <row r="932" spans="1:14" ht="14">
      <c r="A932" s="149">
        <v>931</v>
      </c>
      <c r="B932" s="235" t="s">
        <v>52</v>
      </c>
      <c r="C932" s="231" t="s">
        <v>10</v>
      </c>
      <c r="D932" s="250" t="s">
        <v>2410</v>
      </c>
      <c r="E932" s="281">
        <v>0</v>
      </c>
      <c r="F932" s="249">
        <v>1000</v>
      </c>
      <c r="G932" s="164">
        <f t="shared" si="99"/>
        <v>6.1142857142857148</v>
      </c>
      <c r="H932" s="165">
        <f t="shared" si="100"/>
        <v>12.22857142857143</v>
      </c>
      <c r="I932" s="165">
        <f t="shared" si="101"/>
        <v>9.1714285714285708</v>
      </c>
      <c r="J932" s="166">
        <f t="shared" si="102"/>
        <v>15.285714285714285</v>
      </c>
      <c r="K932" s="166">
        <f t="shared" si="104"/>
        <v>15.285714285714285</v>
      </c>
      <c r="L932" s="165">
        <f t="shared" si="103"/>
        <v>1.25</v>
      </c>
      <c r="M932" s="168">
        <f t="shared" si="98"/>
        <v>0</v>
      </c>
      <c r="N932" s="236" t="s">
        <v>453</v>
      </c>
    </row>
    <row r="933" spans="1:14" ht="14">
      <c r="A933" s="149">
        <v>932</v>
      </c>
      <c r="B933" s="235" t="s">
        <v>52</v>
      </c>
      <c r="C933" s="231" t="s">
        <v>10</v>
      </c>
      <c r="D933" s="250" t="s">
        <v>2412</v>
      </c>
      <c r="E933" s="281">
        <v>0</v>
      </c>
      <c r="F933" s="249">
        <v>2000</v>
      </c>
      <c r="G933" s="164">
        <f t="shared" si="99"/>
        <v>11.828571428571429</v>
      </c>
      <c r="H933" s="165">
        <f t="shared" si="100"/>
        <v>23.657142857142858</v>
      </c>
      <c r="I933" s="165">
        <f t="shared" si="101"/>
        <v>17.742857142857144</v>
      </c>
      <c r="J933" s="166">
        <f t="shared" si="102"/>
        <v>29.571428571428573</v>
      </c>
      <c r="K933" s="166">
        <f t="shared" si="104"/>
        <v>29.571428571428573</v>
      </c>
      <c r="L933" s="165">
        <f t="shared" si="103"/>
        <v>1.5</v>
      </c>
      <c r="M933" s="168">
        <f t="shared" si="98"/>
        <v>0</v>
      </c>
      <c r="N933" s="236" t="s">
        <v>453</v>
      </c>
    </row>
    <row r="934" spans="1:14" ht="14">
      <c r="A934" s="149">
        <v>933</v>
      </c>
      <c r="B934" s="235" t="s">
        <v>52</v>
      </c>
      <c r="C934" s="231" t="s">
        <v>10</v>
      </c>
      <c r="D934" s="250" t="s">
        <v>2414</v>
      </c>
      <c r="E934" s="281">
        <v>0</v>
      </c>
      <c r="F934" s="249">
        <v>450</v>
      </c>
      <c r="G934" s="164">
        <f t="shared" si="99"/>
        <v>2.9714285714285715</v>
      </c>
      <c r="H934" s="165">
        <f t="shared" si="100"/>
        <v>5.9428571428571431</v>
      </c>
      <c r="I934" s="165">
        <f t="shared" si="101"/>
        <v>4.4571428571428573</v>
      </c>
      <c r="J934" s="166">
        <f t="shared" si="102"/>
        <v>7.4285714285714288</v>
      </c>
      <c r="K934" s="166">
        <f t="shared" si="104"/>
        <v>7.4285714285714288</v>
      </c>
      <c r="L934" s="165">
        <f t="shared" si="103"/>
        <v>1.1125</v>
      </c>
      <c r="M934" s="168">
        <f t="shared" si="98"/>
        <v>0</v>
      </c>
      <c r="N934" s="236" t="s">
        <v>453</v>
      </c>
    </row>
    <row r="935" spans="1:14" ht="14">
      <c r="A935" s="149">
        <v>934</v>
      </c>
      <c r="B935" s="235" t="s">
        <v>52</v>
      </c>
      <c r="C935" s="231" t="s">
        <v>10</v>
      </c>
      <c r="D935" s="250" t="s">
        <v>2416</v>
      </c>
      <c r="E935" s="281">
        <v>0</v>
      </c>
      <c r="F935" s="249">
        <v>200</v>
      </c>
      <c r="G935" s="164">
        <f t="shared" si="99"/>
        <v>1.5428571428571429</v>
      </c>
      <c r="H935" s="165">
        <f t="shared" si="100"/>
        <v>3.0857142857142859</v>
      </c>
      <c r="I935" s="165">
        <f t="shared" si="101"/>
        <v>2.3142857142857141</v>
      </c>
      <c r="J935" s="166">
        <f t="shared" si="102"/>
        <v>3.8571428571428568</v>
      </c>
      <c r="K935" s="166">
        <f t="shared" si="104"/>
        <v>3.8571428571428568</v>
      </c>
      <c r="L935" s="165">
        <f t="shared" si="103"/>
        <v>1.05</v>
      </c>
      <c r="M935" s="168">
        <f t="shared" si="98"/>
        <v>0</v>
      </c>
      <c r="N935" s="236" t="s">
        <v>453</v>
      </c>
    </row>
    <row r="936" spans="1:14" ht="14">
      <c r="A936" s="149">
        <v>935</v>
      </c>
      <c r="B936" s="235" t="s">
        <v>52</v>
      </c>
      <c r="C936" s="231" t="s">
        <v>10</v>
      </c>
      <c r="D936" s="250" t="s">
        <v>2418</v>
      </c>
      <c r="E936" s="281">
        <v>0</v>
      </c>
      <c r="F936" s="249">
        <v>200</v>
      </c>
      <c r="G936" s="164">
        <f t="shared" si="99"/>
        <v>1.5428571428571429</v>
      </c>
      <c r="H936" s="165">
        <f t="shared" si="100"/>
        <v>3.0857142857142859</v>
      </c>
      <c r="I936" s="165">
        <f t="shared" si="101"/>
        <v>2.3142857142857141</v>
      </c>
      <c r="J936" s="166">
        <f t="shared" si="102"/>
        <v>3.8571428571428568</v>
      </c>
      <c r="K936" s="166">
        <f t="shared" si="104"/>
        <v>3.8571428571428568</v>
      </c>
      <c r="L936" s="165">
        <f t="shared" si="103"/>
        <v>1.05</v>
      </c>
      <c r="M936" s="168">
        <f t="shared" si="98"/>
        <v>0</v>
      </c>
      <c r="N936" s="236" t="s">
        <v>453</v>
      </c>
    </row>
    <row r="937" spans="1:14" ht="14">
      <c r="A937" s="149">
        <v>936</v>
      </c>
      <c r="B937" s="235" t="s">
        <v>52</v>
      </c>
      <c r="C937" s="231" t="s">
        <v>10</v>
      </c>
      <c r="D937" s="250" t="s">
        <v>2420</v>
      </c>
      <c r="E937" s="281">
        <v>0</v>
      </c>
      <c r="F937" s="249">
        <v>200</v>
      </c>
      <c r="G937" s="164">
        <f t="shared" si="99"/>
        <v>1.5428571428571429</v>
      </c>
      <c r="H937" s="165">
        <f t="shared" si="100"/>
        <v>3.0857142857142859</v>
      </c>
      <c r="I937" s="165">
        <f t="shared" si="101"/>
        <v>2.3142857142857141</v>
      </c>
      <c r="J937" s="166">
        <f t="shared" si="102"/>
        <v>3.8571428571428568</v>
      </c>
      <c r="K937" s="166">
        <f t="shared" si="104"/>
        <v>3.8571428571428568</v>
      </c>
      <c r="L937" s="165">
        <f t="shared" si="103"/>
        <v>1.05</v>
      </c>
      <c r="M937" s="168">
        <f t="shared" si="98"/>
        <v>0</v>
      </c>
      <c r="N937" s="236" t="s">
        <v>453</v>
      </c>
    </row>
    <row r="938" spans="1:14" ht="14">
      <c r="A938" s="149">
        <v>937</v>
      </c>
      <c r="B938" s="235" t="s">
        <v>52</v>
      </c>
      <c r="C938" s="231" t="s">
        <v>10</v>
      </c>
      <c r="D938" s="250" t="s">
        <v>2422</v>
      </c>
      <c r="E938" s="281">
        <v>0</v>
      </c>
      <c r="F938" s="249">
        <v>350</v>
      </c>
      <c r="G938" s="164">
        <f t="shared" si="99"/>
        <v>2.4000000000000004</v>
      </c>
      <c r="H938" s="165">
        <f t="shared" si="100"/>
        <v>4.8000000000000007</v>
      </c>
      <c r="I938" s="165">
        <f t="shared" si="101"/>
        <v>3.5999999999999996</v>
      </c>
      <c r="J938" s="166">
        <f t="shared" si="102"/>
        <v>6</v>
      </c>
      <c r="K938" s="166">
        <f t="shared" si="104"/>
        <v>6</v>
      </c>
      <c r="L938" s="165">
        <f t="shared" si="103"/>
        <v>1.0874999999999999</v>
      </c>
      <c r="M938" s="168">
        <f t="shared" si="98"/>
        <v>0</v>
      </c>
      <c r="N938" s="236" t="s">
        <v>453</v>
      </c>
    </row>
    <row r="939" spans="1:14" ht="14">
      <c r="A939" s="149">
        <v>938</v>
      </c>
      <c r="B939" s="235" t="s">
        <v>52</v>
      </c>
      <c r="C939" s="231" t="s">
        <v>10</v>
      </c>
      <c r="D939" s="250" t="s">
        <v>2424</v>
      </c>
      <c r="E939" s="281">
        <v>0</v>
      </c>
      <c r="F939" s="249">
        <v>1100</v>
      </c>
      <c r="G939" s="164">
        <f t="shared" si="99"/>
        <v>6.6857142857142868</v>
      </c>
      <c r="H939" s="165">
        <f t="shared" si="100"/>
        <v>13.371428571428574</v>
      </c>
      <c r="I939" s="165">
        <f t="shared" si="101"/>
        <v>10.028571428571428</v>
      </c>
      <c r="J939" s="166">
        <f t="shared" si="102"/>
        <v>16.714285714285715</v>
      </c>
      <c r="K939" s="166">
        <f t="shared" si="104"/>
        <v>16.714285714285715</v>
      </c>
      <c r="L939" s="165">
        <f t="shared" si="103"/>
        <v>1.2749999999999999</v>
      </c>
      <c r="M939" s="168">
        <f t="shared" si="98"/>
        <v>0</v>
      </c>
      <c r="N939" s="236" t="s">
        <v>453</v>
      </c>
    </row>
    <row r="940" spans="1:14" ht="14">
      <c r="A940" s="149">
        <v>939</v>
      </c>
      <c r="B940" s="235" t="s">
        <v>49</v>
      </c>
      <c r="C940" s="231" t="s">
        <v>10</v>
      </c>
      <c r="D940" s="250" t="s">
        <v>2426</v>
      </c>
      <c r="E940" s="281">
        <v>0</v>
      </c>
      <c r="F940" s="249">
        <v>1600</v>
      </c>
      <c r="G940" s="164">
        <f t="shared" si="99"/>
        <v>9.5428571428571427</v>
      </c>
      <c r="H940" s="165">
        <f t="shared" si="100"/>
        <v>19.085714285714285</v>
      </c>
      <c r="I940" s="165">
        <f t="shared" si="101"/>
        <v>14.314285714285715</v>
      </c>
      <c r="J940" s="166">
        <f t="shared" si="102"/>
        <v>23.857142857142858</v>
      </c>
      <c r="K940" s="166">
        <f t="shared" si="104"/>
        <v>23.857142857142858</v>
      </c>
      <c r="L940" s="165">
        <f t="shared" si="103"/>
        <v>1.4</v>
      </c>
      <c r="M940" s="168">
        <f t="shared" si="98"/>
        <v>0</v>
      </c>
      <c r="N940" s="236" t="s">
        <v>453</v>
      </c>
    </row>
    <row r="941" spans="1:14" ht="14">
      <c r="A941" s="149">
        <v>940</v>
      </c>
      <c r="B941" s="235" t="s">
        <v>49</v>
      </c>
      <c r="C941" s="231" t="s">
        <v>10</v>
      </c>
      <c r="D941" s="250" t="s">
        <v>2428</v>
      </c>
      <c r="E941" s="281">
        <v>0</v>
      </c>
      <c r="F941" s="249">
        <v>400</v>
      </c>
      <c r="G941" s="164">
        <f t="shared" si="99"/>
        <v>2.6857142857142859</v>
      </c>
      <c r="H941" s="165">
        <f t="shared" si="100"/>
        <v>5.3714285714285719</v>
      </c>
      <c r="I941" s="165">
        <f t="shared" si="101"/>
        <v>4.0285714285714285</v>
      </c>
      <c r="J941" s="166">
        <f t="shared" si="102"/>
        <v>6.7142857142857144</v>
      </c>
      <c r="K941" s="166">
        <f t="shared" si="104"/>
        <v>6.7142857142857144</v>
      </c>
      <c r="L941" s="165">
        <f t="shared" si="103"/>
        <v>1.1000000000000001</v>
      </c>
      <c r="M941" s="168">
        <f t="shared" si="98"/>
        <v>0</v>
      </c>
      <c r="N941" s="236" t="s">
        <v>453</v>
      </c>
    </row>
    <row r="942" spans="1:14" ht="14">
      <c r="A942" s="149">
        <v>941</v>
      </c>
      <c r="B942" s="235" t="s">
        <v>52</v>
      </c>
      <c r="C942" s="231" t="s">
        <v>10</v>
      </c>
      <c r="D942" s="250" t="s">
        <v>2430</v>
      </c>
      <c r="E942" s="281">
        <v>0</v>
      </c>
      <c r="F942" s="249">
        <v>600</v>
      </c>
      <c r="G942" s="164">
        <f t="shared" si="99"/>
        <v>3.8285714285714287</v>
      </c>
      <c r="H942" s="165">
        <f t="shared" si="100"/>
        <v>7.6571428571428575</v>
      </c>
      <c r="I942" s="165">
        <f t="shared" si="101"/>
        <v>5.7428571428571429</v>
      </c>
      <c r="J942" s="166">
        <f t="shared" si="102"/>
        <v>9.5714285714285712</v>
      </c>
      <c r="K942" s="166">
        <f t="shared" si="104"/>
        <v>9.5714285714285712</v>
      </c>
      <c r="L942" s="165">
        <f t="shared" si="103"/>
        <v>1.1499999999999999</v>
      </c>
      <c r="M942" s="168">
        <f t="shared" si="98"/>
        <v>0</v>
      </c>
      <c r="N942" s="236" t="s">
        <v>453</v>
      </c>
    </row>
    <row r="943" spans="1:14" ht="14">
      <c r="A943" s="149">
        <v>942</v>
      </c>
      <c r="B943" s="235" t="s">
        <v>52</v>
      </c>
      <c r="C943" s="231" t="s">
        <v>10</v>
      </c>
      <c r="D943" s="250" t="s">
        <v>2433</v>
      </c>
      <c r="E943" s="281">
        <v>0</v>
      </c>
      <c r="F943" s="249">
        <v>600</v>
      </c>
      <c r="G943" s="164">
        <f t="shared" si="99"/>
        <v>3.8285714285714287</v>
      </c>
      <c r="H943" s="165">
        <f t="shared" si="100"/>
        <v>7.6571428571428575</v>
      </c>
      <c r="I943" s="165">
        <f t="shared" si="101"/>
        <v>5.7428571428571429</v>
      </c>
      <c r="J943" s="166">
        <f t="shared" si="102"/>
        <v>9.5714285714285712</v>
      </c>
      <c r="K943" s="166">
        <f t="shared" si="104"/>
        <v>9.5714285714285712</v>
      </c>
      <c r="L943" s="165">
        <f t="shared" si="103"/>
        <v>1.1499999999999999</v>
      </c>
      <c r="M943" s="168">
        <f t="shared" si="98"/>
        <v>0</v>
      </c>
      <c r="N943" s="236" t="s">
        <v>453</v>
      </c>
    </row>
    <row r="944" spans="1:14" ht="14">
      <c r="A944" s="149">
        <v>943</v>
      </c>
      <c r="B944" s="235" t="s">
        <v>52</v>
      </c>
      <c r="C944" s="231" t="s">
        <v>10</v>
      </c>
      <c r="D944" s="250" t="s">
        <v>2435</v>
      </c>
      <c r="E944" s="281">
        <v>0</v>
      </c>
      <c r="F944" s="249">
        <v>300</v>
      </c>
      <c r="G944" s="164">
        <f t="shared" si="99"/>
        <v>2.1142857142857143</v>
      </c>
      <c r="H944" s="165">
        <f t="shared" si="100"/>
        <v>4.2285714285714286</v>
      </c>
      <c r="I944" s="165">
        <f t="shared" si="101"/>
        <v>3.1714285714285713</v>
      </c>
      <c r="J944" s="166">
        <f t="shared" si="102"/>
        <v>5.2857142857142856</v>
      </c>
      <c r="K944" s="166">
        <f t="shared" si="104"/>
        <v>5.2857142857142856</v>
      </c>
      <c r="L944" s="165">
        <f t="shared" si="103"/>
        <v>1.075</v>
      </c>
      <c r="M944" s="168">
        <f t="shared" si="98"/>
        <v>0</v>
      </c>
      <c r="N944" s="236" t="s">
        <v>453</v>
      </c>
    </row>
    <row r="945" spans="1:14" ht="14">
      <c r="A945" s="149">
        <v>944</v>
      </c>
      <c r="B945" s="235" t="s">
        <v>49</v>
      </c>
      <c r="C945" s="231" t="s">
        <v>10</v>
      </c>
      <c r="D945" s="250" t="s">
        <v>2437</v>
      </c>
      <c r="E945" s="281">
        <v>0</v>
      </c>
      <c r="F945" s="249">
        <v>2500</v>
      </c>
      <c r="G945" s="164">
        <f t="shared" si="99"/>
        <v>14.685714285714287</v>
      </c>
      <c r="H945" s="165">
        <f t="shared" si="100"/>
        <v>29.371428571428574</v>
      </c>
      <c r="I945" s="165">
        <f t="shared" si="101"/>
        <v>22.028571428571428</v>
      </c>
      <c r="J945" s="166">
        <f t="shared" si="102"/>
        <v>36.714285714285715</v>
      </c>
      <c r="K945" s="166">
        <f t="shared" si="104"/>
        <v>36.714285714285715</v>
      </c>
      <c r="L945" s="165">
        <f t="shared" si="103"/>
        <v>1.625</v>
      </c>
      <c r="M945" s="168">
        <f t="shared" si="98"/>
        <v>0</v>
      </c>
      <c r="N945" s="236" t="s">
        <v>453</v>
      </c>
    </row>
    <row r="946" spans="1:14" ht="14">
      <c r="A946" s="149">
        <v>945</v>
      </c>
      <c r="B946" s="235" t="s">
        <v>49</v>
      </c>
      <c r="C946" s="231" t="s">
        <v>10</v>
      </c>
      <c r="D946" s="250" t="s">
        <v>2439</v>
      </c>
      <c r="E946" s="281">
        <v>0</v>
      </c>
      <c r="F946" s="249">
        <v>2700</v>
      </c>
      <c r="G946" s="164">
        <f t="shared" si="99"/>
        <v>15.828571428571429</v>
      </c>
      <c r="H946" s="165">
        <f t="shared" si="100"/>
        <v>31.657142857142858</v>
      </c>
      <c r="I946" s="165">
        <f t="shared" si="101"/>
        <v>23.74285714285714</v>
      </c>
      <c r="J946" s="166">
        <f t="shared" si="102"/>
        <v>39.571428571428569</v>
      </c>
      <c r="K946" s="166">
        <f t="shared" si="104"/>
        <v>39.571428571428569</v>
      </c>
      <c r="L946" s="165">
        <f t="shared" si="103"/>
        <v>1.675</v>
      </c>
      <c r="M946" s="168">
        <f t="shared" si="98"/>
        <v>0</v>
      </c>
      <c r="N946" s="236" t="s">
        <v>453</v>
      </c>
    </row>
    <row r="947" spans="1:14" ht="14">
      <c r="A947" s="149">
        <v>946</v>
      </c>
      <c r="B947" s="235" t="s">
        <v>52</v>
      </c>
      <c r="C947" s="231" t="s">
        <v>10</v>
      </c>
      <c r="D947" s="250" t="s">
        <v>2441</v>
      </c>
      <c r="E947" s="281">
        <v>0</v>
      </c>
      <c r="F947" s="249">
        <v>1100</v>
      </c>
      <c r="G947" s="164">
        <f t="shared" si="99"/>
        <v>6.6857142857142868</v>
      </c>
      <c r="H947" s="165">
        <f t="shared" si="100"/>
        <v>13.371428571428574</v>
      </c>
      <c r="I947" s="165">
        <f t="shared" si="101"/>
        <v>10.028571428571428</v>
      </c>
      <c r="J947" s="166">
        <f t="shared" si="102"/>
        <v>16.714285714285715</v>
      </c>
      <c r="K947" s="166">
        <f t="shared" si="104"/>
        <v>16.714285714285715</v>
      </c>
      <c r="L947" s="165">
        <f t="shared" si="103"/>
        <v>1.2749999999999999</v>
      </c>
      <c r="M947" s="168">
        <f t="shared" si="98"/>
        <v>0</v>
      </c>
      <c r="N947" s="236" t="s">
        <v>453</v>
      </c>
    </row>
    <row r="948" spans="1:14" ht="14">
      <c r="A948" s="149">
        <v>947</v>
      </c>
      <c r="B948" s="235" t="s">
        <v>52</v>
      </c>
      <c r="C948" s="231" t="s">
        <v>10</v>
      </c>
      <c r="D948" s="250" t="s">
        <v>2443</v>
      </c>
      <c r="E948" s="281">
        <v>0</v>
      </c>
      <c r="F948" s="249">
        <v>800</v>
      </c>
      <c r="G948" s="164">
        <f t="shared" si="99"/>
        <v>4.9714285714285715</v>
      </c>
      <c r="H948" s="165">
        <f t="shared" si="100"/>
        <v>9.9428571428571431</v>
      </c>
      <c r="I948" s="165">
        <f t="shared" si="101"/>
        <v>7.4571428571428573</v>
      </c>
      <c r="J948" s="166">
        <f t="shared" si="102"/>
        <v>12.428571428571429</v>
      </c>
      <c r="K948" s="166">
        <f t="shared" si="104"/>
        <v>12.428571428571429</v>
      </c>
      <c r="L948" s="165">
        <f t="shared" si="103"/>
        <v>1.2</v>
      </c>
      <c r="M948" s="168">
        <f t="shared" si="98"/>
        <v>0</v>
      </c>
      <c r="N948" s="236" t="s">
        <v>453</v>
      </c>
    </row>
    <row r="949" spans="1:14" ht="14">
      <c r="A949" s="149">
        <v>948</v>
      </c>
      <c r="B949" s="235" t="s">
        <v>49</v>
      </c>
      <c r="C949" s="231" t="s">
        <v>10</v>
      </c>
      <c r="D949" s="250" t="s">
        <v>4592</v>
      </c>
      <c r="E949" s="281">
        <v>0</v>
      </c>
      <c r="F949" s="249">
        <v>300</v>
      </c>
      <c r="G949" s="164">
        <f t="shared" si="99"/>
        <v>2.1142857142857143</v>
      </c>
      <c r="H949" s="165">
        <f t="shared" si="100"/>
        <v>4.2285714285714286</v>
      </c>
      <c r="I949" s="165">
        <f t="shared" si="101"/>
        <v>3.1714285714285713</v>
      </c>
      <c r="J949" s="166">
        <f t="shared" si="102"/>
        <v>5.2857142857142856</v>
      </c>
      <c r="K949" s="166">
        <f t="shared" si="104"/>
        <v>5.2857142857142856</v>
      </c>
      <c r="L949" s="165">
        <f t="shared" si="103"/>
        <v>1.075</v>
      </c>
      <c r="M949" s="168">
        <f t="shared" si="98"/>
        <v>0</v>
      </c>
      <c r="N949" s="236" t="s">
        <v>453</v>
      </c>
    </row>
    <row r="950" spans="1:14" ht="14">
      <c r="A950" s="149">
        <v>949</v>
      </c>
      <c r="B950" s="235" t="s">
        <v>52</v>
      </c>
      <c r="C950" s="231" t="s">
        <v>10</v>
      </c>
      <c r="D950" s="250" t="s">
        <v>2447</v>
      </c>
      <c r="E950" s="281">
        <v>0</v>
      </c>
      <c r="F950" s="249">
        <v>350</v>
      </c>
      <c r="G950" s="164">
        <f t="shared" si="99"/>
        <v>2.4000000000000004</v>
      </c>
      <c r="H950" s="165">
        <f t="shared" si="100"/>
        <v>4.8000000000000007</v>
      </c>
      <c r="I950" s="165">
        <f t="shared" si="101"/>
        <v>3.5999999999999996</v>
      </c>
      <c r="J950" s="166">
        <f t="shared" si="102"/>
        <v>6</v>
      </c>
      <c r="K950" s="166">
        <f t="shared" si="104"/>
        <v>6</v>
      </c>
      <c r="L950" s="165">
        <f t="shared" si="103"/>
        <v>1.0874999999999999</v>
      </c>
      <c r="M950" s="168">
        <f t="shared" si="98"/>
        <v>0</v>
      </c>
      <c r="N950" s="236" t="s">
        <v>453</v>
      </c>
    </row>
    <row r="951" spans="1:14" ht="14">
      <c r="A951" s="149">
        <v>950</v>
      </c>
      <c r="B951" s="235" t="s">
        <v>52</v>
      </c>
      <c r="C951" s="231" t="s">
        <v>10</v>
      </c>
      <c r="D951" s="250" t="s">
        <v>2450</v>
      </c>
      <c r="E951" s="281">
        <v>0</v>
      </c>
      <c r="F951" s="249">
        <v>350</v>
      </c>
      <c r="G951" s="164">
        <f t="shared" si="99"/>
        <v>2.4000000000000004</v>
      </c>
      <c r="H951" s="165">
        <f t="shared" si="100"/>
        <v>4.8000000000000007</v>
      </c>
      <c r="I951" s="165">
        <f t="shared" si="101"/>
        <v>3.5999999999999996</v>
      </c>
      <c r="J951" s="166">
        <f t="shared" si="102"/>
        <v>6</v>
      </c>
      <c r="K951" s="166">
        <f t="shared" si="104"/>
        <v>6</v>
      </c>
      <c r="L951" s="165">
        <f t="shared" si="103"/>
        <v>1.0874999999999999</v>
      </c>
      <c r="M951" s="168">
        <f t="shared" si="98"/>
        <v>0</v>
      </c>
      <c r="N951" s="236" t="s">
        <v>453</v>
      </c>
    </row>
    <row r="952" spans="1:14" ht="14">
      <c r="A952" s="149">
        <v>951</v>
      </c>
      <c r="B952" s="235" t="s">
        <v>52</v>
      </c>
      <c r="C952" s="231" t="s">
        <v>10</v>
      </c>
      <c r="D952" s="250" t="s">
        <v>2452</v>
      </c>
      <c r="E952" s="281">
        <v>0</v>
      </c>
      <c r="F952" s="249">
        <v>400</v>
      </c>
      <c r="G952" s="164">
        <f t="shared" si="99"/>
        <v>2.6857142857142859</v>
      </c>
      <c r="H952" s="165">
        <f t="shared" si="100"/>
        <v>5.3714285714285719</v>
      </c>
      <c r="I952" s="165">
        <f t="shared" si="101"/>
        <v>4.0285714285714285</v>
      </c>
      <c r="J952" s="166">
        <f t="shared" si="102"/>
        <v>6.7142857142857144</v>
      </c>
      <c r="K952" s="166">
        <f t="shared" si="104"/>
        <v>6.7142857142857144</v>
      </c>
      <c r="L952" s="165">
        <f t="shared" si="103"/>
        <v>1.1000000000000001</v>
      </c>
      <c r="M952" s="168">
        <f t="shared" si="98"/>
        <v>0</v>
      </c>
      <c r="N952" s="236" t="s">
        <v>453</v>
      </c>
    </row>
    <row r="953" spans="1:14" ht="14">
      <c r="A953" s="149">
        <v>952</v>
      </c>
      <c r="B953" s="235" t="s">
        <v>49</v>
      </c>
      <c r="C953" s="231" t="s">
        <v>10</v>
      </c>
      <c r="D953" s="250" t="s">
        <v>2454</v>
      </c>
      <c r="E953" s="281">
        <v>0</v>
      </c>
      <c r="F953" s="249">
        <v>4600</v>
      </c>
      <c r="G953" s="164">
        <f t="shared" si="99"/>
        <v>26.685714285714283</v>
      </c>
      <c r="H953" s="165">
        <f t="shared" si="100"/>
        <v>53.371428571428567</v>
      </c>
      <c r="I953" s="165">
        <f t="shared" si="101"/>
        <v>40.028571428571425</v>
      </c>
      <c r="J953" s="166">
        <f t="shared" si="102"/>
        <v>66.714285714285708</v>
      </c>
      <c r="K953" s="166">
        <f t="shared" si="104"/>
        <v>66.714285714285708</v>
      </c>
      <c r="L953" s="165">
        <f t="shared" si="103"/>
        <v>2.15</v>
      </c>
      <c r="M953" s="168">
        <f t="shared" si="98"/>
        <v>0</v>
      </c>
      <c r="N953" s="236" t="s">
        <v>453</v>
      </c>
    </row>
    <row r="954" spans="1:14" ht="14">
      <c r="A954" s="149">
        <v>953</v>
      </c>
      <c r="B954" s="235" t="s">
        <v>52</v>
      </c>
      <c r="C954" s="231" t="s">
        <v>10</v>
      </c>
      <c r="D954" s="250" t="s">
        <v>2456</v>
      </c>
      <c r="E954" s="281">
        <v>0</v>
      </c>
      <c r="F954" s="249">
        <v>600</v>
      </c>
      <c r="G954" s="164">
        <f t="shared" si="99"/>
        <v>3.8285714285714287</v>
      </c>
      <c r="H954" s="165">
        <f t="shared" si="100"/>
        <v>7.6571428571428575</v>
      </c>
      <c r="I954" s="165">
        <f t="shared" si="101"/>
        <v>5.7428571428571429</v>
      </c>
      <c r="J954" s="166">
        <f t="shared" si="102"/>
        <v>9.5714285714285712</v>
      </c>
      <c r="K954" s="166">
        <f t="shared" si="104"/>
        <v>9.5714285714285712</v>
      </c>
      <c r="L954" s="165">
        <f t="shared" si="103"/>
        <v>1.1499999999999999</v>
      </c>
      <c r="M954" s="168">
        <f t="shared" si="98"/>
        <v>0</v>
      </c>
      <c r="N954" s="236" t="s">
        <v>453</v>
      </c>
    </row>
    <row r="955" spans="1:14" ht="14">
      <c r="A955" s="149">
        <v>954</v>
      </c>
      <c r="B955" s="235" t="s">
        <v>52</v>
      </c>
      <c r="C955" s="231" t="s">
        <v>10</v>
      </c>
      <c r="D955" s="250" t="s">
        <v>2458</v>
      </c>
      <c r="E955" s="281">
        <v>0</v>
      </c>
      <c r="F955" s="249">
        <v>1200</v>
      </c>
      <c r="G955" s="164">
        <f t="shared" si="99"/>
        <v>7.2571428571428571</v>
      </c>
      <c r="H955" s="165">
        <f t="shared" si="100"/>
        <v>14.514285714285714</v>
      </c>
      <c r="I955" s="165">
        <f t="shared" si="101"/>
        <v>10.885714285714284</v>
      </c>
      <c r="J955" s="166">
        <f t="shared" si="102"/>
        <v>18.142857142857142</v>
      </c>
      <c r="K955" s="166">
        <f t="shared" si="104"/>
        <v>18.142857142857142</v>
      </c>
      <c r="L955" s="165">
        <f t="shared" si="103"/>
        <v>1.3</v>
      </c>
      <c r="M955" s="168">
        <f t="shared" si="98"/>
        <v>0</v>
      </c>
      <c r="N955" s="236" t="s">
        <v>453</v>
      </c>
    </row>
    <row r="956" spans="1:14" ht="14">
      <c r="A956" s="149">
        <v>955</v>
      </c>
      <c r="B956" s="235" t="s">
        <v>52</v>
      </c>
      <c r="C956" s="231" t="s">
        <v>10</v>
      </c>
      <c r="D956" s="250" t="s">
        <v>2460</v>
      </c>
      <c r="E956" s="281">
        <v>0</v>
      </c>
      <c r="F956" s="249">
        <v>150</v>
      </c>
      <c r="G956" s="164">
        <f t="shared" si="99"/>
        <v>1.2571428571428571</v>
      </c>
      <c r="H956" s="165">
        <f t="shared" si="100"/>
        <v>2.5142857142857142</v>
      </c>
      <c r="I956" s="165">
        <f t="shared" si="101"/>
        <v>1.8857142857142857</v>
      </c>
      <c r="J956" s="166">
        <f t="shared" si="102"/>
        <v>3.1428571428571428</v>
      </c>
      <c r="K956" s="166">
        <f t="shared" si="104"/>
        <v>3.1428571428571428</v>
      </c>
      <c r="L956" s="165">
        <f t="shared" si="103"/>
        <v>1.0375000000000001</v>
      </c>
      <c r="M956" s="168">
        <f t="shared" si="98"/>
        <v>0</v>
      </c>
      <c r="N956" s="236" t="s">
        <v>453</v>
      </c>
    </row>
    <row r="957" spans="1:14" ht="14">
      <c r="A957" s="149">
        <v>956</v>
      </c>
      <c r="B957" s="235" t="s">
        <v>52</v>
      </c>
      <c r="C957" s="231" t="s">
        <v>10</v>
      </c>
      <c r="D957" s="250" t="s">
        <v>2462</v>
      </c>
      <c r="E957" s="281">
        <v>0</v>
      </c>
      <c r="F957" s="249">
        <v>300</v>
      </c>
      <c r="G957" s="164">
        <f t="shared" si="99"/>
        <v>2.1142857142857143</v>
      </c>
      <c r="H957" s="165">
        <f t="shared" si="100"/>
        <v>4.2285714285714286</v>
      </c>
      <c r="I957" s="165">
        <f t="shared" si="101"/>
        <v>3.1714285714285713</v>
      </c>
      <c r="J957" s="166">
        <f t="shared" si="102"/>
        <v>5.2857142857142856</v>
      </c>
      <c r="K957" s="166">
        <f t="shared" si="104"/>
        <v>5.2857142857142856</v>
      </c>
      <c r="L957" s="165">
        <f t="shared" si="103"/>
        <v>1.075</v>
      </c>
      <c r="M957" s="168">
        <f t="shared" si="98"/>
        <v>0</v>
      </c>
      <c r="N957" s="236" t="s">
        <v>453</v>
      </c>
    </row>
    <row r="958" spans="1:14" ht="14">
      <c r="A958" s="149">
        <v>957</v>
      </c>
      <c r="B958" s="235" t="s">
        <v>52</v>
      </c>
      <c r="C958" s="231" t="s">
        <v>10</v>
      </c>
      <c r="D958" s="250" t="s">
        <v>2464</v>
      </c>
      <c r="E958" s="281">
        <v>0</v>
      </c>
      <c r="F958" s="249">
        <v>300</v>
      </c>
      <c r="G958" s="164">
        <f t="shared" si="99"/>
        <v>2.1142857142857143</v>
      </c>
      <c r="H958" s="165">
        <f t="shared" si="100"/>
        <v>4.2285714285714286</v>
      </c>
      <c r="I958" s="165">
        <f t="shared" si="101"/>
        <v>3.1714285714285713</v>
      </c>
      <c r="J958" s="166">
        <f t="shared" si="102"/>
        <v>5.2857142857142856</v>
      </c>
      <c r="K958" s="166">
        <f t="shared" si="104"/>
        <v>5.2857142857142856</v>
      </c>
      <c r="L958" s="165">
        <f t="shared" si="103"/>
        <v>1.075</v>
      </c>
      <c r="M958" s="168">
        <f t="shared" si="98"/>
        <v>0</v>
      </c>
      <c r="N958" s="236" t="s">
        <v>453</v>
      </c>
    </row>
    <row r="959" spans="1:14" ht="14">
      <c r="A959" s="149">
        <v>958</v>
      </c>
      <c r="B959" s="235" t="s">
        <v>52</v>
      </c>
      <c r="C959" s="231" t="s">
        <v>10</v>
      </c>
      <c r="D959" s="250" t="s">
        <v>2466</v>
      </c>
      <c r="E959" s="281">
        <v>0</v>
      </c>
      <c r="F959" s="249">
        <v>300</v>
      </c>
      <c r="G959" s="164">
        <f t="shared" si="99"/>
        <v>2.1142857142857143</v>
      </c>
      <c r="H959" s="165">
        <f t="shared" si="100"/>
        <v>4.2285714285714286</v>
      </c>
      <c r="I959" s="165">
        <f t="shared" si="101"/>
        <v>3.1714285714285713</v>
      </c>
      <c r="J959" s="166">
        <f t="shared" si="102"/>
        <v>5.2857142857142856</v>
      </c>
      <c r="K959" s="166">
        <f t="shared" si="104"/>
        <v>5.2857142857142856</v>
      </c>
      <c r="L959" s="165">
        <f t="shared" si="103"/>
        <v>1.075</v>
      </c>
      <c r="M959" s="168">
        <f t="shared" si="98"/>
        <v>0</v>
      </c>
      <c r="N959" s="236" t="s">
        <v>453</v>
      </c>
    </row>
    <row r="960" spans="1:14" ht="14">
      <c r="A960" s="149">
        <v>959</v>
      </c>
      <c r="B960" s="235" t="s">
        <v>52</v>
      </c>
      <c r="C960" s="231" t="s">
        <v>10</v>
      </c>
      <c r="D960" s="250" t="s">
        <v>2469</v>
      </c>
      <c r="E960" s="281">
        <v>0</v>
      </c>
      <c r="F960" s="249">
        <v>300</v>
      </c>
      <c r="G960" s="164">
        <f t="shared" si="99"/>
        <v>2.1142857142857143</v>
      </c>
      <c r="H960" s="165">
        <f t="shared" si="100"/>
        <v>4.2285714285714286</v>
      </c>
      <c r="I960" s="165">
        <f t="shared" si="101"/>
        <v>3.1714285714285713</v>
      </c>
      <c r="J960" s="166">
        <f t="shared" si="102"/>
        <v>5.2857142857142856</v>
      </c>
      <c r="K960" s="166">
        <f t="shared" si="104"/>
        <v>5.2857142857142856</v>
      </c>
      <c r="L960" s="165">
        <f t="shared" si="103"/>
        <v>1.075</v>
      </c>
      <c r="M960" s="168">
        <f t="shared" si="98"/>
        <v>0</v>
      </c>
      <c r="N960" s="236" t="s">
        <v>453</v>
      </c>
    </row>
    <row r="961" spans="1:14" ht="14">
      <c r="A961" s="149">
        <v>960</v>
      </c>
      <c r="B961" s="235" t="s">
        <v>52</v>
      </c>
      <c r="C961" s="231" t="s">
        <v>10</v>
      </c>
      <c r="D961" s="250" t="s">
        <v>2472</v>
      </c>
      <c r="E961" s="281">
        <v>0</v>
      </c>
      <c r="F961" s="249">
        <v>300</v>
      </c>
      <c r="G961" s="164">
        <f t="shared" si="99"/>
        <v>2.1142857142857143</v>
      </c>
      <c r="H961" s="165">
        <f t="shared" si="100"/>
        <v>4.2285714285714286</v>
      </c>
      <c r="I961" s="165">
        <f t="shared" si="101"/>
        <v>3.1714285714285713</v>
      </c>
      <c r="J961" s="166">
        <f t="shared" si="102"/>
        <v>5.2857142857142856</v>
      </c>
      <c r="K961" s="166">
        <f t="shared" si="104"/>
        <v>5.2857142857142856</v>
      </c>
      <c r="L961" s="165">
        <f t="shared" si="103"/>
        <v>1.075</v>
      </c>
      <c r="M961" s="168">
        <f t="shared" si="98"/>
        <v>0</v>
      </c>
      <c r="N961" s="236" t="s">
        <v>453</v>
      </c>
    </row>
    <row r="962" spans="1:14" ht="14">
      <c r="A962" s="149">
        <v>961</v>
      </c>
      <c r="B962" s="235" t="s">
        <v>52</v>
      </c>
      <c r="C962" s="231" t="s">
        <v>10</v>
      </c>
      <c r="D962" s="250" t="s">
        <v>2475</v>
      </c>
      <c r="E962" s="281">
        <v>0</v>
      </c>
      <c r="F962" s="249">
        <v>300</v>
      </c>
      <c r="G962" s="164">
        <f t="shared" si="99"/>
        <v>2.1142857142857143</v>
      </c>
      <c r="H962" s="165">
        <f t="shared" si="100"/>
        <v>4.2285714285714286</v>
      </c>
      <c r="I962" s="165">
        <f t="shared" si="101"/>
        <v>3.1714285714285713</v>
      </c>
      <c r="J962" s="166">
        <f t="shared" si="102"/>
        <v>5.2857142857142856</v>
      </c>
      <c r="K962" s="166">
        <f t="shared" si="104"/>
        <v>5.2857142857142856</v>
      </c>
      <c r="L962" s="165">
        <f t="shared" si="103"/>
        <v>1.075</v>
      </c>
      <c r="M962" s="168">
        <f t="shared" ref="M962:M1025" si="105">E962/60</f>
        <v>0</v>
      </c>
      <c r="N962" s="236" t="s">
        <v>453</v>
      </c>
    </row>
    <row r="963" spans="1:14" ht="14">
      <c r="A963" s="149">
        <v>962</v>
      </c>
      <c r="B963" s="235" t="s">
        <v>52</v>
      </c>
      <c r="C963" s="231" t="s">
        <v>10</v>
      </c>
      <c r="D963" s="250" t="s">
        <v>2478</v>
      </c>
      <c r="E963" s="281">
        <v>0</v>
      </c>
      <c r="F963" s="249">
        <v>1000</v>
      </c>
      <c r="G963" s="164">
        <f t="shared" ref="G963:G978" si="106">(((F963/70)+1)*0.4)</f>
        <v>6.1142857142857148</v>
      </c>
      <c r="H963" s="165">
        <f t="shared" ref="H963:H978" si="107">G963*2</f>
        <v>12.22857142857143</v>
      </c>
      <c r="I963" s="165">
        <f t="shared" ref="I963:I978" si="108">(((F963/70)+1)*0.6)</f>
        <v>9.1714285714285708</v>
      </c>
      <c r="J963" s="166">
        <f t="shared" ref="J963:J978" si="109">I963+G963</f>
        <v>15.285714285714285</v>
      </c>
      <c r="K963" s="166">
        <f t="shared" si="104"/>
        <v>15.285714285714285</v>
      </c>
      <c r="L963" s="165">
        <f t="shared" ref="L963:L978" si="110">(F963/4000)+1</f>
        <v>1.25</v>
      </c>
      <c r="M963" s="168">
        <f t="shared" si="105"/>
        <v>0</v>
      </c>
      <c r="N963" s="236" t="s">
        <v>453</v>
      </c>
    </row>
    <row r="964" spans="1:14" ht="14">
      <c r="A964" s="149">
        <v>963</v>
      </c>
      <c r="B964" s="235" t="s">
        <v>52</v>
      </c>
      <c r="C964" s="231" t="s">
        <v>10</v>
      </c>
      <c r="D964" s="250" t="s">
        <v>2480</v>
      </c>
      <c r="E964" s="281">
        <v>0</v>
      </c>
      <c r="F964" s="249">
        <v>100</v>
      </c>
      <c r="G964" s="164">
        <f t="shared" si="106"/>
        <v>0.97142857142857153</v>
      </c>
      <c r="H964" s="165">
        <f t="shared" si="107"/>
        <v>1.9428571428571431</v>
      </c>
      <c r="I964" s="165">
        <f t="shared" si="108"/>
        <v>1.4571428571428573</v>
      </c>
      <c r="J964" s="166">
        <f t="shared" si="109"/>
        <v>2.4285714285714288</v>
      </c>
      <c r="K964" s="166">
        <f t="shared" ref="K964:K978" si="111">J964</f>
        <v>2.4285714285714288</v>
      </c>
      <c r="L964" s="165">
        <f t="shared" si="110"/>
        <v>1.0249999999999999</v>
      </c>
      <c r="M964" s="168">
        <f t="shared" si="105"/>
        <v>0</v>
      </c>
      <c r="N964" s="236" t="s">
        <v>453</v>
      </c>
    </row>
    <row r="965" spans="1:14" ht="14">
      <c r="A965" s="149">
        <v>964</v>
      </c>
      <c r="B965" s="235" t="s">
        <v>55</v>
      </c>
      <c r="C965" s="231" t="s">
        <v>10</v>
      </c>
      <c r="D965" s="250" t="s">
        <v>2482</v>
      </c>
      <c r="E965" s="281">
        <v>0</v>
      </c>
      <c r="F965" s="249">
        <v>4800</v>
      </c>
      <c r="G965" s="164">
        <f t="shared" si="106"/>
        <v>27.828571428571429</v>
      </c>
      <c r="H965" s="165">
        <f t="shared" si="107"/>
        <v>55.657142857142858</v>
      </c>
      <c r="I965" s="165">
        <f t="shared" si="108"/>
        <v>41.74285714285714</v>
      </c>
      <c r="J965" s="166">
        <f t="shared" si="109"/>
        <v>69.571428571428569</v>
      </c>
      <c r="K965" s="166">
        <f t="shared" si="111"/>
        <v>69.571428571428569</v>
      </c>
      <c r="L965" s="165">
        <f t="shared" si="110"/>
        <v>2.2000000000000002</v>
      </c>
      <c r="M965" s="168">
        <f t="shared" si="105"/>
        <v>0</v>
      </c>
      <c r="N965" s="236" t="s">
        <v>453</v>
      </c>
    </row>
    <row r="966" spans="1:14" ht="14">
      <c r="A966" s="149">
        <v>965</v>
      </c>
      <c r="B966" s="235" t="s">
        <v>52</v>
      </c>
      <c r="C966" s="231" t="s">
        <v>10</v>
      </c>
      <c r="D966" s="250" t="s">
        <v>2484</v>
      </c>
      <c r="E966" s="281">
        <v>0</v>
      </c>
      <c r="F966" s="249">
        <v>2500</v>
      </c>
      <c r="G966" s="164">
        <f t="shared" si="106"/>
        <v>14.685714285714287</v>
      </c>
      <c r="H966" s="165">
        <f t="shared" si="107"/>
        <v>29.371428571428574</v>
      </c>
      <c r="I966" s="165">
        <f t="shared" si="108"/>
        <v>22.028571428571428</v>
      </c>
      <c r="J966" s="166">
        <f t="shared" si="109"/>
        <v>36.714285714285715</v>
      </c>
      <c r="K966" s="166">
        <f t="shared" si="111"/>
        <v>36.714285714285715</v>
      </c>
      <c r="L966" s="165">
        <f t="shared" si="110"/>
        <v>1.625</v>
      </c>
      <c r="M966" s="168">
        <f t="shared" si="105"/>
        <v>0</v>
      </c>
      <c r="N966" s="236" t="s">
        <v>453</v>
      </c>
    </row>
    <row r="967" spans="1:14" ht="14">
      <c r="A967" s="149">
        <v>966</v>
      </c>
      <c r="B967" s="235" t="s">
        <v>52</v>
      </c>
      <c r="C967" s="231" t="s">
        <v>10</v>
      </c>
      <c r="D967" s="250" t="s">
        <v>2486</v>
      </c>
      <c r="E967" s="281">
        <v>0</v>
      </c>
      <c r="F967" s="249">
        <v>4000</v>
      </c>
      <c r="G967" s="164">
        <f t="shared" si="106"/>
        <v>23.25714285714286</v>
      </c>
      <c r="H967" s="165">
        <f t="shared" si="107"/>
        <v>46.51428571428572</v>
      </c>
      <c r="I967" s="165">
        <f t="shared" si="108"/>
        <v>34.885714285714286</v>
      </c>
      <c r="J967" s="166">
        <f t="shared" si="109"/>
        <v>58.142857142857146</v>
      </c>
      <c r="K967" s="166">
        <f t="shared" si="111"/>
        <v>58.142857142857146</v>
      </c>
      <c r="L967" s="165">
        <f t="shared" si="110"/>
        <v>2</v>
      </c>
      <c r="M967" s="168">
        <f t="shared" si="105"/>
        <v>0</v>
      </c>
      <c r="N967" s="236" t="s">
        <v>453</v>
      </c>
    </row>
    <row r="968" spans="1:14" ht="14">
      <c r="A968" s="149">
        <v>967</v>
      </c>
      <c r="B968" s="235" t="s">
        <v>52</v>
      </c>
      <c r="C968" s="231" t="s">
        <v>10</v>
      </c>
      <c r="D968" s="250" t="s">
        <v>2488</v>
      </c>
      <c r="E968" s="281">
        <v>0</v>
      </c>
      <c r="F968" s="249">
        <v>300</v>
      </c>
      <c r="G968" s="164">
        <f t="shared" si="106"/>
        <v>2.1142857142857143</v>
      </c>
      <c r="H968" s="165">
        <f t="shared" si="107"/>
        <v>4.2285714285714286</v>
      </c>
      <c r="I968" s="165">
        <f t="shared" si="108"/>
        <v>3.1714285714285713</v>
      </c>
      <c r="J968" s="166">
        <f t="shared" si="109"/>
        <v>5.2857142857142856</v>
      </c>
      <c r="K968" s="166">
        <f t="shared" si="111"/>
        <v>5.2857142857142856</v>
      </c>
      <c r="L968" s="165">
        <f t="shared" si="110"/>
        <v>1.075</v>
      </c>
      <c r="M968" s="168">
        <f t="shared" si="105"/>
        <v>0</v>
      </c>
      <c r="N968" s="236" t="s">
        <v>453</v>
      </c>
    </row>
    <row r="969" spans="1:14" ht="14">
      <c r="A969" s="149">
        <v>968</v>
      </c>
      <c r="B969" s="231" t="s">
        <v>61</v>
      </c>
      <c r="C969" s="231" t="s">
        <v>11</v>
      </c>
      <c r="D969" s="250" t="s">
        <v>2489</v>
      </c>
      <c r="E969" s="281">
        <v>0</v>
      </c>
      <c r="F969" s="249">
        <v>1400</v>
      </c>
      <c r="G969" s="164">
        <f t="shared" si="106"/>
        <v>8.4</v>
      </c>
      <c r="H969" s="165">
        <f t="shared" si="107"/>
        <v>16.8</v>
      </c>
      <c r="I969" s="165">
        <f t="shared" si="108"/>
        <v>12.6</v>
      </c>
      <c r="J969" s="166">
        <f t="shared" si="109"/>
        <v>21</v>
      </c>
      <c r="K969" s="166">
        <f t="shared" si="111"/>
        <v>21</v>
      </c>
      <c r="L969" s="165">
        <f t="shared" si="110"/>
        <v>1.35</v>
      </c>
      <c r="M969" s="168">
        <f t="shared" si="105"/>
        <v>0</v>
      </c>
      <c r="N969" s="236" t="s">
        <v>453</v>
      </c>
    </row>
    <row r="970" spans="1:14" ht="14">
      <c r="A970" s="149">
        <v>969</v>
      </c>
      <c r="B970" s="235" t="s">
        <v>50</v>
      </c>
      <c r="C970" s="231" t="s">
        <v>10</v>
      </c>
      <c r="D970" s="250" t="s">
        <v>2492</v>
      </c>
      <c r="E970" s="281">
        <v>0</v>
      </c>
      <c r="F970" s="249">
        <v>2000</v>
      </c>
      <c r="G970" s="164">
        <f t="shared" si="106"/>
        <v>11.828571428571429</v>
      </c>
      <c r="H970" s="165">
        <f t="shared" si="107"/>
        <v>23.657142857142858</v>
      </c>
      <c r="I970" s="165">
        <f t="shared" si="108"/>
        <v>17.742857142857144</v>
      </c>
      <c r="J970" s="166">
        <f t="shared" si="109"/>
        <v>29.571428571428573</v>
      </c>
      <c r="K970" s="166">
        <f t="shared" si="111"/>
        <v>29.571428571428573</v>
      </c>
      <c r="L970" s="165">
        <f t="shared" si="110"/>
        <v>1.5</v>
      </c>
      <c r="M970" s="168">
        <f t="shared" si="105"/>
        <v>0</v>
      </c>
      <c r="N970" s="236" t="s">
        <v>453</v>
      </c>
    </row>
    <row r="971" spans="1:14" ht="14">
      <c r="A971" s="149">
        <v>970</v>
      </c>
      <c r="B971" s="235" t="s">
        <v>52</v>
      </c>
      <c r="C971" s="231" t="s">
        <v>10</v>
      </c>
      <c r="D971" s="250" t="s">
        <v>2495</v>
      </c>
      <c r="E971" s="281">
        <v>0</v>
      </c>
      <c r="F971" s="249">
        <v>1000</v>
      </c>
      <c r="G971" s="164">
        <f t="shared" si="106"/>
        <v>6.1142857142857148</v>
      </c>
      <c r="H971" s="165">
        <f t="shared" si="107"/>
        <v>12.22857142857143</v>
      </c>
      <c r="I971" s="165">
        <f t="shared" si="108"/>
        <v>9.1714285714285708</v>
      </c>
      <c r="J971" s="166">
        <f t="shared" si="109"/>
        <v>15.285714285714285</v>
      </c>
      <c r="K971" s="166">
        <f t="shared" si="111"/>
        <v>15.285714285714285</v>
      </c>
      <c r="L971" s="165">
        <f t="shared" si="110"/>
        <v>1.25</v>
      </c>
      <c r="M971" s="168">
        <f t="shared" si="105"/>
        <v>0</v>
      </c>
      <c r="N971" s="236" t="s">
        <v>453</v>
      </c>
    </row>
    <row r="972" spans="1:14" ht="14">
      <c r="A972" s="149">
        <v>971</v>
      </c>
      <c r="B972" s="235" t="s">
        <v>55</v>
      </c>
      <c r="C972" s="231" t="s">
        <v>10</v>
      </c>
      <c r="D972" s="250" t="s">
        <v>2497</v>
      </c>
      <c r="E972" s="281">
        <v>0</v>
      </c>
      <c r="F972" s="249">
        <v>1339</v>
      </c>
      <c r="G972" s="164">
        <f t="shared" si="106"/>
        <v>8.0514285714285716</v>
      </c>
      <c r="H972" s="165">
        <f t="shared" si="107"/>
        <v>16.102857142857143</v>
      </c>
      <c r="I972" s="165">
        <f t="shared" si="108"/>
        <v>12.077142857142858</v>
      </c>
      <c r="J972" s="166">
        <f t="shared" si="109"/>
        <v>20.12857142857143</v>
      </c>
      <c r="K972" s="166">
        <f t="shared" si="111"/>
        <v>20.12857142857143</v>
      </c>
      <c r="L972" s="165">
        <f t="shared" si="110"/>
        <v>1.3347500000000001</v>
      </c>
      <c r="M972" s="168">
        <f t="shared" si="105"/>
        <v>0</v>
      </c>
      <c r="N972" s="236" t="s">
        <v>453</v>
      </c>
    </row>
    <row r="973" spans="1:14" ht="14">
      <c r="A973" s="149">
        <v>972</v>
      </c>
      <c r="B973" s="235" t="s">
        <v>52</v>
      </c>
      <c r="C973" s="231" t="s">
        <v>10</v>
      </c>
      <c r="D973" s="250" t="s">
        <v>2500</v>
      </c>
      <c r="E973" s="281">
        <v>0</v>
      </c>
      <c r="F973" s="249">
        <v>1000</v>
      </c>
      <c r="G973" s="164">
        <f t="shared" si="106"/>
        <v>6.1142857142857148</v>
      </c>
      <c r="H973" s="165">
        <f t="shared" si="107"/>
        <v>12.22857142857143</v>
      </c>
      <c r="I973" s="165">
        <f t="shared" si="108"/>
        <v>9.1714285714285708</v>
      </c>
      <c r="J973" s="166">
        <f t="shared" si="109"/>
        <v>15.285714285714285</v>
      </c>
      <c r="K973" s="166">
        <f t="shared" si="111"/>
        <v>15.285714285714285</v>
      </c>
      <c r="L973" s="165">
        <f t="shared" si="110"/>
        <v>1.25</v>
      </c>
      <c r="M973" s="168">
        <f t="shared" si="105"/>
        <v>0</v>
      </c>
      <c r="N973" s="236" t="s">
        <v>453</v>
      </c>
    </row>
    <row r="974" spans="1:14" ht="14">
      <c r="A974" s="149">
        <v>973</v>
      </c>
      <c r="B974" s="235" t="s">
        <v>52</v>
      </c>
      <c r="C974" s="231" t="s">
        <v>10</v>
      </c>
      <c r="D974" s="250" t="s">
        <v>2503</v>
      </c>
      <c r="E974" s="281">
        <v>0</v>
      </c>
      <c r="F974" s="249">
        <v>1200</v>
      </c>
      <c r="G974" s="164">
        <f t="shared" si="106"/>
        <v>7.2571428571428571</v>
      </c>
      <c r="H974" s="165">
        <f t="shared" si="107"/>
        <v>14.514285714285714</v>
      </c>
      <c r="I974" s="165">
        <f t="shared" si="108"/>
        <v>10.885714285714284</v>
      </c>
      <c r="J974" s="166">
        <f t="shared" si="109"/>
        <v>18.142857142857142</v>
      </c>
      <c r="K974" s="166">
        <f t="shared" si="111"/>
        <v>18.142857142857142</v>
      </c>
      <c r="L974" s="165">
        <f t="shared" si="110"/>
        <v>1.3</v>
      </c>
      <c r="M974" s="168">
        <f t="shared" si="105"/>
        <v>0</v>
      </c>
      <c r="N974" s="236" t="s">
        <v>453</v>
      </c>
    </row>
    <row r="975" spans="1:14" ht="14">
      <c r="A975" s="149">
        <v>974</v>
      </c>
      <c r="B975" s="235" t="s">
        <v>52</v>
      </c>
      <c r="C975" s="231" t="s">
        <v>10</v>
      </c>
      <c r="D975" s="250" t="s">
        <v>2505</v>
      </c>
      <c r="E975" s="281">
        <v>0</v>
      </c>
      <c r="F975" s="249">
        <v>800</v>
      </c>
      <c r="G975" s="164">
        <f t="shared" si="106"/>
        <v>4.9714285714285715</v>
      </c>
      <c r="H975" s="165">
        <f t="shared" si="107"/>
        <v>9.9428571428571431</v>
      </c>
      <c r="I975" s="165">
        <f t="shared" si="108"/>
        <v>7.4571428571428573</v>
      </c>
      <c r="J975" s="166">
        <f t="shared" si="109"/>
        <v>12.428571428571429</v>
      </c>
      <c r="K975" s="166">
        <f t="shared" si="111"/>
        <v>12.428571428571429</v>
      </c>
      <c r="L975" s="165">
        <f t="shared" si="110"/>
        <v>1.2</v>
      </c>
      <c r="M975" s="168">
        <f t="shared" si="105"/>
        <v>0</v>
      </c>
      <c r="N975" s="236" t="s">
        <v>453</v>
      </c>
    </row>
    <row r="976" spans="1:14" ht="14">
      <c r="A976" s="149">
        <v>975</v>
      </c>
      <c r="B976" s="235" t="s">
        <v>52</v>
      </c>
      <c r="C976" s="231" t="s">
        <v>10</v>
      </c>
      <c r="D976" s="250" t="s">
        <v>2508</v>
      </c>
      <c r="E976" s="281">
        <v>0</v>
      </c>
      <c r="F976" s="249">
        <v>500</v>
      </c>
      <c r="G976" s="164">
        <f t="shared" si="106"/>
        <v>3.2571428571428571</v>
      </c>
      <c r="H976" s="165">
        <f t="shared" si="107"/>
        <v>6.5142857142857142</v>
      </c>
      <c r="I976" s="165">
        <f t="shared" si="108"/>
        <v>4.8857142857142852</v>
      </c>
      <c r="J976" s="166">
        <f t="shared" si="109"/>
        <v>8.1428571428571423</v>
      </c>
      <c r="K976" s="166">
        <f t="shared" si="111"/>
        <v>8.1428571428571423</v>
      </c>
      <c r="L976" s="165">
        <f t="shared" si="110"/>
        <v>1.125</v>
      </c>
      <c r="M976" s="168">
        <f t="shared" si="105"/>
        <v>0</v>
      </c>
      <c r="N976" s="236" t="s">
        <v>453</v>
      </c>
    </row>
    <row r="977" spans="1:14" ht="14">
      <c r="A977" s="149">
        <v>976</v>
      </c>
      <c r="B977" s="235" t="s">
        <v>52</v>
      </c>
      <c r="C977" s="231" t="s">
        <v>10</v>
      </c>
      <c r="D977" s="250" t="s">
        <v>2510</v>
      </c>
      <c r="E977" s="281">
        <v>0</v>
      </c>
      <c r="F977" s="249">
        <v>300</v>
      </c>
      <c r="G977" s="164">
        <f t="shared" si="106"/>
        <v>2.1142857142857143</v>
      </c>
      <c r="H977" s="165">
        <f t="shared" si="107"/>
        <v>4.2285714285714286</v>
      </c>
      <c r="I977" s="165">
        <f t="shared" si="108"/>
        <v>3.1714285714285713</v>
      </c>
      <c r="J977" s="166">
        <f t="shared" si="109"/>
        <v>5.2857142857142856</v>
      </c>
      <c r="K977" s="166">
        <f t="shared" si="111"/>
        <v>5.2857142857142856</v>
      </c>
      <c r="L977" s="165">
        <f t="shared" si="110"/>
        <v>1.075</v>
      </c>
      <c r="M977" s="168">
        <f t="shared" si="105"/>
        <v>0</v>
      </c>
      <c r="N977" s="236" t="s">
        <v>453</v>
      </c>
    </row>
    <row r="978" spans="1:14" ht="14">
      <c r="A978" s="149">
        <v>977</v>
      </c>
      <c r="B978" s="235" t="s">
        <v>52</v>
      </c>
      <c r="C978" s="231" t="s">
        <v>10</v>
      </c>
      <c r="D978" s="250" t="s">
        <v>2513</v>
      </c>
      <c r="E978" s="281">
        <v>0</v>
      </c>
      <c r="F978" s="249">
        <v>1400</v>
      </c>
      <c r="G978" s="164">
        <f t="shared" si="106"/>
        <v>8.4</v>
      </c>
      <c r="H978" s="165">
        <f t="shared" si="107"/>
        <v>16.8</v>
      </c>
      <c r="I978" s="165">
        <f t="shared" si="108"/>
        <v>12.6</v>
      </c>
      <c r="J978" s="166">
        <f t="shared" si="109"/>
        <v>21</v>
      </c>
      <c r="K978" s="166">
        <f t="shared" si="111"/>
        <v>21</v>
      </c>
      <c r="L978" s="165">
        <f t="shared" si="110"/>
        <v>1.35</v>
      </c>
      <c r="M978" s="168">
        <f t="shared" si="105"/>
        <v>0</v>
      </c>
      <c r="N978" s="236" t="s">
        <v>453</v>
      </c>
    </row>
    <row r="979" spans="1:14" ht="14">
      <c r="A979" s="149">
        <v>978</v>
      </c>
      <c r="B979" s="235" t="s">
        <v>52</v>
      </c>
      <c r="C979" s="231" t="s">
        <v>10</v>
      </c>
      <c r="D979" s="250" t="s">
        <v>2515</v>
      </c>
      <c r="E979" s="281">
        <v>0</v>
      </c>
      <c r="F979" s="249">
        <v>2000</v>
      </c>
      <c r="G979" s="164">
        <f t="shared" ref="G979:G1039" si="112">(((F979/70)+1)*0.4)</f>
        <v>11.828571428571429</v>
      </c>
      <c r="H979" s="165">
        <f t="shared" ref="H979:H1039" si="113">G979*2</f>
        <v>23.657142857142858</v>
      </c>
      <c r="I979" s="165">
        <f t="shared" ref="I979:I1039" si="114">(((F979/70)+1)*0.6)</f>
        <v>17.742857142857144</v>
      </c>
      <c r="J979" s="166">
        <f t="shared" ref="J979:J1039" si="115">I979+G979</f>
        <v>29.571428571428573</v>
      </c>
      <c r="K979" s="166">
        <f t="shared" ref="K979:K1039" si="116">J979</f>
        <v>29.571428571428573</v>
      </c>
      <c r="L979" s="165">
        <f t="shared" ref="L979:L1039" si="117">(F979/4000)+1</f>
        <v>1.5</v>
      </c>
      <c r="M979" s="168">
        <f t="shared" si="105"/>
        <v>0</v>
      </c>
      <c r="N979" s="236" t="s">
        <v>453</v>
      </c>
    </row>
    <row r="980" spans="1:14" ht="14">
      <c r="A980" s="149">
        <v>979</v>
      </c>
      <c r="B980" s="235" t="s">
        <v>53</v>
      </c>
      <c r="C980" s="231" t="s">
        <v>10</v>
      </c>
      <c r="D980" s="250" t="s">
        <v>2517</v>
      </c>
      <c r="E980" s="281">
        <v>0</v>
      </c>
      <c r="F980" s="249">
        <v>1300</v>
      </c>
      <c r="G980" s="164">
        <f t="shared" si="112"/>
        <v>7.8285714285714292</v>
      </c>
      <c r="H980" s="165">
        <f t="shared" si="113"/>
        <v>15.657142857142858</v>
      </c>
      <c r="I980" s="165">
        <f t="shared" si="114"/>
        <v>11.742857142857144</v>
      </c>
      <c r="J980" s="166">
        <f t="shared" si="115"/>
        <v>19.571428571428573</v>
      </c>
      <c r="K980" s="166">
        <f t="shared" si="116"/>
        <v>19.571428571428573</v>
      </c>
      <c r="L980" s="165">
        <f t="shared" si="117"/>
        <v>1.325</v>
      </c>
      <c r="M980" s="168">
        <f t="shared" si="105"/>
        <v>0</v>
      </c>
      <c r="N980" s="236" t="s">
        <v>453</v>
      </c>
    </row>
    <row r="981" spans="1:14" ht="14">
      <c r="A981" s="149">
        <v>980</v>
      </c>
      <c r="B981" s="235" t="s">
        <v>52</v>
      </c>
      <c r="C981" s="231" t="s">
        <v>10</v>
      </c>
      <c r="D981" s="250" t="s">
        <v>2520</v>
      </c>
      <c r="E981" s="281">
        <v>0</v>
      </c>
      <c r="F981" s="249">
        <v>350</v>
      </c>
      <c r="G981" s="164">
        <f t="shared" si="112"/>
        <v>2.4000000000000004</v>
      </c>
      <c r="H981" s="165">
        <f t="shared" si="113"/>
        <v>4.8000000000000007</v>
      </c>
      <c r="I981" s="165">
        <f t="shared" si="114"/>
        <v>3.5999999999999996</v>
      </c>
      <c r="J981" s="166">
        <f t="shared" si="115"/>
        <v>6</v>
      </c>
      <c r="K981" s="166">
        <f t="shared" si="116"/>
        <v>6</v>
      </c>
      <c r="L981" s="165">
        <f t="shared" si="117"/>
        <v>1.0874999999999999</v>
      </c>
      <c r="M981" s="168">
        <f t="shared" si="105"/>
        <v>0</v>
      </c>
      <c r="N981" s="236" t="s">
        <v>453</v>
      </c>
    </row>
    <row r="982" spans="1:14" ht="14">
      <c r="A982" s="149">
        <v>981</v>
      </c>
      <c r="B982" s="235" t="s">
        <v>52</v>
      </c>
      <c r="C982" s="231" t="s">
        <v>10</v>
      </c>
      <c r="D982" s="250" t="s">
        <v>2522</v>
      </c>
      <c r="E982" s="281">
        <v>0</v>
      </c>
      <c r="F982" s="249">
        <v>350</v>
      </c>
      <c r="G982" s="164">
        <f t="shared" si="112"/>
        <v>2.4000000000000004</v>
      </c>
      <c r="H982" s="165">
        <f t="shared" si="113"/>
        <v>4.8000000000000007</v>
      </c>
      <c r="I982" s="165">
        <f t="shared" si="114"/>
        <v>3.5999999999999996</v>
      </c>
      <c r="J982" s="166">
        <f t="shared" si="115"/>
        <v>6</v>
      </c>
      <c r="K982" s="166">
        <f t="shared" si="116"/>
        <v>6</v>
      </c>
      <c r="L982" s="165">
        <f t="shared" si="117"/>
        <v>1.0874999999999999</v>
      </c>
      <c r="M982" s="168">
        <f t="shared" si="105"/>
        <v>0</v>
      </c>
      <c r="N982" s="236" t="s">
        <v>453</v>
      </c>
    </row>
    <row r="983" spans="1:14" ht="14">
      <c r="A983" s="149">
        <v>982</v>
      </c>
      <c r="B983" s="235" t="s">
        <v>52</v>
      </c>
      <c r="C983" s="231" t="s">
        <v>10</v>
      </c>
      <c r="D983" s="250" t="s">
        <v>2525</v>
      </c>
      <c r="E983" s="281">
        <v>0</v>
      </c>
      <c r="F983" s="249">
        <v>300</v>
      </c>
      <c r="G983" s="164">
        <f t="shared" si="112"/>
        <v>2.1142857142857143</v>
      </c>
      <c r="H983" s="165">
        <f t="shared" si="113"/>
        <v>4.2285714285714286</v>
      </c>
      <c r="I983" s="165">
        <f t="shared" si="114"/>
        <v>3.1714285714285713</v>
      </c>
      <c r="J983" s="166">
        <f t="shared" si="115"/>
        <v>5.2857142857142856</v>
      </c>
      <c r="K983" s="166">
        <f t="shared" si="116"/>
        <v>5.2857142857142856</v>
      </c>
      <c r="L983" s="165">
        <f t="shared" si="117"/>
        <v>1.075</v>
      </c>
      <c r="M983" s="168">
        <f t="shared" si="105"/>
        <v>0</v>
      </c>
      <c r="N983" s="236" t="s">
        <v>453</v>
      </c>
    </row>
    <row r="984" spans="1:14" ht="14">
      <c r="A984" s="149">
        <v>983</v>
      </c>
      <c r="B984" s="235" t="s">
        <v>52</v>
      </c>
      <c r="C984" s="231" t="s">
        <v>10</v>
      </c>
      <c r="D984" s="250" t="s">
        <v>2527</v>
      </c>
      <c r="E984" s="281">
        <v>0</v>
      </c>
      <c r="F984" s="249">
        <v>300</v>
      </c>
      <c r="G984" s="164">
        <f t="shared" si="112"/>
        <v>2.1142857142857143</v>
      </c>
      <c r="H984" s="165">
        <f t="shared" si="113"/>
        <v>4.2285714285714286</v>
      </c>
      <c r="I984" s="165">
        <f t="shared" si="114"/>
        <v>3.1714285714285713</v>
      </c>
      <c r="J984" s="166">
        <f t="shared" si="115"/>
        <v>5.2857142857142856</v>
      </c>
      <c r="K984" s="166">
        <f t="shared" si="116"/>
        <v>5.2857142857142856</v>
      </c>
      <c r="L984" s="165">
        <f t="shared" si="117"/>
        <v>1.075</v>
      </c>
      <c r="M984" s="168">
        <f t="shared" si="105"/>
        <v>0</v>
      </c>
      <c r="N984" s="236" t="s">
        <v>453</v>
      </c>
    </row>
    <row r="985" spans="1:14" ht="14">
      <c r="A985" s="149">
        <v>984</v>
      </c>
      <c r="B985" s="235" t="s">
        <v>52</v>
      </c>
      <c r="C985" s="231" t="s">
        <v>10</v>
      </c>
      <c r="D985" s="250" t="s">
        <v>2529</v>
      </c>
      <c r="E985" s="281">
        <v>0</v>
      </c>
      <c r="F985" s="249">
        <v>300</v>
      </c>
      <c r="G985" s="164">
        <f t="shared" si="112"/>
        <v>2.1142857142857143</v>
      </c>
      <c r="H985" s="165">
        <f t="shared" si="113"/>
        <v>4.2285714285714286</v>
      </c>
      <c r="I985" s="165">
        <f t="shared" si="114"/>
        <v>3.1714285714285713</v>
      </c>
      <c r="J985" s="166">
        <f t="shared" si="115"/>
        <v>5.2857142857142856</v>
      </c>
      <c r="K985" s="166">
        <f t="shared" si="116"/>
        <v>5.2857142857142856</v>
      </c>
      <c r="L985" s="165">
        <f t="shared" si="117"/>
        <v>1.075</v>
      </c>
      <c r="M985" s="168">
        <f t="shared" si="105"/>
        <v>0</v>
      </c>
      <c r="N985" s="236" t="s">
        <v>453</v>
      </c>
    </row>
    <row r="986" spans="1:14" ht="14">
      <c r="A986" s="149">
        <v>985</v>
      </c>
      <c r="B986" s="235" t="s">
        <v>52</v>
      </c>
      <c r="C986" s="231" t="s">
        <v>10</v>
      </c>
      <c r="D986" s="250" t="s">
        <v>2531</v>
      </c>
      <c r="E986" s="281">
        <v>0</v>
      </c>
      <c r="F986" s="249">
        <v>300</v>
      </c>
      <c r="G986" s="164">
        <f t="shared" si="112"/>
        <v>2.1142857142857143</v>
      </c>
      <c r="H986" s="165">
        <f t="shared" si="113"/>
        <v>4.2285714285714286</v>
      </c>
      <c r="I986" s="165">
        <f t="shared" si="114"/>
        <v>3.1714285714285713</v>
      </c>
      <c r="J986" s="166">
        <f t="shared" si="115"/>
        <v>5.2857142857142856</v>
      </c>
      <c r="K986" s="166">
        <f t="shared" si="116"/>
        <v>5.2857142857142856</v>
      </c>
      <c r="L986" s="165">
        <f t="shared" si="117"/>
        <v>1.075</v>
      </c>
      <c r="M986" s="168">
        <f t="shared" si="105"/>
        <v>0</v>
      </c>
      <c r="N986" s="236" t="s">
        <v>453</v>
      </c>
    </row>
    <row r="987" spans="1:14" ht="14">
      <c r="A987" s="149">
        <v>986</v>
      </c>
      <c r="B987" s="235" t="s">
        <v>52</v>
      </c>
      <c r="C987" s="231" t="s">
        <v>10</v>
      </c>
      <c r="D987" s="250" t="s">
        <v>2533</v>
      </c>
      <c r="E987" s="281">
        <v>0</v>
      </c>
      <c r="F987" s="249">
        <v>300</v>
      </c>
      <c r="G987" s="164">
        <f t="shared" si="112"/>
        <v>2.1142857142857143</v>
      </c>
      <c r="H987" s="165">
        <f t="shared" si="113"/>
        <v>4.2285714285714286</v>
      </c>
      <c r="I987" s="165">
        <f t="shared" si="114"/>
        <v>3.1714285714285713</v>
      </c>
      <c r="J987" s="166">
        <f t="shared" si="115"/>
        <v>5.2857142857142856</v>
      </c>
      <c r="K987" s="166">
        <f t="shared" si="116"/>
        <v>5.2857142857142856</v>
      </c>
      <c r="L987" s="165">
        <f t="shared" si="117"/>
        <v>1.075</v>
      </c>
      <c r="M987" s="168">
        <f t="shared" si="105"/>
        <v>0</v>
      </c>
      <c r="N987" s="236" t="s">
        <v>453</v>
      </c>
    </row>
    <row r="988" spans="1:14" ht="14">
      <c r="A988" s="149">
        <v>987</v>
      </c>
      <c r="B988" s="235" t="s">
        <v>52</v>
      </c>
      <c r="C988" s="231" t="s">
        <v>10</v>
      </c>
      <c r="D988" s="250" t="s">
        <v>2535</v>
      </c>
      <c r="E988" s="281">
        <v>0</v>
      </c>
      <c r="F988" s="249">
        <v>300</v>
      </c>
      <c r="G988" s="164">
        <f t="shared" si="112"/>
        <v>2.1142857142857143</v>
      </c>
      <c r="H988" s="165">
        <f t="shared" si="113"/>
        <v>4.2285714285714286</v>
      </c>
      <c r="I988" s="165">
        <f t="shared" si="114"/>
        <v>3.1714285714285713</v>
      </c>
      <c r="J988" s="166">
        <f t="shared" si="115"/>
        <v>5.2857142857142856</v>
      </c>
      <c r="K988" s="166">
        <f t="shared" si="116"/>
        <v>5.2857142857142856</v>
      </c>
      <c r="L988" s="165">
        <f t="shared" si="117"/>
        <v>1.075</v>
      </c>
      <c r="M988" s="168">
        <f t="shared" si="105"/>
        <v>0</v>
      </c>
      <c r="N988" s="236" t="s">
        <v>453</v>
      </c>
    </row>
    <row r="989" spans="1:14" ht="14">
      <c r="A989" s="149">
        <v>988</v>
      </c>
      <c r="B989" s="235" t="s">
        <v>52</v>
      </c>
      <c r="C989" s="231" t="s">
        <v>10</v>
      </c>
      <c r="D989" s="250" t="s">
        <v>2537</v>
      </c>
      <c r="E989" s="281">
        <v>0</v>
      </c>
      <c r="F989" s="249">
        <v>300</v>
      </c>
      <c r="G989" s="164">
        <f t="shared" si="112"/>
        <v>2.1142857142857143</v>
      </c>
      <c r="H989" s="165">
        <f t="shared" si="113"/>
        <v>4.2285714285714286</v>
      </c>
      <c r="I989" s="165">
        <f t="shared" si="114"/>
        <v>3.1714285714285713</v>
      </c>
      <c r="J989" s="166">
        <f t="shared" si="115"/>
        <v>5.2857142857142856</v>
      </c>
      <c r="K989" s="166">
        <f t="shared" si="116"/>
        <v>5.2857142857142856</v>
      </c>
      <c r="L989" s="165">
        <f t="shared" si="117"/>
        <v>1.075</v>
      </c>
      <c r="M989" s="168">
        <f t="shared" si="105"/>
        <v>0</v>
      </c>
      <c r="N989" s="236" t="s">
        <v>453</v>
      </c>
    </row>
    <row r="990" spans="1:14" ht="14">
      <c r="A990" s="149">
        <v>989</v>
      </c>
      <c r="B990" s="235" t="s">
        <v>52</v>
      </c>
      <c r="C990" s="231" t="s">
        <v>10</v>
      </c>
      <c r="D990" s="250" t="s">
        <v>2539</v>
      </c>
      <c r="E990" s="281">
        <v>0</v>
      </c>
      <c r="F990" s="249">
        <v>300</v>
      </c>
      <c r="G990" s="164">
        <f t="shared" si="112"/>
        <v>2.1142857142857143</v>
      </c>
      <c r="H990" s="165">
        <f t="shared" si="113"/>
        <v>4.2285714285714286</v>
      </c>
      <c r="I990" s="165">
        <f t="shared" si="114"/>
        <v>3.1714285714285713</v>
      </c>
      <c r="J990" s="166">
        <f t="shared" si="115"/>
        <v>5.2857142857142856</v>
      </c>
      <c r="K990" s="166">
        <f t="shared" si="116"/>
        <v>5.2857142857142856</v>
      </c>
      <c r="L990" s="165">
        <f t="shared" si="117"/>
        <v>1.075</v>
      </c>
      <c r="M990" s="168">
        <f t="shared" si="105"/>
        <v>0</v>
      </c>
      <c r="N990" s="236" t="s">
        <v>453</v>
      </c>
    </row>
    <row r="991" spans="1:14" ht="14">
      <c r="A991" s="149">
        <v>990</v>
      </c>
      <c r="B991" s="235" t="s">
        <v>51</v>
      </c>
      <c r="C991" s="231" t="s">
        <v>10</v>
      </c>
      <c r="D991" s="250" t="s">
        <v>2541</v>
      </c>
      <c r="E991" s="281">
        <v>0</v>
      </c>
      <c r="F991" s="249">
        <v>300</v>
      </c>
      <c r="G991" s="164">
        <f t="shared" si="112"/>
        <v>2.1142857142857143</v>
      </c>
      <c r="H991" s="165">
        <f t="shared" si="113"/>
        <v>4.2285714285714286</v>
      </c>
      <c r="I991" s="165">
        <f t="shared" si="114"/>
        <v>3.1714285714285713</v>
      </c>
      <c r="J991" s="166">
        <f t="shared" si="115"/>
        <v>5.2857142857142856</v>
      </c>
      <c r="K991" s="166">
        <f t="shared" si="116"/>
        <v>5.2857142857142856</v>
      </c>
      <c r="L991" s="165">
        <f t="shared" si="117"/>
        <v>1.075</v>
      </c>
      <c r="M991" s="168">
        <f t="shared" si="105"/>
        <v>0</v>
      </c>
      <c r="N991" s="236" t="s">
        <v>453</v>
      </c>
    </row>
    <row r="992" spans="1:14" ht="14">
      <c r="A992" s="149">
        <v>991</v>
      </c>
      <c r="B992" s="235" t="s">
        <v>55</v>
      </c>
      <c r="C992" s="231" t="s">
        <v>10</v>
      </c>
      <c r="D992" s="250" t="s">
        <v>2544</v>
      </c>
      <c r="E992" s="281">
        <v>0</v>
      </c>
      <c r="F992" s="249">
        <v>300</v>
      </c>
      <c r="G992" s="164">
        <f t="shared" si="112"/>
        <v>2.1142857142857143</v>
      </c>
      <c r="H992" s="165">
        <f t="shared" si="113"/>
        <v>4.2285714285714286</v>
      </c>
      <c r="I992" s="165">
        <f t="shared" si="114"/>
        <v>3.1714285714285713</v>
      </c>
      <c r="J992" s="166">
        <f t="shared" si="115"/>
        <v>5.2857142857142856</v>
      </c>
      <c r="K992" s="166">
        <f t="shared" si="116"/>
        <v>5.2857142857142856</v>
      </c>
      <c r="L992" s="165">
        <f t="shared" si="117"/>
        <v>1.075</v>
      </c>
      <c r="M992" s="168">
        <f t="shared" si="105"/>
        <v>0</v>
      </c>
      <c r="N992" s="236" t="s">
        <v>453</v>
      </c>
    </row>
    <row r="993" spans="1:14" ht="14">
      <c r="A993" s="149">
        <v>992</v>
      </c>
      <c r="B993" s="235" t="s">
        <v>52</v>
      </c>
      <c r="C993" s="231" t="s">
        <v>10</v>
      </c>
      <c r="D993" s="250" t="s">
        <v>2546</v>
      </c>
      <c r="E993" s="281">
        <v>0</v>
      </c>
      <c r="F993" s="249">
        <v>300</v>
      </c>
      <c r="G993" s="164">
        <f t="shared" si="112"/>
        <v>2.1142857142857143</v>
      </c>
      <c r="H993" s="165">
        <f t="shared" si="113"/>
        <v>4.2285714285714286</v>
      </c>
      <c r="I993" s="165">
        <f t="shared" si="114"/>
        <v>3.1714285714285713</v>
      </c>
      <c r="J993" s="166">
        <f t="shared" si="115"/>
        <v>5.2857142857142856</v>
      </c>
      <c r="K993" s="166">
        <f t="shared" si="116"/>
        <v>5.2857142857142856</v>
      </c>
      <c r="L993" s="165">
        <f t="shared" si="117"/>
        <v>1.075</v>
      </c>
      <c r="M993" s="168">
        <f t="shared" si="105"/>
        <v>0</v>
      </c>
      <c r="N993" s="236" t="s">
        <v>453</v>
      </c>
    </row>
    <row r="994" spans="1:14" ht="14">
      <c r="A994" s="149">
        <v>993</v>
      </c>
      <c r="B994" s="235" t="s">
        <v>55</v>
      </c>
      <c r="C994" s="231" t="s">
        <v>10</v>
      </c>
      <c r="D994" s="250" t="s">
        <v>2548</v>
      </c>
      <c r="E994" s="281">
        <v>0</v>
      </c>
      <c r="F994" s="249">
        <v>300</v>
      </c>
      <c r="G994" s="164">
        <f t="shared" si="112"/>
        <v>2.1142857142857143</v>
      </c>
      <c r="H994" s="165">
        <f t="shared" si="113"/>
        <v>4.2285714285714286</v>
      </c>
      <c r="I994" s="165">
        <f t="shared" si="114"/>
        <v>3.1714285714285713</v>
      </c>
      <c r="J994" s="166">
        <f t="shared" si="115"/>
        <v>5.2857142857142856</v>
      </c>
      <c r="K994" s="166">
        <f t="shared" si="116"/>
        <v>5.2857142857142856</v>
      </c>
      <c r="L994" s="165">
        <f t="shared" si="117"/>
        <v>1.075</v>
      </c>
      <c r="M994" s="168">
        <f t="shared" si="105"/>
        <v>0</v>
      </c>
      <c r="N994" s="236" t="s">
        <v>453</v>
      </c>
    </row>
    <row r="995" spans="1:14" ht="14">
      <c r="A995" s="149">
        <v>994</v>
      </c>
      <c r="B995" s="235" t="s">
        <v>52</v>
      </c>
      <c r="C995" s="231" t="s">
        <v>10</v>
      </c>
      <c r="D995" s="250" t="s">
        <v>2550</v>
      </c>
      <c r="E995" s="281">
        <v>0</v>
      </c>
      <c r="F995" s="249">
        <v>300</v>
      </c>
      <c r="G995" s="164">
        <f t="shared" si="112"/>
        <v>2.1142857142857143</v>
      </c>
      <c r="H995" s="165">
        <f t="shared" si="113"/>
        <v>4.2285714285714286</v>
      </c>
      <c r="I995" s="165">
        <f t="shared" si="114"/>
        <v>3.1714285714285713</v>
      </c>
      <c r="J995" s="166">
        <f t="shared" si="115"/>
        <v>5.2857142857142856</v>
      </c>
      <c r="K995" s="166">
        <f t="shared" si="116"/>
        <v>5.2857142857142856</v>
      </c>
      <c r="L995" s="165">
        <f t="shared" si="117"/>
        <v>1.075</v>
      </c>
      <c r="M995" s="168">
        <f t="shared" si="105"/>
        <v>0</v>
      </c>
      <c r="N995" s="236" t="s">
        <v>453</v>
      </c>
    </row>
    <row r="996" spans="1:14" ht="14">
      <c r="A996" s="149">
        <v>995</v>
      </c>
      <c r="B996" s="235" t="s">
        <v>52</v>
      </c>
      <c r="C996" s="231" t="s">
        <v>10</v>
      </c>
      <c r="D996" s="250" t="s">
        <v>2552</v>
      </c>
      <c r="E996" s="281">
        <v>0</v>
      </c>
      <c r="F996" s="249">
        <v>300</v>
      </c>
      <c r="G996" s="164">
        <f t="shared" si="112"/>
        <v>2.1142857142857143</v>
      </c>
      <c r="H996" s="165">
        <f t="shared" si="113"/>
        <v>4.2285714285714286</v>
      </c>
      <c r="I996" s="165">
        <f t="shared" si="114"/>
        <v>3.1714285714285713</v>
      </c>
      <c r="J996" s="166">
        <f t="shared" si="115"/>
        <v>5.2857142857142856</v>
      </c>
      <c r="K996" s="166">
        <f t="shared" si="116"/>
        <v>5.2857142857142856</v>
      </c>
      <c r="L996" s="165">
        <f t="shared" si="117"/>
        <v>1.075</v>
      </c>
      <c r="M996" s="168">
        <f t="shared" si="105"/>
        <v>0</v>
      </c>
      <c r="N996" s="236" t="s">
        <v>453</v>
      </c>
    </row>
    <row r="997" spans="1:14" ht="14">
      <c r="A997" s="149">
        <v>996</v>
      </c>
      <c r="B997" s="235" t="s">
        <v>52</v>
      </c>
      <c r="C997" s="231" t="s">
        <v>10</v>
      </c>
      <c r="D997" s="250" t="s">
        <v>2554</v>
      </c>
      <c r="E997" s="281">
        <v>0</v>
      </c>
      <c r="F997" s="249">
        <v>300</v>
      </c>
      <c r="G997" s="164">
        <f t="shared" si="112"/>
        <v>2.1142857142857143</v>
      </c>
      <c r="H997" s="165">
        <f t="shared" si="113"/>
        <v>4.2285714285714286</v>
      </c>
      <c r="I997" s="165">
        <f t="shared" si="114"/>
        <v>3.1714285714285713</v>
      </c>
      <c r="J997" s="166">
        <f t="shared" si="115"/>
        <v>5.2857142857142856</v>
      </c>
      <c r="K997" s="166">
        <f t="shared" si="116"/>
        <v>5.2857142857142856</v>
      </c>
      <c r="L997" s="165">
        <f t="shared" si="117"/>
        <v>1.075</v>
      </c>
      <c r="M997" s="168">
        <f t="shared" si="105"/>
        <v>0</v>
      </c>
      <c r="N997" s="236" t="s">
        <v>453</v>
      </c>
    </row>
    <row r="998" spans="1:14" ht="14">
      <c r="A998" s="149">
        <v>997</v>
      </c>
      <c r="B998" s="235" t="s">
        <v>52</v>
      </c>
      <c r="C998" s="231" t="s">
        <v>10</v>
      </c>
      <c r="D998" s="250" t="s">
        <v>2556</v>
      </c>
      <c r="E998" s="281">
        <v>0</v>
      </c>
      <c r="F998" s="249">
        <v>300</v>
      </c>
      <c r="G998" s="164">
        <f t="shared" si="112"/>
        <v>2.1142857142857143</v>
      </c>
      <c r="H998" s="165">
        <f t="shared" si="113"/>
        <v>4.2285714285714286</v>
      </c>
      <c r="I998" s="165">
        <f t="shared" si="114"/>
        <v>3.1714285714285713</v>
      </c>
      <c r="J998" s="166">
        <f t="shared" si="115"/>
        <v>5.2857142857142856</v>
      </c>
      <c r="K998" s="166">
        <f t="shared" si="116"/>
        <v>5.2857142857142856</v>
      </c>
      <c r="L998" s="165">
        <f t="shared" si="117"/>
        <v>1.075</v>
      </c>
      <c r="M998" s="168">
        <f t="shared" si="105"/>
        <v>0</v>
      </c>
      <c r="N998" s="236" t="s">
        <v>453</v>
      </c>
    </row>
    <row r="999" spans="1:14" ht="14">
      <c r="A999" s="149">
        <v>998</v>
      </c>
      <c r="B999" s="235" t="s">
        <v>52</v>
      </c>
      <c r="C999" s="231" t="s">
        <v>10</v>
      </c>
      <c r="D999" s="250" t="s">
        <v>2558</v>
      </c>
      <c r="E999" s="281">
        <v>0</v>
      </c>
      <c r="F999" s="249">
        <v>300</v>
      </c>
      <c r="G999" s="164">
        <f t="shared" si="112"/>
        <v>2.1142857142857143</v>
      </c>
      <c r="H999" s="165">
        <f t="shared" si="113"/>
        <v>4.2285714285714286</v>
      </c>
      <c r="I999" s="165">
        <f t="shared" si="114"/>
        <v>3.1714285714285713</v>
      </c>
      <c r="J999" s="166">
        <f t="shared" si="115"/>
        <v>5.2857142857142856</v>
      </c>
      <c r="K999" s="166">
        <f t="shared" si="116"/>
        <v>5.2857142857142856</v>
      </c>
      <c r="L999" s="165">
        <f t="shared" si="117"/>
        <v>1.075</v>
      </c>
      <c r="M999" s="168">
        <f t="shared" si="105"/>
        <v>0</v>
      </c>
      <c r="N999" s="236" t="s">
        <v>453</v>
      </c>
    </row>
    <row r="1000" spans="1:14" ht="14">
      <c r="A1000" s="149">
        <v>999</v>
      </c>
      <c r="B1000" s="235" t="s">
        <v>52</v>
      </c>
      <c r="C1000" s="231" t="s">
        <v>10</v>
      </c>
      <c r="D1000" s="250" t="s">
        <v>2560</v>
      </c>
      <c r="E1000" s="281">
        <v>0</v>
      </c>
      <c r="F1000" s="249">
        <v>300</v>
      </c>
      <c r="G1000" s="164">
        <f t="shared" si="112"/>
        <v>2.1142857142857143</v>
      </c>
      <c r="H1000" s="165">
        <f t="shared" si="113"/>
        <v>4.2285714285714286</v>
      </c>
      <c r="I1000" s="165">
        <f t="shared" si="114"/>
        <v>3.1714285714285713</v>
      </c>
      <c r="J1000" s="166">
        <f t="shared" si="115"/>
        <v>5.2857142857142856</v>
      </c>
      <c r="K1000" s="166">
        <f t="shared" si="116"/>
        <v>5.2857142857142856</v>
      </c>
      <c r="L1000" s="165">
        <f t="shared" si="117"/>
        <v>1.075</v>
      </c>
      <c r="M1000" s="168">
        <f t="shared" si="105"/>
        <v>0</v>
      </c>
      <c r="N1000" s="236" t="s">
        <v>453</v>
      </c>
    </row>
    <row r="1001" spans="1:14" ht="14">
      <c r="A1001" s="149">
        <v>1000</v>
      </c>
      <c r="B1001" s="231" t="s">
        <v>61</v>
      </c>
      <c r="C1001" s="231" t="s">
        <v>11</v>
      </c>
      <c r="D1001" s="250" t="s">
        <v>2562</v>
      </c>
      <c r="E1001" s="281">
        <v>0</v>
      </c>
      <c r="F1001" s="249">
        <v>2000</v>
      </c>
      <c r="G1001" s="164">
        <f t="shared" si="112"/>
        <v>11.828571428571429</v>
      </c>
      <c r="H1001" s="165">
        <f t="shared" si="113"/>
        <v>23.657142857142858</v>
      </c>
      <c r="I1001" s="165">
        <f t="shared" si="114"/>
        <v>17.742857142857144</v>
      </c>
      <c r="J1001" s="166">
        <f t="shared" si="115"/>
        <v>29.571428571428573</v>
      </c>
      <c r="K1001" s="166">
        <f t="shared" si="116"/>
        <v>29.571428571428573</v>
      </c>
      <c r="L1001" s="165">
        <f t="shared" si="117"/>
        <v>1.5</v>
      </c>
      <c r="M1001" s="168">
        <f t="shared" si="105"/>
        <v>0</v>
      </c>
      <c r="N1001" s="231" t="s">
        <v>457</v>
      </c>
    </row>
    <row r="1002" spans="1:14" ht="14">
      <c r="A1002" s="149">
        <v>1001</v>
      </c>
      <c r="B1002" s="235" t="s">
        <v>52</v>
      </c>
      <c r="C1002" s="231" t="s">
        <v>10</v>
      </c>
      <c r="D1002" s="250" t="s">
        <v>2563</v>
      </c>
      <c r="E1002" s="281">
        <v>0</v>
      </c>
      <c r="F1002" s="249">
        <v>350</v>
      </c>
      <c r="G1002" s="164">
        <f t="shared" si="112"/>
        <v>2.4000000000000004</v>
      </c>
      <c r="H1002" s="165">
        <f t="shared" si="113"/>
        <v>4.8000000000000007</v>
      </c>
      <c r="I1002" s="165">
        <f t="shared" si="114"/>
        <v>3.5999999999999996</v>
      </c>
      <c r="J1002" s="166">
        <f t="shared" si="115"/>
        <v>6</v>
      </c>
      <c r="K1002" s="166">
        <f t="shared" si="116"/>
        <v>6</v>
      </c>
      <c r="L1002" s="165">
        <f t="shared" si="117"/>
        <v>1.0874999999999999</v>
      </c>
      <c r="M1002" s="168">
        <f t="shared" si="105"/>
        <v>0</v>
      </c>
      <c r="N1002" s="231" t="s">
        <v>453</v>
      </c>
    </row>
    <row r="1003" spans="1:14" ht="14">
      <c r="A1003" s="149">
        <v>1002</v>
      </c>
      <c r="B1003" s="235" t="s">
        <v>52</v>
      </c>
      <c r="C1003" s="231" t="s">
        <v>10</v>
      </c>
      <c r="D1003" s="250" t="s">
        <v>2564</v>
      </c>
      <c r="E1003" s="281">
        <v>0</v>
      </c>
      <c r="F1003" s="249">
        <v>450</v>
      </c>
      <c r="G1003" s="164">
        <f t="shared" si="112"/>
        <v>2.9714285714285715</v>
      </c>
      <c r="H1003" s="165">
        <f t="shared" si="113"/>
        <v>5.9428571428571431</v>
      </c>
      <c r="I1003" s="165">
        <f t="shared" si="114"/>
        <v>4.4571428571428573</v>
      </c>
      <c r="J1003" s="166">
        <f t="shared" si="115"/>
        <v>7.4285714285714288</v>
      </c>
      <c r="K1003" s="166">
        <f t="shared" si="116"/>
        <v>7.4285714285714288</v>
      </c>
      <c r="L1003" s="165">
        <f t="shared" si="117"/>
        <v>1.1125</v>
      </c>
      <c r="M1003" s="168">
        <f t="shared" si="105"/>
        <v>0</v>
      </c>
      <c r="N1003" s="231" t="s">
        <v>453</v>
      </c>
    </row>
    <row r="1004" spans="1:14" ht="14">
      <c r="A1004" s="149">
        <v>1003</v>
      </c>
      <c r="B1004" s="235" t="s">
        <v>52</v>
      </c>
      <c r="C1004" s="231" t="s">
        <v>10</v>
      </c>
      <c r="D1004" s="250" t="s">
        <v>2566</v>
      </c>
      <c r="E1004" s="281">
        <v>0</v>
      </c>
      <c r="F1004" s="249">
        <v>500</v>
      </c>
      <c r="G1004" s="164">
        <f t="shared" si="112"/>
        <v>3.2571428571428571</v>
      </c>
      <c r="H1004" s="165">
        <f t="shared" si="113"/>
        <v>6.5142857142857142</v>
      </c>
      <c r="I1004" s="165">
        <f t="shared" si="114"/>
        <v>4.8857142857142852</v>
      </c>
      <c r="J1004" s="166">
        <f t="shared" si="115"/>
        <v>8.1428571428571423</v>
      </c>
      <c r="K1004" s="166">
        <f t="shared" si="116"/>
        <v>8.1428571428571423</v>
      </c>
      <c r="L1004" s="165">
        <f t="shared" si="117"/>
        <v>1.125</v>
      </c>
      <c r="M1004" s="168">
        <f t="shared" si="105"/>
        <v>0</v>
      </c>
      <c r="N1004" s="231" t="s">
        <v>453</v>
      </c>
    </row>
    <row r="1005" spans="1:14" ht="14">
      <c r="A1005" s="149">
        <v>1004</v>
      </c>
      <c r="B1005" s="235" t="s">
        <v>52</v>
      </c>
      <c r="C1005" s="231" t="s">
        <v>10</v>
      </c>
      <c r="D1005" s="250" t="s">
        <v>2569</v>
      </c>
      <c r="E1005" s="281">
        <v>0</v>
      </c>
      <c r="F1005" s="249">
        <v>300</v>
      </c>
      <c r="G1005" s="164">
        <f t="shared" si="112"/>
        <v>2.1142857142857143</v>
      </c>
      <c r="H1005" s="165">
        <f t="shared" si="113"/>
        <v>4.2285714285714286</v>
      </c>
      <c r="I1005" s="165">
        <f t="shared" si="114"/>
        <v>3.1714285714285713</v>
      </c>
      <c r="J1005" s="166">
        <f t="shared" si="115"/>
        <v>5.2857142857142856</v>
      </c>
      <c r="K1005" s="166">
        <f t="shared" si="116"/>
        <v>5.2857142857142856</v>
      </c>
      <c r="L1005" s="165">
        <f t="shared" si="117"/>
        <v>1.075</v>
      </c>
      <c r="M1005" s="168">
        <f t="shared" si="105"/>
        <v>0</v>
      </c>
      <c r="N1005" s="231" t="s">
        <v>457</v>
      </c>
    </row>
    <row r="1006" spans="1:14" ht="14">
      <c r="A1006" s="149">
        <v>1005</v>
      </c>
      <c r="B1006" s="235" t="s">
        <v>52</v>
      </c>
      <c r="C1006" s="231" t="s">
        <v>10</v>
      </c>
      <c r="D1006" s="250" t="s">
        <v>2570</v>
      </c>
      <c r="E1006" s="281">
        <v>0</v>
      </c>
      <c r="F1006" s="249">
        <v>300</v>
      </c>
      <c r="G1006" s="164">
        <f t="shared" si="112"/>
        <v>2.1142857142857143</v>
      </c>
      <c r="H1006" s="165">
        <f t="shared" si="113"/>
        <v>4.2285714285714286</v>
      </c>
      <c r="I1006" s="165">
        <f t="shared" si="114"/>
        <v>3.1714285714285713</v>
      </c>
      <c r="J1006" s="166">
        <f t="shared" si="115"/>
        <v>5.2857142857142856</v>
      </c>
      <c r="K1006" s="166">
        <f t="shared" si="116"/>
        <v>5.2857142857142856</v>
      </c>
      <c r="L1006" s="165">
        <f t="shared" si="117"/>
        <v>1.075</v>
      </c>
      <c r="M1006" s="168">
        <f t="shared" si="105"/>
        <v>0</v>
      </c>
      <c r="N1006" s="231" t="s">
        <v>457</v>
      </c>
    </row>
    <row r="1007" spans="1:14" ht="14">
      <c r="A1007" s="149">
        <v>1006</v>
      </c>
      <c r="B1007" s="258" t="s">
        <v>59</v>
      </c>
      <c r="C1007" s="231" t="s">
        <v>11</v>
      </c>
      <c r="D1007" s="250" t="s">
        <v>2572</v>
      </c>
      <c r="E1007" s="281">
        <v>0</v>
      </c>
      <c r="F1007" s="249">
        <v>600</v>
      </c>
      <c r="G1007" s="164">
        <f t="shared" si="112"/>
        <v>3.8285714285714287</v>
      </c>
      <c r="H1007" s="165">
        <f t="shared" si="113"/>
        <v>7.6571428571428575</v>
      </c>
      <c r="I1007" s="165">
        <f t="shared" si="114"/>
        <v>5.7428571428571429</v>
      </c>
      <c r="J1007" s="166">
        <f t="shared" si="115"/>
        <v>9.5714285714285712</v>
      </c>
      <c r="K1007" s="166">
        <f t="shared" si="116"/>
        <v>9.5714285714285712</v>
      </c>
      <c r="L1007" s="165">
        <f t="shared" si="117"/>
        <v>1.1499999999999999</v>
      </c>
      <c r="M1007" s="168">
        <f t="shared" si="105"/>
        <v>0</v>
      </c>
      <c r="N1007" s="231" t="s">
        <v>453</v>
      </c>
    </row>
    <row r="1008" spans="1:14" ht="14">
      <c r="A1008" s="149">
        <v>1007</v>
      </c>
      <c r="B1008" s="235" t="s">
        <v>52</v>
      </c>
      <c r="C1008" s="231" t="s">
        <v>10</v>
      </c>
      <c r="D1008" s="250" t="s">
        <v>2573</v>
      </c>
      <c r="E1008" s="281">
        <v>0</v>
      </c>
      <c r="F1008" s="249">
        <v>300</v>
      </c>
      <c r="G1008" s="164">
        <f t="shared" si="112"/>
        <v>2.1142857142857143</v>
      </c>
      <c r="H1008" s="165">
        <f t="shared" si="113"/>
        <v>4.2285714285714286</v>
      </c>
      <c r="I1008" s="165">
        <f t="shared" si="114"/>
        <v>3.1714285714285713</v>
      </c>
      <c r="J1008" s="166">
        <f t="shared" si="115"/>
        <v>5.2857142857142856</v>
      </c>
      <c r="K1008" s="166">
        <f t="shared" si="116"/>
        <v>5.2857142857142856</v>
      </c>
      <c r="L1008" s="165">
        <f t="shared" si="117"/>
        <v>1.075</v>
      </c>
      <c r="M1008" s="168">
        <f t="shared" si="105"/>
        <v>0</v>
      </c>
      <c r="N1008" s="236" t="s">
        <v>453</v>
      </c>
    </row>
    <row r="1009" spans="1:14" ht="14">
      <c r="A1009" s="149">
        <v>1008</v>
      </c>
      <c r="B1009" s="235" t="s">
        <v>52</v>
      </c>
      <c r="C1009" s="231" t="s">
        <v>10</v>
      </c>
      <c r="D1009" s="250" t="s">
        <v>2575</v>
      </c>
      <c r="E1009" s="281">
        <v>0</v>
      </c>
      <c r="F1009" s="249">
        <v>300</v>
      </c>
      <c r="G1009" s="164">
        <f t="shared" si="112"/>
        <v>2.1142857142857143</v>
      </c>
      <c r="H1009" s="165">
        <f t="shared" si="113"/>
        <v>4.2285714285714286</v>
      </c>
      <c r="I1009" s="165">
        <f t="shared" si="114"/>
        <v>3.1714285714285713</v>
      </c>
      <c r="J1009" s="166">
        <f t="shared" si="115"/>
        <v>5.2857142857142856</v>
      </c>
      <c r="K1009" s="166">
        <f t="shared" si="116"/>
        <v>5.2857142857142856</v>
      </c>
      <c r="L1009" s="165">
        <f t="shared" si="117"/>
        <v>1.075</v>
      </c>
      <c r="M1009" s="168">
        <f t="shared" si="105"/>
        <v>0</v>
      </c>
      <c r="N1009" s="236" t="s">
        <v>453</v>
      </c>
    </row>
    <row r="1010" spans="1:14" ht="14">
      <c r="A1010" s="149">
        <v>1009</v>
      </c>
      <c r="B1010" s="235" t="s">
        <v>52</v>
      </c>
      <c r="C1010" s="231" t="s">
        <v>10</v>
      </c>
      <c r="D1010" s="250" t="s">
        <v>2577</v>
      </c>
      <c r="E1010" s="281">
        <v>0</v>
      </c>
      <c r="F1010" s="249">
        <v>500</v>
      </c>
      <c r="G1010" s="164">
        <f t="shared" si="112"/>
        <v>3.2571428571428571</v>
      </c>
      <c r="H1010" s="165">
        <f t="shared" si="113"/>
        <v>6.5142857142857142</v>
      </c>
      <c r="I1010" s="165">
        <f t="shared" si="114"/>
        <v>4.8857142857142852</v>
      </c>
      <c r="J1010" s="166">
        <f t="shared" si="115"/>
        <v>8.1428571428571423</v>
      </c>
      <c r="K1010" s="166">
        <f t="shared" si="116"/>
        <v>8.1428571428571423</v>
      </c>
      <c r="L1010" s="165">
        <f t="shared" si="117"/>
        <v>1.125</v>
      </c>
      <c r="M1010" s="168">
        <f t="shared" si="105"/>
        <v>0</v>
      </c>
      <c r="N1010" s="236" t="s">
        <v>453</v>
      </c>
    </row>
    <row r="1011" spans="1:14" ht="14">
      <c r="A1011" s="149">
        <v>1010</v>
      </c>
      <c r="B1011" s="235" t="s">
        <v>52</v>
      </c>
      <c r="C1011" s="231" t="s">
        <v>10</v>
      </c>
      <c r="D1011" s="250" t="s">
        <v>2578</v>
      </c>
      <c r="E1011" s="281">
        <v>0</v>
      </c>
      <c r="F1011" s="249">
        <v>700</v>
      </c>
      <c r="G1011" s="164">
        <f t="shared" si="112"/>
        <v>4.4000000000000004</v>
      </c>
      <c r="H1011" s="165">
        <f t="shared" si="113"/>
        <v>8.8000000000000007</v>
      </c>
      <c r="I1011" s="165">
        <f t="shared" si="114"/>
        <v>6.6</v>
      </c>
      <c r="J1011" s="166">
        <f t="shared" si="115"/>
        <v>11</v>
      </c>
      <c r="K1011" s="166">
        <f t="shared" si="116"/>
        <v>11</v>
      </c>
      <c r="L1011" s="165">
        <f t="shared" si="117"/>
        <v>1.175</v>
      </c>
      <c r="M1011" s="168">
        <f t="shared" si="105"/>
        <v>0</v>
      </c>
      <c r="N1011" s="236" t="s">
        <v>453</v>
      </c>
    </row>
    <row r="1012" spans="1:14" ht="14">
      <c r="A1012" s="149">
        <v>1011</v>
      </c>
      <c r="B1012" s="235" t="s">
        <v>52</v>
      </c>
      <c r="C1012" s="231" t="s">
        <v>10</v>
      </c>
      <c r="D1012" s="250" t="s">
        <v>2580</v>
      </c>
      <c r="E1012" s="281">
        <v>0</v>
      </c>
      <c r="F1012" s="249">
        <v>700</v>
      </c>
      <c r="G1012" s="164">
        <f t="shared" si="112"/>
        <v>4.4000000000000004</v>
      </c>
      <c r="H1012" s="165">
        <f t="shared" si="113"/>
        <v>8.8000000000000007</v>
      </c>
      <c r="I1012" s="165">
        <f t="shared" si="114"/>
        <v>6.6</v>
      </c>
      <c r="J1012" s="166">
        <f t="shared" si="115"/>
        <v>11</v>
      </c>
      <c r="K1012" s="166">
        <f t="shared" si="116"/>
        <v>11</v>
      </c>
      <c r="L1012" s="165">
        <f t="shared" si="117"/>
        <v>1.175</v>
      </c>
      <c r="M1012" s="168">
        <f t="shared" si="105"/>
        <v>0</v>
      </c>
      <c r="N1012" s="236" t="s">
        <v>453</v>
      </c>
    </row>
    <row r="1013" spans="1:14" ht="14">
      <c r="A1013" s="149">
        <v>1012</v>
      </c>
      <c r="B1013" s="235" t="s">
        <v>49</v>
      </c>
      <c r="C1013" s="231" t="s">
        <v>10</v>
      </c>
      <c r="D1013" s="250" t="s">
        <v>2582</v>
      </c>
      <c r="E1013" s="281">
        <v>0</v>
      </c>
      <c r="F1013" s="249">
        <v>2000</v>
      </c>
      <c r="G1013" s="164">
        <f t="shared" si="112"/>
        <v>11.828571428571429</v>
      </c>
      <c r="H1013" s="165">
        <f t="shared" si="113"/>
        <v>23.657142857142858</v>
      </c>
      <c r="I1013" s="165">
        <f t="shared" si="114"/>
        <v>17.742857142857144</v>
      </c>
      <c r="J1013" s="166">
        <f t="shared" si="115"/>
        <v>29.571428571428573</v>
      </c>
      <c r="K1013" s="166">
        <f t="shared" si="116"/>
        <v>29.571428571428573</v>
      </c>
      <c r="L1013" s="165">
        <f t="shared" si="117"/>
        <v>1.5</v>
      </c>
      <c r="M1013" s="168">
        <f t="shared" si="105"/>
        <v>0</v>
      </c>
      <c r="N1013" s="236" t="s">
        <v>453</v>
      </c>
    </row>
    <row r="1014" spans="1:14" ht="14">
      <c r="A1014" s="149">
        <v>1013</v>
      </c>
      <c r="B1014" s="235" t="s">
        <v>52</v>
      </c>
      <c r="C1014" s="231" t="s">
        <v>10</v>
      </c>
      <c r="D1014" s="250" t="s">
        <v>2584</v>
      </c>
      <c r="E1014" s="281">
        <v>0</v>
      </c>
      <c r="F1014" s="249">
        <v>1200</v>
      </c>
      <c r="G1014" s="164">
        <f t="shared" si="112"/>
        <v>7.2571428571428571</v>
      </c>
      <c r="H1014" s="165">
        <f t="shared" si="113"/>
        <v>14.514285714285714</v>
      </c>
      <c r="I1014" s="165">
        <f t="shared" si="114"/>
        <v>10.885714285714284</v>
      </c>
      <c r="J1014" s="166">
        <f t="shared" si="115"/>
        <v>18.142857142857142</v>
      </c>
      <c r="K1014" s="166">
        <f t="shared" si="116"/>
        <v>18.142857142857142</v>
      </c>
      <c r="L1014" s="165">
        <f t="shared" si="117"/>
        <v>1.3</v>
      </c>
      <c r="M1014" s="168">
        <f t="shared" si="105"/>
        <v>0</v>
      </c>
      <c r="N1014" s="236" t="s">
        <v>453</v>
      </c>
    </row>
    <row r="1015" spans="1:14" ht="14">
      <c r="A1015" s="149">
        <v>1014</v>
      </c>
      <c r="B1015" s="235" t="s">
        <v>52</v>
      </c>
      <c r="C1015" s="231" t="s">
        <v>10</v>
      </c>
      <c r="D1015" s="250" t="s">
        <v>2586</v>
      </c>
      <c r="E1015" s="281">
        <v>0</v>
      </c>
      <c r="F1015" s="249">
        <v>150</v>
      </c>
      <c r="G1015" s="164">
        <f t="shared" si="112"/>
        <v>1.2571428571428571</v>
      </c>
      <c r="H1015" s="165">
        <f t="shared" si="113"/>
        <v>2.5142857142857142</v>
      </c>
      <c r="I1015" s="165">
        <f t="shared" si="114"/>
        <v>1.8857142857142857</v>
      </c>
      <c r="J1015" s="166">
        <f t="shared" si="115"/>
        <v>3.1428571428571428</v>
      </c>
      <c r="K1015" s="166">
        <f t="shared" si="116"/>
        <v>3.1428571428571428</v>
      </c>
      <c r="L1015" s="165">
        <f t="shared" si="117"/>
        <v>1.0375000000000001</v>
      </c>
      <c r="M1015" s="168">
        <f t="shared" si="105"/>
        <v>0</v>
      </c>
      <c r="N1015" s="236" t="s">
        <v>453</v>
      </c>
    </row>
    <row r="1016" spans="1:14" ht="14">
      <c r="A1016" s="149">
        <v>1015</v>
      </c>
      <c r="B1016" s="235" t="s">
        <v>52</v>
      </c>
      <c r="C1016" s="231" t="s">
        <v>10</v>
      </c>
      <c r="D1016" s="250" t="s">
        <v>2588</v>
      </c>
      <c r="E1016" s="281">
        <v>0</v>
      </c>
      <c r="F1016" s="249">
        <v>500</v>
      </c>
      <c r="G1016" s="164">
        <f t="shared" si="112"/>
        <v>3.2571428571428571</v>
      </c>
      <c r="H1016" s="165">
        <f t="shared" si="113"/>
        <v>6.5142857142857142</v>
      </c>
      <c r="I1016" s="165">
        <f t="shared" si="114"/>
        <v>4.8857142857142852</v>
      </c>
      <c r="J1016" s="166">
        <f t="shared" si="115"/>
        <v>8.1428571428571423</v>
      </c>
      <c r="K1016" s="166">
        <f t="shared" si="116"/>
        <v>8.1428571428571423</v>
      </c>
      <c r="L1016" s="165">
        <f t="shared" si="117"/>
        <v>1.125</v>
      </c>
      <c r="M1016" s="168">
        <f t="shared" si="105"/>
        <v>0</v>
      </c>
      <c r="N1016" s="231" t="s">
        <v>453</v>
      </c>
    </row>
    <row r="1017" spans="1:14" ht="14">
      <c r="A1017" s="149">
        <v>1016</v>
      </c>
      <c r="B1017" s="235" t="s">
        <v>52</v>
      </c>
      <c r="C1017" s="231" t="s">
        <v>10</v>
      </c>
      <c r="D1017" s="250" t="s">
        <v>2590</v>
      </c>
      <c r="E1017" s="281">
        <v>0</v>
      </c>
      <c r="F1017" s="249">
        <v>300</v>
      </c>
      <c r="G1017" s="164">
        <f t="shared" si="112"/>
        <v>2.1142857142857143</v>
      </c>
      <c r="H1017" s="165">
        <f t="shared" si="113"/>
        <v>4.2285714285714286</v>
      </c>
      <c r="I1017" s="165">
        <f t="shared" si="114"/>
        <v>3.1714285714285713</v>
      </c>
      <c r="J1017" s="166">
        <f t="shared" si="115"/>
        <v>5.2857142857142856</v>
      </c>
      <c r="K1017" s="166">
        <f t="shared" si="116"/>
        <v>5.2857142857142856</v>
      </c>
      <c r="L1017" s="165">
        <f t="shared" si="117"/>
        <v>1.075</v>
      </c>
      <c r="M1017" s="168">
        <f t="shared" si="105"/>
        <v>0</v>
      </c>
      <c r="N1017" s="231" t="s">
        <v>453</v>
      </c>
    </row>
    <row r="1018" spans="1:14" ht="14">
      <c r="A1018" s="149">
        <v>1017</v>
      </c>
      <c r="B1018" s="235" t="s">
        <v>52</v>
      </c>
      <c r="C1018" s="231" t="s">
        <v>10</v>
      </c>
      <c r="D1018" s="250" t="s">
        <v>2592</v>
      </c>
      <c r="E1018" s="281">
        <v>0</v>
      </c>
      <c r="F1018" s="249">
        <v>500</v>
      </c>
      <c r="G1018" s="164">
        <f t="shared" si="112"/>
        <v>3.2571428571428571</v>
      </c>
      <c r="H1018" s="165">
        <f t="shared" si="113"/>
        <v>6.5142857142857142</v>
      </c>
      <c r="I1018" s="165">
        <f t="shared" si="114"/>
        <v>4.8857142857142852</v>
      </c>
      <c r="J1018" s="166">
        <f t="shared" si="115"/>
        <v>8.1428571428571423</v>
      </c>
      <c r="K1018" s="166">
        <f t="shared" si="116"/>
        <v>8.1428571428571423</v>
      </c>
      <c r="L1018" s="165">
        <f t="shared" si="117"/>
        <v>1.125</v>
      </c>
      <c r="M1018" s="168">
        <f t="shared" si="105"/>
        <v>0</v>
      </c>
      <c r="N1018" s="231" t="s">
        <v>453</v>
      </c>
    </row>
    <row r="1019" spans="1:14" ht="14">
      <c r="A1019" s="149">
        <v>1018</v>
      </c>
      <c r="B1019" s="235" t="s">
        <v>52</v>
      </c>
      <c r="C1019" s="231" t="s">
        <v>10</v>
      </c>
      <c r="D1019" s="250" t="s">
        <v>2594</v>
      </c>
      <c r="E1019" s="281">
        <v>0</v>
      </c>
      <c r="F1019" s="249">
        <v>7000</v>
      </c>
      <c r="G1019" s="164">
        <f t="shared" si="112"/>
        <v>40.400000000000006</v>
      </c>
      <c r="H1019" s="165">
        <f t="shared" si="113"/>
        <v>80.800000000000011</v>
      </c>
      <c r="I1019" s="165">
        <f t="shared" si="114"/>
        <v>60.599999999999994</v>
      </c>
      <c r="J1019" s="166">
        <f t="shared" si="115"/>
        <v>101</v>
      </c>
      <c r="K1019" s="166">
        <f t="shared" si="116"/>
        <v>101</v>
      </c>
      <c r="L1019" s="165">
        <f t="shared" si="117"/>
        <v>2.75</v>
      </c>
      <c r="M1019" s="168">
        <f t="shared" si="105"/>
        <v>0</v>
      </c>
      <c r="N1019" s="231" t="s">
        <v>453</v>
      </c>
    </row>
    <row r="1020" spans="1:14" ht="14">
      <c r="A1020" s="149">
        <v>1019</v>
      </c>
      <c r="B1020" s="235" t="s">
        <v>49</v>
      </c>
      <c r="C1020" s="231" t="s">
        <v>10</v>
      </c>
      <c r="D1020" s="250" t="s">
        <v>2596</v>
      </c>
      <c r="E1020" s="281">
        <v>0</v>
      </c>
      <c r="F1020" s="249">
        <v>500</v>
      </c>
      <c r="G1020" s="164">
        <f t="shared" si="112"/>
        <v>3.2571428571428571</v>
      </c>
      <c r="H1020" s="165">
        <f t="shared" si="113"/>
        <v>6.5142857142857142</v>
      </c>
      <c r="I1020" s="165">
        <f t="shared" si="114"/>
        <v>4.8857142857142852</v>
      </c>
      <c r="J1020" s="166">
        <f t="shared" si="115"/>
        <v>8.1428571428571423</v>
      </c>
      <c r="K1020" s="166">
        <f t="shared" si="116"/>
        <v>8.1428571428571423</v>
      </c>
      <c r="L1020" s="165">
        <f t="shared" si="117"/>
        <v>1.125</v>
      </c>
      <c r="M1020" s="168">
        <f t="shared" si="105"/>
        <v>0</v>
      </c>
      <c r="N1020" s="231" t="s">
        <v>453</v>
      </c>
    </row>
    <row r="1021" spans="1:14" ht="14">
      <c r="A1021" s="149">
        <v>1020</v>
      </c>
      <c r="B1021" s="235" t="s">
        <v>52</v>
      </c>
      <c r="C1021" s="231" t="s">
        <v>10</v>
      </c>
      <c r="D1021" s="250" t="s">
        <v>2597</v>
      </c>
      <c r="E1021" s="281">
        <v>0</v>
      </c>
      <c r="F1021" s="249">
        <v>1100</v>
      </c>
      <c r="G1021" s="164">
        <f t="shared" si="112"/>
        <v>6.6857142857142868</v>
      </c>
      <c r="H1021" s="165">
        <f t="shared" si="113"/>
        <v>13.371428571428574</v>
      </c>
      <c r="I1021" s="165">
        <f t="shared" si="114"/>
        <v>10.028571428571428</v>
      </c>
      <c r="J1021" s="166">
        <f t="shared" si="115"/>
        <v>16.714285714285715</v>
      </c>
      <c r="K1021" s="166">
        <f t="shared" si="116"/>
        <v>16.714285714285715</v>
      </c>
      <c r="L1021" s="165">
        <f t="shared" si="117"/>
        <v>1.2749999999999999</v>
      </c>
      <c r="M1021" s="168">
        <f t="shared" si="105"/>
        <v>0</v>
      </c>
      <c r="N1021" s="231" t="s">
        <v>453</v>
      </c>
    </row>
    <row r="1022" spans="1:14" ht="14">
      <c r="A1022" s="149">
        <v>1021</v>
      </c>
      <c r="B1022" s="235" t="s">
        <v>52</v>
      </c>
      <c r="C1022" s="231" t="s">
        <v>10</v>
      </c>
      <c r="D1022" s="250" t="s">
        <v>2599</v>
      </c>
      <c r="E1022" s="281">
        <v>0</v>
      </c>
      <c r="F1022" s="249">
        <v>700</v>
      </c>
      <c r="G1022" s="164">
        <f t="shared" si="112"/>
        <v>4.4000000000000004</v>
      </c>
      <c r="H1022" s="165">
        <f t="shared" si="113"/>
        <v>8.8000000000000007</v>
      </c>
      <c r="I1022" s="165">
        <f t="shared" si="114"/>
        <v>6.6</v>
      </c>
      <c r="J1022" s="166">
        <f t="shared" si="115"/>
        <v>11</v>
      </c>
      <c r="K1022" s="166">
        <f t="shared" si="116"/>
        <v>11</v>
      </c>
      <c r="L1022" s="165">
        <f t="shared" si="117"/>
        <v>1.175</v>
      </c>
      <c r="M1022" s="168">
        <f t="shared" si="105"/>
        <v>0</v>
      </c>
      <c r="N1022" s="231" t="s">
        <v>453</v>
      </c>
    </row>
    <row r="1023" spans="1:14" ht="14">
      <c r="A1023" s="149">
        <v>1022</v>
      </c>
      <c r="B1023" s="235" t="s">
        <v>49</v>
      </c>
      <c r="C1023" s="231" t="s">
        <v>10</v>
      </c>
      <c r="D1023" s="250" t="s">
        <v>2601</v>
      </c>
      <c r="E1023" s="281">
        <v>0</v>
      </c>
      <c r="F1023" s="249">
        <v>300</v>
      </c>
      <c r="G1023" s="164">
        <f t="shared" si="112"/>
        <v>2.1142857142857143</v>
      </c>
      <c r="H1023" s="165">
        <f t="shared" si="113"/>
        <v>4.2285714285714286</v>
      </c>
      <c r="I1023" s="165">
        <f t="shared" si="114"/>
        <v>3.1714285714285713</v>
      </c>
      <c r="J1023" s="166">
        <f t="shared" si="115"/>
        <v>5.2857142857142856</v>
      </c>
      <c r="K1023" s="166">
        <f t="shared" si="116"/>
        <v>5.2857142857142856</v>
      </c>
      <c r="L1023" s="165">
        <f t="shared" si="117"/>
        <v>1.075</v>
      </c>
      <c r="M1023" s="168">
        <f t="shared" si="105"/>
        <v>0</v>
      </c>
      <c r="N1023" s="231" t="s">
        <v>453</v>
      </c>
    </row>
    <row r="1024" spans="1:14" ht="14">
      <c r="A1024" s="149">
        <v>1023</v>
      </c>
      <c r="B1024" s="235" t="s">
        <v>55</v>
      </c>
      <c r="C1024" s="231" t="s">
        <v>10</v>
      </c>
      <c r="D1024" s="250" t="s">
        <v>2604</v>
      </c>
      <c r="E1024" s="281">
        <v>0</v>
      </c>
      <c r="F1024" s="249">
        <v>500</v>
      </c>
      <c r="G1024" s="164">
        <f t="shared" si="112"/>
        <v>3.2571428571428571</v>
      </c>
      <c r="H1024" s="165">
        <f t="shared" si="113"/>
        <v>6.5142857142857142</v>
      </c>
      <c r="I1024" s="165">
        <f t="shared" si="114"/>
        <v>4.8857142857142852</v>
      </c>
      <c r="J1024" s="166">
        <f t="shared" si="115"/>
        <v>8.1428571428571423</v>
      </c>
      <c r="K1024" s="166">
        <f t="shared" si="116"/>
        <v>8.1428571428571423</v>
      </c>
      <c r="L1024" s="165">
        <f t="shared" si="117"/>
        <v>1.125</v>
      </c>
      <c r="M1024" s="168">
        <f t="shared" si="105"/>
        <v>0</v>
      </c>
      <c r="N1024" s="231" t="s">
        <v>453</v>
      </c>
    </row>
    <row r="1025" spans="1:14" ht="14">
      <c r="A1025" s="149">
        <v>1024</v>
      </c>
      <c r="B1025" s="235" t="s">
        <v>49</v>
      </c>
      <c r="C1025" s="231" t="s">
        <v>10</v>
      </c>
      <c r="D1025" s="250" t="s">
        <v>2606</v>
      </c>
      <c r="E1025" s="281">
        <v>0</v>
      </c>
      <c r="F1025" s="249">
        <v>200</v>
      </c>
      <c r="G1025" s="164">
        <f t="shared" si="112"/>
        <v>1.5428571428571429</v>
      </c>
      <c r="H1025" s="165">
        <f t="shared" si="113"/>
        <v>3.0857142857142859</v>
      </c>
      <c r="I1025" s="165">
        <f t="shared" si="114"/>
        <v>2.3142857142857141</v>
      </c>
      <c r="J1025" s="166">
        <f t="shared" si="115"/>
        <v>3.8571428571428568</v>
      </c>
      <c r="K1025" s="166">
        <f t="shared" si="116"/>
        <v>3.8571428571428568</v>
      </c>
      <c r="L1025" s="165">
        <f t="shared" si="117"/>
        <v>1.05</v>
      </c>
      <c r="M1025" s="168">
        <f t="shared" si="105"/>
        <v>0</v>
      </c>
      <c r="N1025" s="231" t="s">
        <v>453</v>
      </c>
    </row>
    <row r="1026" spans="1:14" ht="14">
      <c r="A1026" s="149">
        <v>1025</v>
      </c>
      <c r="B1026" s="235" t="s">
        <v>52</v>
      </c>
      <c r="C1026" s="231" t="s">
        <v>10</v>
      </c>
      <c r="D1026" s="250" t="s">
        <v>2608</v>
      </c>
      <c r="E1026" s="281">
        <v>0</v>
      </c>
      <c r="F1026" s="249">
        <v>200</v>
      </c>
      <c r="G1026" s="164">
        <f t="shared" si="112"/>
        <v>1.5428571428571429</v>
      </c>
      <c r="H1026" s="165">
        <f t="shared" si="113"/>
        <v>3.0857142857142859</v>
      </c>
      <c r="I1026" s="165">
        <f t="shared" si="114"/>
        <v>2.3142857142857141</v>
      </c>
      <c r="J1026" s="166">
        <f t="shared" si="115"/>
        <v>3.8571428571428568</v>
      </c>
      <c r="K1026" s="166">
        <f t="shared" si="116"/>
        <v>3.8571428571428568</v>
      </c>
      <c r="L1026" s="165">
        <f t="shared" si="117"/>
        <v>1.05</v>
      </c>
      <c r="M1026" s="168">
        <f t="shared" ref="M1026:M1089" si="118">E1026/60</f>
        <v>0</v>
      </c>
      <c r="N1026" s="231" t="s">
        <v>453</v>
      </c>
    </row>
    <row r="1027" spans="1:14" ht="14">
      <c r="A1027" s="149">
        <v>1026</v>
      </c>
      <c r="B1027" s="235" t="s">
        <v>52</v>
      </c>
      <c r="C1027" s="231" t="s">
        <v>10</v>
      </c>
      <c r="D1027" s="250" t="s">
        <v>2610</v>
      </c>
      <c r="E1027" s="281">
        <v>0</v>
      </c>
      <c r="F1027" s="249">
        <v>300</v>
      </c>
      <c r="G1027" s="164">
        <f t="shared" si="112"/>
        <v>2.1142857142857143</v>
      </c>
      <c r="H1027" s="165">
        <f t="shared" si="113"/>
        <v>4.2285714285714286</v>
      </c>
      <c r="I1027" s="165">
        <f t="shared" si="114"/>
        <v>3.1714285714285713</v>
      </c>
      <c r="J1027" s="166">
        <f t="shared" si="115"/>
        <v>5.2857142857142856</v>
      </c>
      <c r="K1027" s="166">
        <f t="shared" si="116"/>
        <v>5.2857142857142856</v>
      </c>
      <c r="L1027" s="165">
        <f t="shared" si="117"/>
        <v>1.075</v>
      </c>
      <c r="M1027" s="168">
        <f t="shared" si="118"/>
        <v>0</v>
      </c>
      <c r="N1027" s="231" t="s">
        <v>453</v>
      </c>
    </row>
    <row r="1028" spans="1:14" ht="14">
      <c r="A1028" s="149">
        <v>1027</v>
      </c>
      <c r="B1028" s="235" t="s">
        <v>52</v>
      </c>
      <c r="C1028" s="231" t="s">
        <v>10</v>
      </c>
      <c r="D1028" s="250" t="s">
        <v>2611</v>
      </c>
      <c r="E1028" s="281">
        <v>0</v>
      </c>
      <c r="F1028" s="249">
        <v>300</v>
      </c>
      <c r="G1028" s="164">
        <f t="shared" si="112"/>
        <v>2.1142857142857143</v>
      </c>
      <c r="H1028" s="165">
        <f t="shared" si="113"/>
        <v>4.2285714285714286</v>
      </c>
      <c r="I1028" s="165">
        <f t="shared" si="114"/>
        <v>3.1714285714285713</v>
      </c>
      <c r="J1028" s="166">
        <f t="shared" si="115"/>
        <v>5.2857142857142856</v>
      </c>
      <c r="K1028" s="166">
        <f t="shared" si="116"/>
        <v>5.2857142857142856</v>
      </c>
      <c r="L1028" s="165">
        <f t="shared" si="117"/>
        <v>1.075</v>
      </c>
      <c r="M1028" s="168">
        <f t="shared" si="118"/>
        <v>0</v>
      </c>
      <c r="N1028" s="231" t="s">
        <v>453</v>
      </c>
    </row>
    <row r="1029" spans="1:14" ht="14">
      <c r="A1029" s="149">
        <v>1028</v>
      </c>
      <c r="B1029" s="235" t="s">
        <v>51</v>
      </c>
      <c r="C1029" s="231" t="s">
        <v>10</v>
      </c>
      <c r="D1029" s="250" t="s">
        <v>2613</v>
      </c>
      <c r="E1029" s="281">
        <v>0</v>
      </c>
      <c r="F1029" s="249">
        <v>300</v>
      </c>
      <c r="G1029" s="164">
        <f t="shared" si="112"/>
        <v>2.1142857142857143</v>
      </c>
      <c r="H1029" s="165">
        <f t="shared" si="113"/>
        <v>4.2285714285714286</v>
      </c>
      <c r="I1029" s="165">
        <f t="shared" si="114"/>
        <v>3.1714285714285713</v>
      </c>
      <c r="J1029" s="166">
        <f t="shared" si="115"/>
        <v>5.2857142857142856</v>
      </c>
      <c r="K1029" s="166">
        <f t="shared" si="116"/>
        <v>5.2857142857142856</v>
      </c>
      <c r="L1029" s="165">
        <f t="shared" si="117"/>
        <v>1.075</v>
      </c>
      <c r="M1029" s="168">
        <f t="shared" si="118"/>
        <v>0</v>
      </c>
      <c r="N1029" s="231" t="s">
        <v>453</v>
      </c>
    </row>
    <row r="1030" spans="1:14" ht="14">
      <c r="A1030" s="149">
        <v>1029</v>
      </c>
      <c r="B1030" s="235" t="s">
        <v>52</v>
      </c>
      <c r="C1030" s="231" t="s">
        <v>10</v>
      </c>
      <c r="D1030" s="250" t="s">
        <v>2615</v>
      </c>
      <c r="E1030" s="281">
        <v>0</v>
      </c>
      <c r="F1030" s="249">
        <v>300</v>
      </c>
      <c r="G1030" s="164">
        <f t="shared" si="112"/>
        <v>2.1142857142857143</v>
      </c>
      <c r="H1030" s="165">
        <f t="shared" si="113"/>
        <v>4.2285714285714286</v>
      </c>
      <c r="I1030" s="165">
        <f t="shared" si="114"/>
        <v>3.1714285714285713</v>
      </c>
      <c r="J1030" s="166">
        <f t="shared" si="115"/>
        <v>5.2857142857142856</v>
      </c>
      <c r="K1030" s="166">
        <f t="shared" si="116"/>
        <v>5.2857142857142856</v>
      </c>
      <c r="L1030" s="165">
        <f t="shared" si="117"/>
        <v>1.075</v>
      </c>
      <c r="M1030" s="168">
        <f t="shared" si="118"/>
        <v>0</v>
      </c>
      <c r="N1030" s="231" t="s">
        <v>453</v>
      </c>
    </row>
    <row r="1031" spans="1:14" ht="14">
      <c r="A1031" s="149">
        <v>1030</v>
      </c>
      <c r="B1031" s="235" t="s">
        <v>52</v>
      </c>
      <c r="C1031" s="231" t="s">
        <v>10</v>
      </c>
      <c r="D1031" s="250" t="s">
        <v>2617</v>
      </c>
      <c r="E1031" s="281">
        <v>0</v>
      </c>
      <c r="F1031" s="249">
        <v>300</v>
      </c>
      <c r="G1031" s="164">
        <f t="shared" si="112"/>
        <v>2.1142857142857143</v>
      </c>
      <c r="H1031" s="165">
        <f t="shared" si="113"/>
        <v>4.2285714285714286</v>
      </c>
      <c r="I1031" s="165">
        <f t="shared" si="114"/>
        <v>3.1714285714285713</v>
      </c>
      <c r="J1031" s="166">
        <f t="shared" si="115"/>
        <v>5.2857142857142856</v>
      </c>
      <c r="K1031" s="166">
        <f t="shared" si="116"/>
        <v>5.2857142857142856</v>
      </c>
      <c r="L1031" s="165">
        <f t="shared" si="117"/>
        <v>1.075</v>
      </c>
      <c r="M1031" s="168">
        <f t="shared" si="118"/>
        <v>0</v>
      </c>
      <c r="N1031" s="231" t="s">
        <v>453</v>
      </c>
    </row>
    <row r="1032" spans="1:14" ht="14">
      <c r="A1032" s="149">
        <v>1031</v>
      </c>
      <c r="B1032" s="235" t="s">
        <v>52</v>
      </c>
      <c r="C1032" s="231" t="s">
        <v>10</v>
      </c>
      <c r="D1032" s="250" t="s">
        <v>2619</v>
      </c>
      <c r="E1032" s="281">
        <v>0</v>
      </c>
      <c r="F1032" s="249">
        <v>300</v>
      </c>
      <c r="G1032" s="164">
        <f t="shared" si="112"/>
        <v>2.1142857142857143</v>
      </c>
      <c r="H1032" s="165">
        <f t="shared" si="113"/>
        <v>4.2285714285714286</v>
      </c>
      <c r="I1032" s="165">
        <f t="shared" si="114"/>
        <v>3.1714285714285713</v>
      </c>
      <c r="J1032" s="166">
        <f t="shared" si="115"/>
        <v>5.2857142857142856</v>
      </c>
      <c r="K1032" s="166">
        <f t="shared" si="116"/>
        <v>5.2857142857142856</v>
      </c>
      <c r="L1032" s="165">
        <f t="shared" si="117"/>
        <v>1.075</v>
      </c>
      <c r="M1032" s="168">
        <f t="shared" si="118"/>
        <v>0</v>
      </c>
      <c r="N1032" s="231" t="s">
        <v>453</v>
      </c>
    </row>
    <row r="1033" spans="1:14" ht="14">
      <c r="A1033" s="149">
        <v>1032</v>
      </c>
      <c r="B1033" s="235" t="s">
        <v>52</v>
      </c>
      <c r="C1033" s="231" t="s">
        <v>10</v>
      </c>
      <c r="D1033" s="250" t="s">
        <v>2621</v>
      </c>
      <c r="E1033" s="281">
        <v>0</v>
      </c>
      <c r="F1033" s="249">
        <v>450</v>
      </c>
      <c r="G1033" s="164">
        <f t="shared" si="112"/>
        <v>2.9714285714285715</v>
      </c>
      <c r="H1033" s="165">
        <f t="shared" si="113"/>
        <v>5.9428571428571431</v>
      </c>
      <c r="I1033" s="165">
        <f t="shared" si="114"/>
        <v>4.4571428571428573</v>
      </c>
      <c r="J1033" s="166">
        <f t="shared" si="115"/>
        <v>7.4285714285714288</v>
      </c>
      <c r="K1033" s="166">
        <f t="shared" si="116"/>
        <v>7.4285714285714288</v>
      </c>
      <c r="L1033" s="165">
        <f t="shared" si="117"/>
        <v>1.1125</v>
      </c>
      <c r="M1033" s="168">
        <f t="shared" si="118"/>
        <v>0</v>
      </c>
      <c r="N1033" s="231" t="s">
        <v>453</v>
      </c>
    </row>
    <row r="1034" spans="1:14" ht="14">
      <c r="A1034" s="149">
        <v>1033</v>
      </c>
      <c r="B1034" s="235" t="s">
        <v>52</v>
      </c>
      <c r="C1034" s="231" t="s">
        <v>10</v>
      </c>
      <c r="D1034" s="250" t="s">
        <v>2623</v>
      </c>
      <c r="E1034" s="281">
        <v>0</v>
      </c>
      <c r="F1034" s="249">
        <v>500</v>
      </c>
      <c r="G1034" s="164">
        <f t="shared" si="112"/>
        <v>3.2571428571428571</v>
      </c>
      <c r="H1034" s="165">
        <f t="shared" si="113"/>
        <v>6.5142857142857142</v>
      </c>
      <c r="I1034" s="165">
        <f t="shared" si="114"/>
        <v>4.8857142857142852</v>
      </c>
      <c r="J1034" s="166">
        <f t="shared" si="115"/>
        <v>8.1428571428571423</v>
      </c>
      <c r="K1034" s="166">
        <f t="shared" si="116"/>
        <v>8.1428571428571423</v>
      </c>
      <c r="L1034" s="165">
        <f t="shared" si="117"/>
        <v>1.125</v>
      </c>
      <c r="M1034" s="168">
        <f t="shared" si="118"/>
        <v>0</v>
      </c>
      <c r="N1034" s="231" t="s">
        <v>453</v>
      </c>
    </row>
    <row r="1035" spans="1:14" ht="14">
      <c r="A1035" s="149">
        <v>1034</v>
      </c>
      <c r="B1035" s="235" t="s">
        <v>52</v>
      </c>
      <c r="C1035" s="231" t="s">
        <v>10</v>
      </c>
      <c r="D1035" s="250" t="s">
        <v>2625</v>
      </c>
      <c r="E1035" s="281">
        <v>0</v>
      </c>
      <c r="F1035" s="249">
        <v>350</v>
      </c>
      <c r="G1035" s="164">
        <f t="shared" si="112"/>
        <v>2.4000000000000004</v>
      </c>
      <c r="H1035" s="165">
        <f t="shared" si="113"/>
        <v>4.8000000000000007</v>
      </c>
      <c r="I1035" s="165">
        <f t="shared" si="114"/>
        <v>3.5999999999999996</v>
      </c>
      <c r="J1035" s="166">
        <f t="shared" si="115"/>
        <v>6</v>
      </c>
      <c r="K1035" s="166">
        <f t="shared" si="116"/>
        <v>6</v>
      </c>
      <c r="L1035" s="165">
        <f t="shared" si="117"/>
        <v>1.0874999999999999</v>
      </c>
      <c r="M1035" s="168">
        <f t="shared" si="118"/>
        <v>0</v>
      </c>
      <c r="N1035" s="231" t="s">
        <v>453</v>
      </c>
    </row>
    <row r="1036" spans="1:14" ht="14">
      <c r="A1036" s="149">
        <v>1035</v>
      </c>
      <c r="B1036" s="235" t="s">
        <v>52</v>
      </c>
      <c r="C1036" s="231" t="s">
        <v>10</v>
      </c>
      <c r="D1036" s="250" t="s">
        <v>2627</v>
      </c>
      <c r="E1036" s="281">
        <v>0</v>
      </c>
      <c r="F1036" s="249">
        <v>300</v>
      </c>
      <c r="G1036" s="164">
        <f t="shared" si="112"/>
        <v>2.1142857142857143</v>
      </c>
      <c r="H1036" s="165">
        <f t="shared" si="113"/>
        <v>4.2285714285714286</v>
      </c>
      <c r="I1036" s="165">
        <f t="shared" si="114"/>
        <v>3.1714285714285713</v>
      </c>
      <c r="J1036" s="166">
        <f t="shared" si="115"/>
        <v>5.2857142857142856</v>
      </c>
      <c r="K1036" s="166">
        <f t="shared" si="116"/>
        <v>5.2857142857142856</v>
      </c>
      <c r="L1036" s="165">
        <f t="shared" si="117"/>
        <v>1.075</v>
      </c>
      <c r="M1036" s="168">
        <f t="shared" si="118"/>
        <v>0</v>
      </c>
      <c r="N1036" s="231" t="s">
        <v>453</v>
      </c>
    </row>
    <row r="1037" spans="1:14" ht="14">
      <c r="A1037" s="149">
        <v>1036</v>
      </c>
      <c r="B1037" s="235" t="s">
        <v>52</v>
      </c>
      <c r="C1037" s="231" t="s">
        <v>10</v>
      </c>
      <c r="D1037" s="250" t="s">
        <v>2628</v>
      </c>
      <c r="E1037" s="281">
        <v>0</v>
      </c>
      <c r="F1037" s="249">
        <v>600</v>
      </c>
      <c r="G1037" s="164">
        <f t="shared" si="112"/>
        <v>3.8285714285714287</v>
      </c>
      <c r="H1037" s="165">
        <f t="shared" si="113"/>
        <v>7.6571428571428575</v>
      </c>
      <c r="I1037" s="165">
        <f t="shared" si="114"/>
        <v>5.7428571428571429</v>
      </c>
      <c r="J1037" s="166">
        <f t="shared" si="115"/>
        <v>9.5714285714285712</v>
      </c>
      <c r="K1037" s="166">
        <f t="shared" si="116"/>
        <v>9.5714285714285712</v>
      </c>
      <c r="L1037" s="165">
        <f t="shared" si="117"/>
        <v>1.1499999999999999</v>
      </c>
      <c r="M1037" s="168">
        <f t="shared" si="118"/>
        <v>0</v>
      </c>
      <c r="N1037" s="231" t="s">
        <v>453</v>
      </c>
    </row>
    <row r="1038" spans="1:14" ht="14">
      <c r="A1038" s="149">
        <v>1037</v>
      </c>
      <c r="B1038" s="235" t="s">
        <v>49</v>
      </c>
      <c r="C1038" s="231" t="s">
        <v>10</v>
      </c>
      <c r="D1038" s="250" t="s">
        <v>2630</v>
      </c>
      <c r="E1038" s="281">
        <v>0</v>
      </c>
      <c r="F1038" s="249">
        <v>1200</v>
      </c>
      <c r="G1038" s="164">
        <f t="shared" si="112"/>
        <v>7.2571428571428571</v>
      </c>
      <c r="H1038" s="165">
        <f t="shared" si="113"/>
        <v>14.514285714285714</v>
      </c>
      <c r="I1038" s="165">
        <f t="shared" si="114"/>
        <v>10.885714285714284</v>
      </c>
      <c r="J1038" s="166">
        <f t="shared" si="115"/>
        <v>18.142857142857142</v>
      </c>
      <c r="K1038" s="166">
        <f t="shared" si="116"/>
        <v>18.142857142857142</v>
      </c>
      <c r="L1038" s="165">
        <f t="shared" si="117"/>
        <v>1.3</v>
      </c>
      <c r="M1038" s="168">
        <f t="shared" si="118"/>
        <v>0</v>
      </c>
      <c r="N1038" s="231" t="s">
        <v>453</v>
      </c>
    </row>
    <row r="1039" spans="1:14" ht="14">
      <c r="A1039" s="149">
        <v>1038</v>
      </c>
      <c r="B1039" s="235" t="s">
        <v>52</v>
      </c>
      <c r="C1039" s="231" t="s">
        <v>10</v>
      </c>
      <c r="D1039" s="250" t="s">
        <v>2632</v>
      </c>
      <c r="E1039" s="281">
        <v>0</v>
      </c>
      <c r="F1039" s="249">
        <v>1100</v>
      </c>
      <c r="G1039" s="164">
        <f t="shared" si="112"/>
        <v>6.6857142857142868</v>
      </c>
      <c r="H1039" s="165">
        <f t="shared" si="113"/>
        <v>13.371428571428574</v>
      </c>
      <c r="I1039" s="165">
        <f t="shared" si="114"/>
        <v>10.028571428571428</v>
      </c>
      <c r="J1039" s="166">
        <f t="shared" si="115"/>
        <v>16.714285714285715</v>
      </c>
      <c r="K1039" s="166">
        <f t="shared" si="116"/>
        <v>16.714285714285715</v>
      </c>
      <c r="L1039" s="165">
        <f t="shared" si="117"/>
        <v>1.2749999999999999</v>
      </c>
      <c r="M1039" s="168">
        <f t="shared" si="118"/>
        <v>0</v>
      </c>
      <c r="N1039" s="231" t="s">
        <v>453</v>
      </c>
    </row>
    <row r="1040" spans="1:14" ht="14">
      <c r="A1040" s="149">
        <v>1039</v>
      </c>
      <c r="B1040" s="235" t="s">
        <v>52</v>
      </c>
      <c r="C1040" s="231" t="s">
        <v>10</v>
      </c>
      <c r="D1040" s="250" t="s">
        <v>2634</v>
      </c>
      <c r="E1040" s="281">
        <v>0</v>
      </c>
      <c r="F1040" s="249">
        <v>300</v>
      </c>
      <c r="G1040" s="164">
        <f t="shared" ref="G1040:G1061" si="119">(((F1040/70)+1)*0.4)</f>
        <v>2.1142857142857143</v>
      </c>
      <c r="H1040" s="165">
        <f t="shared" ref="H1040:H1061" si="120">G1040*2</f>
        <v>4.2285714285714286</v>
      </c>
      <c r="I1040" s="165">
        <f t="shared" ref="I1040:I1061" si="121">(((F1040/70)+1)*0.6)</f>
        <v>3.1714285714285713</v>
      </c>
      <c r="J1040" s="166">
        <f t="shared" ref="J1040:J1061" si="122">I1040+G1040</f>
        <v>5.2857142857142856</v>
      </c>
      <c r="K1040" s="166">
        <f t="shared" ref="K1040:K1061" si="123">J1040</f>
        <v>5.2857142857142856</v>
      </c>
      <c r="L1040" s="165">
        <f t="shared" ref="L1040:L1061" si="124">(F1040/4000)+1</f>
        <v>1.075</v>
      </c>
      <c r="M1040" s="168">
        <f t="shared" si="118"/>
        <v>0</v>
      </c>
      <c r="N1040" s="231" t="s">
        <v>453</v>
      </c>
    </row>
    <row r="1041" spans="1:14" ht="14">
      <c r="A1041" s="149">
        <v>1040</v>
      </c>
      <c r="B1041" s="235" t="s">
        <v>52</v>
      </c>
      <c r="C1041" s="231" t="s">
        <v>10</v>
      </c>
      <c r="D1041" s="250" t="s">
        <v>2636</v>
      </c>
      <c r="E1041" s="281">
        <v>0</v>
      </c>
      <c r="F1041" s="249">
        <v>200</v>
      </c>
      <c r="G1041" s="164">
        <f t="shared" si="119"/>
        <v>1.5428571428571429</v>
      </c>
      <c r="H1041" s="165">
        <f t="shared" si="120"/>
        <v>3.0857142857142859</v>
      </c>
      <c r="I1041" s="165">
        <f t="shared" si="121"/>
        <v>2.3142857142857141</v>
      </c>
      <c r="J1041" s="166">
        <f t="shared" si="122"/>
        <v>3.8571428571428568</v>
      </c>
      <c r="K1041" s="166">
        <f t="shared" si="123"/>
        <v>3.8571428571428568</v>
      </c>
      <c r="L1041" s="165">
        <f t="shared" si="124"/>
        <v>1.05</v>
      </c>
      <c r="M1041" s="168">
        <f t="shared" si="118"/>
        <v>0</v>
      </c>
      <c r="N1041" s="231" t="s">
        <v>453</v>
      </c>
    </row>
    <row r="1042" spans="1:14" ht="14">
      <c r="A1042" s="149">
        <v>1041</v>
      </c>
      <c r="B1042" s="235" t="s">
        <v>51</v>
      </c>
      <c r="C1042" s="231" t="s">
        <v>10</v>
      </c>
      <c r="D1042" s="250" t="s">
        <v>2639</v>
      </c>
      <c r="E1042" s="281">
        <v>0</v>
      </c>
      <c r="F1042" s="249">
        <v>200</v>
      </c>
      <c r="G1042" s="164">
        <f t="shared" si="119"/>
        <v>1.5428571428571429</v>
      </c>
      <c r="H1042" s="165">
        <f t="shared" si="120"/>
        <v>3.0857142857142859</v>
      </c>
      <c r="I1042" s="165">
        <f t="shared" si="121"/>
        <v>2.3142857142857141</v>
      </c>
      <c r="J1042" s="166">
        <f t="shared" si="122"/>
        <v>3.8571428571428568</v>
      </c>
      <c r="K1042" s="166">
        <f t="shared" si="123"/>
        <v>3.8571428571428568</v>
      </c>
      <c r="L1042" s="165">
        <f t="shared" si="124"/>
        <v>1.05</v>
      </c>
      <c r="M1042" s="168">
        <f t="shared" si="118"/>
        <v>0</v>
      </c>
      <c r="N1042" s="236" t="s">
        <v>453</v>
      </c>
    </row>
    <row r="1043" spans="1:14" ht="14">
      <c r="A1043" s="149">
        <v>1042</v>
      </c>
      <c r="B1043" s="235" t="s">
        <v>55</v>
      </c>
      <c r="C1043" s="231" t="s">
        <v>10</v>
      </c>
      <c r="D1043" s="250" t="s">
        <v>2640</v>
      </c>
      <c r="E1043" s="281">
        <v>0</v>
      </c>
      <c r="F1043" s="249">
        <v>3400</v>
      </c>
      <c r="G1043" s="164">
        <f t="shared" si="119"/>
        <v>19.828571428571429</v>
      </c>
      <c r="H1043" s="165">
        <f t="shared" si="120"/>
        <v>39.657142857142858</v>
      </c>
      <c r="I1043" s="165">
        <f t="shared" si="121"/>
        <v>29.74285714285714</v>
      </c>
      <c r="J1043" s="166">
        <f t="shared" si="122"/>
        <v>49.571428571428569</v>
      </c>
      <c r="K1043" s="166">
        <f t="shared" si="123"/>
        <v>49.571428571428569</v>
      </c>
      <c r="L1043" s="165">
        <f t="shared" si="124"/>
        <v>1.85</v>
      </c>
      <c r="M1043" s="168">
        <f t="shared" si="118"/>
        <v>0</v>
      </c>
      <c r="N1043" s="236" t="s">
        <v>453</v>
      </c>
    </row>
    <row r="1044" spans="1:14" ht="14">
      <c r="A1044" s="149">
        <v>1043</v>
      </c>
      <c r="B1044" s="235" t="s">
        <v>49</v>
      </c>
      <c r="C1044" s="231" t="s">
        <v>10</v>
      </c>
      <c r="D1044" s="250" t="s">
        <v>2642</v>
      </c>
      <c r="E1044" s="281">
        <v>0</v>
      </c>
      <c r="F1044" s="249">
        <v>200</v>
      </c>
      <c r="G1044" s="164">
        <f t="shared" si="119"/>
        <v>1.5428571428571429</v>
      </c>
      <c r="H1044" s="165">
        <f t="shared" si="120"/>
        <v>3.0857142857142859</v>
      </c>
      <c r="I1044" s="165">
        <f t="shared" si="121"/>
        <v>2.3142857142857141</v>
      </c>
      <c r="J1044" s="166">
        <f t="shared" si="122"/>
        <v>3.8571428571428568</v>
      </c>
      <c r="K1044" s="166">
        <f t="shared" si="123"/>
        <v>3.8571428571428568</v>
      </c>
      <c r="L1044" s="165">
        <f t="shared" si="124"/>
        <v>1.05</v>
      </c>
      <c r="M1044" s="168">
        <f t="shared" si="118"/>
        <v>0</v>
      </c>
      <c r="N1044" s="236" t="s">
        <v>453</v>
      </c>
    </row>
    <row r="1045" spans="1:14" ht="14">
      <c r="A1045" s="149">
        <v>1044</v>
      </c>
      <c r="B1045" s="235" t="s">
        <v>52</v>
      </c>
      <c r="C1045" s="231" t="s">
        <v>10</v>
      </c>
      <c r="D1045" s="250" t="s">
        <v>2644</v>
      </c>
      <c r="E1045" s="281">
        <v>0</v>
      </c>
      <c r="F1045" s="249">
        <v>9300</v>
      </c>
      <c r="G1045" s="164">
        <f t="shared" si="119"/>
        <v>53.542857142857144</v>
      </c>
      <c r="H1045" s="165">
        <f t="shared" si="120"/>
        <v>107.08571428571429</v>
      </c>
      <c r="I1045" s="165">
        <f t="shared" si="121"/>
        <v>80.314285714285717</v>
      </c>
      <c r="J1045" s="166">
        <f t="shared" si="122"/>
        <v>133.85714285714286</v>
      </c>
      <c r="K1045" s="166">
        <f t="shared" si="123"/>
        <v>133.85714285714286</v>
      </c>
      <c r="L1045" s="165">
        <f t="shared" si="124"/>
        <v>3.3250000000000002</v>
      </c>
      <c r="M1045" s="168">
        <f t="shared" si="118"/>
        <v>0</v>
      </c>
      <c r="N1045" s="231" t="s">
        <v>457</v>
      </c>
    </row>
    <row r="1046" spans="1:14" ht="14">
      <c r="A1046" s="149">
        <v>1045</v>
      </c>
      <c r="B1046" s="235" t="s">
        <v>52</v>
      </c>
      <c r="C1046" s="231" t="s">
        <v>10</v>
      </c>
      <c r="D1046" s="250" t="s">
        <v>2645</v>
      </c>
      <c r="E1046" s="281">
        <v>0</v>
      </c>
      <c r="F1046" s="249">
        <v>8000</v>
      </c>
      <c r="G1046" s="164">
        <f t="shared" si="119"/>
        <v>46.114285714285721</v>
      </c>
      <c r="H1046" s="165">
        <f t="shared" si="120"/>
        <v>92.228571428571442</v>
      </c>
      <c r="I1046" s="165">
        <f t="shared" si="121"/>
        <v>69.171428571428578</v>
      </c>
      <c r="J1046" s="166">
        <f t="shared" si="122"/>
        <v>115.28571428571431</v>
      </c>
      <c r="K1046" s="166">
        <f t="shared" si="123"/>
        <v>115.28571428571431</v>
      </c>
      <c r="L1046" s="165">
        <f t="shared" si="124"/>
        <v>3</v>
      </c>
      <c r="M1046" s="168">
        <f t="shared" si="118"/>
        <v>0</v>
      </c>
      <c r="N1046" s="231" t="s">
        <v>453</v>
      </c>
    </row>
    <row r="1047" spans="1:14" ht="14">
      <c r="A1047" s="149">
        <v>1046</v>
      </c>
      <c r="B1047" s="235" t="s">
        <v>52</v>
      </c>
      <c r="C1047" s="231" t="s">
        <v>10</v>
      </c>
      <c r="D1047" s="250" t="s">
        <v>2647</v>
      </c>
      <c r="E1047" s="281">
        <v>0</v>
      </c>
      <c r="F1047" s="249">
        <v>200</v>
      </c>
      <c r="G1047" s="164">
        <f t="shared" si="119"/>
        <v>1.5428571428571429</v>
      </c>
      <c r="H1047" s="165">
        <f t="shared" si="120"/>
        <v>3.0857142857142859</v>
      </c>
      <c r="I1047" s="165">
        <f t="shared" si="121"/>
        <v>2.3142857142857141</v>
      </c>
      <c r="J1047" s="166">
        <f t="shared" si="122"/>
        <v>3.8571428571428568</v>
      </c>
      <c r="K1047" s="166">
        <f t="shared" si="123"/>
        <v>3.8571428571428568</v>
      </c>
      <c r="L1047" s="165">
        <f t="shared" si="124"/>
        <v>1.05</v>
      </c>
      <c r="M1047" s="168">
        <f t="shared" si="118"/>
        <v>0</v>
      </c>
      <c r="N1047" s="231" t="s">
        <v>453</v>
      </c>
    </row>
    <row r="1048" spans="1:14" ht="14">
      <c r="A1048" s="149">
        <v>1047</v>
      </c>
      <c r="B1048" s="235" t="s">
        <v>52</v>
      </c>
      <c r="C1048" s="231" t="s">
        <v>10</v>
      </c>
      <c r="D1048" s="250" t="s">
        <v>2649</v>
      </c>
      <c r="E1048" s="281">
        <v>0</v>
      </c>
      <c r="F1048" s="249">
        <v>750</v>
      </c>
      <c r="G1048" s="164">
        <f t="shared" si="119"/>
        <v>4.6857142857142859</v>
      </c>
      <c r="H1048" s="165">
        <f t="shared" si="120"/>
        <v>9.3714285714285719</v>
      </c>
      <c r="I1048" s="165">
        <f t="shared" si="121"/>
        <v>7.0285714285714276</v>
      </c>
      <c r="J1048" s="166">
        <f t="shared" si="122"/>
        <v>11.714285714285714</v>
      </c>
      <c r="K1048" s="166">
        <f t="shared" si="123"/>
        <v>11.714285714285714</v>
      </c>
      <c r="L1048" s="165">
        <f t="shared" si="124"/>
        <v>1.1875</v>
      </c>
      <c r="M1048" s="168">
        <f t="shared" si="118"/>
        <v>0</v>
      </c>
      <c r="N1048" s="231" t="s">
        <v>453</v>
      </c>
    </row>
    <row r="1049" spans="1:14" ht="14">
      <c r="A1049" s="149">
        <v>1048</v>
      </c>
      <c r="B1049" s="235" t="s">
        <v>52</v>
      </c>
      <c r="C1049" s="231" t="s">
        <v>10</v>
      </c>
      <c r="D1049" s="250" t="s">
        <v>2651</v>
      </c>
      <c r="E1049" s="281">
        <v>0</v>
      </c>
      <c r="F1049" s="249">
        <v>2000</v>
      </c>
      <c r="G1049" s="164">
        <f t="shared" si="119"/>
        <v>11.828571428571429</v>
      </c>
      <c r="H1049" s="165">
        <f t="shared" si="120"/>
        <v>23.657142857142858</v>
      </c>
      <c r="I1049" s="165">
        <f t="shared" si="121"/>
        <v>17.742857142857144</v>
      </c>
      <c r="J1049" s="166">
        <f t="shared" si="122"/>
        <v>29.571428571428573</v>
      </c>
      <c r="K1049" s="166">
        <f t="shared" si="123"/>
        <v>29.571428571428573</v>
      </c>
      <c r="L1049" s="165">
        <f t="shared" si="124"/>
        <v>1.5</v>
      </c>
      <c r="M1049" s="168">
        <f t="shared" si="118"/>
        <v>0</v>
      </c>
      <c r="N1049" s="231" t="s">
        <v>457</v>
      </c>
    </row>
    <row r="1050" spans="1:14" ht="14">
      <c r="A1050" s="149">
        <v>1049</v>
      </c>
      <c r="B1050" s="235" t="s">
        <v>55</v>
      </c>
      <c r="C1050" s="231" t="s">
        <v>10</v>
      </c>
      <c r="D1050" s="250" t="s">
        <v>2653</v>
      </c>
      <c r="E1050" s="281">
        <v>0</v>
      </c>
      <c r="F1050" s="249">
        <v>5400</v>
      </c>
      <c r="G1050" s="164">
        <f t="shared" si="119"/>
        <v>31.257142857142856</v>
      </c>
      <c r="H1050" s="165">
        <f t="shared" si="120"/>
        <v>62.514285714285712</v>
      </c>
      <c r="I1050" s="165">
        <f t="shared" si="121"/>
        <v>46.885714285714279</v>
      </c>
      <c r="J1050" s="166">
        <f t="shared" si="122"/>
        <v>78.142857142857139</v>
      </c>
      <c r="K1050" s="166">
        <f t="shared" si="123"/>
        <v>78.142857142857139</v>
      </c>
      <c r="L1050" s="165">
        <f t="shared" si="124"/>
        <v>2.35</v>
      </c>
      <c r="M1050" s="168">
        <f t="shared" si="118"/>
        <v>0</v>
      </c>
      <c r="N1050" s="231" t="s">
        <v>453</v>
      </c>
    </row>
    <row r="1051" spans="1:14" ht="14">
      <c r="A1051" s="149">
        <v>1050</v>
      </c>
      <c r="B1051" s="235" t="s">
        <v>52</v>
      </c>
      <c r="C1051" s="231" t="s">
        <v>10</v>
      </c>
      <c r="D1051" s="250" t="s">
        <v>2655</v>
      </c>
      <c r="E1051" s="281">
        <v>0</v>
      </c>
      <c r="F1051" s="249">
        <v>300</v>
      </c>
      <c r="G1051" s="164">
        <f t="shared" si="119"/>
        <v>2.1142857142857143</v>
      </c>
      <c r="H1051" s="165">
        <f t="shared" si="120"/>
        <v>4.2285714285714286</v>
      </c>
      <c r="I1051" s="165">
        <f t="shared" si="121"/>
        <v>3.1714285714285713</v>
      </c>
      <c r="J1051" s="166">
        <f t="shared" si="122"/>
        <v>5.2857142857142856</v>
      </c>
      <c r="K1051" s="166">
        <f t="shared" si="123"/>
        <v>5.2857142857142856</v>
      </c>
      <c r="L1051" s="165">
        <f t="shared" si="124"/>
        <v>1.075</v>
      </c>
      <c r="M1051" s="168">
        <f t="shared" si="118"/>
        <v>0</v>
      </c>
      <c r="N1051" s="231" t="s">
        <v>453</v>
      </c>
    </row>
    <row r="1052" spans="1:14" ht="14">
      <c r="A1052" s="149">
        <v>1051</v>
      </c>
      <c r="B1052" s="235" t="s">
        <v>52</v>
      </c>
      <c r="C1052" s="231" t="s">
        <v>10</v>
      </c>
      <c r="D1052" s="250" t="s">
        <v>2657</v>
      </c>
      <c r="E1052" s="281">
        <v>0</v>
      </c>
      <c r="F1052" s="249">
        <v>382</v>
      </c>
      <c r="G1052" s="164">
        <f t="shared" si="119"/>
        <v>2.5828571428571432</v>
      </c>
      <c r="H1052" s="165">
        <f t="shared" si="120"/>
        <v>5.1657142857142864</v>
      </c>
      <c r="I1052" s="165">
        <f t="shared" si="121"/>
        <v>3.8742857142857141</v>
      </c>
      <c r="J1052" s="166">
        <f t="shared" si="122"/>
        <v>6.4571428571428573</v>
      </c>
      <c r="K1052" s="166">
        <f t="shared" si="123"/>
        <v>6.4571428571428573</v>
      </c>
      <c r="L1052" s="165">
        <f t="shared" si="124"/>
        <v>1.0954999999999999</v>
      </c>
      <c r="M1052" s="168">
        <f t="shared" si="118"/>
        <v>0</v>
      </c>
      <c r="N1052" s="231" t="s">
        <v>453</v>
      </c>
    </row>
    <row r="1053" spans="1:14" ht="14">
      <c r="A1053" s="149">
        <v>1052</v>
      </c>
      <c r="B1053" s="235" t="s">
        <v>49</v>
      </c>
      <c r="C1053" s="231" t="s">
        <v>10</v>
      </c>
      <c r="D1053" s="250" t="s">
        <v>2659</v>
      </c>
      <c r="E1053" s="281">
        <v>0</v>
      </c>
      <c r="F1053" s="249">
        <v>200</v>
      </c>
      <c r="G1053" s="164">
        <f t="shared" si="119"/>
        <v>1.5428571428571429</v>
      </c>
      <c r="H1053" s="165">
        <f t="shared" si="120"/>
        <v>3.0857142857142859</v>
      </c>
      <c r="I1053" s="165">
        <f t="shared" si="121"/>
        <v>2.3142857142857141</v>
      </c>
      <c r="J1053" s="166">
        <f t="shared" si="122"/>
        <v>3.8571428571428568</v>
      </c>
      <c r="K1053" s="166">
        <f t="shared" si="123"/>
        <v>3.8571428571428568</v>
      </c>
      <c r="L1053" s="165">
        <f t="shared" si="124"/>
        <v>1.05</v>
      </c>
      <c r="M1053" s="168">
        <f t="shared" si="118"/>
        <v>0</v>
      </c>
      <c r="N1053" s="231" t="s">
        <v>453</v>
      </c>
    </row>
    <row r="1054" spans="1:14" ht="14">
      <c r="A1054" s="149">
        <v>1053</v>
      </c>
      <c r="B1054" s="235" t="s">
        <v>52</v>
      </c>
      <c r="C1054" s="231" t="s">
        <v>10</v>
      </c>
      <c r="D1054" s="250" t="s">
        <v>2660</v>
      </c>
      <c r="E1054" s="281">
        <v>0</v>
      </c>
      <c r="F1054" s="249">
        <v>200</v>
      </c>
      <c r="G1054" s="164">
        <f t="shared" si="119"/>
        <v>1.5428571428571429</v>
      </c>
      <c r="H1054" s="165">
        <f t="shared" si="120"/>
        <v>3.0857142857142859</v>
      </c>
      <c r="I1054" s="165">
        <f t="shared" si="121"/>
        <v>2.3142857142857141</v>
      </c>
      <c r="J1054" s="166">
        <f t="shared" si="122"/>
        <v>3.8571428571428568</v>
      </c>
      <c r="K1054" s="166">
        <f t="shared" si="123"/>
        <v>3.8571428571428568</v>
      </c>
      <c r="L1054" s="165">
        <f t="shared" si="124"/>
        <v>1.05</v>
      </c>
      <c r="M1054" s="168">
        <f t="shared" si="118"/>
        <v>0</v>
      </c>
      <c r="N1054" s="231" t="s">
        <v>453</v>
      </c>
    </row>
    <row r="1055" spans="1:14" ht="14">
      <c r="A1055" s="149">
        <v>1054</v>
      </c>
      <c r="B1055" s="235" t="s">
        <v>52</v>
      </c>
      <c r="C1055" s="231" t="s">
        <v>10</v>
      </c>
      <c r="D1055" s="250" t="s">
        <v>2661</v>
      </c>
      <c r="E1055" s="281">
        <v>0</v>
      </c>
      <c r="F1055" s="249">
        <v>520</v>
      </c>
      <c r="G1055" s="164">
        <f t="shared" si="119"/>
        <v>3.3714285714285719</v>
      </c>
      <c r="H1055" s="165">
        <f t="shared" si="120"/>
        <v>6.7428571428571438</v>
      </c>
      <c r="I1055" s="165">
        <f t="shared" si="121"/>
        <v>5.0571428571428569</v>
      </c>
      <c r="J1055" s="166">
        <f t="shared" si="122"/>
        <v>8.4285714285714288</v>
      </c>
      <c r="K1055" s="166">
        <f t="shared" si="123"/>
        <v>8.4285714285714288</v>
      </c>
      <c r="L1055" s="165">
        <f t="shared" si="124"/>
        <v>1.1299999999999999</v>
      </c>
      <c r="M1055" s="168">
        <f t="shared" si="118"/>
        <v>0</v>
      </c>
      <c r="N1055" s="231" t="s">
        <v>453</v>
      </c>
    </row>
    <row r="1056" spans="1:14" ht="14">
      <c r="A1056" s="149">
        <v>1055</v>
      </c>
      <c r="B1056" s="235" t="s">
        <v>52</v>
      </c>
      <c r="C1056" s="231" t="s">
        <v>10</v>
      </c>
      <c r="D1056" s="250" t="s">
        <v>2662</v>
      </c>
      <c r="E1056" s="281">
        <v>0</v>
      </c>
      <c r="F1056" s="249">
        <v>200</v>
      </c>
      <c r="G1056" s="164">
        <f t="shared" si="119"/>
        <v>1.5428571428571429</v>
      </c>
      <c r="H1056" s="165">
        <f t="shared" si="120"/>
        <v>3.0857142857142859</v>
      </c>
      <c r="I1056" s="165">
        <f t="shared" si="121"/>
        <v>2.3142857142857141</v>
      </c>
      <c r="J1056" s="166">
        <f t="shared" si="122"/>
        <v>3.8571428571428568</v>
      </c>
      <c r="K1056" s="166">
        <f t="shared" si="123"/>
        <v>3.8571428571428568</v>
      </c>
      <c r="L1056" s="165">
        <f t="shared" si="124"/>
        <v>1.05</v>
      </c>
      <c r="M1056" s="168">
        <f t="shared" si="118"/>
        <v>0</v>
      </c>
      <c r="N1056" s="231" t="s">
        <v>453</v>
      </c>
    </row>
    <row r="1057" spans="1:14" ht="14">
      <c r="A1057" s="149">
        <v>1056</v>
      </c>
      <c r="B1057" s="235" t="s">
        <v>52</v>
      </c>
      <c r="C1057" s="231" t="s">
        <v>10</v>
      </c>
      <c r="D1057" s="250" t="s">
        <v>2663</v>
      </c>
      <c r="E1057" s="281">
        <v>0</v>
      </c>
      <c r="F1057" s="249">
        <v>15000</v>
      </c>
      <c r="G1057" s="164">
        <f t="shared" si="119"/>
        <v>86.114285714285714</v>
      </c>
      <c r="H1057" s="165">
        <f t="shared" si="120"/>
        <v>172.22857142857143</v>
      </c>
      <c r="I1057" s="165">
        <f t="shared" si="121"/>
        <v>129.17142857142855</v>
      </c>
      <c r="J1057" s="166">
        <f t="shared" si="122"/>
        <v>215.28571428571428</v>
      </c>
      <c r="K1057" s="166">
        <f t="shared" si="123"/>
        <v>215.28571428571428</v>
      </c>
      <c r="L1057" s="165">
        <f t="shared" si="124"/>
        <v>4.75</v>
      </c>
      <c r="M1057" s="168">
        <f t="shared" si="118"/>
        <v>0</v>
      </c>
      <c r="N1057" s="231" t="s">
        <v>457</v>
      </c>
    </row>
    <row r="1058" spans="1:14" ht="14">
      <c r="A1058" s="149">
        <v>1057</v>
      </c>
      <c r="B1058" s="235" t="s">
        <v>55</v>
      </c>
      <c r="C1058" s="231" t="s">
        <v>10</v>
      </c>
      <c r="D1058" s="250" t="s">
        <v>2664</v>
      </c>
      <c r="E1058" s="281">
        <v>0</v>
      </c>
      <c r="F1058" s="249">
        <v>1200</v>
      </c>
      <c r="G1058" s="164">
        <f t="shared" si="119"/>
        <v>7.2571428571428571</v>
      </c>
      <c r="H1058" s="165">
        <f t="shared" si="120"/>
        <v>14.514285714285714</v>
      </c>
      <c r="I1058" s="165">
        <f t="shared" si="121"/>
        <v>10.885714285714284</v>
      </c>
      <c r="J1058" s="166">
        <f t="shared" si="122"/>
        <v>18.142857142857142</v>
      </c>
      <c r="K1058" s="166">
        <f t="shared" si="123"/>
        <v>18.142857142857142</v>
      </c>
      <c r="L1058" s="165">
        <f t="shared" si="124"/>
        <v>1.3</v>
      </c>
      <c r="M1058" s="168">
        <f t="shared" si="118"/>
        <v>0</v>
      </c>
      <c r="N1058" s="231" t="s">
        <v>453</v>
      </c>
    </row>
    <row r="1059" spans="1:14" ht="14">
      <c r="A1059" s="149">
        <v>1058</v>
      </c>
      <c r="B1059" s="235" t="s">
        <v>52</v>
      </c>
      <c r="C1059" s="231" t="s">
        <v>10</v>
      </c>
      <c r="D1059" s="250" t="s">
        <v>2665</v>
      </c>
      <c r="E1059" s="281">
        <v>0</v>
      </c>
      <c r="F1059" s="249">
        <v>600</v>
      </c>
      <c r="G1059" s="164">
        <f t="shared" si="119"/>
        <v>3.8285714285714287</v>
      </c>
      <c r="H1059" s="165">
        <f t="shared" si="120"/>
        <v>7.6571428571428575</v>
      </c>
      <c r="I1059" s="165">
        <f t="shared" si="121"/>
        <v>5.7428571428571429</v>
      </c>
      <c r="J1059" s="166">
        <f t="shared" si="122"/>
        <v>9.5714285714285712</v>
      </c>
      <c r="K1059" s="166">
        <f t="shared" si="123"/>
        <v>9.5714285714285712</v>
      </c>
      <c r="L1059" s="165">
        <f t="shared" si="124"/>
        <v>1.1499999999999999</v>
      </c>
      <c r="M1059" s="168">
        <f t="shared" si="118"/>
        <v>0</v>
      </c>
      <c r="N1059" s="231" t="s">
        <v>457</v>
      </c>
    </row>
    <row r="1060" spans="1:14" ht="14">
      <c r="A1060" s="149">
        <v>1059</v>
      </c>
      <c r="B1060" s="235" t="s">
        <v>52</v>
      </c>
      <c r="C1060" s="231" t="s">
        <v>10</v>
      </c>
      <c r="D1060" s="250" t="s">
        <v>2667</v>
      </c>
      <c r="E1060" s="281">
        <v>0</v>
      </c>
      <c r="F1060" s="249">
        <v>800</v>
      </c>
      <c r="G1060" s="164">
        <f t="shared" si="119"/>
        <v>4.9714285714285715</v>
      </c>
      <c r="H1060" s="165">
        <f t="shared" si="120"/>
        <v>9.9428571428571431</v>
      </c>
      <c r="I1060" s="165">
        <f t="shared" si="121"/>
        <v>7.4571428571428573</v>
      </c>
      <c r="J1060" s="166">
        <f t="shared" si="122"/>
        <v>12.428571428571429</v>
      </c>
      <c r="K1060" s="166">
        <f t="shared" si="123"/>
        <v>12.428571428571429</v>
      </c>
      <c r="L1060" s="165">
        <f t="shared" si="124"/>
        <v>1.2</v>
      </c>
      <c r="M1060" s="168">
        <f t="shared" si="118"/>
        <v>0</v>
      </c>
      <c r="N1060" s="231" t="s">
        <v>453</v>
      </c>
    </row>
    <row r="1061" spans="1:14" ht="14">
      <c r="A1061" s="149">
        <v>1060</v>
      </c>
      <c r="B1061" s="235" t="s">
        <v>52</v>
      </c>
      <c r="C1061" s="231" t="s">
        <v>10</v>
      </c>
      <c r="D1061" s="250" t="s">
        <v>2668</v>
      </c>
      <c r="E1061" s="281">
        <v>0</v>
      </c>
      <c r="F1061" s="249">
        <v>500</v>
      </c>
      <c r="G1061" s="164">
        <f t="shared" si="119"/>
        <v>3.2571428571428571</v>
      </c>
      <c r="H1061" s="165">
        <f t="shared" si="120"/>
        <v>6.5142857142857142</v>
      </c>
      <c r="I1061" s="165">
        <f t="shared" si="121"/>
        <v>4.8857142857142852</v>
      </c>
      <c r="J1061" s="166">
        <f t="shared" si="122"/>
        <v>8.1428571428571423</v>
      </c>
      <c r="K1061" s="166">
        <f t="shared" si="123"/>
        <v>8.1428571428571423</v>
      </c>
      <c r="L1061" s="165">
        <f t="shared" si="124"/>
        <v>1.125</v>
      </c>
      <c r="M1061" s="168">
        <f t="shared" si="118"/>
        <v>0</v>
      </c>
      <c r="N1061" s="231" t="s">
        <v>453</v>
      </c>
    </row>
    <row r="1062" spans="1:14" ht="14">
      <c r="A1062" s="149">
        <v>1061</v>
      </c>
      <c r="B1062" s="235" t="s">
        <v>55</v>
      </c>
      <c r="C1062" s="231" t="s">
        <v>10</v>
      </c>
      <c r="D1062" s="250" t="s">
        <v>2670</v>
      </c>
      <c r="E1062" s="281">
        <v>0</v>
      </c>
      <c r="F1062" s="249">
        <v>3400</v>
      </c>
      <c r="G1062" s="164">
        <f t="shared" ref="G1062:G1063" si="125">(((F1062/70)+1)*0.4)</f>
        <v>19.828571428571429</v>
      </c>
      <c r="H1062" s="165">
        <f t="shared" ref="H1062:H1063" si="126">G1062*2</f>
        <v>39.657142857142858</v>
      </c>
      <c r="I1062" s="165">
        <f t="shared" ref="I1062:I1063" si="127">(((F1062/70)+1)*0.6)</f>
        <v>29.74285714285714</v>
      </c>
      <c r="J1062" s="166">
        <f t="shared" ref="J1062:J1063" si="128">I1062+G1062</f>
        <v>49.571428571428569</v>
      </c>
      <c r="K1062" s="166">
        <f t="shared" ref="K1062:K1063" si="129">J1062</f>
        <v>49.571428571428569</v>
      </c>
      <c r="L1062" s="165">
        <f t="shared" ref="L1062:L1063" si="130">(F1062/4000)+1</f>
        <v>1.85</v>
      </c>
      <c r="M1062" s="168">
        <f t="shared" si="118"/>
        <v>0</v>
      </c>
      <c r="N1062" s="231" t="s">
        <v>453</v>
      </c>
    </row>
    <row r="1063" spans="1:14" ht="14">
      <c r="A1063" s="149">
        <v>1062</v>
      </c>
      <c r="B1063" s="235" t="s">
        <v>52</v>
      </c>
      <c r="C1063" s="231" t="s">
        <v>10</v>
      </c>
      <c r="D1063" s="250" t="s">
        <v>2672</v>
      </c>
      <c r="E1063" s="281">
        <v>0</v>
      </c>
      <c r="F1063" s="249">
        <v>60</v>
      </c>
      <c r="G1063" s="164">
        <f t="shared" si="125"/>
        <v>0.74285714285714288</v>
      </c>
      <c r="H1063" s="165">
        <f t="shared" si="126"/>
        <v>1.4857142857142858</v>
      </c>
      <c r="I1063" s="165">
        <f t="shared" si="127"/>
        <v>1.1142857142857143</v>
      </c>
      <c r="J1063" s="166">
        <f t="shared" si="128"/>
        <v>1.8571428571428572</v>
      </c>
      <c r="K1063" s="166">
        <f t="shared" si="129"/>
        <v>1.8571428571428572</v>
      </c>
      <c r="L1063" s="165">
        <f t="shared" si="130"/>
        <v>1.0149999999999999</v>
      </c>
      <c r="M1063" s="168">
        <f t="shared" si="118"/>
        <v>0</v>
      </c>
      <c r="N1063" s="231" t="s">
        <v>453</v>
      </c>
    </row>
    <row r="1064" spans="1:14" ht="14">
      <c r="A1064" s="149">
        <v>1063</v>
      </c>
      <c r="B1064" s="235" t="s">
        <v>51</v>
      </c>
      <c r="C1064" s="231" t="s">
        <v>10</v>
      </c>
      <c r="D1064" s="250" t="s">
        <v>4598</v>
      </c>
      <c r="E1064" s="281">
        <v>0</v>
      </c>
      <c r="F1064" s="249">
        <v>800</v>
      </c>
      <c r="G1064" s="164">
        <f t="shared" ref="G1064" si="131">(((F1064/70)+1)*0.4)</f>
        <v>4.9714285714285715</v>
      </c>
      <c r="H1064" s="165">
        <f t="shared" ref="H1064" si="132">G1064*2</f>
        <v>9.9428571428571431</v>
      </c>
      <c r="I1064" s="165">
        <f t="shared" ref="I1064" si="133">(((F1064/70)+1)*0.6)</f>
        <v>7.4571428571428573</v>
      </c>
      <c r="J1064" s="166">
        <f t="shared" ref="J1064" si="134">I1064+G1064</f>
        <v>12.428571428571429</v>
      </c>
      <c r="K1064" s="166">
        <f t="shared" ref="K1064" si="135">J1064</f>
        <v>12.428571428571429</v>
      </c>
      <c r="L1064" s="165">
        <f t="shared" ref="L1064" si="136">(F1064/4000)+1</f>
        <v>1.2</v>
      </c>
      <c r="M1064" s="168">
        <f t="shared" si="118"/>
        <v>0</v>
      </c>
      <c r="N1064" s="90" t="s">
        <v>453</v>
      </c>
    </row>
    <row r="1065" spans="1:14" ht="14">
      <c r="A1065" s="149">
        <v>1064</v>
      </c>
      <c r="B1065" s="235" t="s">
        <v>52</v>
      </c>
      <c r="C1065" s="231" t="s">
        <v>10</v>
      </c>
      <c r="D1065" s="250" t="s">
        <v>2675</v>
      </c>
      <c r="E1065" s="281">
        <v>0</v>
      </c>
      <c r="F1065" s="249">
        <v>300</v>
      </c>
      <c r="G1065" s="164">
        <f t="shared" ref="G1065:G1074" si="137">(((F1065/70)+1)*0.4)</f>
        <v>2.1142857142857143</v>
      </c>
      <c r="H1065" s="165">
        <f t="shared" ref="H1065:H1074" si="138">G1065*2</f>
        <v>4.2285714285714286</v>
      </c>
      <c r="I1065" s="165">
        <f t="shared" ref="I1065:I1074" si="139">(((F1065/70)+1)*0.6)</f>
        <v>3.1714285714285713</v>
      </c>
      <c r="J1065" s="166">
        <f t="shared" ref="J1065:J1074" si="140">I1065+G1065</f>
        <v>5.2857142857142856</v>
      </c>
      <c r="K1065" s="166">
        <f t="shared" ref="K1065:K1074" si="141">J1065</f>
        <v>5.2857142857142856</v>
      </c>
      <c r="L1065" s="165">
        <f t="shared" ref="L1065:L1074" si="142">(F1065/4000)+1</f>
        <v>1.075</v>
      </c>
      <c r="M1065" s="168">
        <f t="shared" si="118"/>
        <v>0</v>
      </c>
      <c r="N1065" s="231" t="s">
        <v>453</v>
      </c>
    </row>
    <row r="1066" spans="1:14" ht="14">
      <c r="A1066" s="149">
        <v>1065</v>
      </c>
      <c r="B1066" s="235" t="s">
        <v>52</v>
      </c>
      <c r="C1066" s="231" t="s">
        <v>10</v>
      </c>
      <c r="D1066" s="250" t="s">
        <v>2676</v>
      </c>
      <c r="E1066" s="281">
        <v>0</v>
      </c>
      <c r="F1066" s="249">
        <v>400</v>
      </c>
      <c r="G1066" s="164">
        <f t="shared" si="137"/>
        <v>2.6857142857142859</v>
      </c>
      <c r="H1066" s="165">
        <f t="shared" si="138"/>
        <v>5.3714285714285719</v>
      </c>
      <c r="I1066" s="165">
        <f t="shared" si="139"/>
        <v>4.0285714285714285</v>
      </c>
      <c r="J1066" s="166">
        <f t="shared" si="140"/>
        <v>6.7142857142857144</v>
      </c>
      <c r="K1066" s="166">
        <f t="shared" si="141"/>
        <v>6.7142857142857144</v>
      </c>
      <c r="L1066" s="165">
        <f t="shared" si="142"/>
        <v>1.1000000000000001</v>
      </c>
      <c r="M1066" s="168">
        <f t="shared" si="118"/>
        <v>0</v>
      </c>
      <c r="N1066" s="231" t="s">
        <v>453</v>
      </c>
    </row>
    <row r="1067" spans="1:14" ht="14">
      <c r="A1067" s="149">
        <v>1066</v>
      </c>
      <c r="B1067" s="235" t="s">
        <v>51</v>
      </c>
      <c r="C1067" s="231" t="s">
        <v>10</v>
      </c>
      <c r="D1067" s="250" t="s">
        <v>2677</v>
      </c>
      <c r="E1067" s="281">
        <v>0</v>
      </c>
      <c r="F1067" s="249">
        <v>500</v>
      </c>
      <c r="G1067" s="164">
        <f t="shared" si="137"/>
        <v>3.2571428571428571</v>
      </c>
      <c r="H1067" s="165">
        <f t="shared" si="138"/>
        <v>6.5142857142857142</v>
      </c>
      <c r="I1067" s="165">
        <f t="shared" si="139"/>
        <v>4.8857142857142852</v>
      </c>
      <c r="J1067" s="166">
        <f t="shared" si="140"/>
        <v>8.1428571428571423</v>
      </c>
      <c r="K1067" s="166">
        <f t="shared" si="141"/>
        <v>8.1428571428571423</v>
      </c>
      <c r="L1067" s="165">
        <f t="shared" si="142"/>
        <v>1.125</v>
      </c>
      <c r="M1067" s="168">
        <f t="shared" si="118"/>
        <v>0</v>
      </c>
      <c r="N1067" s="231" t="s">
        <v>453</v>
      </c>
    </row>
    <row r="1068" spans="1:14" ht="14">
      <c r="A1068" s="149">
        <v>1067</v>
      </c>
      <c r="B1068" s="235" t="s">
        <v>52</v>
      </c>
      <c r="C1068" s="231" t="s">
        <v>10</v>
      </c>
      <c r="D1068" s="250" t="s">
        <v>2678</v>
      </c>
      <c r="E1068" s="281">
        <v>0</v>
      </c>
      <c r="F1068" s="249">
        <v>1200</v>
      </c>
      <c r="G1068" s="164">
        <f t="shared" si="137"/>
        <v>7.2571428571428571</v>
      </c>
      <c r="H1068" s="165">
        <f t="shared" si="138"/>
        <v>14.514285714285714</v>
      </c>
      <c r="I1068" s="165">
        <f t="shared" si="139"/>
        <v>10.885714285714284</v>
      </c>
      <c r="J1068" s="166">
        <f t="shared" si="140"/>
        <v>18.142857142857142</v>
      </c>
      <c r="K1068" s="166">
        <f t="shared" si="141"/>
        <v>18.142857142857142</v>
      </c>
      <c r="L1068" s="165">
        <f t="shared" si="142"/>
        <v>1.3</v>
      </c>
      <c r="M1068" s="168">
        <f t="shared" si="118"/>
        <v>0</v>
      </c>
      <c r="N1068" s="231" t="s">
        <v>453</v>
      </c>
    </row>
    <row r="1069" spans="1:14" ht="14">
      <c r="A1069" s="149">
        <v>1068</v>
      </c>
      <c r="B1069" s="235" t="s">
        <v>53</v>
      </c>
      <c r="C1069" s="231" t="s">
        <v>10</v>
      </c>
      <c r="D1069" s="250" t="s">
        <v>2679</v>
      </c>
      <c r="E1069" s="281">
        <v>0</v>
      </c>
      <c r="F1069" s="249">
        <v>150</v>
      </c>
      <c r="G1069" s="164">
        <f t="shared" si="137"/>
        <v>1.2571428571428571</v>
      </c>
      <c r="H1069" s="165">
        <f t="shared" si="138"/>
        <v>2.5142857142857142</v>
      </c>
      <c r="I1069" s="165">
        <f t="shared" si="139"/>
        <v>1.8857142857142857</v>
      </c>
      <c r="J1069" s="166">
        <f t="shared" si="140"/>
        <v>3.1428571428571428</v>
      </c>
      <c r="K1069" s="166">
        <f t="shared" si="141"/>
        <v>3.1428571428571428</v>
      </c>
      <c r="L1069" s="165">
        <f t="shared" si="142"/>
        <v>1.0375000000000001</v>
      </c>
      <c r="M1069" s="168">
        <f t="shared" si="118"/>
        <v>0</v>
      </c>
      <c r="N1069" s="231" t="s">
        <v>453</v>
      </c>
    </row>
    <row r="1070" spans="1:14" ht="14">
      <c r="A1070" s="149">
        <v>1069</v>
      </c>
      <c r="B1070" s="235" t="s">
        <v>52</v>
      </c>
      <c r="C1070" s="231" t="s">
        <v>10</v>
      </c>
      <c r="D1070" s="250" t="s">
        <v>2680</v>
      </c>
      <c r="E1070" s="281">
        <v>0</v>
      </c>
      <c r="F1070" s="249">
        <v>1000</v>
      </c>
      <c r="G1070" s="164">
        <f t="shared" si="137"/>
        <v>6.1142857142857148</v>
      </c>
      <c r="H1070" s="165">
        <f t="shared" si="138"/>
        <v>12.22857142857143</v>
      </c>
      <c r="I1070" s="165">
        <f t="shared" si="139"/>
        <v>9.1714285714285708</v>
      </c>
      <c r="J1070" s="166">
        <f t="shared" si="140"/>
        <v>15.285714285714285</v>
      </c>
      <c r="K1070" s="166">
        <f t="shared" si="141"/>
        <v>15.285714285714285</v>
      </c>
      <c r="L1070" s="165">
        <f t="shared" si="142"/>
        <v>1.25</v>
      </c>
      <c r="M1070" s="168">
        <f t="shared" si="118"/>
        <v>0</v>
      </c>
      <c r="N1070" s="231" t="s">
        <v>453</v>
      </c>
    </row>
    <row r="1071" spans="1:14" ht="14">
      <c r="A1071" s="149">
        <v>1070</v>
      </c>
      <c r="B1071" s="235" t="s">
        <v>52</v>
      </c>
      <c r="C1071" s="231" t="s">
        <v>10</v>
      </c>
      <c r="D1071" s="250" t="s">
        <v>2681</v>
      </c>
      <c r="E1071" s="281">
        <v>0</v>
      </c>
      <c r="F1071" s="249">
        <v>400</v>
      </c>
      <c r="G1071" s="164">
        <f t="shared" si="137"/>
        <v>2.6857142857142859</v>
      </c>
      <c r="H1071" s="165">
        <f t="shared" si="138"/>
        <v>5.3714285714285719</v>
      </c>
      <c r="I1071" s="165">
        <f t="shared" si="139"/>
        <v>4.0285714285714285</v>
      </c>
      <c r="J1071" s="166">
        <f t="shared" si="140"/>
        <v>6.7142857142857144</v>
      </c>
      <c r="K1071" s="166">
        <f t="shared" si="141"/>
        <v>6.7142857142857144</v>
      </c>
      <c r="L1071" s="165">
        <f t="shared" si="142"/>
        <v>1.1000000000000001</v>
      </c>
      <c r="M1071" s="168">
        <f t="shared" si="118"/>
        <v>0</v>
      </c>
      <c r="N1071" s="231" t="s">
        <v>453</v>
      </c>
    </row>
    <row r="1072" spans="1:14" ht="14">
      <c r="A1072" s="149">
        <v>1071</v>
      </c>
      <c r="B1072" s="235" t="s">
        <v>52</v>
      </c>
      <c r="C1072" s="231" t="s">
        <v>10</v>
      </c>
      <c r="D1072" s="250" t="s">
        <v>2682</v>
      </c>
      <c r="E1072" s="281">
        <v>0</v>
      </c>
      <c r="F1072" s="249">
        <v>300</v>
      </c>
      <c r="G1072" s="164">
        <f t="shared" si="137"/>
        <v>2.1142857142857143</v>
      </c>
      <c r="H1072" s="165">
        <f t="shared" si="138"/>
        <v>4.2285714285714286</v>
      </c>
      <c r="I1072" s="165">
        <f t="shared" si="139"/>
        <v>3.1714285714285713</v>
      </c>
      <c r="J1072" s="166">
        <f t="shared" si="140"/>
        <v>5.2857142857142856</v>
      </c>
      <c r="K1072" s="166">
        <f t="shared" si="141"/>
        <v>5.2857142857142856</v>
      </c>
      <c r="L1072" s="165">
        <f t="shared" si="142"/>
        <v>1.075</v>
      </c>
      <c r="M1072" s="168">
        <f t="shared" si="118"/>
        <v>0</v>
      </c>
      <c r="N1072" s="231" t="s">
        <v>453</v>
      </c>
    </row>
    <row r="1073" spans="1:14" ht="14">
      <c r="A1073" s="149">
        <v>1072</v>
      </c>
      <c r="B1073" s="235" t="s">
        <v>52</v>
      </c>
      <c r="C1073" s="231" t="s">
        <v>10</v>
      </c>
      <c r="D1073" s="250" t="s">
        <v>2683</v>
      </c>
      <c r="E1073" s="281">
        <v>0</v>
      </c>
      <c r="F1073" s="249">
        <v>1000</v>
      </c>
      <c r="G1073" s="164">
        <f t="shared" si="137"/>
        <v>6.1142857142857148</v>
      </c>
      <c r="H1073" s="165">
        <f t="shared" si="138"/>
        <v>12.22857142857143</v>
      </c>
      <c r="I1073" s="165">
        <f t="shared" si="139"/>
        <v>9.1714285714285708</v>
      </c>
      <c r="J1073" s="166">
        <f t="shared" si="140"/>
        <v>15.285714285714285</v>
      </c>
      <c r="K1073" s="166">
        <f t="shared" si="141"/>
        <v>15.285714285714285</v>
      </c>
      <c r="L1073" s="165">
        <f t="shared" si="142"/>
        <v>1.25</v>
      </c>
      <c r="M1073" s="168">
        <f t="shared" si="118"/>
        <v>0</v>
      </c>
      <c r="N1073" s="231" t="s">
        <v>453</v>
      </c>
    </row>
    <row r="1074" spans="1:14" ht="14">
      <c r="A1074" s="149">
        <v>1073</v>
      </c>
      <c r="B1074" s="235" t="s">
        <v>52</v>
      </c>
      <c r="C1074" s="231" t="s">
        <v>10</v>
      </c>
      <c r="D1074" s="250" t="s">
        <v>2684</v>
      </c>
      <c r="E1074" s="281">
        <v>0</v>
      </c>
      <c r="F1074" s="249">
        <v>900</v>
      </c>
      <c r="G1074" s="164">
        <f t="shared" si="137"/>
        <v>5.5428571428571436</v>
      </c>
      <c r="H1074" s="165">
        <f t="shared" si="138"/>
        <v>11.085714285714287</v>
      </c>
      <c r="I1074" s="165">
        <f t="shared" si="139"/>
        <v>8.3142857142857149</v>
      </c>
      <c r="J1074" s="166">
        <f t="shared" si="140"/>
        <v>13.857142857142858</v>
      </c>
      <c r="K1074" s="166">
        <f t="shared" si="141"/>
        <v>13.857142857142858</v>
      </c>
      <c r="L1074" s="165">
        <f t="shared" si="142"/>
        <v>1.2250000000000001</v>
      </c>
      <c r="M1074" s="168">
        <f t="shared" si="118"/>
        <v>0</v>
      </c>
      <c r="N1074" s="231" t="s">
        <v>453</v>
      </c>
    </row>
    <row r="1075" spans="1:14" ht="14">
      <c r="A1075" s="149">
        <v>1074</v>
      </c>
      <c r="B1075" s="235" t="s">
        <v>52</v>
      </c>
      <c r="C1075" s="231" t="s">
        <v>10</v>
      </c>
      <c r="D1075" s="250" t="s">
        <v>2685</v>
      </c>
      <c r="E1075" s="281">
        <v>0</v>
      </c>
      <c r="F1075" s="249">
        <v>300</v>
      </c>
      <c r="G1075" s="164">
        <f t="shared" ref="G1075:G1135" si="143">(((F1075/70)+1)*0.4)</f>
        <v>2.1142857142857143</v>
      </c>
      <c r="H1075" s="165">
        <f t="shared" ref="H1075:H1135" si="144">G1075*2</f>
        <v>4.2285714285714286</v>
      </c>
      <c r="I1075" s="165">
        <f t="shared" ref="I1075:I1135" si="145">(((F1075/70)+1)*0.6)</f>
        <v>3.1714285714285713</v>
      </c>
      <c r="J1075" s="166">
        <f t="shared" ref="J1075:J1135" si="146">I1075+G1075</f>
        <v>5.2857142857142856</v>
      </c>
      <c r="K1075" s="166">
        <f t="shared" ref="K1075:K1135" si="147">J1075</f>
        <v>5.2857142857142856</v>
      </c>
      <c r="L1075" s="165">
        <f t="shared" ref="L1075:L1135" si="148">(F1075/4000)+1</f>
        <v>1.075</v>
      </c>
      <c r="M1075" s="168">
        <f t="shared" si="118"/>
        <v>0</v>
      </c>
      <c r="N1075" s="231" t="s">
        <v>453</v>
      </c>
    </row>
    <row r="1076" spans="1:14" ht="14">
      <c r="A1076" s="149">
        <v>1075</v>
      </c>
      <c r="B1076" s="235" t="s">
        <v>52</v>
      </c>
      <c r="C1076" s="231" t="s">
        <v>10</v>
      </c>
      <c r="D1076" s="250" t="s">
        <v>2686</v>
      </c>
      <c r="E1076" s="281">
        <v>0</v>
      </c>
      <c r="F1076" s="249">
        <v>100</v>
      </c>
      <c r="G1076" s="164">
        <f t="shared" si="143"/>
        <v>0.97142857142857153</v>
      </c>
      <c r="H1076" s="165">
        <f t="shared" si="144"/>
        <v>1.9428571428571431</v>
      </c>
      <c r="I1076" s="165">
        <f t="shared" si="145"/>
        <v>1.4571428571428573</v>
      </c>
      <c r="J1076" s="166">
        <f t="shared" si="146"/>
        <v>2.4285714285714288</v>
      </c>
      <c r="K1076" s="166">
        <f t="shared" si="147"/>
        <v>2.4285714285714288</v>
      </c>
      <c r="L1076" s="165">
        <f t="shared" si="148"/>
        <v>1.0249999999999999</v>
      </c>
      <c r="M1076" s="168">
        <f t="shared" si="118"/>
        <v>0</v>
      </c>
      <c r="N1076" s="231" t="s">
        <v>453</v>
      </c>
    </row>
    <row r="1077" spans="1:14" ht="14">
      <c r="A1077" s="149">
        <v>1076</v>
      </c>
      <c r="B1077" s="235" t="s">
        <v>52</v>
      </c>
      <c r="C1077" s="231" t="s">
        <v>10</v>
      </c>
      <c r="D1077" s="250" t="s">
        <v>2687</v>
      </c>
      <c r="E1077" s="281">
        <v>0</v>
      </c>
      <c r="F1077" s="249">
        <v>100</v>
      </c>
      <c r="G1077" s="164">
        <f t="shared" si="143"/>
        <v>0.97142857142857153</v>
      </c>
      <c r="H1077" s="165">
        <f t="shared" si="144"/>
        <v>1.9428571428571431</v>
      </c>
      <c r="I1077" s="165">
        <f t="shared" si="145"/>
        <v>1.4571428571428573</v>
      </c>
      <c r="J1077" s="166">
        <f t="shared" si="146"/>
        <v>2.4285714285714288</v>
      </c>
      <c r="K1077" s="166">
        <f t="shared" si="147"/>
        <v>2.4285714285714288</v>
      </c>
      <c r="L1077" s="165">
        <f t="shared" si="148"/>
        <v>1.0249999999999999</v>
      </c>
      <c r="M1077" s="168">
        <f t="shared" si="118"/>
        <v>0</v>
      </c>
      <c r="N1077" s="231" t="s">
        <v>453</v>
      </c>
    </row>
    <row r="1078" spans="1:14" ht="14">
      <c r="A1078" s="149">
        <v>1077</v>
      </c>
      <c r="B1078" s="235" t="s">
        <v>52</v>
      </c>
      <c r="C1078" s="231" t="s">
        <v>10</v>
      </c>
      <c r="D1078" s="250" t="s">
        <v>2688</v>
      </c>
      <c r="E1078" s="281">
        <v>0</v>
      </c>
      <c r="F1078" s="249">
        <v>350</v>
      </c>
      <c r="G1078" s="164">
        <f t="shared" si="143"/>
        <v>2.4000000000000004</v>
      </c>
      <c r="H1078" s="165">
        <f t="shared" si="144"/>
        <v>4.8000000000000007</v>
      </c>
      <c r="I1078" s="165">
        <f t="shared" si="145"/>
        <v>3.5999999999999996</v>
      </c>
      <c r="J1078" s="166">
        <f t="shared" si="146"/>
        <v>6</v>
      </c>
      <c r="K1078" s="166">
        <f t="shared" si="147"/>
        <v>6</v>
      </c>
      <c r="L1078" s="165">
        <f t="shared" si="148"/>
        <v>1.0874999999999999</v>
      </c>
      <c r="M1078" s="168">
        <f t="shared" si="118"/>
        <v>0</v>
      </c>
      <c r="N1078" s="231" t="s">
        <v>453</v>
      </c>
    </row>
    <row r="1079" spans="1:14" ht="14">
      <c r="A1079" s="149">
        <v>1078</v>
      </c>
      <c r="B1079" s="235" t="s">
        <v>52</v>
      </c>
      <c r="C1079" s="231" t="s">
        <v>10</v>
      </c>
      <c r="D1079" s="250" t="s">
        <v>2689</v>
      </c>
      <c r="E1079" s="281">
        <v>0</v>
      </c>
      <c r="F1079" s="249">
        <v>300</v>
      </c>
      <c r="G1079" s="164">
        <f t="shared" si="143"/>
        <v>2.1142857142857143</v>
      </c>
      <c r="H1079" s="165">
        <f t="shared" si="144"/>
        <v>4.2285714285714286</v>
      </c>
      <c r="I1079" s="165">
        <f t="shared" si="145"/>
        <v>3.1714285714285713</v>
      </c>
      <c r="J1079" s="166">
        <f t="shared" si="146"/>
        <v>5.2857142857142856</v>
      </c>
      <c r="K1079" s="166">
        <f t="shared" si="147"/>
        <v>5.2857142857142856</v>
      </c>
      <c r="L1079" s="165">
        <f t="shared" si="148"/>
        <v>1.075</v>
      </c>
      <c r="M1079" s="168">
        <f t="shared" si="118"/>
        <v>0</v>
      </c>
      <c r="N1079" s="231" t="s">
        <v>453</v>
      </c>
    </row>
    <row r="1080" spans="1:14" ht="14">
      <c r="A1080" s="149">
        <v>1079</v>
      </c>
      <c r="B1080" s="235" t="s">
        <v>53</v>
      </c>
      <c r="C1080" s="231" t="s">
        <v>10</v>
      </c>
      <c r="D1080" s="250" t="s">
        <v>2690</v>
      </c>
      <c r="E1080" s="281">
        <v>0</v>
      </c>
      <c r="F1080" s="249">
        <v>500</v>
      </c>
      <c r="G1080" s="164">
        <f t="shared" si="143"/>
        <v>3.2571428571428571</v>
      </c>
      <c r="H1080" s="165">
        <f t="shared" si="144"/>
        <v>6.5142857142857142</v>
      </c>
      <c r="I1080" s="165">
        <f t="shared" si="145"/>
        <v>4.8857142857142852</v>
      </c>
      <c r="J1080" s="166">
        <f t="shared" si="146"/>
        <v>8.1428571428571423</v>
      </c>
      <c r="K1080" s="166">
        <f t="shared" si="147"/>
        <v>8.1428571428571423</v>
      </c>
      <c r="L1080" s="165">
        <f t="shared" si="148"/>
        <v>1.125</v>
      </c>
      <c r="M1080" s="168">
        <f t="shared" si="118"/>
        <v>0</v>
      </c>
      <c r="N1080" s="231" t="s">
        <v>453</v>
      </c>
    </row>
    <row r="1081" spans="1:14" ht="14">
      <c r="A1081" s="149">
        <v>1080</v>
      </c>
      <c r="B1081" s="235" t="s">
        <v>52</v>
      </c>
      <c r="C1081" s="231" t="s">
        <v>10</v>
      </c>
      <c r="D1081" s="250" t="s">
        <v>2691</v>
      </c>
      <c r="E1081" s="281">
        <v>0</v>
      </c>
      <c r="F1081" s="249">
        <v>100</v>
      </c>
      <c r="G1081" s="164">
        <f t="shared" si="143"/>
        <v>0.97142857142857153</v>
      </c>
      <c r="H1081" s="165">
        <f t="shared" si="144"/>
        <v>1.9428571428571431</v>
      </c>
      <c r="I1081" s="165">
        <f t="shared" si="145"/>
        <v>1.4571428571428573</v>
      </c>
      <c r="J1081" s="166">
        <f t="shared" si="146"/>
        <v>2.4285714285714288</v>
      </c>
      <c r="K1081" s="166">
        <f t="shared" si="147"/>
        <v>2.4285714285714288</v>
      </c>
      <c r="L1081" s="165">
        <f t="shared" si="148"/>
        <v>1.0249999999999999</v>
      </c>
      <c r="M1081" s="168">
        <f t="shared" si="118"/>
        <v>0</v>
      </c>
      <c r="N1081" s="231" t="s">
        <v>453</v>
      </c>
    </row>
    <row r="1082" spans="1:14" ht="14">
      <c r="A1082" s="149">
        <v>1081</v>
      </c>
      <c r="B1082" s="235" t="s">
        <v>52</v>
      </c>
      <c r="C1082" s="231" t="s">
        <v>10</v>
      </c>
      <c r="D1082" s="250" t="s">
        <v>2692</v>
      </c>
      <c r="E1082" s="281">
        <v>0</v>
      </c>
      <c r="F1082" s="249">
        <v>150</v>
      </c>
      <c r="G1082" s="164">
        <f t="shared" si="143"/>
        <v>1.2571428571428571</v>
      </c>
      <c r="H1082" s="165">
        <f t="shared" si="144"/>
        <v>2.5142857142857142</v>
      </c>
      <c r="I1082" s="165">
        <f t="shared" si="145"/>
        <v>1.8857142857142857</v>
      </c>
      <c r="J1082" s="166">
        <f t="shared" si="146"/>
        <v>3.1428571428571428</v>
      </c>
      <c r="K1082" s="166">
        <f t="shared" si="147"/>
        <v>3.1428571428571428</v>
      </c>
      <c r="L1082" s="165">
        <f t="shared" si="148"/>
        <v>1.0375000000000001</v>
      </c>
      <c r="M1082" s="168">
        <f t="shared" si="118"/>
        <v>0</v>
      </c>
      <c r="N1082" s="231" t="s">
        <v>453</v>
      </c>
    </row>
    <row r="1083" spans="1:14" ht="14">
      <c r="A1083" s="149">
        <v>1082</v>
      </c>
      <c r="B1083" s="235" t="s">
        <v>52</v>
      </c>
      <c r="C1083" s="231" t="s">
        <v>10</v>
      </c>
      <c r="D1083" s="250" t="s">
        <v>2693</v>
      </c>
      <c r="E1083" s="281">
        <v>0</v>
      </c>
      <c r="F1083" s="249">
        <v>50</v>
      </c>
      <c r="G1083" s="164">
        <f t="shared" si="143"/>
        <v>0.68571428571428583</v>
      </c>
      <c r="H1083" s="165">
        <f t="shared" si="144"/>
        <v>1.3714285714285717</v>
      </c>
      <c r="I1083" s="165">
        <f t="shared" si="145"/>
        <v>1.0285714285714287</v>
      </c>
      <c r="J1083" s="166">
        <f t="shared" si="146"/>
        <v>1.7142857142857144</v>
      </c>
      <c r="K1083" s="166">
        <f t="shared" si="147"/>
        <v>1.7142857142857144</v>
      </c>
      <c r="L1083" s="165">
        <f t="shared" si="148"/>
        <v>1.0125</v>
      </c>
      <c r="M1083" s="168">
        <f t="shared" si="118"/>
        <v>0</v>
      </c>
      <c r="N1083" s="231" t="s">
        <v>453</v>
      </c>
    </row>
    <row r="1084" spans="1:14" ht="14">
      <c r="A1084" s="149">
        <v>1083</v>
      </c>
      <c r="B1084" s="235" t="s">
        <v>52</v>
      </c>
      <c r="C1084" s="231" t="s">
        <v>10</v>
      </c>
      <c r="D1084" s="250" t="s">
        <v>2694</v>
      </c>
      <c r="E1084" s="281">
        <v>0</v>
      </c>
      <c r="F1084" s="249">
        <v>50</v>
      </c>
      <c r="G1084" s="164">
        <f t="shared" si="143"/>
        <v>0.68571428571428583</v>
      </c>
      <c r="H1084" s="165">
        <f t="shared" si="144"/>
        <v>1.3714285714285717</v>
      </c>
      <c r="I1084" s="165">
        <f t="shared" si="145"/>
        <v>1.0285714285714287</v>
      </c>
      <c r="J1084" s="166">
        <f t="shared" si="146"/>
        <v>1.7142857142857144</v>
      </c>
      <c r="K1084" s="166">
        <f t="shared" si="147"/>
        <v>1.7142857142857144</v>
      </c>
      <c r="L1084" s="165">
        <f t="shared" si="148"/>
        <v>1.0125</v>
      </c>
      <c r="M1084" s="168">
        <f t="shared" si="118"/>
        <v>0</v>
      </c>
      <c r="N1084" s="231" t="s">
        <v>453</v>
      </c>
    </row>
    <row r="1085" spans="1:14" ht="14">
      <c r="A1085" s="149">
        <v>1084</v>
      </c>
      <c r="B1085" s="231" t="s">
        <v>61</v>
      </c>
      <c r="C1085" s="231" t="s">
        <v>11</v>
      </c>
      <c r="D1085" s="250" t="s">
        <v>2695</v>
      </c>
      <c r="E1085" s="281">
        <v>0</v>
      </c>
      <c r="F1085" s="249">
        <v>300</v>
      </c>
      <c r="G1085" s="164">
        <f t="shared" si="143"/>
        <v>2.1142857142857143</v>
      </c>
      <c r="H1085" s="165">
        <f t="shared" si="144"/>
        <v>4.2285714285714286</v>
      </c>
      <c r="I1085" s="165">
        <f t="shared" si="145"/>
        <v>3.1714285714285713</v>
      </c>
      <c r="J1085" s="166">
        <f t="shared" si="146"/>
        <v>5.2857142857142856</v>
      </c>
      <c r="K1085" s="166">
        <f t="shared" si="147"/>
        <v>5.2857142857142856</v>
      </c>
      <c r="L1085" s="165">
        <f t="shared" si="148"/>
        <v>1.075</v>
      </c>
      <c r="M1085" s="168">
        <f t="shared" si="118"/>
        <v>0</v>
      </c>
      <c r="N1085" s="231" t="s">
        <v>453</v>
      </c>
    </row>
    <row r="1086" spans="1:14" ht="14">
      <c r="A1086" s="149">
        <v>1085</v>
      </c>
      <c r="B1086" s="235" t="s">
        <v>52</v>
      </c>
      <c r="C1086" s="231" t="s">
        <v>10</v>
      </c>
      <c r="D1086" s="250" t="s">
        <v>2696</v>
      </c>
      <c r="E1086" s="281">
        <v>0</v>
      </c>
      <c r="F1086" s="249">
        <v>3500</v>
      </c>
      <c r="G1086" s="164">
        <f t="shared" si="143"/>
        <v>20.400000000000002</v>
      </c>
      <c r="H1086" s="165">
        <f t="shared" si="144"/>
        <v>40.800000000000004</v>
      </c>
      <c r="I1086" s="165">
        <f t="shared" si="145"/>
        <v>30.599999999999998</v>
      </c>
      <c r="J1086" s="166">
        <f t="shared" si="146"/>
        <v>51</v>
      </c>
      <c r="K1086" s="166">
        <f t="shared" si="147"/>
        <v>51</v>
      </c>
      <c r="L1086" s="165">
        <f t="shared" si="148"/>
        <v>1.875</v>
      </c>
      <c r="M1086" s="168">
        <f t="shared" si="118"/>
        <v>0</v>
      </c>
      <c r="N1086" s="231" t="s">
        <v>453</v>
      </c>
    </row>
    <row r="1087" spans="1:14" ht="14">
      <c r="A1087" s="149">
        <v>1086</v>
      </c>
      <c r="B1087" s="235" t="s">
        <v>52</v>
      </c>
      <c r="C1087" s="231" t="s">
        <v>10</v>
      </c>
      <c r="D1087" s="250" t="s">
        <v>2697</v>
      </c>
      <c r="E1087" s="281">
        <v>0</v>
      </c>
      <c r="F1087" s="249">
        <v>3100</v>
      </c>
      <c r="G1087" s="164">
        <f t="shared" si="143"/>
        <v>18.114285714285714</v>
      </c>
      <c r="H1087" s="165">
        <f t="shared" si="144"/>
        <v>36.228571428571428</v>
      </c>
      <c r="I1087" s="165">
        <f t="shared" si="145"/>
        <v>27.171428571428571</v>
      </c>
      <c r="J1087" s="166">
        <f t="shared" si="146"/>
        <v>45.285714285714285</v>
      </c>
      <c r="K1087" s="166">
        <f t="shared" si="147"/>
        <v>45.285714285714285</v>
      </c>
      <c r="L1087" s="165">
        <f t="shared" si="148"/>
        <v>1.7749999999999999</v>
      </c>
      <c r="M1087" s="168">
        <f t="shared" si="118"/>
        <v>0</v>
      </c>
      <c r="N1087" s="231" t="s">
        <v>453</v>
      </c>
    </row>
    <row r="1088" spans="1:14" ht="14">
      <c r="A1088" s="149">
        <v>1087</v>
      </c>
      <c r="B1088" s="235" t="s">
        <v>52</v>
      </c>
      <c r="C1088" s="231" t="s">
        <v>10</v>
      </c>
      <c r="D1088" s="250" t="s">
        <v>2698</v>
      </c>
      <c r="E1088" s="281">
        <v>0</v>
      </c>
      <c r="F1088" s="249">
        <v>1400</v>
      </c>
      <c r="G1088" s="164">
        <f t="shared" si="143"/>
        <v>8.4</v>
      </c>
      <c r="H1088" s="165">
        <f t="shared" si="144"/>
        <v>16.8</v>
      </c>
      <c r="I1088" s="165">
        <f t="shared" si="145"/>
        <v>12.6</v>
      </c>
      <c r="J1088" s="166">
        <f t="shared" si="146"/>
        <v>21</v>
      </c>
      <c r="K1088" s="166">
        <f t="shared" si="147"/>
        <v>21</v>
      </c>
      <c r="L1088" s="165">
        <f t="shared" si="148"/>
        <v>1.35</v>
      </c>
      <c r="M1088" s="168">
        <f t="shared" si="118"/>
        <v>0</v>
      </c>
      <c r="N1088" s="231" t="s">
        <v>453</v>
      </c>
    </row>
    <row r="1089" spans="1:14" ht="14">
      <c r="A1089" s="149">
        <v>1088</v>
      </c>
      <c r="B1089" s="235" t="s">
        <v>51</v>
      </c>
      <c r="C1089" s="231" t="s">
        <v>10</v>
      </c>
      <c r="D1089" s="250" t="s">
        <v>2699</v>
      </c>
      <c r="E1089" s="281">
        <v>0</v>
      </c>
      <c r="F1089" s="249">
        <v>300</v>
      </c>
      <c r="G1089" s="164">
        <f t="shared" si="143"/>
        <v>2.1142857142857143</v>
      </c>
      <c r="H1089" s="165">
        <f t="shared" si="144"/>
        <v>4.2285714285714286</v>
      </c>
      <c r="I1089" s="165">
        <f t="shared" si="145"/>
        <v>3.1714285714285713</v>
      </c>
      <c r="J1089" s="166">
        <f t="shared" si="146"/>
        <v>5.2857142857142856</v>
      </c>
      <c r="K1089" s="166">
        <f t="shared" si="147"/>
        <v>5.2857142857142856</v>
      </c>
      <c r="L1089" s="165">
        <f t="shared" si="148"/>
        <v>1.075</v>
      </c>
      <c r="M1089" s="168">
        <f t="shared" si="118"/>
        <v>0</v>
      </c>
      <c r="N1089" s="231" t="s">
        <v>453</v>
      </c>
    </row>
    <row r="1090" spans="1:14" ht="14">
      <c r="A1090" s="149">
        <v>1089</v>
      </c>
      <c r="B1090" s="231" t="s">
        <v>63</v>
      </c>
      <c r="C1090" s="231" t="s">
        <v>11</v>
      </c>
      <c r="D1090" s="250" t="s">
        <v>2700</v>
      </c>
      <c r="E1090" s="281">
        <v>0</v>
      </c>
      <c r="F1090" s="249">
        <v>2700</v>
      </c>
      <c r="G1090" s="164">
        <f t="shared" si="143"/>
        <v>15.828571428571429</v>
      </c>
      <c r="H1090" s="165">
        <f t="shared" si="144"/>
        <v>31.657142857142858</v>
      </c>
      <c r="I1090" s="165">
        <f t="shared" si="145"/>
        <v>23.74285714285714</v>
      </c>
      <c r="J1090" s="166">
        <f t="shared" si="146"/>
        <v>39.571428571428569</v>
      </c>
      <c r="K1090" s="166">
        <f t="shared" si="147"/>
        <v>39.571428571428569</v>
      </c>
      <c r="L1090" s="165">
        <f t="shared" si="148"/>
        <v>1.675</v>
      </c>
      <c r="M1090" s="168">
        <f t="shared" ref="M1090:M1153" si="149">E1090/60</f>
        <v>0</v>
      </c>
      <c r="N1090" s="231" t="s">
        <v>453</v>
      </c>
    </row>
    <row r="1091" spans="1:14" ht="14">
      <c r="A1091" s="149">
        <v>1090</v>
      </c>
      <c r="B1091" s="235" t="s">
        <v>52</v>
      </c>
      <c r="C1091" s="231" t="s">
        <v>10</v>
      </c>
      <c r="D1091" s="250" t="s">
        <v>2701</v>
      </c>
      <c r="E1091" s="281">
        <v>0</v>
      </c>
      <c r="F1091" s="249">
        <v>350</v>
      </c>
      <c r="G1091" s="164">
        <f t="shared" si="143"/>
        <v>2.4000000000000004</v>
      </c>
      <c r="H1091" s="165">
        <f t="shared" si="144"/>
        <v>4.8000000000000007</v>
      </c>
      <c r="I1091" s="165">
        <f t="shared" si="145"/>
        <v>3.5999999999999996</v>
      </c>
      <c r="J1091" s="166">
        <f t="shared" si="146"/>
        <v>6</v>
      </c>
      <c r="K1091" s="166">
        <f t="shared" si="147"/>
        <v>6</v>
      </c>
      <c r="L1091" s="165">
        <f t="shared" si="148"/>
        <v>1.0874999999999999</v>
      </c>
      <c r="M1091" s="168">
        <f t="shared" si="149"/>
        <v>0</v>
      </c>
      <c r="N1091" s="231" t="s">
        <v>453</v>
      </c>
    </row>
    <row r="1092" spans="1:14" ht="14">
      <c r="A1092" s="149">
        <v>1091</v>
      </c>
      <c r="B1092" s="235" t="s">
        <v>53</v>
      </c>
      <c r="C1092" s="231" t="s">
        <v>10</v>
      </c>
      <c r="D1092" s="250" t="s">
        <v>2702</v>
      </c>
      <c r="E1092" s="281">
        <v>0</v>
      </c>
      <c r="F1092" s="249">
        <v>500</v>
      </c>
      <c r="G1092" s="164">
        <f t="shared" si="143"/>
        <v>3.2571428571428571</v>
      </c>
      <c r="H1092" s="165">
        <f t="shared" si="144"/>
        <v>6.5142857142857142</v>
      </c>
      <c r="I1092" s="165">
        <f t="shared" si="145"/>
        <v>4.8857142857142852</v>
      </c>
      <c r="J1092" s="166">
        <f t="shared" si="146"/>
        <v>8.1428571428571423</v>
      </c>
      <c r="K1092" s="166">
        <f t="shared" si="147"/>
        <v>8.1428571428571423</v>
      </c>
      <c r="L1092" s="165">
        <f t="shared" si="148"/>
        <v>1.125</v>
      </c>
      <c r="M1092" s="168">
        <f t="shared" si="149"/>
        <v>0</v>
      </c>
      <c r="N1092" s="231" t="s">
        <v>453</v>
      </c>
    </row>
    <row r="1093" spans="1:14" ht="14">
      <c r="A1093" s="149">
        <v>1092</v>
      </c>
      <c r="B1093" s="235" t="s">
        <v>52</v>
      </c>
      <c r="C1093" s="231" t="s">
        <v>10</v>
      </c>
      <c r="D1093" s="250" t="s">
        <v>2703</v>
      </c>
      <c r="E1093" s="281">
        <v>0</v>
      </c>
      <c r="F1093" s="249">
        <v>1400</v>
      </c>
      <c r="G1093" s="164">
        <f t="shared" si="143"/>
        <v>8.4</v>
      </c>
      <c r="H1093" s="165">
        <f t="shared" si="144"/>
        <v>16.8</v>
      </c>
      <c r="I1093" s="165">
        <f t="shared" si="145"/>
        <v>12.6</v>
      </c>
      <c r="J1093" s="166">
        <f t="shared" si="146"/>
        <v>21</v>
      </c>
      <c r="K1093" s="166">
        <f t="shared" si="147"/>
        <v>21</v>
      </c>
      <c r="L1093" s="165">
        <f t="shared" si="148"/>
        <v>1.35</v>
      </c>
      <c r="M1093" s="168">
        <f t="shared" si="149"/>
        <v>0</v>
      </c>
      <c r="N1093" s="231" t="s">
        <v>453</v>
      </c>
    </row>
    <row r="1094" spans="1:14" ht="14">
      <c r="A1094" s="149">
        <v>1093</v>
      </c>
      <c r="B1094" s="235" t="s">
        <v>52</v>
      </c>
      <c r="C1094" s="231" t="s">
        <v>10</v>
      </c>
      <c r="D1094" s="250" t="s">
        <v>2704</v>
      </c>
      <c r="E1094" s="281">
        <v>0</v>
      </c>
      <c r="F1094" s="249">
        <v>800</v>
      </c>
      <c r="G1094" s="164">
        <f t="shared" si="143"/>
        <v>4.9714285714285715</v>
      </c>
      <c r="H1094" s="165">
        <f t="shared" si="144"/>
        <v>9.9428571428571431</v>
      </c>
      <c r="I1094" s="165">
        <f t="shared" si="145"/>
        <v>7.4571428571428573</v>
      </c>
      <c r="J1094" s="166">
        <f t="shared" si="146"/>
        <v>12.428571428571429</v>
      </c>
      <c r="K1094" s="166">
        <f t="shared" si="147"/>
        <v>12.428571428571429</v>
      </c>
      <c r="L1094" s="165">
        <f t="shared" si="148"/>
        <v>1.2</v>
      </c>
      <c r="M1094" s="168">
        <f t="shared" si="149"/>
        <v>0</v>
      </c>
      <c r="N1094" s="231" t="s">
        <v>453</v>
      </c>
    </row>
    <row r="1095" spans="1:14" ht="14">
      <c r="A1095" s="149">
        <v>1094</v>
      </c>
      <c r="B1095" s="235" t="s">
        <v>52</v>
      </c>
      <c r="C1095" s="231" t="s">
        <v>10</v>
      </c>
      <c r="D1095" s="250" t="s">
        <v>2705</v>
      </c>
      <c r="E1095" s="281">
        <v>0</v>
      </c>
      <c r="F1095" s="249">
        <v>400</v>
      </c>
      <c r="G1095" s="164">
        <f t="shared" si="143"/>
        <v>2.6857142857142859</v>
      </c>
      <c r="H1095" s="165">
        <f t="shared" si="144"/>
        <v>5.3714285714285719</v>
      </c>
      <c r="I1095" s="165">
        <f t="shared" si="145"/>
        <v>4.0285714285714285</v>
      </c>
      <c r="J1095" s="166">
        <f t="shared" si="146"/>
        <v>6.7142857142857144</v>
      </c>
      <c r="K1095" s="166">
        <f t="shared" si="147"/>
        <v>6.7142857142857144</v>
      </c>
      <c r="L1095" s="165">
        <f t="shared" si="148"/>
        <v>1.1000000000000001</v>
      </c>
      <c r="M1095" s="168">
        <f t="shared" si="149"/>
        <v>0</v>
      </c>
      <c r="N1095" s="231" t="s">
        <v>453</v>
      </c>
    </row>
    <row r="1096" spans="1:14" ht="14">
      <c r="A1096" s="149">
        <v>1095</v>
      </c>
      <c r="B1096" s="235" t="s">
        <v>52</v>
      </c>
      <c r="C1096" s="231" t="s">
        <v>10</v>
      </c>
      <c r="D1096" s="250" t="s">
        <v>2706</v>
      </c>
      <c r="E1096" s="281">
        <v>0</v>
      </c>
      <c r="F1096" s="249">
        <v>250</v>
      </c>
      <c r="G1096" s="164">
        <f t="shared" si="143"/>
        <v>1.8285714285714285</v>
      </c>
      <c r="H1096" s="165">
        <f t="shared" si="144"/>
        <v>3.657142857142857</v>
      </c>
      <c r="I1096" s="165">
        <f t="shared" si="145"/>
        <v>2.7428571428571424</v>
      </c>
      <c r="J1096" s="166">
        <f t="shared" si="146"/>
        <v>4.5714285714285712</v>
      </c>
      <c r="K1096" s="166">
        <f t="shared" si="147"/>
        <v>4.5714285714285712</v>
      </c>
      <c r="L1096" s="165">
        <f t="shared" si="148"/>
        <v>1.0625</v>
      </c>
      <c r="M1096" s="168">
        <f t="shared" si="149"/>
        <v>0</v>
      </c>
      <c r="N1096" s="231" t="s">
        <v>453</v>
      </c>
    </row>
    <row r="1097" spans="1:14" ht="14">
      <c r="A1097" s="149">
        <v>1096</v>
      </c>
      <c r="B1097" s="235" t="s">
        <v>52</v>
      </c>
      <c r="C1097" s="231" t="s">
        <v>10</v>
      </c>
      <c r="D1097" s="250" t="s">
        <v>2707</v>
      </c>
      <c r="E1097" s="281">
        <v>0</v>
      </c>
      <c r="F1097" s="249">
        <v>500</v>
      </c>
      <c r="G1097" s="164">
        <f t="shared" si="143"/>
        <v>3.2571428571428571</v>
      </c>
      <c r="H1097" s="165">
        <f t="shared" si="144"/>
        <v>6.5142857142857142</v>
      </c>
      <c r="I1097" s="165">
        <f t="shared" si="145"/>
        <v>4.8857142857142852</v>
      </c>
      <c r="J1097" s="166">
        <f t="shared" si="146"/>
        <v>8.1428571428571423</v>
      </c>
      <c r="K1097" s="166">
        <f t="shared" si="147"/>
        <v>8.1428571428571423</v>
      </c>
      <c r="L1097" s="165">
        <f t="shared" si="148"/>
        <v>1.125</v>
      </c>
      <c r="M1097" s="168">
        <f t="shared" si="149"/>
        <v>0</v>
      </c>
      <c r="N1097" s="231" t="s">
        <v>453</v>
      </c>
    </row>
    <row r="1098" spans="1:14" ht="14">
      <c r="A1098" s="149">
        <v>1097</v>
      </c>
      <c r="B1098" s="235" t="s">
        <v>52</v>
      </c>
      <c r="C1098" s="231" t="s">
        <v>10</v>
      </c>
      <c r="D1098" s="250" t="s">
        <v>2708</v>
      </c>
      <c r="E1098" s="281">
        <v>0</v>
      </c>
      <c r="F1098" s="249">
        <v>300</v>
      </c>
      <c r="G1098" s="164">
        <f t="shared" si="143"/>
        <v>2.1142857142857143</v>
      </c>
      <c r="H1098" s="165">
        <f t="shared" si="144"/>
        <v>4.2285714285714286</v>
      </c>
      <c r="I1098" s="165">
        <f t="shared" si="145"/>
        <v>3.1714285714285713</v>
      </c>
      <c r="J1098" s="166">
        <f t="shared" si="146"/>
        <v>5.2857142857142856</v>
      </c>
      <c r="K1098" s="166">
        <f t="shared" si="147"/>
        <v>5.2857142857142856</v>
      </c>
      <c r="L1098" s="165">
        <f t="shared" si="148"/>
        <v>1.075</v>
      </c>
      <c r="M1098" s="168">
        <f t="shared" si="149"/>
        <v>0</v>
      </c>
      <c r="N1098" s="231" t="s">
        <v>453</v>
      </c>
    </row>
    <row r="1099" spans="1:14" ht="14">
      <c r="A1099" s="149">
        <v>1098</v>
      </c>
      <c r="B1099" s="235" t="s">
        <v>52</v>
      </c>
      <c r="C1099" s="231" t="s">
        <v>10</v>
      </c>
      <c r="D1099" s="250" t="s">
        <v>2709</v>
      </c>
      <c r="E1099" s="281">
        <v>0</v>
      </c>
      <c r="F1099" s="249">
        <v>150</v>
      </c>
      <c r="G1099" s="164">
        <f t="shared" si="143"/>
        <v>1.2571428571428571</v>
      </c>
      <c r="H1099" s="165">
        <f t="shared" si="144"/>
        <v>2.5142857142857142</v>
      </c>
      <c r="I1099" s="165">
        <f t="shared" si="145"/>
        <v>1.8857142857142857</v>
      </c>
      <c r="J1099" s="166">
        <f t="shared" si="146"/>
        <v>3.1428571428571428</v>
      </c>
      <c r="K1099" s="166">
        <f t="shared" si="147"/>
        <v>3.1428571428571428</v>
      </c>
      <c r="L1099" s="165">
        <f t="shared" si="148"/>
        <v>1.0375000000000001</v>
      </c>
      <c r="M1099" s="168">
        <f t="shared" si="149"/>
        <v>0</v>
      </c>
      <c r="N1099" s="231" t="s">
        <v>453</v>
      </c>
    </row>
    <row r="1100" spans="1:14" ht="14">
      <c r="A1100" s="149">
        <v>1099</v>
      </c>
      <c r="B1100" s="235" t="s">
        <v>52</v>
      </c>
      <c r="C1100" s="231" t="s">
        <v>10</v>
      </c>
      <c r="D1100" s="250" t="s">
        <v>2710</v>
      </c>
      <c r="E1100" s="281">
        <v>0</v>
      </c>
      <c r="F1100" s="249">
        <v>520</v>
      </c>
      <c r="G1100" s="164">
        <f t="shared" si="143"/>
        <v>3.3714285714285719</v>
      </c>
      <c r="H1100" s="165">
        <f t="shared" si="144"/>
        <v>6.7428571428571438</v>
      </c>
      <c r="I1100" s="165">
        <f t="shared" si="145"/>
        <v>5.0571428571428569</v>
      </c>
      <c r="J1100" s="166">
        <f t="shared" si="146"/>
        <v>8.4285714285714288</v>
      </c>
      <c r="K1100" s="166">
        <f t="shared" si="147"/>
        <v>8.4285714285714288</v>
      </c>
      <c r="L1100" s="165">
        <f t="shared" si="148"/>
        <v>1.1299999999999999</v>
      </c>
      <c r="M1100" s="168">
        <f t="shared" si="149"/>
        <v>0</v>
      </c>
      <c r="N1100" s="231" t="s">
        <v>453</v>
      </c>
    </row>
    <row r="1101" spans="1:14" ht="14">
      <c r="A1101" s="149">
        <v>1100</v>
      </c>
      <c r="B1101" s="235" t="s">
        <v>52</v>
      </c>
      <c r="C1101" s="231" t="s">
        <v>10</v>
      </c>
      <c r="D1101" s="250" t="s">
        <v>2711</v>
      </c>
      <c r="E1101" s="281">
        <v>0</v>
      </c>
      <c r="F1101" s="249">
        <v>300</v>
      </c>
      <c r="G1101" s="164">
        <f t="shared" si="143"/>
        <v>2.1142857142857143</v>
      </c>
      <c r="H1101" s="165">
        <f t="shared" si="144"/>
        <v>4.2285714285714286</v>
      </c>
      <c r="I1101" s="165">
        <f t="shared" si="145"/>
        <v>3.1714285714285713</v>
      </c>
      <c r="J1101" s="166">
        <f t="shared" si="146"/>
        <v>5.2857142857142856</v>
      </c>
      <c r="K1101" s="166">
        <f t="shared" si="147"/>
        <v>5.2857142857142856</v>
      </c>
      <c r="L1101" s="165">
        <f t="shared" si="148"/>
        <v>1.075</v>
      </c>
      <c r="M1101" s="168">
        <f t="shared" si="149"/>
        <v>0</v>
      </c>
      <c r="N1101" s="231" t="s">
        <v>453</v>
      </c>
    </row>
    <row r="1102" spans="1:14" ht="14">
      <c r="A1102" s="149">
        <v>1101</v>
      </c>
      <c r="B1102" s="235" t="s">
        <v>52</v>
      </c>
      <c r="C1102" s="231" t="s">
        <v>10</v>
      </c>
      <c r="D1102" s="250" t="s">
        <v>2712</v>
      </c>
      <c r="E1102" s="281">
        <v>0</v>
      </c>
      <c r="F1102" s="249">
        <v>300</v>
      </c>
      <c r="G1102" s="164">
        <f t="shared" si="143"/>
        <v>2.1142857142857143</v>
      </c>
      <c r="H1102" s="165">
        <f t="shared" si="144"/>
        <v>4.2285714285714286</v>
      </c>
      <c r="I1102" s="165">
        <f t="shared" si="145"/>
        <v>3.1714285714285713</v>
      </c>
      <c r="J1102" s="166">
        <f t="shared" si="146"/>
        <v>5.2857142857142856</v>
      </c>
      <c r="K1102" s="166">
        <f t="shared" si="147"/>
        <v>5.2857142857142856</v>
      </c>
      <c r="L1102" s="165">
        <f t="shared" si="148"/>
        <v>1.075</v>
      </c>
      <c r="M1102" s="168">
        <f t="shared" si="149"/>
        <v>0</v>
      </c>
      <c r="N1102" s="231" t="s">
        <v>453</v>
      </c>
    </row>
    <row r="1103" spans="1:14" ht="14">
      <c r="A1103" s="149">
        <v>1102</v>
      </c>
      <c r="B1103" s="235" t="s">
        <v>52</v>
      </c>
      <c r="C1103" s="231" t="s">
        <v>10</v>
      </c>
      <c r="D1103" s="250" t="s">
        <v>2713</v>
      </c>
      <c r="E1103" s="281">
        <v>0</v>
      </c>
      <c r="F1103" s="249">
        <v>300</v>
      </c>
      <c r="G1103" s="164">
        <f t="shared" si="143"/>
        <v>2.1142857142857143</v>
      </c>
      <c r="H1103" s="165">
        <f t="shared" si="144"/>
        <v>4.2285714285714286</v>
      </c>
      <c r="I1103" s="165">
        <f t="shared" si="145"/>
        <v>3.1714285714285713</v>
      </c>
      <c r="J1103" s="166">
        <f t="shared" si="146"/>
        <v>5.2857142857142856</v>
      </c>
      <c r="K1103" s="166">
        <f t="shared" si="147"/>
        <v>5.2857142857142856</v>
      </c>
      <c r="L1103" s="165">
        <f t="shared" si="148"/>
        <v>1.075</v>
      </c>
      <c r="M1103" s="168">
        <f t="shared" si="149"/>
        <v>0</v>
      </c>
      <c r="N1103" s="231" t="s">
        <v>453</v>
      </c>
    </row>
    <row r="1104" spans="1:14" ht="14">
      <c r="A1104" s="149">
        <v>1103</v>
      </c>
      <c r="B1104" s="235" t="s">
        <v>52</v>
      </c>
      <c r="C1104" s="231" t="s">
        <v>10</v>
      </c>
      <c r="D1104" s="250" t="s">
        <v>2714</v>
      </c>
      <c r="E1104" s="281">
        <v>0</v>
      </c>
      <c r="F1104" s="249">
        <v>300</v>
      </c>
      <c r="G1104" s="164">
        <f t="shared" si="143"/>
        <v>2.1142857142857143</v>
      </c>
      <c r="H1104" s="165">
        <f t="shared" si="144"/>
        <v>4.2285714285714286</v>
      </c>
      <c r="I1104" s="165">
        <f t="shared" si="145"/>
        <v>3.1714285714285713</v>
      </c>
      <c r="J1104" s="166">
        <f t="shared" si="146"/>
        <v>5.2857142857142856</v>
      </c>
      <c r="K1104" s="166">
        <f t="shared" si="147"/>
        <v>5.2857142857142856</v>
      </c>
      <c r="L1104" s="165">
        <f t="shared" si="148"/>
        <v>1.075</v>
      </c>
      <c r="M1104" s="168">
        <f t="shared" si="149"/>
        <v>0</v>
      </c>
      <c r="N1104" s="231" t="s">
        <v>453</v>
      </c>
    </row>
    <row r="1105" spans="1:14" ht="14">
      <c r="A1105" s="149">
        <v>1104</v>
      </c>
      <c r="B1105" s="235" t="s">
        <v>52</v>
      </c>
      <c r="C1105" s="231" t="s">
        <v>10</v>
      </c>
      <c r="D1105" s="250" t="s">
        <v>2715</v>
      </c>
      <c r="E1105" s="281">
        <v>0</v>
      </c>
      <c r="F1105" s="249">
        <v>150</v>
      </c>
      <c r="G1105" s="164">
        <f t="shared" si="143"/>
        <v>1.2571428571428571</v>
      </c>
      <c r="H1105" s="165">
        <f t="shared" si="144"/>
        <v>2.5142857142857142</v>
      </c>
      <c r="I1105" s="165">
        <f t="shared" si="145"/>
        <v>1.8857142857142857</v>
      </c>
      <c r="J1105" s="166">
        <f t="shared" si="146"/>
        <v>3.1428571428571428</v>
      </c>
      <c r="K1105" s="166">
        <f t="shared" si="147"/>
        <v>3.1428571428571428</v>
      </c>
      <c r="L1105" s="165">
        <f t="shared" si="148"/>
        <v>1.0375000000000001</v>
      </c>
      <c r="M1105" s="168">
        <f t="shared" si="149"/>
        <v>0</v>
      </c>
      <c r="N1105" s="231" t="s">
        <v>453</v>
      </c>
    </row>
    <row r="1106" spans="1:14" ht="14">
      <c r="A1106" s="149">
        <v>1105</v>
      </c>
      <c r="B1106" s="235" t="s">
        <v>52</v>
      </c>
      <c r="C1106" s="231" t="s">
        <v>10</v>
      </c>
      <c r="D1106" s="250" t="s">
        <v>2716</v>
      </c>
      <c r="E1106" s="281">
        <v>0</v>
      </c>
      <c r="F1106" s="249">
        <v>300</v>
      </c>
      <c r="G1106" s="164">
        <f t="shared" si="143"/>
        <v>2.1142857142857143</v>
      </c>
      <c r="H1106" s="165">
        <f t="shared" si="144"/>
        <v>4.2285714285714286</v>
      </c>
      <c r="I1106" s="165">
        <f t="shared" si="145"/>
        <v>3.1714285714285713</v>
      </c>
      <c r="J1106" s="166">
        <f t="shared" si="146"/>
        <v>5.2857142857142856</v>
      </c>
      <c r="K1106" s="166">
        <f t="shared" si="147"/>
        <v>5.2857142857142856</v>
      </c>
      <c r="L1106" s="165">
        <f t="shared" si="148"/>
        <v>1.075</v>
      </c>
      <c r="M1106" s="168">
        <f t="shared" si="149"/>
        <v>0</v>
      </c>
      <c r="N1106" s="231" t="s">
        <v>453</v>
      </c>
    </row>
    <row r="1107" spans="1:14" ht="14">
      <c r="A1107" s="149">
        <v>1106</v>
      </c>
      <c r="B1107" s="235" t="s">
        <v>52</v>
      </c>
      <c r="C1107" s="231" t="s">
        <v>10</v>
      </c>
      <c r="D1107" s="250" t="s">
        <v>2717</v>
      </c>
      <c r="E1107" s="281">
        <v>0</v>
      </c>
      <c r="F1107" s="249">
        <v>250</v>
      </c>
      <c r="G1107" s="164">
        <f t="shared" si="143"/>
        <v>1.8285714285714285</v>
      </c>
      <c r="H1107" s="165">
        <f t="shared" si="144"/>
        <v>3.657142857142857</v>
      </c>
      <c r="I1107" s="165">
        <f t="shared" si="145"/>
        <v>2.7428571428571424</v>
      </c>
      <c r="J1107" s="166">
        <f t="shared" si="146"/>
        <v>4.5714285714285712</v>
      </c>
      <c r="K1107" s="166">
        <f t="shared" si="147"/>
        <v>4.5714285714285712</v>
      </c>
      <c r="L1107" s="165">
        <f t="shared" si="148"/>
        <v>1.0625</v>
      </c>
      <c r="M1107" s="168">
        <f t="shared" si="149"/>
        <v>0</v>
      </c>
      <c r="N1107" s="231" t="s">
        <v>453</v>
      </c>
    </row>
    <row r="1108" spans="1:14" ht="14">
      <c r="A1108" s="149">
        <v>1107</v>
      </c>
      <c r="B1108" s="235" t="s">
        <v>52</v>
      </c>
      <c r="C1108" s="231" t="s">
        <v>10</v>
      </c>
      <c r="D1108" s="250" t="s">
        <v>2718</v>
      </c>
      <c r="E1108" s="281">
        <v>0</v>
      </c>
      <c r="F1108" s="249">
        <v>1250</v>
      </c>
      <c r="G1108" s="164">
        <f t="shared" si="143"/>
        <v>7.5428571428571436</v>
      </c>
      <c r="H1108" s="165">
        <f t="shared" si="144"/>
        <v>15.085714285714287</v>
      </c>
      <c r="I1108" s="165">
        <f t="shared" si="145"/>
        <v>11.314285714285715</v>
      </c>
      <c r="J1108" s="166">
        <f t="shared" si="146"/>
        <v>18.857142857142858</v>
      </c>
      <c r="K1108" s="166">
        <f t="shared" si="147"/>
        <v>18.857142857142858</v>
      </c>
      <c r="L1108" s="165">
        <f t="shared" si="148"/>
        <v>1.3125</v>
      </c>
      <c r="M1108" s="168">
        <f t="shared" si="149"/>
        <v>0</v>
      </c>
      <c r="N1108" s="231" t="s">
        <v>453</v>
      </c>
    </row>
    <row r="1109" spans="1:14" ht="14">
      <c r="A1109" s="149">
        <v>1108</v>
      </c>
      <c r="B1109" s="235" t="s">
        <v>52</v>
      </c>
      <c r="C1109" s="231" t="s">
        <v>10</v>
      </c>
      <c r="D1109" s="250" t="s">
        <v>2719</v>
      </c>
      <c r="E1109" s="281">
        <v>0</v>
      </c>
      <c r="F1109" s="249">
        <v>1000</v>
      </c>
      <c r="G1109" s="164">
        <f t="shared" si="143"/>
        <v>6.1142857142857148</v>
      </c>
      <c r="H1109" s="165">
        <f t="shared" si="144"/>
        <v>12.22857142857143</v>
      </c>
      <c r="I1109" s="165">
        <f t="shared" si="145"/>
        <v>9.1714285714285708</v>
      </c>
      <c r="J1109" s="166">
        <f t="shared" si="146"/>
        <v>15.285714285714285</v>
      </c>
      <c r="K1109" s="166">
        <f t="shared" si="147"/>
        <v>15.285714285714285</v>
      </c>
      <c r="L1109" s="165">
        <f t="shared" si="148"/>
        <v>1.25</v>
      </c>
      <c r="M1109" s="168">
        <f t="shared" si="149"/>
        <v>0</v>
      </c>
      <c r="N1109" s="231" t="s">
        <v>453</v>
      </c>
    </row>
    <row r="1110" spans="1:14" ht="14">
      <c r="A1110" s="149">
        <v>1109</v>
      </c>
      <c r="B1110" s="235" t="s">
        <v>52</v>
      </c>
      <c r="C1110" s="231" t="s">
        <v>10</v>
      </c>
      <c r="D1110" s="250" t="s">
        <v>2720</v>
      </c>
      <c r="E1110" s="281">
        <v>0</v>
      </c>
      <c r="F1110" s="249">
        <v>300</v>
      </c>
      <c r="G1110" s="164">
        <f t="shared" si="143"/>
        <v>2.1142857142857143</v>
      </c>
      <c r="H1110" s="165">
        <f t="shared" si="144"/>
        <v>4.2285714285714286</v>
      </c>
      <c r="I1110" s="165">
        <f t="shared" si="145"/>
        <v>3.1714285714285713</v>
      </c>
      <c r="J1110" s="166">
        <f t="shared" si="146"/>
        <v>5.2857142857142856</v>
      </c>
      <c r="K1110" s="166">
        <f t="shared" si="147"/>
        <v>5.2857142857142856</v>
      </c>
      <c r="L1110" s="165">
        <f t="shared" si="148"/>
        <v>1.075</v>
      </c>
      <c r="M1110" s="168">
        <f t="shared" si="149"/>
        <v>0</v>
      </c>
      <c r="N1110" s="231" t="s">
        <v>453</v>
      </c>
    </row>
    <row r="1111" spans="1:14" ht="14">
      <c r="A1111" s="149">
        <v>1110</v>
      </c>
      <c r="B1111" s="235" t="s">
        <v>52</v>
      </c>
      <c r="C1111" s="231" t="s">
        <v>10</v>
      </c>
      <c r="D1111" s="250" t="s">
        <v>2721</v>
      </c>
      <c r="E1111" s="281">
        <v>0</v>
      </c>
      <c r="F1111" s="249">
        <v>1000</v>
      </c>
      <c r="G1111" s="164">
        <f t="shared" si="143"/>
        <v>6.1142857142857148</v>
      </c>
      <c r="H1111" s="165">
        <f t="shared" si="144"/>
        <v>12.22857142857143</v>
      </c>
      <c r="I1111" s="165">
        <f t="shared" si="145"/>
        <v>9.1714285714285708</v>
      </c>
      <c r="J1111" s="166">
        <f t="shared" si="146"/>
        <v>15.285714285714285</v>
      </c>
      <c r="K1111" s="166">
        <f t="shared" si="147"/>
        <v>15.285714285714285</v>
      </c>
      <c r="L1111" s="165">
        <f t="shared" si="148"/>
        <v>1.25</v>
      </c>
      <c r="M1111" s="168">
        <f t="shared" si="149"/>
        <v>0</v>
      </c>
      <c r="N1111" s="231" t="s">
        <v>453</v>
      </c>
    </row>
    <row r="1112" spans="1:14" ht="14">
      <c r="A1112" s="149">
        <v>1111</v>
      </c>
      <c r="B1112" s="235" t="s">
        <v>52</v>
      </c>
      <c r="C1112" s="231" t="s">
        <v>10</v>
      </c>
      <c r="D1112" s="250" t="s">
        <v>2722</v>
      </c>
      <c r="E1112" s="281">
        <v>0</v>
      </c>
      <c r="F1112" s="249">
        <v>900</v>
      </c>
      <c r="G1112" s="164">
        <f t="shared" si="143"/>
        <v>5.5428571428571436</v>
      </c>
      <c r="H1112" s="165">
        <f t="shared" si="144"/>
        <v>11.085714285714287</v>
      </c>
      <c r="I1112" s="165">
        <f t="shared" si="145"/>
        <v>8.3142857142857149</v>
      </c>
      <c r="J1112" s="166">
        <f t="shared" si="146"/>
        <v>13.857142857142858</v>
      </c>
      <c r="K1112" s="166">
        <f t="shared" si="147"/>
        <v>13.857142857142858</v>
      </c>
      <c r="L1112" s="165">
        <f t="shared" si="148"/>
        <v>1.2250000000000001</v>
      </c>
      <c r="M1112" s="168">
        <f t="shared" si="149"/>
        <v>0</v>
      </c>
      <c r="N1112" s="231" t="s">
        <v>453</v>
      </c>
    </row>
    <row r="1113" spans="1:14" ht="14">
      <c r="A1113" s="149">
        <v>1112</v>
      </c>
      <c r="B1113" s="235" t="s">
        <v>52</v>
      </c>
      <c r="C1113" s="231" t="s">
        <v>10</v>
      </c>
      <c r="D1113" s="250" t="s">
        <v>2723</v>
      </c>
      <c r="E1113" s="281">
        <v>0</v>
      </c>
      <c r="F1113" s="249">
        <v>1500</v>
      </c>
      <c r="G1113" s="164">
        <f t="shared" si="143"/>
        <v>8.9714285714285715</v>
      </c>
      <c r="H1113" s="165">
        <f t="shared" si="144"/>
        <v>17.942857142857143</v>
      </c>
      <c r="I1113" s="165">
        <f t="shared" si="145"/>
        <v>13.457142857142856</v>
      </c>
      <c r="J1113" s="166">
        <f t="shared" si="146"/>
        <v>22.428571428571427</v>
      </c>
      <c r="K1113" s="166">
        <f t="shared" si="147"/>
        <v>22.428571428571427</v>
      </c>
      <c r="L1113" s="165">
        <f t="shared" si="148"/>
        <v>1.375</v>
      </c>
      <c r="M1113" s="168">
        <f t="shared" si="149"/>
        <v>0</v>
      </c>
      <c r="N1113" s="231" t="s">
        <v>453</v>
      </c>
    </row>
    <row r="1114" spans="1:14" ht="14">
      <c r="A1114" s="149">
        <v>1113</v>
      </c>
      <c r="B1114" s="235" t="s">
        <v>49</v>
      </c>
      <c r="C1114" s="231" t="s">
        <v>10</v>
      </c>
      <c r="D1114" s="250" t="s">
        <v>2724</v>
      </c>
      <c r="E1114" s="281">
        <v>0</v>
      </c>
      <c r="F1114" s="249">
        <v>300</v>
      </c>
      <c r="G1114" s="164">
        <f t="shared" si="143"/>
        <v>2.1142857142857143</v>
      </c>
      <c r="H1114" s="165">
        <f t="shared" si="144"/>
        <v>4.2285714285714286</v>
      </c>
      <c r="I1114" s="165">
        <f t="shared" si="145"/>
        <v>3.1714285714285713</v>
      </c>
      <c r="J1114" s="166">
        <f t="shared" si="146"/>
        <v>5.2857142857142856</v>
      </c>
      <c r="K1114" s="166">
        <f t="shared" si="147"/>
        <v>5.2857142857142856</v>
      </c>
      <c r="L1114" s="165">
        <f t="shared" si="148"/>
        <v>1.075</v>
      </c>
      <c r="M1114" s="168">
        <f t="shared" si="149"/>
        <v>0</v>
      </c>
      <c r="N1114" s="231" t="s">
        <v>453</v>
      </c>
    </row>
    <row r="1115" spans="1:14" ht="14">
      <c r="A1115" s="149">
        <v>1114</v>
      </c>
      <c r="B1115" s="235" t="s">
        <v>52</v>
      </c>
      <c r="C1115" s="231" t="s">
        <v>10</v>
      </c>
      <c r="D1115" s="250" t="s">
        <v>2725</v>
      </c>
      <c r="E1115" s="281">
        <v>0</v>
      </c>
      <c r="F1115" s="249">
        <v>500</v>
      </c>
      <c r="G1115" s="164">
        <f t="shared" si="143"/>
        <v>3.2571428571428571</v>
      </c>
      <c r="H1115" s="165">
        <f t="shared" si="144"/>
        <v>6.5142857142857142</v>
      </c>
      <c r="I1115" s="165">
        <f t="shared" si="145"/>
        <v>4.8857142857142852</v>
      </c>
      <c r="J1115" s="166">
        <f t="shared" si="146"/>
        <v>8.1428571428571423</v>
      </c>
      <c r="K1115" s="166">
        <f t="shared" si="147"/>
        <v>8.1428571428571423</v>
      </c>
      <c r="L1115" s="165">
        <f t="shared" si="148"/>
        <v>1.125</v>
      </c>
      <c r="M1115" s="168">
        <f t="shared" si="149"/>
        <v>0</v>
      </c>
      <c r="N1115" s="231" t="s">
        <v>453</v>
      </c>
    </row>
    <row r="1116" spans="1:14" ht="14">
      <c r="A1116" s="149">
        <v>1115</v>
      </c>
      <c r="B1116" s="235" t="s">
        <v>49</v>
      </c>
      <c r="C1116" s="231" t="s">
        <v>10</v>
      </c>
      <c r="D1116" s="250" t="s">
        <v>2726</v>
      </c>
      <c r="E1116" s="281">
        <v>0</v>
      </c>
      <c r="F1116" s="249">
        <v>600</v>
      </c>
      <c r="G1116" s="164">
        <f t="shared" si="143"/>
        <v>3.8285714285714287</v>
      </c>
      <c r="H1116" s="165">
        <f t="shared" si="144"/>
        <v>7.6571428571428575</v>
      </c>
      <c r="I1116" s="165">
        <f t="shared" si="145"/>
        <v>5.7428571428571429</v>
      </c>
      <c r="J1116" s="166">
        <f t="shared" si="146"/>
        <v>9.5714285714285712</v>
      </c>
      <c r="K1116" s="166">
        <f t="shared" si="147"/>
        <v>9.5714285714285712</v>
      </c>
      <c r="L1116" s="165">
        <f t="shared" si="148"/>
        <v>1.1499999999999999</v>
      </c>
      <c r="M1116" s="168">
        <f t="shared" si="149"/>
        <v>0</v>
      </c>
      <c r="N1116" s="231" t="s">
        <v>453</v>
      </c>
    </row>
    <row r="1117" spans="1:14" ht="14">
      <c r="A1117" s="149">
        <v>1116</v>
      </c>
      <c r="B1117" s="258" t="s">
        <v>59</v>
      </c>
      <c r="C1117" s="231" t="s">
        <v>11</v>
      </c>
      <c r="D1117" s="250" t="s">
        <v>2727</v>
      </c>
      <c r="E1117" s="281">
        <v>70</v>
      </c>
      <c r="F1117" s="249">
        <v>0</v>
      </c>
      <c r="G1117" s="164">
        <f t="shared" si="143"/>
        <v>0.4</v>
      </c>
      <c r="H1117" s="165">
        <f t="shared" si="144"/>
        <v>0.8</v>
      </c>
      <c r="I1117" s="165">
        <f t="shared" si="145"/>
        <v>0.6</v>
      </c>
      <c r="J1117" s="166">
        <f t="shared" si="146"/>
        <v>1</v>
      </c>
      <c r="K1117" s="166">
        <f t="shared" si="147"/>
        <v>1</v>
      </c>
      <c r="L1117" s="165">
        <f t="shared" si="148"/>
        <v>1</v>
      </c>
      <c r="M1117" s="168">
        <f t="shared" si="149"/>
        <v>1.1666666666666667</v>
      </c>
      <c r="N1117" s="231" t="s">
        <v>453</v>
      </c>
    </row>
    <row r="1118" spans="1:14" ht="14">
      <c r="A1118" s="149">
        <v>1117</v>
      </c>
      <c r="B1118" s="235" t="s">
        <v>52</v>
      </c>
      <c r="C1118" s="231" t="s">
        <v>10</v>
      </c>
      <c r="D1118" s="250" t="s">
        <v>2728</v>
      </c>
      <c r="E1118" s="281">
        <v>0</v>
      </c>
      <c r="F1118" s="249">
        <v>200</v>
      </c>
      <c r="G1118" s="164">
        <f t="shared" si="143"/>
        <v>1.5428571428571429</v>
      </c>
      <c r="H1118" s="165">
        <f t="shared" si="144"/>
        <v>3.0857142857142859</v>
      </c>
      <c r="I1118" s="165">
        <f t="shared" si="145"/>
        <v>2.3142857142857141</v>
      </c>
      <c r="J1118" s="166">
        <f t="shared" si="146"/>
        <v>3.8571428571428568</v>
      </c>
      <c r="K1118" s="166">
        <f t="shared" si="147"/>
        <v>3.8571428571428568</v>
      </c>
      <c r="L1118" s="165">
        <f t="shared" si="148"/>
        <v>1.05</v>
      </c>
      <c r="M1118" s="168">
        <f t="shared" si="149"/>
        <v>0</v>
      </c>
      <c r="N1118" s="231" t="s">
        <v>453</v>
      </c>
    </row>
    <row r="1119" spans="1:14" ht="14">
      <c r="A1119" s="149">
        <v>1118</v>
      </c>
      <c r="B1119" s="235" t="s">
        <v>50</v>
      </c>
      <c r="C1119" s="231" t="s">
        <v>10</v>
      </c>
      <c r="D1119" s="250" t="s">
        <v>2729</v>
      </c>
      <c r="E1119" s="281">
        <v>0</v>
      </c>
      <c r="F1119" s="249">
        <v>1400</v>
      </c>
      <c r="G1119" s="164">
        <f t="shared" si="143"/>
        <v>8.4</v>
      </c>
      <c r="H1119" s="165">
        <f t="shared" si="144"/>
        <v>16.8</v>
      </c>
      <c r="I1119" s="165">
        <f t="shared" si="145"/>
        <v>12.6</v>
      </c>
      <c r="J1119" s="166">
        <f t="shared" si="146"/>
        <v>21</v>
      </c>
      <c r="K1119" s="166">
        <f t="shared" si="147"/>
        <v>21</v>
      </c>
      <c r="L1119" s="165">
        <f t="shared" si="148"/>
        <v>1.35</v>
      </c>
      <c r="M1119" s="168">
        <f t="shared" si="149"/>
        <v>0</v>
      </c>
      <c r="N1119" s="231" t="s">
        <v>453</v>
      </c>
    </row>
    <row r="1120" spans="1:14" ht="14">
      <c r="A1120" s="149">
        <v>1119</v>
      </c>
      <c r="B1120" s="231" t="s">
        <v>61</v>
      </c>
      <c r="C1120" s="231" t="s">
        <v>11</v>
      </c>
      <c r="D1120" s="250" t="s">
        <v>2730</v>
      </c>
      <c r="E1120" s="281">
        <v>0</v>
      </c>
      <c r="F1120" s="249">
        <v>300</v>
      </c>
      <c r="G1120" s="164">
        <f t="shared" si="143"/>
        <v>2.1142857142857143</v>
      </c>
      <c r="H1120" s="165">
        <f t="shared" si="144"/>
        <v>4.2285714285714286</v>
      </c>
      <c r="I1120" s="165">
        <f t="shared" si="145"/>
        <v>3.1714285714285713</v>
      </c>
      <c r="J1120" s="166">
        <f t="shared" si="146"/>
        <v>5.2857142857142856</v>
      </c>
      <c r="K1120" s="166">
        <f t="shared" si="147"/>
        <v>5.2857142857142856</v>
      </c>
      <c r="L1120" s="165">
        <f t="shared" si="148"/>
        <v>1.075</v>
      </c>
      <c r="M1120" s="168">
        <f t="shared" si="149"/>
        <v>0</v>
      </c>
      <c r="N1120" s="231" t="s">
        <v>453</v>
      </c>
    </row>
    <row r="1121" spans="1:17" ht="14">
      <c r="A1121" s="149">
        <v>1120</v>
      </c>
      <c r="B1121" s="235" t="s">
        <v>52</v>
      </c>
      <c r="C1121" s="231" t="s">
        <v>10</v>
      </c>
      <c r="D1121" s="250" t="s">
        <v>2731</v>
      </c>
      <c r="E1121" s="281">
        <v>0</v>
      </c>
      <c r="F1121" s="249">
        <v>750</v>
      </c>
      <c r="G1121" s="164">
        <f t="shared" si="143"/>
        <v>4.6857142857142859</v>
      </c>
      <c r="H1121" s="165">
        <f t="shared" si="144"/>
        <v>9.3714285714285719</v>
      </c>
      <c r="I1121" s="165">
        <f t="shared" si="145"/>
        <v>7.0285714285714276</v>
      </c>
      <c r="J1121" s="166">
        <f t="shared" si="146"/>
        <v>11.714285714285714</v>
      </c>
      <c r="K1121" s="166">
        <f t="shared" si="147"/>
        <v>11.714285714285714</v>
      </c>
      <c r="L1121" s="165">
        <f t="shared" si="148"/>
        <v>1.1875</v>
      </c>
      <c r="M1121" s="168">
        <f t="shared" si="149"/>
        <v>0</v>
      </c>
      <c r="N1121" s="231" t="s">
        <v>453</v>
      </c>
    </row>
    <row r="1122" spans="1:17" ht="14">
      <c r="A1122" s="149">
        <v>1121</v>
      </c>
      <c r="B1122" s="235" t="s">
        <v>52</v>
      </c>
      <c r="C1122" s="231" t="s">
        <v>10</v>
      </c>
      <c r="D1122" s="250" t="s">
        <v>2732</v>
      </c>
      <c r="E1122" s="281">
        <v>0</v>
      </c>
      <c r="F1122" s="249">
        <v>750</v>
      </c>
      <c r="G1122" s="164">
        <f t="shared" si="143"/>
        <v>4.6857142857142859</v>
      </c>
      <c r="H1122" s="165">
        <f t="shared" si="144"/>
        <v>9.3714285714285719</v>
      </c>
      <c r="I1122" s="165">
        <f t="shared" si="145"/>
        <v>7.0285714285714276</v>
      </c>
      <c r="J1122" s="166">
        <f t="shared" si="146"/>
        <v>11.714285714285714</v>
      </c>
      <c r="K1122" s="166">
        <f t="shared" si="147"/>
        <v>11.714285714285714</v>
      </c>
      <c r="L1122" s="165">
        <f t="shared" si="148"/>
        <v>1.1875</v>
      </c>
      <c r="M1122" s="168">
        <f t="shared" si="149"/>
        <v>0</v>
      </c>
      <c r="N1122" s="231" t="s">
        <v>453</v>
      </c>
    </row>
    <row r="1123" spans="1:17" ht="14">
      <c r="A1123" s="149">
        <v>1122</v>
      </c>
      <c r="B1123" s="235" t="s">
        <v>52</v>
      </c>
      <c r="C1123" s="231" t="s">
        <v>10</v>
      </c>
      <c r="D1123" s="250" t="s">
        <v>2733</v>
      </c>
      <c r="E1123" s="281">
        <v>0</v>
      </c>
      <c r="F1123" s="249">
        <v>100</v>
      </c>
      <c r="G1123" s="164">
        <f t="shared" si="143"/>
        <v>0.97142857142857153</v>
      </c>
      <c r="H1123" s="165">
        <f t="shared" si="144"/>
        <v>1.9428571428571431</v>
      </c>
      <c r="I1123" s="165">
        <f t="shared" si="145"/>
        <v>1.4571428571428573</v>
      </c>
      <c r="J1123" s="166">
        <f t="shared" si="146"/>
        <v>2.4285714285714288</v>
      </c>
      <c r="K1123" s="166">
        <f t="shared" si="147"/>
        <v>2.4285714285714288</v>
      </c>
      <c r="L1123" s="165">
        <f t="shared" si="148"/>
        <v>1.0249999999999999</v>
      </c>
      <c r="M1123" s="168">
        <f t="shared" si="149"/>
        <v>0</v>
      </c>
      <c r="N1123" s="231" t="s">
        <v>453</v>
      </c>
    </row>
    <row r="1124" spans="1:17" ht="14">
      <c r="A1124" s="149">
        <v>1123</v>
      </c>
      <c r="B1124" s="235" t="s">
        <v>52</v>
      </c>
      <c r="C1124" s="231" t="s">
        <v>10</v>
      </c>
      <c r="D1124" s="250" t="s">
        <v>2734</v>
      </c>
      <c r="E1124" s="281">
        <v>0</v>
      </c>
      <c r="F1124" s="249">
        <v>150</v>
      </c>
      <c r="G1124" s="164">
        <f t="shared" si="143"/>
        <v>1.2571428571428571</v>
      </c>
      <c r="H1124" s="165">
        <f t="shared" si="144"/>
        <v>2.5142857142857142</v>
      </c>
      <c r="I1124" s="165">
        <f t="shared" si="145"/>
        <v>1.8857142857142857</v>
      </c>
      <c r="J1124" s="166">
        <f t="shared" si="146"/>
        <v>3.1428571428571428</v>
      </c>
      <c r="K1124" s="166">
        <f t="shared" si="147"/>
        <v>3.1428571428571428</v>
      </c>
      <c r="L1124" s="165">
        <f t="shared" si="148"/>
        <v>1.0375000000000001</v>
      </c>
      <c r="M1124" s="168">
        <f t="shared" si="149"/>
        <v>0</v>
      </c>
      <c r="N1124" s="231" t="s">
        <v>453</v>
      </c>
      <c r="Q1124" s="108">
        <f>SUM(F2:F1123)</f>
        <v>1673409.7000000002</v>
      </c>
    </row>
    <row r="1125" spans="1:17" ht="14">
      <c r="A1125" s="149">
        <v>1124</v>
      </c>
      <c r="B1125" s="235" t="s">
        <v>52</v>
      </c>
      <c r="C1125" s="231" t="s">
        <v>10</v>
      </c>
      <c r="D1125" s="250" t="s">
        <v>2735</v>
      </c>
      <c r="E1125" s="281">
        <v>0</v>
      </c>
      <c r="F1125" s="249">
        <v>3500</v>
      </c>
      <c r="G1125" s="164">
        <f t="shared" si="143"/>
        <v>20.400000000000002</v>
      </c>
      <c r="H1125" s="165">
        <f t="shared" si="144"/>
        <v>40.800000000000004</v>
      </c>
      <c r="I1125" s="165">
        <f t="shared" si="145"/>
        <v>30.599999999999998</v>
      </c>
      <c r="J1125" s="166">
        <f t="shared" si="146"/>
        <v>51</v>
      </c>
      <c r="K1125" s="166">
        <f t="shared" si="147"/>
        <v>51</v>
      </c>
      <c r="L1125" s="165">
        <f t="shared" si="148"/>
        <v>1.875</v>
      </c>
      <c r="M1125" s="168">
        <f t="shared" si="149"/>
        <v>0</v>
      </c>
      <c r="N1125" s="231" t="s">
        <v>453</v>
      </c>
    </row>
    <row r="1126" spans="1:17" ht="14">
      <c r="A1126" s="149">
        <v>1125</v>
      </c>
      <c r="B1126" s="235" t="s">
        <v>52</v>
      </c>
      <c r="C1126" s="231" t="s">
        <v>10</v>
      </c>
      <c r="D1126" s="250" t="s">
        <v>2736</v>
      </c>
      <c r="E1126" s="281">
        <v>0</v>
      </c>
      <c r="F1126" s="249">
        <v>450</v>
      </c>
      <c r="G1126" s="164">
        <f t="shared" si="143"/>
        <v>2.9714285714285715</v>
      </c>
      <c r="H1126" s="165">
        <f t="shared" si="144"/>
        <v>5.9428571428571431</v>
      </c>
      <c r="I1126" s="165">
        <f t="shared" si="145"/>
        <v>4.4571428571428573</v>
      </c>
      <c r="J1126" s="166">
        <f t="shared" si="146"/>
        <v>7.4285714285714288</v>
      </c>
      <c r="K1126" s="166">
        <f t="shared" si="147"/>
        <v>7.4285714285714288</v>
      </c>
      <c r="L1126" s="165">
        <f t="shared" si="148"/>
        <v>1.1125</v>
      </c>
      <c r="M1126" s="168">
        <f t="shared" si="149"/>
        <v>0</v>
      </c>
      <c r="N1126" s="231" t="s">
        <v>453</v>
      </c>
    </row>
    <row r="1127" spans="1:17" ht="14">
      <c r="A1127" s="149">
        <v>1126</v>
      </c>
      <c r="B1127" s="235" t="s">
        <v>52</v>
      </c>
      <c r="C1127" s="231" t="s">
        <v>10</v>
      </c>
      <c r="D1127" s="250" t="s">
        <v>2737</v>
      </c>
      <c r="E1127" s="281">
        <v>0</v>
      </c>
      <c r="F1127" s="249">
        <v>300</v>
      </c>
      <c r="G1127" s="164">
        <f t="shared" si="143"/>
        <v>2.1142857142857143</v>
      </c>
      <c r="H1127" s="165">
        <f t="shared" si="144"/>
        <v>4.2285714285714286</v>
      </c>
      <c r="I1127" s="165">
        <f t="shared" si="145"/>
        <v>3.1714285714285713</v>
      </c>
      <c r="J1127" s="166">
        <f t="shared" si="146"/>
        <v>5.2857142857142856</v>
      </c>
      <c r="K1127" s="166">
        <f t="shared" si="147"/>
        <v>5.2857142857142856</v>
      </c>
      <c r="L1127" s="165">
        <f t="shared" si="148"/>
        <v>1.075</v>
      </c>
      <c r="M1127" s="168">
        <f t="shared" si="149"/>
        <v>0</v>
      </c>
      <c r="N1127" s="231" t="s">
        <v>453</v>
      </c>
    </row>
    <row r="1128" spans="1:17" ht="14">
      <c r="A1128" s="149">
        <v>1127</v>
      </c>
      <c r="B1128" s="235" t="s">
        <v>52</v>
      </c>
      <c r="C1128" s="231" t="s">
        <v>10</v>
      </c>
      <c r="D1128" s="250" t="s">
        <v>2738</v>
      </c>
      <c r="E1128" s="281">
        <v>0</v>
      </c>
      <c r="F1128" s="249">
        <v>500</v>
      </c>
      <c r="G1128" s="164">
        <f t="shared" si="143"/>
        <v>3.2571428571428571</v>
      </c>
      <c r="H1128" s="165">
        <f t="shared" si="144"/>
        <v>6.5142857142857142</v>
      </c>
      <c r="I1128" s="165">
        <f t="shared" si="145"/>
        <v>4.8857142857142852</v>
      </c>
      <c r="J1128" s="166">
        <f t="shared" si="146"/>
        <v>8.1428571428571423</v>
      </c>
      <c r="K1128" s="166">
        <f t="shared" si="147"/>
        <v>8.1428571428571423</v>
      </c>
      <c r="L1128" s="165">
        <f t="shared" si="148"/>
        <v>1.125</v>
      </c>
      <c r="M1128" s="168">
        <f t="shared" si="149"/>
        <v>0</v>
      </c>
      <c r="N1128" s="231" t="s">
        <v>453</v>
      </c>
    </row>
    <row r="1129" spans="1:17" ht="14">
      <c r="A1129" s="149">
        <v>1128</v>
      </c>
      <c r="B1129" s="235" t="s">
        <v>52</v>
      </c>
      <c r="C1129" s="231" t="s">
        <v>10</v>
      </c>
      <c r="D1129" s="250" t="s">
        <v>2739</v>
      </c>
      <c r="E1129" s="281">
        <v>0</v>
      </c>
      <c r="F1129" s="249">
        <v>350</v>
      </c>
      <c r="G1129" s="164">
        <f t="shared" si="143"/>
        <v>2.4000000000000004</v>
      </c>
      <c r="H1129" s="165">
        <f t="shared" si="144"/>
        <v>4.8000000000000007</v>
      </c>
      <c r="I1129" s="165">
        <f t="shared" si="145"/>
        <v>3.5999999999999996</v>
      </c>
      <c r="J1129" s="166">
        <f t="shared" si="146"/>
        <v>6</v>
      </c>
      <c r="K1129" s="166">
        <f t="shared" si="147"/>
        <v>6</v>
      </c>
      <c r="L1129" s="165">
        <f t="shared" si="148"/>
        <v>1.0874999999999999</v>
      </c>
      <c r="M1129" s="168">
        <f t="shared" si="149"/>
        <v>0</v>
      </c>
      <c r="N1129" s="231" t="s">
        <v>453</v>
      </c>
    </row>
    <row r="1130" spans="1:17" ht="14">
      <c r="A1130" s="149">
        <v>1129</v>
      </c>
      <c r="B1130" s="235" t="s">
        <v>52</v>
      </c>
      <c r="C1130" s="231" t="s">
        <v>10</v>
      </c>
      <c r="D1130" s="250" t="s">
        <v>2740</v>
      </c>
      <c r="E1130" s="281">
        <v>0</v>
      </c>
      <c r="F1130" s="249">
        <v>350</v>
      </c>
      <c r="G1130" s="164">
        <f t="shared" si="143"/>
        <v>2.4000000000000004</v>
      </c>
      <c r="H1130" s="165">
        <f t="shared" si="144"/>
        <v>4.8000000000000007</v>
      </c>
      <c r="I1130" s="165">
        <f t="shared" si="145"/>
        <v>3.5999999999999996</v>
      </c>
      <c r="J1130" s="166">
        <f t="shared" si="146"/>
        <v>6</v>
      </c>
      <c r="K1130" s="166">
        <f t="shared" si="147"/>
        <v>6</v>
      </c>
      <c r="L1130" s="165">
        <f t="shared" si="148"/>
        <v>1.0874999999999999</v>
      </c>
      <c r="M1130" s="168">
        <f t="shared" si="149"/>
        <v>0</v>
      </c>
      <c r="N1130" s="231" t="s">
        <v>453</v>
      </c>
    </row>
    <row r="1131" spans="1:17" ht="14">
      <c r="A1131" s="149">
        <v>1130</v>
      </c>
      <c r="B1131" s="235" t="s">
        <v>52</v>
      </c>
      <c r="C1131" s="231" t="s">
        <v>10</v>
      </c>
      <c r="D1131" s="250" t="s">
        <v>2741</v>
      </c>
      <c r="E1131" s="281">
        <v>0</v>
      </c>
      <c r="F1131" s="249">
        <v>300</v>
      </c>
      <c r="G1131" s="164">
        <f t="shared" si="143"/>
        <v>2.1142857142857143</v>
      </c>
      <c r="H1131" s="165">
        <f t="shared" si="144"/>
        <v>4.2285714285714286</v>
      </c>
      <c r="I1131" s="165">
        <f t="shared" si="145"/>
        <v>3.1714285714285713</v>
      </c>
      <c r="J1131" s="166">
        <f t="shared" si="146"/>
        <v>5.2857142857142856</v>
      </c>
      <c r="K1131" s="166">
        <f t="shared" si="147"/>
        <v>5.2857142857142856</v>
      </c>
      <c r="L1131" s="165">
        <f t="shared" si="148"/>
        <v>1.075</v>
      </c>
      <c r="M1131" s="168">
        <f t="shared" si="149"/>
        <v>0</v>
      </c>
      <c r="N1131" s="231" t="s">
        <v>453</v>
      </c>
    </row>
    <row r="1132" spans="1:17" ht="14">
      <c r="A1132" s="149">
        <v>1131</v>
      </c>
      <c r="B1132" s="235" t="s">
        <v>52</v>
      </c>
      <c r="C1132" s="231" t="s">
        <v>10</v>
      </c>
      <c r="D1132" s="250" t="s">
        <v>2742</v>
      </c>
      <c r="E1132" s="281">
        <v>0</v>
      </c>
      <c r="F1132" s="249">
        <v>500</v>
      </c>
      <c r="G1132" s="164">
        <f t="shared" si="143"/>
        <v>3.2571428571428571</v>
      </c>
      <c r="H1132" s="165">
        <f t="shared" si="144"/>
        <v>6.5142857142857142</v>
      </c>
      <c r="I1132" s="165">
        <f t="shared" si="145"/>
        <v>4.8857142857142852</v>
      </c>
      <c r="J1132" s="166">
        <f t="shared" si="146"/>
        <v>8.1428571428571423</v>
      </c>
      <c r="K1132" s="166">
        <f t="shared" si="147"/>
        <v>8.1428571428571423</v>
      </c>
      <c r="L1132" s="165">
        <f t="shared" si="148"/>
        <v>1.125</v>
      </c>
      <c r="M1132" s="168">
        <f t="shared" si="149"/>
        <v>0</v>
      </c>
      <c r="N1132" s="231" t="s">
        <v>453</v>
      </c>
    </row>
    <row r="1133" spans="1:17" ht="14">
      <c r="A1133" s="149">
        <v>1132</v>
      </c>
      <c r="B1133" s="235" t="s">
        <v>52</v>
      </c>
      <c r="C1133" s="231" t="s">
        <v>10</v>
      </c>
      <c r="D1133" s="250" t="s">
        <v>2743</v>
      </c>
      <c r="E1133" s="281">
        <v>0</v>
      </c>
      <c r="F1133" s="249">
        <v>110</v>
      </c>
      <c r="G1133" s="164">
        <f t="shared" si="143"/>
        <v>1.0285714285714285</v>
      </c>
      <c r="H1133" s="165">
        <f t="shared" si="144"/>
        <v>2.0571428571428569</v>
      </c>
      <c r="I1133" s="165">
        <f t="shared" si="145"/>
        <v>1.5428571428571427</v>
      </c>
      <c r="J1133" s="166">
        <f t="shared" si="146"/>
        <v>2.5714285714285712</v>
      </c>
      <c r="K1133" s="166">
        <f t="shared" si="147"/>
        <v>2.5714285714285712</v>
      </c>
      <c r="L1133" s="165">
        <f t="shared" si="148"/>
        <v>1.0275000000000001</v>
      </c>
      <c r="M1133" s="168">
        <f t="shared" si="149"/>
        <v>0</v>
      </c>
      <c r="N1133" s="231" t="s">
        <v>453</v>
      </c>
    </row>
    <row r="1134" spans="1:17" ht="14">
      <c r="A1134" s="149">
        <v>1133</v>
      </c>
      <c r="B1134" s="235" t="s">
        <v>52</v>
      </c>
      <c r="C1134" s="231" t="s">
        <v>10</v>
      </c>
      <c r="D1134" s="250" t="s">
        <v>2744</v>
      </c>
      <c r="E1134" s="281">
        <v>0</v>
      </c>
      <c r="F1134" s="249">
        <v>350</v>
      </c>
      <c r="G1134" s="164">
        <f t="shared" si="143"/>
        <v>2.4000000000000004</v>
      </c>
      <c r="H1134" s="165">
        <f t="shared" si="144"/>
        <v>4.8000000000000007</v>
      </c>
      <c r="I1134" s="165">
        <f t="shared" si="145"/>
        <v>3.5999999999999996</v>
      </c>
      <c r="J1134" s="166">
        <f t="shared" si="146"/>
        <v>6</v>
      </c>
      <c r="K1134" s="166">
        <f t="shared" si="147"/>
        <v>6</v>
      </c>
      <c r="L1134" s="165">
        <f t="shared" si="148"/>
        <v>1.0874999999999999</v>
      </c>
      <c r="M1134" s="168">
        <f t="shared" si="149"/>
        <v>0</v>
      </c>
      <c r="N1134" s="231" t="s">
        <v>453</v>
      </c>
    </row>
    <row r="1135" spans="1:17" ht="14">
      <c r="A1135" s="149">
        <v>1134</v>
      </c>
      <c r="B1135" s="235" t="s">
        <v>52</v>
      </c>
      <c r="C1135" s="231" t="s">
        <v>10</v>
      </c>
      <c r="D1135" s="250" t="s">
        <v>2745</v>
      </c>
      <c r="E1135" s="281">
        <v>0</v>
      </c>
      <c r="F1135" s="249">
        <v>350</v>
      </c>
      <c r="G1135" s="164">
        <f t="shared" si="143"/>
        <v>2.4000000000000004</v>
      </c>
      <c r="H1135" s="165">
        <f t="shared" si="144"/>
        <v>4.8000000000000007</v>
      </c>
      <c r="I1135" s="165">
        <f t="shared" si="145"/>
        <v>3.5999999999999996</v>
      </c>
      <c r="J1135" s="166">
        <f t="shared" si="146"/>
        <v>6</v>
      </c>
      <c r="K1135" s="166">
        <f t="shared" si="147"/>
        <v>6</v>
      </c>
      <c r="L1135" s="165">
        <f t="shared" si="148"/>
        <v>1.0874999999999999</v>
      </c>
      <c r="M1135" s="168">
        <f t="shared" si="149"/>
        <v>0</v>
      </c>
      <c r="N1135" s="231" t="s">
        <v>453</v>
      </c>
    </row>
    <row r="1136" spans="1:17" ht="14">
      <c r="A1136" s="149">
        <v>1135</v>
      </c>
      <c r="B1136" s="235" t="s">
        <v>52</v>
      </c>
      <c r="C1136" s="231" t="s">
        <v>10</v>
      </c>
      <c r="D1136" s="250" t="s">
        <v>2746</v>
      </c>
      <c r="E1136" s="281">
        <v>0</v>
      </c>
      <c r="F1136" s="249">
        <v>1700</v>
      </c>
      <c r="G1136" s="164">
        <f t="shared" ref="G1136:G1158" si="150">(((F1136/70)+1)*0.4)</f>
        <v>10.114285714285714</v>
      </c>
      <c r="H1136" s="165">
        <f t="shared" ref="H1136:H1158" si="151">G1136*2</f>
        <v>20.228571428571428</v>
      </c>
      <c r="I1136" s="165">
        <f t="shared" ref="I1136:I1158" si="152">(((F1136/70)+1)*0.6)</f>
        <v>15.171428571428571</v>
      </c>
      <c r="J1136" s="166">
        <f t="shared" ref="J1136:J1158" si="153">I1136+G1136</f>
        <v>25.285714285714285</v>
      </c>
      <c r="K1136" s="166">
        <f t="shared" ref="K1136:K1158" si="154">J1136</f>
        <v>25.285714285714285</v>
      </c>
      <c r="L1136" s="165">
        <f t="shared" ref="L1136:L1158" si="155">(F1136/4000)+1</f>
        <v>1.425</v>
      </c>
      <c r="M1136" s="168">
        <f t="shared" si="149"/>
        <v>0</v>
      </c>
      <c r="N1136" s="231" t="s">
        <v>453</v>
      </c>
    </row>
    <row r="1137" spans="1:14" ht="14">
      <c r="A1137" s="149">
        <v>1136</v>
      </c>
      <c r="B1137" s="235" t="s">
        <v>52</v>
      </c>
      <c r="C1137" s="231" t="s">
        <v>10</v>
      </c>
      <c r="D1137" s="250" t="s">
        <v>2747</v>
      </c>
      <c r="E1137" s="281">
        <v>0</v>
      </c>
      <c r="F1137" s="249">
        <v>350</v>
      </c>
      <c r="G1137" s="164">
        <f t="shared" si="150"/>
        <v>2.4000000000000004</v>
      </c>
      <c r="H1137" s="165">
        <f t="shared" si="151"/>
        <v>4.8000000000000007</v>
      </c>
      <c r="I1137" s="165">
        <f t="shared" si="152"/>
        <v>3.5999999999999996</v>
      </c>
      <c r="J1137" s="166">
        <f t="shared" si="153"/>
        <v>6</v>
      </c>
      <c r="K1137" s="166">
        <f t="shared" si="154"/>
        <v>6</v>
      </c>
      <c r="L1137" s="165">
        <f t="shared" si="155"/>
        <v>1.0874999999999999</v>
      </c>
      <c r="M1137" s="168">
        <f t="shared" si="149"/>
        <v>0</v>
      </c>
      <c r="N1137" s="231" t="s">
        <v>453</v>
      </c>
    </row>
    <row r="1138" spans="1:14" ht="14">
      <c r="A1138" s="149">
        <v>1137</v>
      </c>
      <c r="B1138" s="235" t="s">
        <v>52</v>
      </c>
      <c r="C1138" s="231" t="s">
        <v>10</v>
      </c>
      <c r="D1138" s="250" t="s">
        <v>2748</v>
      </c>
      <c r="E1138" s="281">
        <v>0</v>
      </c>
      <c r="F1138" s="249">
        <v>450</v>
      </c>
      <c r="G1138" s="164">
        <f t="shared" si="150"/>
        <v>2.9714285714285715</v>
      </c>
      <c r="H1138" s="165">
        <f t="shared" si="151"/>
        <v>5.9428571428571431</v>
      </c>
      <c r="I1138" s="165">
        <f t="shared" si="152"/>
        <v>4.4571428571428573</v>
      </c>
      <c r="J1138" s="166">
        <f t="shared" si="153"/>
        <v>7.4285714285714288</v>
      </c>
      <c r="K1138" s="166">
        <f t="shared" si="154"/>
        <v>7.4285714285714288</v>
      </c>
      <c r="L1138" s="165">
        <f t="shared" si="155"/>
        <v>1.1125</v>
      </c>
      <c r="M1138" s="168">
        <f t="shared" si="149"/>
        <v>0</v>
      </c>
      <c r="N1138" s="231" t="s">
        <v>453</v>
      </c>
    </row>
    <row r="1139" spans="1:14" ht="14">
      <c r="A1139" s="149">
        <v>1138</v>
      </c>
      <c r="B1139" s="235" t="s">
        <v>52</v>
      </c>
      <c r="C1139" s="231" t="s">
        <v>10</v>
      </c>
      <c r="D1139" s="250" t="s">
        <v>2749</v>
      </c>
      <c r="E1139" s="281">
        <v>0</v>
      </c>
      <c r="F1139" s="249">
        <v>300</v>
      </c>
      <c r="G1139" s="164">
        <f t="shared" si="150"/>
        <v>2.1142857142857143</v>
      </c>
      <c r="H1139" s="165">
        <f t="shared" si="151"/>
        <v>4.2285714285714286</v>
      </c>
      <c r="I1139" s="165">
        <f t="shared" si="152"/>
        <v>3.1714285714285713</v>
      </c>
      <c r="J1139" s="166">
        <f t="shared" si="153"/>
        <v>5.2857142857142856</v>
      </c>
      <c r="K1139" s="166">
        <f t="shared" si="154"/>
        <v>5.2857142857142856</v>
      </c>
      <c r="L1139" s="165">
        <f t="shared" si="155"/>
        <v>1.075</v>
      </c>
      <c r="M1139" s="168">
        <f t="shared" si="149"/>
        <v>0</v>
      </c>
      <c r="N1139" s="231" t="s">
        <v>453</v>
      </c>
    </row>
    <row r="1140" spans="1:14" ht="14">
      <c r="A1140" s="149">
        <v>1139</v>
      </c>
      <c r="B1140" s="235" t="s">
        <v>52</v>
      </c>
      <c r="C1140" s="231" t="s">
        <v>10</v>
      </c>
      <c r="D1140" s="250" t="s">
        <v>2750</v>
      </c>
      <c r="E1140" s="281">
        <v>0</v>
      </c>
      <c r="F1140" s="249">
        <v>300</v>
      </c>
      <c r="G1140" s="164">
        <f t="shared" si="150"/>
        <v>2.1142857142857143</v>
      </c>
      <c r="H1140" s="165">
        <f t="shared" si="151"/>
        <v>4.2285714285714286</v>
      </c>
      <c r="I1140" s="165">
        <f t="shared" si="152"/>
        <v>3.1714285714285713</v>
      </c>
      <c r="J1140" s="166">
        <f t="shared" si="153"/>
        <v>5.2857142857142856</v>
      </c>
      <c r="K1140" s="166">
        <f t="shared" si="154"/>
        <v>5.2857142857142856</v>
      </c>
      <c r="L1140" s="165">
        <f t="shared" si="155"/>
        <v>1.075</v>
      </c>
      <c r="M1140" s="168">
        <f t="shared" si="149"/>
        <v>0</v>
      </c>
      <c r="N1140" s="231" t="s">
        <v>453</v>
      </c>
    </row>
    <row r="1141" spans="1:14" ht="14">
      <c r="A1141" s="149">
        <v>1140</v>
      </c>
      <c r="B1141" s="235" t="s">
        <v>52</v>
      </c>
      <c r="C1141" s="231" t="s">
        <v>10</v>
      </c>
      <c r="D1141" s="250" t="s">
        <v>2751</v>
      </c>
      <c r="E1141" s="281">
        <v>0</v>
      </c>
      <c r="F1141" s="249">
        <v>300</v>
      </c>
      <c r="G1141" s="164">
        <f t="shared" si="150"/>
        <v>2.1142857142857143</v>
      </c>
      <c r="H1141" s="165">
        <f t="shared" si="151"/>
        <v>4.2285714285714286</v>
      </c>
      <c r="I1141" s="165">
        <f t="shared" si="152"/>
        <v>3.1714285714285713</v>
      </c>
      <c r="J1141" s="166">
        <f t="shared" si="153"/>
        <v>5.2857142857142856</v>
      </c>
      <c r="K1141" s="166">
        <f t="shared" si="154"/>
        <v>5.2857142857142856</v>
      </c>
      <c r="L1141" s="165">
        <f t="shared" si="155"/>
        <v>1.075</v>
      </c>
      <c r="M1141" s="168">
        <f t="shared" si="149"/>
        <v>0</v>
      </c>
      <c r="N1141" s="231" t="s">
        <v>453</v>
      </c>
    </row>
    <row r="1142" spans="1:14" ht="14">
      <c r="A1142" s="149">
        <v>1141</v>
      </c>
      <c r="B1142" s="242" t="s">
        <v>61</v>
      </c>
      <c r="C1142" s="242" t="s">
        <v>11</v>
      </c>
      <c r="D1142" s="250" t="s">
        <v>2752</v>
      </c>
      <c r="E1142" s="281">
        <v>0</v>
      </c>
      <c r="F1142" s="249">
        <v>400</v>
      </c>
      <c r="G1142" s="164">
        <f t="shared" si="150"/>
        <v>2.6857142857142859</v>
      </c>
      <c r="H1142" s="165">
        <f t="shared" si="151"/>
        <v>5.3714285714285719</v>
      </c>
      <c r="I1142" s="165">
        <f t="shared" si="152"/>
        <v>4.0285714285714285</v>
      </c>
      <c r="J1142" s="166">
        <f t="shared" si="153"/>
        <v>6.7142857142857144</v>
      </c>
      <c r="K1142" s="166">
        <f t="shared" si="154"/>
        <v>6.7142857142857144</v>
      </c>
      <c r="L1142" s="165">
        <f t="shared" si="155"/>
        <v>1.1000000000000001</v>
      </c>
      <c r="M1142" s="168">
        <f t="shared" si="149"/>
        <v>0</v>
      </c>
      <c r="N1142" s="231" t="s">
        <v>453</v>
      </c>
    </row>
    <row r="1143" spans="1:14" ht="14">
      <c r="A1143" s="149">
        <v>1142</v>
      </c>
      <c r="B1143" s="242" t="s">
        <v>61</v>
      </c>
      <c r="C1143" s="242" t="s">
        <v>11</v>
      </c>
      <c r="D1143" s="250" t="s">
        <v>2753</v>
      </c>
      <c r="E1143" s="281">
        <v>0</v>
      </c>
      <c r="F1143" s="249">
        <v>4800</v>
      </c>
      <c r="G1143" s="164">
        <f t="shared" si="150"/>
        <v>27.828571428571429</v>
      </c>
      <c r="H1143" s="165">
        <f t="shared" si="151"/>
        <v>55.657142857142858</v>
      </c>
      <c r="I1143" s="165">
        <f t="shared" si="152"/>
        <v>41.74285714285714</v>
      </c>
      <c r="J1143" s="166">
        <f t="shared" si="153"/>
        <v>69.571428571428569</v>
      </c>
      <c r="K1143" s="166">
        <f t="shared" si="154"/>
        <v>69.571428571428569</v>
      </c>
      <c r="L1143" s="165">
        <f t="shared" si="155"/>
        <v>2.2000000000000002</v>
      </c>
      <c r="M1143" s="168">
        <f t="shared" si="149"/>
        <v>0</v>
      </c>
      <c r="N1143" s="231" t="s">
        <v>453</v>
      </c>
    </row>
    <row r="1144" spans="1:14" ht="14">
      <c r="A1144" s="149">
        <v>1143</v>
      </c>
      <c r="B1144" s="242" t="s">
        <v>61</v>
      </c>
      <c r="C1144" s="242" t="s">
        <v>11</v>
      </c>
      <c r="D1144" s="250" t="s">
        <v>2754</v>
      </c>
      <c r="E1144" s="281">
        <v>0</v>
      </c>
      <c r="F1144" s="249">
        <v>5600</v>
      </c>
      <c r="G1144" s="164">
        <f t="shared" si="150"/>
        <v>32.4</v>
      </c>
      <c r="H1144" s="165">
        <f t="shared" si="151"/>
        <v>64.8</v>
      </c>
      <c r="I1144" s="165">
        <f t="shared" si="152"/>
        <v>48.6</v>
      </c>
      <c r="J1144" s="166">
        <f t="shared" si="153"/>
        <v>81</v>
      </c>
      <c r="K1144" s="166">
        <f t="shared" si="154"/>
        <v>81</v>
      </c>
      <c r="L1144" s="165">
        <f t="shared" si="155"/>
        <v>2.4</v>
      </c>
      <c r="M1144" s="168">
        <f t="shared" si="149"/>
        <v>0</v>
      </c>
      <c r="N1144" s="231" t="s">
        <v>453</v>
      </c>
    </row>
    <row r="1145" spans="1:14" ht="14">
      <c r="A1145" s="149">
        <v>1144</v>
      </c>
      <c r="B1145" s="242" t="s">
        <v>61</v>
      </c>
      <c r="C1145" s="242" t="s">
        <v>11</v>
      </c>
      <c r="D1145" s="250" t="s">
        <v>2755</v>
      </c>
      <c r="E1145" s="281">
        <v>0</v>
      </c>
      <c r="F1145" s="249">
        <v>4100</v>
      </c>
      <c r="G1145" s="164">
        <f t="shared" si="150"/>
        <v>23.828571428571429</v>
      </c>
      <c r="H1145" s="165">
        <f t="shared" si="151"/>
        <v>47.657142857142858</v>
      </c>
      <c r="I1145" s="165">
        <f t="shared" si="152"/>
        <v>35.74285714285714</v>
      </c>
      <c r="J1145" s="166">
        <f t="shared" si="153"/>
        <v>59.571428571428569</v>
      </c>
      <c r="K1145" s="166">
        <f t="shared" si="154"/>
        <v>59.571428571428569</v>
      </c>
      <c r="L1145" s="165">
        <f t="shared" si="155"/>
        <v>2.0249999999999999</v>
      </c>
      <c r="M1145" s="168">
        <f t="shared" si="149"/>
        <v>0</v>
      </c>
      <c r="N1145" s="231" t="s">
        <v>453</v>
      </c>
    </row>
    <row r="1146" spans="1:14" ht="14">
      <c r="A1146" s="149">
        <v>1145</v>
      </c>
      <c r="B1146" s="242" t="s">
        <v>61</v>
      </c>
      <c r="C1146" s="242" t="s">
        <v>11</v>
      </c>
      <c r="D1146" s="250" t="s">
        <v>2756</v>
      </c>
      <c r="E1146" s="281">
        <v>0</v>
      </c>
      <c r="F1146" s="249">
        <v>450</v>
      </c>
      <c r="G1146" s="164">
        <f t="shared" si="150"/>
        <v>2.9714285714285715</v>
      </c>
      <c r="H1146" s="165">
        <f t="shared" si="151"/>
        <v>5.9428571428571431</v>
      </c>
      <c r="I1146" s="165">
        <f t="shared" si="152"/>
        <v>4.4571428571428573</v>
      </c>
      <c r="J1146" s="166">
        <f t="shared" si="153"/>
        <v>7.4285714285714288</v>
      </c>
      <c r="K1146" s="166">
        <f t="shared" si="154"/>
        <v>7.4285714285714288</v>
      </c>
      <c r="L1146" s="165">
        <f t="shared" si="155"/>
        <v>1.1125</v>
      </c>
      <c r="M1146" s="168">
        <f t="shared" si="149"/>
        <v>0</v>
      </c>
      <c r="N1146" s="231" t="s">
        <v>453</v>
      </c>
    </row>
    <row r="1147" spans="1:14" ht="14">
      <c r="A1147" s="149">
        <v>1146</v>
      </c>
      <c r="B1147" s="242" t="s">
        <v>61</v>
      </c>
      <c r="C1147" s="242" t="s">
        <v>11</v>
      </c>
      <c r="D1147" s="250" t="s">
        <v>2757</v>
      </c>
      <c r="E1147" s="281">
        <v>0</v>
      </c>
      <c r="F1147" s="249">
        <v>900</v>
      </c>
      <c r="G1147" s="164">
        <f t="shared" si="150"/>
        <v>5.5428571428571436</v>
      </c>
      <c r="H1147" s="165">
        <f t="shared" si="151"/>
        <v>11.085714285714287</v>
      </c>
      <c r="I1147" s="165">
        <f t="shared" si="152"/>
        <v>8.3142857142857149</v>
      </c>
      <c r="J1147" s="166">
        <f t="shared" si="153"/>
        <v>13.857142857142858</v>
      </c>
      <c r="K1147" s="166">
        <f t="shared" si="154"/>
        <v>13.857142857142858</v>
      </c>
      <c r="L1147" s="165">
        <f t="shared" si="155"/>
        <v>1.2250000000000001</v>
      </c>
      <c r="M1147" s="168">
        <f t="shared" si="149"/>
        <v>0</v>
      </c>
      <c r="N1147" s="231" t="s">
        <v>453</v>
      </c>
    </row>
    <row r="1148" spans="1:14" ht="14">
      <c r="A1148" s="149">
        <v>1147</v>
      </c>
      <c r="B1148" s="242" t="s">
        <v>61</v>
      </c>
      <c r="C1148" s="242" t="s">
        <v>11</v>
      </c>
      <c r="D1148" s="250" t="s">
        <v>2758</v>
      </c>
      <c r="E1148" s="281">
        <v>0</v>
      </c>
      <c r="F1148" s="249">
        <v>7500</v>
      </c>
      <c r="G1148" s="164">
        <f t="shared" si="150"/>
        <v>43.25714285714286</v>
      </c>
      <c r="H1148" s="165">
        <f t="shared" si="151"/>
        <v>86.51428571428572</v>
      </c>
      <c r="I1148" s="165">
        <f t="shared" si="152"/>
        <v>64.885714285714286</v>
      </c>
      <c r="J1148" s="166">
        <f t="shared" si="153"/>
        <v>108.14285714285714</v>
      </c>
      <c r="K1148" s="166">
        <f t="shared" si="154"/>
        <v>108.14285714285714</v>
      </c>
      <c r="L1148" s="165">
        <f t="shared" si="155"/>
        <v>2.875</v>
      </c>
      <c r="M1148" s="168">
        <f t="shared" si="149"/>
        <v>0</v>
      </c>
      <c r="N1148" s="231" t="s">
        <v>453</v>
      </c>
    </row>
    <row r="1149" spans="1:14" ht="14">
      <c r="A1149" s="149">
        <v>1148</v>
      </c>
      <c r="B1149" s="242" t="s">
        <v>61</v>
      </c>
      <c r="C1149" s="242" t="s">
        <v>11</v>
      </c>
      <c r="D1149" s="250" t="s">
        <v>2759</v>
      </c>
      <c r="E1149" s="281">
        <v>0</v>
      </c>
      <c r="F1149" s="249">
        <v>13000</v>
      </c>
      <c r="G1149" s="164">
        <f t="shared" si="150"/>
        <v>74.685714285714297</v>
      </c>
      <c r="H1149" s="165">
        <f t="shared" si="151"/>
        <v>149.37142857142859</v>
      </c>
      <c r="I1149" s="165">
        <f t="shared" si="152"/>
        <v>112.02857142857142</v>
      </c>
      <c r="J1149" s="166">
        <f t="shared" si="153"/>
        <v>186.71428571428572</v>
      </c>
      <c r="K1149" s="166">
        <f t="shared" si="154"/>
        <v>186.71428571428572</v>
      </c>
      <c r="L1149" s="165">
        <f t="shared" si="155"/>
        <v>4.25</v>
      </c>
      <c r="M1149" s="168">
        <f t="shared" si="149"/>
        <v>0</v>
      </c>
      <c r="N1149" s="231" t="s">
        <v>453</v>
      </c>
    </row>
    <row r="1150" spans="1:14" ht="14">
      <c r="A1150" s="149">
        <v>1149</v>
      </c>
      <c r="B1150" s="235" t="s">
        <v>52</v>
      </c>
      <c r="C1150" s="239" t="s">
        <v>10</v>
      </c>
      <c r="D1150" s="250" t="s">
        <v>2760</v>
      </c>
      <c r="E1150" s="281">
        <v>0</v>
      </c>
      <c r="F1150" s="249">
        <v>4500</v>
      </c>
      <c r="G1150" s="164">
        <f t="shared" si="150"/>
        <v>26.114285714285717</v>
      </c>
      <c r="H1150" s="165">
        <f t="shared" si="151"/>
        <v>52.228571428571435</v>
      </c>
      <c r="I1150" s="165">
        <f t="shared" si="152"/>
        <v>39.171428571428571</v>
      </c>
      <c r="J1150" s="166">
        <f t="shared" si="153"/>
        <v>65.285714285714292</v>
      </c>
      <c r="K1150" s="166">
        <f t="shared" si="154"/>
        <v>65.285714285714292</v>
      </c>
      <c r="L1150" s="165">
        <f t="shared" si="155"/>
        <v>2.125</v>
      </c>
      <c r="M1150" s="168">
        <f t="shared" si="149"/>
        <v>0</v>
      </c>
      <c r="N1150" s="231" t="s">
        <v>453</v>
      </c>
    </row>
    <row r="1151" spans="1:14" ht="14">
      <c r="A1151" s="149">
        <v>1150</v>
      </c>
      <c r="B1151" s="235" t="s">
        <v>52</v>
      </c>
      <c r="C1151" s="239" t="s">
        <v>10</v>
      </c>
      <c r="D1151" s="250" t="s">
        <v>2762</v>
      </c>
      <c r="E1151" s="281">
        <v>0</v>
      </c>
      <c r="F1151" s="249">
        <v>300</v>
      </c>
      <c r="G1151" s="164">
        <f t="shared" si="150"/>
        <v>2.1142857142857143</v>
      </c>
      <c r="H1151" s="165">
        <f t="shared" si="151"/>
        <v>4.2285714285714286</v>
      </c>
      <c r="I1151" s="165">
        <f t="shared" si="152"/>
        <v>3.1714285714285713</v>
      </c>
      <c r="J1151" s="166">
        <f t="shared" si="153"/>
        <v>5.2857142857142856</v>
      </c>
      <c r="K1151" s="166">
        <f t="shared" si="154"/>
        <v>5.2857142857142856</v>
      </c>
      <c r="L1151" s="165">
        <f t="shared" si="155"/>
        <v>1.075</v>
      </c>
      <c r="M1151" s="168">
        <f t="shared" si="149"/>
        <v>0</v>
      </c>
      <c r="N1151" s="231" t="s">
        <v>453</v>
      </c>
    </row>
    <row r="1152" spans="1:14" ht="14">
      <c r="A1152" s="149">
        <v>1151</v>
      </c>
      <c r="B1152" s="235" t="s">
        <v>52</v>
      </c>
      <c r="C1152" s="239" t="s">
        <v>10</v>
      </c>
      <c r="D1152" s="250" t="s">
        <v>2764</v>
      </c>
      <c r="E1152" s="281">
        <v>0</v>
      </c>
      <c r="F1152" s="249">
        <v>1200</v>
      </c>
      <c r="G1152" s="164">
        <f t="shared" si="150"/>
        <v>7.2571428571428571</v>
      </c>
      <c r="H1152" s="165">
        <f t="shared" si="151"/>
        <v>14.514285714285714</v>
      </c>
      <c r="I1152" s="165">
        <f t="shared" si="152"/>
        <v>10.885714285714284</v>
      </c>
      <c r="J1152" s="166">
        <f t="shared" si="153"/>
        <v>18.142857142857142</v>
      </c>
      <c r="K1152" s="166">
        <f t="shared" si="154"/>
        <v>18.142857142857142</v>
      </c>
      <c r="L1152" s="165">
        <f t="shared" si="155"/>
        <v>1.3</v>
      </c>
      <c r="M1152" s="168">
        <f t="shared" si="149"/>
        <v>0</v>
      </c>
      <c r="N1152" s="231" t="s">
        <v>453</v>
      </c>
    </row>
    <row r="1153" spans="1:14" ht="14">
      <c r="A1153" s="149">
        <v>1152</v>
      </c>
      <c r="B1153" s="235" t="s">
        <v>52</v>
      </c>
      <c r="C1153" s="239" t="s">
        <v>10</v>
      </c>
      <c r="D1153" s="250" t="s">
        <v>2766</v>
      </c>
      <c r="E1153" s="281">
        <v>0</v>
      </c>
      <c r="F1153" s="249">
        <v>350</v>
      </c>
      <c r="G1153" s="164">
        <f t="shared" si="150"/>
        <v>2.4000000000000004</v>
      </c>
      <c r="H1153" s="165">
        <f t="shared" si="151"/>
        <v>4.8000000000000007</v>
      </c>
      <c r="I1153" s="165">
        <f t="shared" si="152"/>
        <v>3.5999999999999996</v>
      </c>
      <c r="J1153" s="166">
        <f t="shared" si="153"/>
        <v>6</v>
      </c>
      <c r="K1153" s="166">
        <f t="shared" si="154"/>
        <v>6</v>
      </c>
      <c r="L1153" s="165">
        <f t="shared" si="155"/>
        <v>1.0874999999999999</v>
      </c>
      <c r="M1153" s="168">
        <f t="shared" si="149"/>
        <v>0</v>
      </c>
      <c r="N1153" s="231" t="s">
        <v>453</v>
      </c>
    </row>
    <row r="1154" spans="1:14" ht="14">
      <c r="A1154" s="149">
        <v>1153</v>
      </c>
      <c r="B1154" s="258" t="s">
        <v>59</v>
      </c>
      <c r="C1154" s="239" t="s">
        <v>11</v>
      </c>
      <c r="D1154" s="250" t="s">
        <v>2768</v>
      </c>
      <c r="E1154" s="281">
        <v>0</v>
      </c>
      <c r="F1154" s="249">
        <v>500</v>
      </c>
      <c r="G1154" s="164">
        <f t="shared" si="150"/>
        <v>3.2571428571428571</v>
      </c>
      <c r="H1154" s="165">
        <f t="shared" si="151"/>
        <v>6.5142857142857142</v>
      </c>
      <c r="I1154" s="165">
        <f t="shared" si="152"/>
        <v>4.8857142857142852</v>
      </c>
      <c r="J1154" s="166">
        <f t="shared" si="153"/>
        <v>8.1428571428571423</v>
      </c>
      <c r="K1154" s="166">
        <f t="shared" si="154"/>
        <v>8.1428571428571423</v>
      </c>
      <c r="L1154" s="165">
        <f t="shared" si="155"/>
        <v>1.125</v>
      </c>
      <c r="M1154" s="168">
        <f t="shared" ref="M1154:M1217" si="156">E1154/60</f>
        <v>0</v>
      </c>
      <c r="N1154" s="231" t="s">
        <v>453</v>
      </c>
    </row>
    <row r="1155" spans="1:14" ht="14">
      <c r="A1155" s="149">
        <v>1154</v>
      </c>
      <c r="B1155" s="235" t="s">
        <v>52</v>
      </c>
      <c r="C1155" s="239" t="s">
        <v>10</v>
      </c>
      <c r="D1155" s="250" t="s">
        <v>2769</v>
      </c>
      <c r="E1155" s="281">
        <v>350</v>
      </c>
      <c r="F1155" s="249">
        <v>0</v>
      </c>
      <c r="G1155" s="164">
        <f t="shared" si="150"/>
        <v>0.4</v>
      </c>
      <c r="H1155" s="165">
        <f t="shared" si="151"/>
        <v>0.8</v>
      </c>
      <c r="I1155" s="165">
        <f t="shared" si="152"/>
        <v>0.6</v>
      </c>
      <c r="J1155" s="166">
        <f t="shared" si="153"/>
        <v>1</v>
      </c>
      <c r="K1155" s="166">
        <f t="shared" si="154"/>
        <v>1</v>
      </c>
      <c r="L1155" s="165">
        <f t="shared" si="155"/>
        <v>1</v>
      </c>
      <c r="M1155" s="168">
        <f t="shared" si="156"/>
        <v>5.833333333333333</v>
      </c>
      <c r="N1155" s="231" t="s">
        <v>453</v>
      </c>
    </row>
    <row r="1156" spans="1:14" ht="14">
      <c r="A1156" s="149">
        <v>1155</v>
      </c>
      <c r="B1156" s="235" t="s">
        <v>52</v>
      </c>
      <c r="C1156" s="239" t="s">
        <v>10</v>
      </c>
      <c r="D1156" s="250" t="s">
        <v>2772</v>
      </c>
      <c r="E1156" s="281">
        <v>0</v>
      </c>
      <c r="F1156" s="249">
        <v>1250</v>
      </c>
      <c r="G1156" s="164">
        <f t="shared" si="150"/>
        <v>7.5428571428571436</v>
      </c>
      <c r="H1156" s="165">
        <f t="shared" si="151"/>
        <v>15.085714285714287</v>
      </c>
      <c r="I1156" s="165">
        <f t="shared" si="152"/>
        <v>11.314285714285715</v>
      </c>
      <c r="J1156" s="166">
        <f t="shared" si="153"/>
        <v>18.857142857142858</v>
      </c>
      <c r="K1156" s="166">
        <f t="shared" si="154"/>
        <v>18.857142857142858</v>
      </c>
      <c r="L1156" s="165">
        <f t="shared" si="155"/>
        <v>1.3125</v>
      </c>
      <c r="M1156" s="168">
        <f t="shared" si="156"/>
        <v>0</v>
      </c>
      <c r="N1156" s="231" t="s">
        <v>453</v>
      </c>
    </row>
    <row r="1157" spans="1:14" ht="14">
      <c r="A1157" s="149">
        <v>1156</v>
      </c>
      <c r="B1157" s="235" t="s">
        <v>52</v>
      </c>
      <c r="C1157" s="239" t="s">
        <v>10</v>
      </c>
      <c r="D1157" s="250" t="s">
        <v>2774</v>
      </c>
      <c r="E1157" s="281">
        <v>0</v>
      </c>
      <c r="F1157" s="249">
        <v>650</v>
      </c>
      <c r="G1157" s="164">
        <f t="shared" si="150"/>
        <v>4.1142857142857148</v>
      </c>
      <c r="H1157" s="165">
        <f t="shared" si="151"/>
        <v>8.2285714285714295</v>
      </c>
      <c r="I1157" s="165">
        <f t="shared" si="152"/>
        <v>6.1714285714285717</v>
      </c>
      <c r="J1157" s="166">
        <f t="shared" si="153"/>
        <v>10.285714285714286</v>
      </c>
      <c r="K1157" s="166">
        <f t="shared" si="154"/>
        <v>10.285714285714286</v>
      </c>
      <c r="L1157" s="165">
        <f t="shared" si="155"/>
        <v>1.1625000000000001</v>
      </c>
      <c r="M1157" s="168">
        <f t="shared" si="156"/>
        <v>0</v>
      </c>
      <c r="N1157" s="231" t="s">
        <v>453</v>
      </c>
    </row>
    <row r="1158" spans="1:14" ht="14">
      <c r="A1158" s="149">
        <v>1157</v>
      </c>
      <c r="B1158" s="235" t="s">
        <v>52</v>
      </c>
      <c r="C1158" s="239" t="s">
        <v>10</v>
      </c>
      <c r="D1158" s="250" t="s">
        <v>2775</v>
      </c>
      <c r="E1158" s="281">
        <v>0</v>
      </c>
      <c r="F1158" s="249">
        <v>900</v>
      </c>
      <c r="G1158" s="165">
        <f t="shared" si="150"/>
        <v>5.5428571428571436</v>
      </c>
      <c r="H1158" s="165">
        <f t="shared" si="151"/>
        <v>11.085714285714287</v>
      </c>
      <c r="I1158" s="165">
        <f t="shared" si="152"/>
        <v>8.3142857142857149</v>
      </c>
      <c r="J1158" s="166">
        <f t="shared" si="153"/>
        <v>13.857142857142858</v>
      </c>
      <c r="K1158" s="165">
        <f t="shared" si="154"/>
        <v>13.857142857142858</v>
      </c>
      <c r="L1158" s="165">
        <f t="shared" si="155"/>
        <v>1.2250000000000001</v>
      </c>
      <c r="M1158" s="168">
        <f t="shared" si="156"/>
        <v>0</v>
      </c>
      <c r="N1158" s="231" t="s">
        <v>453</v>
      </c>
    </row>
    <row r="1159" spans="1:14" ht="14">
      <c r="A1159" s="149">
        <v>1158</v>
      </c>
      <c r="B1159" s="235" t="s">
        <v>52</v>
      </c>
      <c r="C1159" s="239" t="s">
        <v>10</v>
      </c>
      <c r="D1159" s="250" t="s">
        <v>2777</v>
      </c>
      <c r="E1159" s="281">
        <v>0</v>
      </c>
      <c r="F1159" s="249">
        <v>300</v>
      </c>
      <c r="G1159" s="165">
        <f t="shared" ref="G1159:G1165" si="157">(((F1159/70)+1)*0.4)</f>
        <v>2.1142857142857143</v>
      </c>
      <c r="H1159" s="165">
        <f t="shared" ref="H1159:H1165" si="158">G1159*2</f>
        <v>4.2285714285714286</v>
      </c>
      <c r="I1159" s="165">
        <f t="shared" ref="I1159:I1165" si="159">(((F1159/70)+1)*0.6)</f>
        <v>3.1714285714285713</v>
      </c>
      <c r="J1159" s="166">
        <f t="shared" ref="J1159:J1165" si="160">I1159+G1159</f>
        <v>5.2857142857142856</v>
      </c>
      <c r="K1159" s="165">
        <f t="shared" ref="K1159:K1165" si="161">J1159</f>
        <v>5.2857142857142856</v>
      </c>
      <c r="L1159" s="165">
        <f t="shared" ref="L1159:L1165" si="162">(F1159/4000)+1</f>
        <v>1.075</v>
      </c>
      <c r="M1159" s="168">
        <f t="shared" si="156"/>
        <v>0</v>
      </c>
      <c r="N1159" s="231" t="s">
        <v>453</v>
      </c>
    </row>
    <row r="1160" spans="1:14" ht="14">
      <c r="A1160" s="149">
        <v>1159</v>
      </c>
      <c r="B1160" s="235" t="s">
        <v>52</v>
      </c>
      <c r="C1160" s="239" t="s">
        <v>10</v>
      </c>
      <c r="D1160" s="250" t="s">
        <v>2778</v>
      </c>
      <c r="E1160" s="281">
        <v>0</v>
      </c>
      <c r="F1160" s="249">
        <v>650</v>
      </c>
      <c r="G1160" s="165">
        <f t="shared" si="157"/>
        <v>4.1142857142857148</v>
      </c>
      <c r="H1160" s="165">
        <f t="shared" si="158"/>
        <v>8.2285714285714295</v>
      </c>
      <c r="I1160" s="165">
        <f t="shared" si="159"/>
        <v>6.1714285714285717</v>
      </c>
      <c r="J1160" s="166">
        <f t="shared" si="160"/>
        <v>10.285714285714286</v>
      </c>
      <c r="K1160" s="165">
        <f t="shared" si="161"/>
        <v>10.285714285714286</v>
      </c>
      <c r="L1160" s="165">
        <f t="shared" si="162"/>
        <v>1.1625000000000001</v>
      </c>
      <c r="M1160" s="168">
        <f t="shared" si="156"/>
        <v>0</v>
      </c>
      <c r="N1160" s="231" t="s">
        <v>453</v>
      </c>
    </row>
    <row r="1161" spans="1:14" ht="14">
      <c r="A1161" s="149">
        <v>1160</v>
      </c>
      <c r="B1161" s="235" t="s">
        <v>52</v>
      </c>
      <c r="C1161" s="239" t="s">
        <v>10</v>
      </c>
      <c r="D1161" s="250" t="s">
        <v>2780</v>
      </c>
      <c r="E1161" s="281">
        <v>0</v>
      </c>
      <c r="F1161" s="249">
        <v>1300</v>
      </c>
      <c r="G1161" s="165">
        <f t="shared" si="157"/>
        <v>7.8285714285714292</v>
      </c>
      <c r="H1161" s="165">
        <f t="shared" si="158"/>
        <v>15.657142857142858</v>
      </c>
      <c r="I1161" s="165">
        <f t="shared" si="159"/>
        <v>11.742857142857144</v>
      </c>
      <c r="J1161" s="166">
        <f t="shared" si="160"/>
        <v>19.571428571428573</v>
      </c>
      <c r="K1161" s="165">
        <f t="shared" si="161"/>
        <v>19.571428571428573</v>
      </c>
      <c r="L1161" s="165">
        <f t="shared" si="162"/>
        <v>1.325</v>
      </c>
      <c r="M1161" s="168">
        <f t="shared" si="156"/>
        <v>0</v>
      </c>
      <c r="N1161" s="231" t="s">
        <v>453</v>
      </c>
    </row>
    <row r="1162" spans="1:14" ht="14">
      <c r="A1162" s="149">
        <v>1161</v>
      </c>
      <c r="B1162" s="235" t="s">
        <v>52</v>
      </c>
      <c r="C1162" s="239" t="s">
        <v>10</v>
      </c>
      <c r="D1162" s="250" t="s">
        <v>2782</v>
      </c>
      <c r="E1162" s="281">
        <v>0</v>
      </c>
      <c r="F1162" s="249">
        <v>350</v>
      </c>
      <c r="G1162" s="165">
        <f t="shared" si="157"/>
        <v>2.4000000000000004</v>
      </c>
      <c r="H1162" s="165">
        <f t="shared" si="158"/>
        <v>4.8000000000000007</v>
      </c>
      <c r="I1162" s="165">
        <f t="shared" si="159"/>
        <v>3.5999999999999996</v>
      </c>
      <c r="J1162" s="166">
        <f t="shared" si="160"/>
        <v>6</v>
      </c>
      <c r="K1162" s="165">
        <f t="shared" si="161"/>
        <v>6</v>
      </c>
      <c r="L1162" s="165">
        <f t="shared" si="162"/>
        <v>1.0874999999999999</v>
      </c>
      <c r="M1162" s="168">
        <f t="shared" si="156"/>
        <v>0</v>
      </c>
      <c r="N1162" s="231" t="s">
        <v>453</v>
      </c>
    </row>
    <row r="1163" spans="1:14" ht="14">
      <c r="A1163" s="149">
        <v>1162</v>
      </c>
      <c r="B1163" s="235" t="s">
        <v>52</v>
      </c>
      <c r="C1163" s="239" t="s">
        <v>10</v>
      </c>
      <c r="D1163" s="250" t="s">
        <v>2784</v>
      </c>
      <c r="E1163" s="281">
        <v>0</v>
      </c>
      <c r="F1163" s="249">
        <v>800</v>
      </c>
      <c r="G1163" s="165">
        <f t="shared" si="157"/>
        <v>4.9714285714285715</v>
      </c>
      <c r="H1163" s="165">
        <f t="shared" si="158"/>
        <v>9.9428571428571431</v>
      </c>
      <c r="I1163" s="165">
        <f t="shared" si="159"/>
        <v>7.4571428571428573</v>
      </c>
      <c r="J1163" s="166">
        <f t="shared" si="160"/>
        <v>12.428571428571429</v>
      </c>
      <c r="K1163" s="165">
        <f t="shared" si="161"/>
        <v>12.428571428571429</v>
      </c>
      <c r="L1163" s="165">
        <f t="shared" si="162"/>
        <v>1.2</v>
      </c>
      <c r="M1163" s="168">
        <f t="shared" si="156"/>
        <v>0</v>
      </c>
      <c r="N1163" s="231" t="s">
        <v>453</v>
      </c>
    </row>
    <row r="1164" spans="1:14" ht="14">
      <c r="A1164" s="149">
        <v>1163</v>
      </c>
      <c r="B1164" s="235" t="s">
        <v>52</v>
      </c>
      <c r="C1164" s="239" t="s">
        <v>10</v>
      </c>
      <c r="D1164" s="250" t="s">
        <v>2786</v>
      </c>
      <c r="E1164" s="281">
        <v>0</v>
      </c>
      <c r="F1164" s="249">
        <v>600</v>
      </c>
      <c r="G1164" s="165">
        <f t="shared" si="157"/>
        <v>3.8285714285714287</v>
      </c>
      <c r="H1164" s="165">
        <f t="shared" si="158"/>
        <v>7.6571428571428575</v>
      </c>
      <c r="I1164" s="165">
        <f t="shared" si="159"/>
        <v>5.7428571428571429</v>
      </c>
      <c r="J1164" s="166">
        <f t="shared" si="160"/>
        <v>9.5714285714285712</v>
      </c>
      <c r="K1164" s="165">
        <f t="shared" si="161"/>
        <v>9.5714285714285712</v>
      </c>
      <c r="L1164" s="165">
        <f t="shared" si="162"/>
        <v>1.1499999999999999</v>
      </c>
      <c r="M1164" s="168">
        <f t="shared" si="156"/>
        <v>0</v>
      </c>
      <c r="N1164" s="231" t="s">
        <v>453</v>
      </c>
    </row>
    <row r="1165" spans="1:14" ht="14">
      <c r="A1165" s="149">
        <v>1164</v>
      </c>
      <c r="B1165" s="235" t="s">
        <v>52</v>
      </c>
      <c r="C1165" s="239" t="s">
        <v>10</v>
      </c>
      <c r="D1165" s="250" t="s">
        <v>2787</v>
      </c>
      <c r="E1165" s="281">
        <v>0</v>
      </c>
      <c r="F1165" s="249">
        <v>1000</v>
      </c>
      <c r="G1165" s="165">
        <f t="shared" si="157"/>
        <v>6.1142857142857148</v>
      </c>
      <c r="H1165" s="165">
        <f t="shared" si="158"/>
        <v>12.22857142857143</v>
      </c>
      <c r="I1165" s="165">
        <f t="shared" si="159"/>
        <v>9.1714285714285708</v>
      </c>
      <c r="J1165" s="166">
        <f t="shared" si="160"/>
        <v>15.285714285714285</v>
      </c>
      <c r="K1165" s="165">
        <f t="shared" si="161"/>
        <v>15.285714285714285</v>
      </c>
      <c r="L1165" s="165">
        <f t="shared" si="162"/>
        <v>1.25</v>
      </c>
      <c r="M1165" s="168">
        <f t="shared" si="156"/>
        <v>0</v>
      </c>
      <c r="N1165" s="231" t="s">
        <v>453</v>
      </c>
    </row>
    <row r="1166" spans="1:14" ht="14">
      <c r="A1166" s="149">
        <v>1165</v>
      </c>
      <c r="B1166" s="235" t="s">
        <v>52</v>
      </c>
      <c r="C1166" s="239" t="s">
        <v>10</v>
      </c>
      <c r="D1166" s="250" t="s">
        <v>2788</v>
      </c>
      <c r="E1166" s="281">
        <v>0</v>
      </c>
      <c r="F1166" s="249">
        <v>650</v>
      </c>
      <c r="G1166" s="165">
        <f t="shared" ref="G1166:G1229" si="163">(((F1166/70)+1)*0.4)</f>
        <v>4.1142857142857148</v>
      </c>
      <c r="H1166" s="165">
        <f t="shared" ref="H1166:H1229" si="164">G1166*2</f>
        <v>8.2285714285714295</v>
      </c>
      <c r="I1166" s="165">
        <f t="shared" ref="I1166:I1229" si="165">(((F1166/70)+1)*0.6)</f>
        <v>6.1714285714285717</v>
      </c>
      <c r="J1166" s="166">
        <f t="shared" ref="J1166:J1229" si="166">I1166+G1166</f>
        <v>10.285714285714286</v>
      </c>
      <c r="K1166" s="165">
        <f t="shared" ref="K1166:K1229" si="167">J1166</f>
        <v>10.285714285714286</v>
      </c>
      <c r="L1166" s="165">
        <f t="shared" ref="L1166:L1229" si="168">(F1166/4000)+1</f>
        <v>1.1625000000000001</v>
      </c>
      <c r="M1166" s="168">
        <f t="shared" si="156"/>
        <v>0</v>
      </c>
      <c r="N1166" s="231" t="s">
        <v>453</v>
      </c>
    </row>
    <row r="1167" spans="1:14" ht="14">
      <c r="A1167" s="149">
        <v>1166</v>
      </c>
      <c r="B1167" s="235" t="s">
        <v>52</v>
      </c>
      <c r="C1167" s="239" t="s">
        <v>10</v>
      </c>
      <c r="D1167" s="250" t="s">
        <v>2790</v>
      </c>
      <c r="E1167" s="281">
        <v>0</v>
      </c>
      <c r="F1167" s="249">
        <v>500</v>
      </c>
      <c r="G1167" s="165">
        <f t="shared" si="163"/>
        <v>3.2571428571428571</v>
      </c>
      <c r="H1167" s="165">
        <f t="shared" si="164"/>
        <v>6.5142857142857142</v>
      </c>
      <c r="I1167" s="165">
        <f t="shared" si="165"/>
        <v>4.8857142857142852</v>
      </c>
      <c r="J1167" s="166">
        <f t="shared" si="166"/>
        <v>8.1428571428571423</v>
      </c>
      <c r="K1167" s="165">
        <f t="shared" si="167"/>
        <v>8.1428571428571423</v>
      </c>
      <c r="L1167" s="165">
        <f t="shared" si="168"/>
        <v>1.125</v>
      </c>
      <c r="M1167" s="168">
        <f t="shared" si="156"/>
        <v>0</v>
      </c>
      <c r="N1167" s="231" t="s">
        <v>453</v>
      </c>
    </row>
    <row r="1168" spans="1:14" ht="14">
      <c r="A1168" s="149">
        <v>1167</v>
      </c>
      <c r="B1168" s="235" t="s">
        <v>52</v>
      </c>
      <c r="C1168" s="239" t="s">
        <v>10</v>
      </c>
      <c r="D1168" s="250" t="s">
        <v>2791</v>
      </c>
      <c r="E1168" s="281">
        <v>0</v>
      </c>
      <c r="F1168" s="249">
        <v>650</v>
      </c>
      <c r="G1168" s="165">
        <f t="shared" si="163"/>
        <v>4.1142857142857148</v>
      </c>
      <c r="H1168" s="165">
        <f t="shared" si="164"/>
        <v>8.2285714285714295</v>
      </c>
      <c r="I1168" s="165">
        <f t="shared" si="165"/>
        <v>6.1714285714285717</v>
      </c>
      <c r="J1168" s="166">
        <f t="shared" si="166"/>
        <v>10.285714285714286</v>
      </c>
      <c r="K1168" s="165">
        <f t="shared" si="167"/>
        <v>10.285714285714286</v>
      </c>
      <c r="L1168" s="165">
        <f t="shared" si="168"/>
        <v>1.1625000000000001</v>
      </c>
      <c r="M1168" s="168">
        <f t="shared" si="156"/>
        <v>0</v>
      </c>
      <c r="N1168" s="231" t="s">
        <v>453</v>
      </c>
    </row>
    <row r="1169" spans="1:14" ht="14">
      <c r="A1169" s="149">
        <v>1168</v>
      </c>
      <c r="B1169" s="235" t="s">
        <v>52</v>
      </c>
      <c r="C1169" s="239" t="s">
        <v>10</v>
      </c>
      <c r="D1169" s="250" t="s">
        <v>2792</v>
      </c>
      <c r="E1169" s="281">
        <v>0</v>
      </c>
      <c r="F1169" s="249">
        <v>400</v>
      </c>
      <c r="G1169" s="165">
        <f t="shared" si="163"/>
        <v>2.6857142857142859</v>
      </c>
      <c r="H1169" s="165">
        <f t="shared" si="164"/>
        <v>5.3714285714285719</v>
      </c>
      <c r="I1169" s="165">
        <f t="shared" si="165"/>
        <v>4.0285714285714285</v>
      </c>
      <c r="J1169" s="166">
        <f t="shared" si="166"/>
        <v>6.7142857142857144</v>
      </c>
      <c r="K1169" s="165">
        <f t="shared" si="167"/>
        <v>6.7142857142857144</v>
      </c>
      <c r="L1169" s="165">
        <f t="shared" si="168"/>
        <v>1.1000000000000001</v>
      </c>
      <c r="M1169" s="168">
        <f t="shared" si="156"/>
        <v>0</v>
      </c>
      <c r="N1169" s="231" t="s">
        <v>453</v>
      </c>
    </row>
    <row r="1170" spans="1:14" ht="14">
      <c r="A1170" s="149">
        <v>1169</v>
      </c>
      <c r="B1170" s="235" t="s">
        <v>51</v>
      </c>
      <c r="C1170" s="239" t="s">
        <v>10</v>
      </c>
      <c r="D1170" s="250" t="s">
        <v>2793</v>
      </c>
      <c r="E1170" s="281">
        <v>0</v>
      </c>
      <c r="F1170" s="249">
        <v>1000</v>
      </c>
      <c r="G1170" s="165">
        <f t="shared" si="163"/>
        <v>6.1142857142857148</v>
      </c>
      <c r="H1170" s="165">
        <f t="shared" si="164"/>
        <v>12.22857142857143</v>
      </c>
      <c r="I1170" s="165">
        <f t="shared" si="165"/>
        <v>9.1714285714285708</v>
      </c>
      <c r="J1170" s="166">
        <f t="shared" si="166"/>
        <v>15.285714285714285</v>
      </c>
      <c r="K1170" s="165">
        <f t="shared" si="167"/>
        <v>15.285714285714285</v>
      </c>
      <c r="L1170" s="165">
        <f t="shared" si="168"/>
        <v>1.25</v>
      </c>
      <c r="M1170" s="168">
        <f t="shared" si="156"/>
        <v>0</v>
      </c>
      <c r="N1170" s="231" t="s">
        <v>453</v>
      </c>
    </row>
    <row r="1171" spans="1:14" ht="14">
      <c r="A1171" s="149">
        <v>1170</v>
      </c>
      <c r="B1171" s="235" t="s">
        <v>52</v>
      </c>
      <c r="C1171" s="239" t="s">
        <v>10</v>
      </c>
      <c r="D1171" s="250" t="s">
        <v>2795</v>
      </c>
      <c r="E1171" s="281">
        <v>350</v>
      </c>
      <c r="F1171" s="249">
        <v>0</v>
      </c>
      <c r="G1171" s="165">
        <f t="shared" si="163"/>
        <v>0.4</v>
      </c>
      <c r="H1171" s="165">
        <f t="shared" si="164"/>
        <v>0.8</v>
      </c>
      <c r="I1171" s="165">
        <f t="shared" si="165"/>
        <v>0.6</v>
      </c>
      <c r="J1171" s="166">
        <f t="shared" si="166"/>
        <v>1</v>
      </c>
      <c r="K1171" s="165">
        <f t="shared" si="167"/>
        <v>1</v>
      </c>
      <c r="L1171" s="165">
        <f t="shared" si="168"/>
        <v>1</v>
      </c>
      <c r="M1171" s="168">
        <f t="shared" si="156"/>
        <v>5.833333333333333</v>
      </c>
      <c r="N1171" s="231" t="s">
        <v>453</v>
      </c>
    </row>
    <row r="1172" spans="1:14" ht="14">
      <c r="A1172" s="149">
        <v>1171</v>
      </c>
      <c r="B1172" s="235" t="s">
        <v>50</v>
      </c>
      <c r="C1172" s="239" t="s">
        <v>10</v>
      </c>
      <c r="D1172" s="250" t="s">
        <v>2796</v>
      </c>
      <c r="E1172" s="281">
        <v>0</v>
      </c>
      <c r="F1172" s="249">
        <v>1200</v>
      </c>
      <c r="G1172" s="165">
        <f t="shared" si="163"/>
        <v>7.2571428571428571</v>
      </c>
      <c r="H1172" s="165">
        <f t="shared" si="164"/>
        <v>14.514285714285714</v>
      </c>
      <c r="I1172" s="165">
        <f t="shared" si="165"/>
        <v>10.885714285714284</v>
      </c>
      <c r="J1172" s="166">
        <f t="shared" si="166"/>
        <v>18.142857142857142</v>
      </c>
      <c r="K1172" s="165">
        <f t="shared" si="167"/>
        <v>18.142857142857142</v>
      </c>
      <c r="L1172" s="165">
        <f t="shared" si="168"/>
        <v>1.3</v>
      </c>
      <c r="M1172" s="168">
        <f t="shared" si="156"/>
        <v>0</v>
      </c>
      <c r="N1172" s="231" t="s">
        <v>453</v>
      </c>
    </row>
    <row r="1173" spans="1:14" ht="14">
      <c r="A1173" s="149">
        <v>1172</v>
      </c>
      <c r="B1173" s="235" t="s">
        <v>49</v>
      </c>
      <c r="C1173" s="239" t="s">
        <v>10</v>
      </c>
      <c r="D1173" s="250" t="s">
        <v>2798</v>
      </c>
      <c r="E1173" s="281">
        <v>0</v>
      </c>
      <c r="F1173" s="249">
        <v>650</v>
      </c>
      <c r="G1173" s="165">
        <f t="shared" si="163"/>
        <v>4.1142857142857148</v>
      </c>
      <c r="H1173" s="165">
        <f t="shared" si="164"/>
        <v>8.2285714285714295</v>
      </c>
      <c r="I1173" s="165">
        <f t="shared" si="165"/>
        <v>6.1714285714285717</v>
      </c>
      <c r="J1173" s="166">
        <f t="shared" si="166"/>
        <v>10.285714285714286</v>
      </c>
      <c r="K1173" s="165">
        <f t="shared" si="167"/>
        <v>10.285714285714286</v>
      </c>
      <c r="L1173" s="165">
        <f t="shared" si="168"/>
        <v>1.1625000000000001</v>
      </c>
      <c r="M1173" s="168">
        <f t="shared" si="156"/>
        <v>0</v>
      </c>
      <c r="N1173" s="231" t="s">
        <v>453</v>
      </c>
    </row>
    <row r="1174" spans="1:14" ht="14">
      <c r="A1174" s="149">
        <v>1173</v>
      </c>
      <c r="B1174" s="235" t="s">
        <v>52</v>
      </c>
      <c r="C1174" s="239" t="s">
        <v>10</v>
      </c>
      <c r="D1174" s="250" t="s">
        <v>2800</v>
      </c>
      <c r="E1174" s="281">
        <v>0</v>
      </c>
      <c r="F1174" s="249">
        <v>2200</v>
      </c>
      <c r="G1174" s="165">
        <f t="shared" si="163"/>
        <v>12.971428571428573</v>
      </c>
      <c r="H1174" s="165">
        <f t="shared" si="164"/>
        <v>25.942857142857147</v>
      </c>
      <c r="I1174" s="165">
        <f t="shared" si="165"/>
        <v>19.457142857142859</v>
      </c>
      <c r="J1174" s="166">
        <f t="shared" si="166"/>
        <v>32.428571428571431</v>
      </c>
      <c r="K1174" s="165">
        <f t="shared" si="167"/>
        <v>32.428571428571431</v>
      </c>
      <c r="L1174" s="165">
        <f t="shared" si="168"/>
        <v>1.55</v>
      </c>
      <c r="M1174" s="168">
        <f t="shared" si="156"/>
        <v>0</v>
      </c>
      <c r="N1174" s="231" t="s">
        <v>453</v>
      </c>
    </row>
    <row r="1175" spans="1:14" ht="14">
      <c r="A1175" s="149">
        <v>1174</v>
      </c>
      <c r="B1175" s="235" t="s">
        <v>52</v>
      </c>
      <c r="C1175" s="239" t="s">
        <v>10</v>
      </c>
      <c r="D1175" s="250" t="s">
        <v>2803</v>
      </c>
      <c r="E1175" s="281">
        <v>150</v>
      </c>
      <c r="F1175" s="249">
        <v>0</v>
      </c>
      <c r="G1175" s="165">
        <f t="shared" si="163"/>
        <v>0.4</v>
      </c>
      <c r="H1175" s="165">
        <f t="shared" si="164"/>
        <v>0.8</v>
      </c>
      <c r="I1175" s="165">
        <f t="shared" si="165"/>
        <v>0.6</v>
      </c>
      <c r="J1175" s="166">
        <f t="shared" si="166"/>
        <v>1</v>
      </c>
      <c r="K1175" s="165">
        <f t="shared" si="167"/>
        <v>1</v>
      </c>
      <c r="L1175" s="165">
        <f t="shared" si="168"/>
        <v>1</v>
      </c>
      <c r="M1175" s="168">
        <f t="shared" si="156"/>
        <v>2.5</v>
      </c>
      <c r="N1175" s="231" t="s">
        <v>453</v>
      </c>
    </row>
    <row r="1176" spans="1:14" ht="14">
      <c r="A1176" s="149">
        <v>1175</v>
      </c>
      <c r="B1176" s="235" t="s">
        <v>52</v>
      </c>
      <c r="C1176" s="239" t="s">
        <v>10</v>
      </c>
      <c r="D1176" s="250" t="s">
        <v>2804</v>
      </c>
      <c r="E1176" s="281">
        <v>0</v>
      </c>
      <c r="F1176" s="249">
        <v>600</v>
      </c>
      <c r="G1176" s="165">
        <f t="shared" si="163"/>
        <v>3.8285714285714287</v>
      </c>
      <c r="H1176" s="165">
        <f t="shared" si="164"/>
        <v>7.6571428571428575</v>
      </c>
      <c r="I1176" s="165">
        <f t="shared" si="165"/>
        <v>5.7428571428571429</v>
      </c>
      <c r="J1176" s="166">
        <f t="shared" si="166"/>
        <v>9.5714285714285712</v>
      </c>
      <c r="K1176" s="165">
        <f t="shared" si="167"/>
        <v>9.5714285714285712</v>
      </c>
      <c r="L1176" s="165">
        <f t="shared" si="168"/>
        <v>1.1499999999999999</v>
      </c>
      <c r="M1176" s="168">
        <f t="shared" si="156"/>
        <v>0</v>
      </c>
      <c r="N1176" s="231" t="s">
        <v>453</v>
      </c>
    </row>
    <row r="1177" spans="1:14" ht="14">
      <c r="A1177" s="149">
        <v>1176</v>
      </c>
      <c r="B1177" s="235" t="s">
        <v>52</v>
      </c>
      <c r="C1177" s="239" t="s">
        <v>10</v>
      </c>
      <c r="D1177" s="250" t="s">
        <v>2806</v>
      </c>
      <c r="E1177" s="281">
        <v>0</v>
      </c>
      <c r="F1177" s="249">
        <v>700</v>
      </c>
      <c r="G1177" s="165">
        <f t="shared" si="163"/>
        <v>4.4000000000000004</v>
      </c>
      <c r="H1177" s="165">
        <f t="shared" si="164"/>
        <v>8.8000000000000007</v>
      </c>
      <c r="I1177" s="165">
        <f t="shared" si="165"/>
        <v>6.6</v>
      </c>
      <c r="J1177" s="166">
        <f t="shared" si="166"/>
        <v>11</v>
      </c>
      <c r="K1177" s="165">
        <f t="shared" si="167"/>
        <v>11</v>
      </c>
      <c r="L1177" s="165">
        <f t="shared" si="168"/>
        <v>1.175</v>
      </c>
      <c r="M1177" s="168">
        <f t="shared" si="156"/>
        <v>0</v>
      </c>
      <c r="N1177" s="231" t="s">
        <v>453</v>
      </c>
    </row>
    <row r="1178" spans="1:14" ht="14">
      <c r="A1178" s="149">
        <v>1177</v>
      </c>
      <c r="B1178" s="235" t="s">
        <v>52</v>
      </c>
      <c r="C1178" s="239" t="s">
        <v>10</v>
      </c>
      <c r="D1178" s="250" t="s">
        <v>2808</v>
      </c>
      <c r="E1178" s="281">
        <v>0</v>
      </c>
      <c r="F1178" s="249">
        <v>700</v>
      </c>
      <c r="G1178" s="165">
        <f t="shared" si="163"/>
        <v>4.4000000000000004</v>
      </c>
      <c r="H1178" s="165">
        <f t="shared" si="164"/>
        <v>8.8000000000000007</v>
      </c>
      <c r="I1178" s="165">
        <f t="shared" si="165"/>
        <v>6.6</v>
      </c>
      <c r="J1178" s="166">
        <f t="shared" si="166"/>
        <v>11</v>
      </c>
      <c r="K1178" s="165">
        <f t="shared" si="167"/>
        <v>11</v>
      </c>
      <c r="L1178" s="165">
        <f t="shared" si="168"/>
        <v>1.175</v>
      </c>
      <c r="M1178" s="168">
        <f t="shared" si="156"/>
        <v>0</v>
      </c>
      <c r="N1178" s="231" t="s">
        <v>453</v>
      </c>
    </row>
    <row r="1179" spans="1:14" ht="14">
      <c r="A1179" s="149">
        <v>1178</v>
      </c>
      <c r="B1179" s="235" t="s">
        <v>52</v>
      </c>
      <c r="C1179" s="239" t="s">
        <v>10</v>
      </c>
      <c r="D1179" s="250" t="s">
        <v>2810</v>
      </c>
      <c r="E1179" s="281">
        <v>0</v>
      </c>
      <c r="F1179" s="249">
        <v>150</v>
      </c>
      <c r="G1179" s="165">
        <f t="shared" si="163"/>
        <v>1.2571428571428571</v>
      </c>
      <c r="H1179" s="165">
        <f t="shared" si="164"/>
        <v>2.5142857142857142</v>
      </c>
      <c r="I1179" s="165">
        <f t="shared" si="165"/>
        <v>1.8857142857142857</v>
      </c>
      <c r="J1179" s="166">
        <f t="shared" si="166"/>
        <v>3.1428571428571428</v>
      </c>
      <c r="K1179" s="165">
        <f t="shared" si="167"/>
        <v>3.1428571428571428</v>
      </c>
      <c r="L1179" s="165">
        <f t="shared" si="168"/>
        <v>1.0375000000000001</v>
      </c>
      <c r="M1179" s="168">
        <f t="shared" si="156"/>
        <v>0</v>
      </c>
      <c r="N1179" s="231" t="s">
        <v>453</v>
      </c>
    </row>
    <row r="1180" spans="1:14" ht="14">
      <c r="A1180" s="149">
        <v>1179</v>
      </c>
      <c r="B1180" s="235" t="s">
        <v>52</v>
      </c>
      <c r="C1180" s="239" t="s">
        <v>10</v>
      </c>
      <c r="D1180" s="250" t="s">
        <v>2811</v>
      </c>
      <c r="E1180" s="281">
        <v>0</v>
      </c>
      <c r="F1180" s="249">
        <v>300</v>
      </c>
      <c r="G1180" s="165">
        <f t="shared" si="163"/>
        <v>2.1142857142857143</v>
      </c>
      <c r="H1180" s="165">
        <f t="shared" si="164"/>
        <v>4.2285714285714286</v>
      </c>
      <c r="I1180" s="165">
        <f t="shared" si="165"/>
        <v>3.1714285714285713</v>
      </c>
      <c r="J1180" s="166">
        <f t="shared" si="166"/>
        <v>5.2857142857142856</v>
      </c>
      <c r="K1180" s="165">
        <f t="shared" si="167"/>
        <v>5.2857142857142856</v>
      </c>
      <c r="L1180" s="165">
        <f t="shared" si="168"/>
        <v>1.075</v>
      </c>
      <c r="M1180" s="168">
        <f t="shared" si="156"/>
        <v>0</v>
      </c>
      <c r="N1180" s="231" t="s">
        <v>453</v>
      </c>
    </row>
    <row r="1181" spans="1:14" ht="14">
      <c r="A1181" s="149">
        <v>1180</v>
      </c>
      <c r="B1181" s="235" t="s">
        <v>50</v>
      </c>
      <c r="C1181" s="239" t="s">
        <v>10</v>
      </c>
      <c r="D1181" s="250" t="s">
        <v>2813</v>
      </c>
      <c r="E1181" s="281">
        <v>0</v>
      </c>
      <c r="F1181" s="249">
        <v>300</v>
      </c>
      <c r="G1181" s="165">
        <f t="shared" si="163"/>
        <v>2.1142857142857143</v>
      </c>
      <c r="H1181" s="165">
        <f t="shared" si="164"/>
        <v>4.2285714285714286</v>
      </c>
      <c r="I1181" s="165">
        <f t="shared" si="165"/>
        <v>3.1714285714285713</v>
      </c>
      <c r="J1181" s="166">
        <f t="shared" si="166"/>
        <v>5.2857142857142856</v>
      </c>
      <c r="K1181" s="165">
        <f t="shared" si="167"/>
        <v>5.2857142857142856</v>
      </c>
      <c r="L1181" s="165">
        <f t="shared" si="168"/>
        <v>1.075</v>
      </c>
      <c r="M1181" s="168">
        <f t="shared" si="156"/>
        <v>0</v>
      </c>
      <c r="N1181" s="231" t="s">
        <v>453</v>
      </c>
    </row>
    <row r="1182" spans="1:14" ht="14">
      <c r="A1182" s="149">
        <v>1181</v>
      </c>
      <c r="B1182" s="235" t="s">
        <v>52</v>
      </c>
      <c r="C1182" s="239" t="s">
        <v>10</v>
      </c>
      <c r="D1182" s="250" t="s">
        <v>2814</v>
      </c>
      <c r="E1182" s="281">
        <v>0</v>
      </c>
      <c r="F1182" s="249">
        <v>620</v>
      </c>
      <c r="G1182" s="165">
        <f t="shared" si="163"/>
        <v>3.9428571428571431</v>
      </c>
      <c r="H1182" s="165">
        <f t="shared" si="164"/>
        <v>7.8857142857142861</v>
      </c>
      <c r="I1182" s="165">
        <f t="shared" si="165"/>
        <v>5.9142857142857146</v>
      </c>
      <c r="J1182" s="166">
        <f t="shared" si="166"/>
        <v>9.8571428571428577</v>
      </c>
      <c r="K1182" s="165">
        <f t="shared" si="167"/>
        <v>9.8571428571428577</v>
      </c>
      <c r="L1182" s="165">
        <f t="shared" si="168"/>
        <v>1.155</v>
      </c>
      <c r="M1182" s="168">
        <f t="shared" si="156"/>
        <v>0</v>
      </c>
      <c r="N1182" s="231" t="s">
        <v>453</v>
      </c>
    </row>
    <row r="1183" spans="1:14" ht="14">
      <c r="A1183" s="149">
        <v>1182</v>
      </c>
      <c r="B1183" s="235" t="s">
        <v>52</v>
      </c>
      <c r="C1183" s="239" t="s">
        <v>10</v>
      </c>
      <c r="D1183" s="250" t="s">
        <v>2815</v>
      </c>
      <c r="E1183" s="281">
        <v>0</v>
      </c>
      <c r="F1183" s="249">
        <v>650</v>
      </c>
      <c r="G1183" s="165">
        <f t="shared" si="163"/>
        <v>4.1142857142857148</v>
      </c>
      <c r="H1183" s="165">
        <f t="shared" si="164"/>
        <v>8.2285714285714295</v>
      </c>
      <c r="I1183" s="165">
        <f t="shared" si="165"/>
        <v>6.1714285714285717</v>
      </c>
      <c r="J1183" s="166">
        <f t="shared" si="166"/>
        <v>10.285714285714286</v>
      </c>
      <c r="K1183" s="165">
        <f t="shared" si="167"/>
        <v>10.285714285714286</v>
      </c>
      <c r="L1183" s="165">
        <f t="shared" si="168"/>
        <v>1.1625000000000001</v>
      </c>
      <c r="M1183" s="168">
        <f t="shared" si="156"/>
        <v>0</v>
      </c>
      <c r="N1183" s="231" t="s">
        <v>453</v>
      </c>
    </row>
    <row r="1184" spans="1:14" ht="14">
      <c r="A1184" s="149">
        <v>1183</v>
      </c>
      <c r="B1184" s="235" t="s">
        <v>52</v>
      </c>
      <c r="C1184" s="239" t="s">
        <v>10</v>
      </c>
      <c r="D1184" s="250" t="s">
        <v>2816</v>
      </c>
      <c r="E1184" s="281">
        <v>0</v>
      </c>
      <c r="F1184" s="249">
        <v>500</v>
      </c>
      <c r="G1184" s="165">
        <f t="shared" si="163"/>
        <v>3.2571428571428571</v>
      </c>
      <c r="H1184" s="165">
        <f t="shared" si="164"/>
        <v>6.5142857142857142</v>
      </c>
      <c r="I1184" s="165">
        <f t="shared" si="165"/>
        <v>4.8857142857142852</v>
      </c>
      <c r="J1184" s="166">
        <f t="shared" si="166"/>
        <v>8.1428571428571423</v>
      </c>
      <c r="K1184" s="165">
        <f t="shared" si="167"/>
        <v>8.1428571428571423</v>
      </c>
      <c r="L1184" s="165">
        <f t="shared" si="168"/>
        <v>1.125</v>
      </c>
      <c r="M1184" s="168">
        <f t="shared" si="156"/>
        <v>0</v>
      </c>
      <c r="N1184" s="231" t="s">
        <v>453</v>
      </c>
    </row>
    <row r="1185" spans="1:14" ht="14">
      <c r="A1185" s="149">
        <v>1184</v>
      </c>
      <c r="B1185" s="235" t="s">
        <v>52</v>
      </c>
      <c r="C1185" s="239" t="s">
        <v>10</v>
      </c>
      <c r="D1185" s="250" t="s">
        <v>2817</v>
      </c>
      <c r="E1185" s="281">
        <v>0</v>
      </c>
      <c r="F1185" s="249">
        <v>300</v>
      </c>
      <c r="G1185" s="165">
        <f t="shared" si="163"/>
        <v>2.1142857142857143</v>
      </c>
      <c r="H1185" s="165">
        <f t="shared" si="164"/>
        <v>4.2285714285714286</v>
      </c>
      <c r="I1185" s="165">
        <f t="shared" si="165"/>
        <v>3.1714285714285713</v>
      </c>
      <c r="J1185" s="166">
        <f t="shared" si="166"/>
        <v>5.2857142857142856</v>
      </c>
      <c r="K1185" s="165">
        <f t="shared" si="167"/>
        <v>5.2857142857142856</v>
      </c>
      <c r="L1185" s="165">
        <f t="shared" si="168"/>
        <v>1.075</v>
      </c>
      <c r="M1185" s="168">
        <f t="shared" si="156"/>
        <v>0</v>
      </c>
      <c r="N1185" s="231" t="s">
        <v>453</v>
      </c>
    </row>
    <row r="1186" spans="1:14" ht="14">
      <c r="A1186" s="149">
        <v>1185</v>
      </c>
      <c r="B1186" s="235" t="s">
        <v>52</v>
      </c>
      <c r="C1186" s="239" t="s">
        <v>10</v>
      </c>
      <c r="D1186" s="250" t="s">
        <v>2818</v>
      </c>
      <c r="E1186" s="281">
        <v>0</v>
      </c>
      <c r="F1186" s="249">
        <v>100</v>
      </c>
      <c r="G1186" s="165">
        <f t="shared" si="163"/>
        <v>0.97142857142857153</v>
      </c>
      <c r="H1186" s="165">
        <f t="shared" si="164"/>
        <v>1.9428571428571431</v>
      </c>
      <c r="I1186" s="165">
        <f t="shared" si="165"/>
        <v>1.4571428571428573</v>
      </c>
      <c r="J1186" s="166">
        <f t="shared" si="166"/>
        <v>2.4285714285714288</v>
      </c>
      <c r="K1186" s="165">
        <f t="shared" si="167"/>
        <v>2.4285714285714288</v>
      </c>
      <c r="L1186" s="165">
        <f t="shared" si="168"/>
        <v>1.0249999999999999</v>
      </c>
      <c r="M1186" s="168">
        <f t="shared" si="156"/>
        <v>0</v>
      </c>
      <c r="N1186" s="231" t="s">
        <v>453</v>
      </c>
    </row>
    <row r="1187" spans="1:14" ht="14">
      <c r="A1187" s="149">
        <v>1186</v>
      </c>
      <c r="B1187" s="235" t="s">
        <v>53</v>
      </c>
      <c r="C1187" s="239" t="s">
        <v>10</v>
      </c>
      <c r="D1187" s="250" t="s">
        <v>2819</v>
      </c>
      <c r="E1187" s="281">
        <v>0</v>
      </c>
      <c r="F1187" s="249">
        <v>1300</v>
      </c>
      <c r="G1187" s="165">
        <f t="shared" si="163"/>
        <v>7.8285714285714292</v>
      </c>
      <c r="H1187" s="165">
        <f t="shared" si="164"/>
        <v>15.657142857142858</v>
      </c>
      <c r="I1187" s="165">
        <f t="shared" si="165"/>
        <v>11.742857142857144</v>
      </c>
      <c r="J1187" s="166">
        <f t="shared" si="166"/>
        <v>19.571428571428573</v>
      </c>
      <c r="K1187" s="165">
        <f t="shared" si="167"/>
        <v>19.571428571428573</v>
      </c>
      <c r="L1187" s="165">
        <f t="shared" si="168"/>
        <v>1.325</v>
      </c>
      <c r="M1187" s="168">
        <f t="shared" si="156"/>
        <v>0</v>
      </c>
      <c r="N1187" s="231" t="s">
        <v>453</v>
      </c>
    </row>
    <row r="1188" spans="1:14" ht="14">
      <c r="A1188" s="149">
        <v>1187</v>
      </c>
      <c r="B1188" s="235" t="s">
        <v>52</v>
      </c>
      <c r="C1188" s="239" t="s">
        <v>10</v>
      </c>
      <c r="D1188" s="250" t="s">
        <v>2820</v>
      </c>
      <c r="E1188" s="281">
        <v>0</v>
      </c>
      <c r="F1188" s="249">
        <v>250</v>
      </c>
      <c r="G1188" s="165">
        <f t="shared" si="163"/>
        <v>1.8285714285714285</v>
      </c>
      <c r="H1188" s="165">
        <f t="shared" si="164"/>
        <v>3.657142857142857</v>
      </c>
      <c r="I1188" s="165">
        <f t="shared" si="165"/>
        <v>2.7428571428571424</v>
      </c>
      <c r="J1188" s="166">
        <f t="shared" si="166"/>
        <v>4.5714285714285712</v>
      </c>
      <c r="K1188" s="165">
        <f t="shared" si="167"/>
        <v>4.5714285714285712</v>
      </c>
      <c r="L1188" s="165">
        <f t="shared" si="168"/>
        <v>1.0625</v>
      </c>
      <c r="M1188" s="168">
        <f t="shared" si="156"/>
        <v>0</v>
      </c>
      <c r="N1188" s="231" t="s">
        <v>453</v>
      </c>
    </row>
    <row r="1189" spans="1:14" ht="14">
      <c r="A1189" s="149">
        <v>1188</v>
      </c>
      <c r="B1189" s="235" t="s">
        <v>52</v>
      </c>
      <c r="C1189" s="239" t="s">
        <v>10</v>
      </c>
      <c r="D1189" s="250" t="s">
        <v>2821</v>
      </c>
      <c r="E1189" s="281">
        <v>0</v>
      </c>
      <c r="F1189" s="249">
        <v>400</v>
      </c>
      <c r="G1189" s="165">
        <f t="shared" si="163"/>
        <v>2.6857142857142859</v>
      </c>
      <c r="H1189" s="165">
        <f t="shared" si="164"/>
        <v>5.3714285714285719</v>
      </c>
      <c r="I1189" s="165">
        <f t="shared" si="165"/>
        <v>4.0285714285714285</v>
      </c>
      <c r="J1189" s="166">
        <f t="shared" si="166"/>
        <v>6.7142857142857144</v>
      </c>
      <c r="K1189" s="165">
        <f t="shared" si="167"/>
        <v>6.7142857142857144</v>
      </c>
      <c r="L1189" s="165">
        <f t="shared" si="168"/>
        <v>1.1000000000000001</v>
      </c>
      <c r="M1189" s="168">
        <f t="shared" si="156"/>
        <v>0</v>
      </c>
      <c r="N1189" s="231" t="s">
        <v>453</v>
      </c>
    </row>
    <row r="1190" spans="1:14" ht="14">
      <c r="A1190" s="149">
        <v>1189</v>
      </c>
      <c r="B1190" s="235" t="s">
        <v>52</v>
      </c>
      <c r="C1190" s="239" t="s">
        <v>10</v>
      </c>
      <c r="D1190" s="250" t="s">
        <v>2823</v>
      </c>
      <c r="E1190" s="281">
        <v>0</v>
      </c>
      <c r="F1190" s="249">
        <v>700</v>
      </c>
      <c r="G1190" s="165">
        <f t="shared" si="163"/>
        <v>4.4000000000000004</v>
      </c>
      <c r="H1190" s="165">
        <f t="shared" si="164"/>
        <v>8.8000000000000007</v>
      </c>
      <c r="I1190" s="165">
        <f t="shared" si="165"/>
        <v>6.6</v>
      </c>
      <c r="J1190" s="166">
        <f t="shared" si="166"/>
        <v>11</v>
      </c>
      <c r="K1190" s="165">
        <f t="shared" si="167"/>
        <v>11</v>
      </c>
      <c r="L1190" s="165">
        <f t="shared" si="168"/>
        <v>1.175</v>
      </c>
      <c r="M1190" s="168">
        <f t="shared" si="156"/>
        <v>0</v>
      </c>
      <c r="N1190" s="231" t="s">
        <v>453</v>
      </c>
    </row>
    <row r="1191" spans="1:14" ht="14">
      <c r="A1191" s="149">
        <v>1190</v>
      </c>
      <c r="B1191" s="235" t="s">
        <v>52</v>
      </c>
      <c r="C1191" s="239" t="s">
        <v>10</v>
      </c>
      <c r="D1191" s="250" t="s">
        <v>2824</v>
      </c>
      <c r="E1191" s="281">
        <v>0</v>
      </c>
      <c r="F1191" s="249">
        <v>800</v>
      </c>
      <c r="G1191" s="165">
        <f t="shared" si="163"/>
        <v>4.9714285714285715</v>
      </c>
      <c r="H1191" s="165">
        <f t="shared" si="164"/>
        <v>9.9428571428571431</v>
      </c>
      <c r="I1191" s="165">
        <f t="shared" si="165"/>
        <v>7.4571428571428573</v>
      </c>
      <c r="J1191" s="166">
        <f t="shared" si="166"/>
        <v>12.428571428571429</v>
      </c>
      <c r="K1191" s="165">
        <f t="shared" si="167"/>
        <v>12.428571428571429</v>
      </c>
      <c r="L1191" s="165">
        <f t="shared" si="168"/>
        <v>1.2</v>
      </c>
      <c r="M1191" s="168">
        <f t="shared" si="156"/>
        <v>0</v>
      </c>
      <c r="N1191" s="231" t="s">
        <v>453</v>
      </c>
    </row>
    <row r="1192" spans="1:14" ht="14">
      <c r="A1192" s="149">
        <v>1191</v>
      </c>
      <c r="B1192" s="235" t="s">
        <v>52</v>
      </c>
      <c r="C1192" s="239" t="s">
        <v>10</v>
      </c>
      <c r="D1192" s="250" t="s">
        <v>2825</v>
      </c>
      <c r="E1192" s="281">
        <v>0</v>
      </c>
      <c r="F1192" s="249">
        <v>300</v>
      </c>
      <c r="G1192" s="165">
        <f t="shared" si="163"/>
        <v>2.1142857142857143</v>
      </c>
      <c r="H1192" s="165">
        <f t="shared" si="164"/>
        <v>4.2285714285714286</v>
      </c>
      <c r="I1192" s="165">
        <f t="shared" si="165"/>
        <v>3.1714285714285713</v>
      </c>
      <c r="J1192" s="166">
        <f t="shared" si="166"/>
        <v>5.2857142857142856</v>
      </c>
      <c r="K1192" s="165">
        <f t="shared" si="167"/>
        <v>5.2857142857142856</v>
      </c>
      <c r="L1192" s="165">
        <f t="shared" si="168"/>
        <v>1.075</v>
      </c>
      <c r="M1192" s="168">
        <f t="shared" si="156"/>
        <v>0</v>
      </c>
      <c r="N1192" s="231" t="s">
        <v>453</v>
      </c>
    </row>
    <row r="1193" spans="1:14" ht="14">
      <c r="A1193" s="149">
        <v>1192</v>
      </c>
      <c r="B1193" s="235" t="s">
        <v>52</v>
      </c>
      <c r="C1193" s="239" t="s">
        <v>10</v>
      </c>
      <c r="D1193" s="250" t="s">
        <v>2826</v>
      </c>
      <c r="E1193" s="281">
        <v>0</v>
      </c>
      <c r="F1193" s="249">
        <v>300</v>
      </c>
      <c r="G1193" s="165">
        <f t="shared" si="163"/>
        <v>2.1142857142857143</v>
      </c>
      <c r="H1193" s="165">
        <f t="shared" si="164"/>
        <v>4.2285714285714286</v>
      </c>
      <c r="I1193" s="165">
        <f t="shared" si="165"/>
        <v>3.1714285714285713</v>
      </c>
      <c r="J1193" s="166">
        <f t="shared" si="166"/>
        <v>5.2857142857142856</v>
      </c>
      <c r="K1193" s="165">
        <f t="shared" si="167"/>
        <v>5.2857142857142856</v>
      </c>
      <c r="L1193" s="165">
        <f t="shared" si="168"/>
        <v>1.075</v>
      </c>
      <c r="M1193" s="168">
        <f t="shared" si="156"/>
        <v>0</v>
      </c>
      <c r="N1193" s="231" t="s">
        <v>453</v>
      </c>
    </row>
    <row r="1194" spans="1:14" ht="14">
      <c r="A1194" s="149">
        <v>1193</v>
      </c>
      <c r="B1194" s="235" t="s">
        <v>52</v>
      </c>
      <c r="C1194" s="239" t="s">
        <v>10</v>
      </c>
      <c r="D1194" s="250" t="s">
        <v>2827</v>
      </c>
      <c r="E1194" s="281">
        <v>0</v>
      </c>
      <c r="F1194" s="249">
        <v>2000</v>
      </c>
      <c r="G1194" s="165">
        <f t="shared" si="163"/>
        <v>11.828571428571429</v>
      </c>
      <c r="H1194" s="165">
        <f t="shared" si="164"/>
        <v>23.657142857142858</v>
      </c>
      <c r="I1194" s="165">
        <f t="shared" si="165"/>
        <v>17.742857142857144</v>
      </c>
      <c r="J1194" s="166">
        <f t="shared" si="166"/>
        <v>29.571428571428573</v>
      </c>
      <c r="K1194" s="165">
        <f t="shared" si="167"/>
        <v>29.571428571428573</v>
      </c>
      <c r="L1194" s="165">
        <f t="shared" si="168"/>
        <v>1.5</v>
      </c>
      <c r="M1194" s="168">
        <f t="shared" si="156"/>
        <v>0</v>
      </c>
      <c r="N1194" s="231" t="s">
        <v>453</v>
      </c>
    </row>
    <row r="1195" spans="1:14" ht="14">
      <c r="A1195" s="149">
        <v>1194</v>
      </c>
      <c r="B1195" s="235" t="s">
        <v>52</v>
      </c>
      <c r="C1195" s="239" t="s">
        <v>10</v>
      </c>
      <c r="D1195" s="250" t="s">
        <v>2828</v>
      </c>
      <c r="E1195" s="281">
        <v>0</v>
      </c>
      <c r="F1195" s="249">
        <v>300</v>
      </c>
      <c r="G1195" s="165">
        <f t="shared" si="163"/>
        <v>2.1142857142857143</v>
      </c>
      <c r="H1195" s="165">
        <f t="shared" si="164"/>
        <v>4.2285714285714286</v>
      </c>
      <c r="I1195" s="165">
        <f t="shared" si="165"/>
        <v>3.1714285714285713</v>
      </c>
      <c r="J1195" s="166">
        <f t="shared" si="166"/>
        <v>5.2857142857142856</v>
      </c>
      <c r="K1195" s="165">
        <f t="shared" si="167"/>
        <v>5.2857142857142856</v>
      </c>
      <c r="L1195" s="165">
        <f t="shared" si="168"/>
        <v>1.075</v>
      </c>
      <c r="M1195" s="168">
        <f t="shared" si="156"/>
        <v>0</v>
      </c>
      <c r="N1195" s="231" t="s">
        <v>453</v>
      </c>
    </row>
    <row r="1196" spans="1:14" ht="14">
      <c r="A1196" s="149">
        <v>1195</v>
      </c>
      <c r="B1196" s="235" t="s">
        <v>52</v>
      </c>
      <c r="C1196" s="239" t="s">
        <v>10</v>
      </c>
      <c r="D1196" s="250" t="s">
        <v>2829</v>
      </c>
      <c r="E1196" s="281">
        <v>0</v>
      </c>
      <c r="F1196" s="249">
        <v>150</v>
      </c>
      <c r="G1196" s="165">
        <f t="shared" si="163"/>
        <v>1.2571428571428571</v>
      </c>
      <c r="H1196" s="165">
        <f t="shared" si="164"/>
        <v>2.5142857142857142</v>
      </c>
      <c r="I1196" s="165">
        <f t="shared" si="165"/>
        <v>1.8857142857142857</v>
      </c>
      <c r="J1196" s="166">
        <f t="shared" si="166"/>
        <v>3.1428571428571428</v>
      </c>
      <c r="K1196" s="165">
        <f t="shared" si="167"/>
        <v>3.1428571428571428</v>
      </c>
      <c r="L1196" s="165">
        <f t="shared" si="168"/>
        <v>1.0375000000000001</v>
      </c>
      <c r="M1196" s="168">
        <f t="shared" si="156"/>
        <v>0</v>
      </c>
      <c r="N1196" s="231" t="s">
        <v>453</v>
      </c>
    </row>
    <row r="1197" spans="1:14" ht="14">
      <c r="A1197" s="149">
        <v>1196</v>
      </c>
      <c r="B1197" s="235" t="s">
        <v>52</v>
      </c>
      <c r="C1197" s="239" t="s">
        <v>10</v>
      </c>
      <c r="D1197" s="250" t="s">
        <v>2830</v>
      </c>
      <c r="E1197" s="281">
        <v>0</v>
      </c>
      <c r="F1197" s="249">
        <v>2400</v>
      </c>
      <c r="G1197" s="165">
        <f t="shared" si="163"/>
        <v>14.114285714285714</v>
      </c>
      <c r="H1197" s="165">
        <f t="shared" si="164"/>
        <v>28.228571428571428</v>
      </c>
      <c r="I1197" s="165">
        <f t="shared" si="165"/>
        <v>21.171428571428571</v>
      </c>
      <c r="J1197" s="166">
        <f t="shared" si="166"/>
        <v>35.285714285714285</v>
      </c>
      <c r="K1197" s="165">
        <f t="shared" si="167"/>
        <v>35.285714285714285</v>
      </c>
      <c r="L1197" s="165">
        <f t="shared" si="168"/>
        <v>1.6</v>
      </c>
      <c r="M1197" s="168">
        <f t="shared" si="156"/>
        <v>0</v>
      </c>
      <c r="N1197" s="231" t="s">
        <v>453</v>
      </c>
    </row>
    <row r="1198" spans="1:14" ht="14">
      <c r="A1198" s="149">
        <v>1197</v>
      </c>
      <c r="B1198" s="235" t="s">
        <v>52</v>
      </c>
      <c r="C1198" s="239" t="s">
        <v>10</v>
      </c>
      <c r="D1198" s="250" t="s">
        <v>2831</v>
      </c>
      <c r="E1198" s="281">
        <v>0</v>
      </c>
      <c r="F1198" s="249">
        <v>300</v>
      </c>
      <c r="G1198" s="165">
        <f t="shared" si="163"/>
        <v>2.1142857142857143</v>
      </c>
      <c r="H1198" s="165">
        <f t="shared" si="164"/>
        <v>4.2285714285714286</v>
      </c>
      <c r="I1198" s="165">
        <f t="shared" si="165"/>
        <v>3.1714285714285713</v>
      </c>
      <c r="J1198" s="166">
        <f t="shared" si="166"/>
        <v>5.2857142857142856</v>
      </c>
      <c r="K1198" s="165">
        <f t="shared" si="167"/>
        <v>5.2857142857142856</v>
      </c>
      <c r="L1198" s="165">
        <f t="shared" si="168"/>
        <v>1.075</v>
      </c>
      <c r="M1198" s="168">
        <f t="shared" si="156"/>
        <v>0</v>
      </c>
      <c r="N1198" s="231" t="s">
        <v>453</v>
      </c>
    </row>
    <row r="1199" spans="1:14" ht="14">
      <c r="A1199" s="149">
        <v>1198</v>
      </c>
      <c r="B1199" s="235" t="s">
        <v>52</v>
      </c>
      <c r="C1199" s="239" t="s">
        <v>10</v>
      </c>
      <c r="D1199" s="250" t="s">
        <v>2832</v>
      </c>
      <c r="E1199" s="281">
        <v>0</v>
      </c>
      <c r="F1199" s="249">
        <v>500</v>
      </c>
      <c r="G1199" s="165">
        <f t="shared" si="163"/>
        <v>3.2571428571428571</v>
      </c>
      <c r="H1199" s="165">
        <f t="shared" si="164"/>
        <v>6.5142857142857142</v>
      </c>
      <c r="I1199" s="165">
        <f t="shared" si="165"/>
        <v>4.8857142857142852</v>
      </c>
      <c r="J1199" s="166">
        <f t="shared" si="166"/>
        <v>8.1428571428571423</v>
      </c>
      <c r="K1199" s="165">
        <f t="shared" si="167"/>
        <v>8.1428571428571423</v>
      </c>
      <c r="L1199" s="165">
        <f t="shared" si="168"/>
        <v>1.125</v>
      </c>
      <c r="M1199" s="168">
        <f t="shared" si="156"/>
        <v>0</v>
      </c>
      <c r="N1199" s="231" t="s">
        <v>453</v>
      </c>
    </row>
    <row r="1200" spans="1:14" ht="14">
      <c r="A1200" s="149">
        <v>1199</v>
      </c>
      <c r="B1200" s="235" t="s">
        <v>52</v>
      </c>
      <c r="C1200" s="239" t="s">
        <v>10</v>
      </c>
      <c r="D1200" s="250" t="s">
        <v>2833</v>
      </c>
      <c r="E1200" s="281">
        <v>0</v>
      </c>
      <c r="F1200" s="249">
        <v>400</v>
      </c>
      <c r="G1200" s="165">
        <f t="shared" si="163"/>
        <v>2.6857142857142859</v>
      </c>
      <c r="H1200" s="165">
        <f t="shared" si="164"/>
        <v>5.3714285714285719</v>
      </c>
      <c r="I1200" s="165">
        <f t="shared" si="165"/>
        <v>4.0285714285714285</v>
      </c>
      <c r="J1200" s="166">
        <f t="shared" si="166"/>
        <v>6.7142857142857144</v>
      </c>
      <c r="K1200" s="165">
        <f t="shared" si="167"/>
        <v>6.7142857142857144</v>
      </c>
      <c r="L1200" s="165">
        <f t="shared" si="168"/>
        <v>1.1000000000000001</v>
      </c>
      <c r="M1200" s="168">
        <f t="shared" si="156"/>
        <v>0</v>
      </c>
      <c r="N1200" s="231" t="s">
        <v>453</v>
      </c>
    </row>
    <row r="1201" spans="1:14" ht="14">
      <c r="A1201" s="149">
        <v>1200</v>
      </c>
      <c r="B1201" s="235" t="s">
        <v>52</v>
      </c>
      <c r="C1201" s="239" t="s">
        <v>10</v>
      </c>
      <c r="D1201" s="250" t="s">
        <v>2834</v>
      </c>
      <c r="E1201" s="281">
        <v>0</v>
      </c>
      <c r="F1201" s="249">
        <v>300</v>
      </c>
      <c r="G1201" s="165">
        <f t="shared" si="163"/>
        <v>2.1142857142857143</v>
      </c>
      <c r="H1201" s="165">
        <f t="shared" si="164"/>
        <v>4.2285714285714286</v>
      </c>
      <c r="I1201" s="165">
        <f t="shared" si="165"/>
        <v>3.1714285714285713</v>
      </c>
      <c r="J1201" s="166">
        <f t="shared" si="166"/>
        <v>5.2857142857142856</v>
      </c>
      <c r="K1201" s="165">
        <f t="shared" si="167"/>
        <v>5.2857142857142856</v>
      </c>
      <c r="L1201" s="165">
        <f t="shared" si="168"/>
        <v>1.075</v>
      </c>
      <c r="M1201" s="168">
        <f t="shared" si="156"/>
        <v>0</v>
      </c>
      <c r="N1201" s="231" t="s">
        <v>453</v>
      </c>
    </row>
    <row r="1202" spans="1:14" ht="14">
      <c r="A1202" s="149">
        <v>1201</v>
      </c>
      <c r="B1202" s="235" t="s">
        <v>52</v>
      </c>
      <c r="C1202" s="239" t="s">
        <v>10</v>
      </c>
      <c r="D1202" s="250" t="s">
        <v>2835</v>
      </c>
      <c r="E1202" s="281">
        <v>0</v>
      </c>
      <c r="F1202" s="249">
        <v>300</v>
      </c>
      <c r="G1202" s="165">
        <f t="shared" si="163"/>
        <v>2.1142857142857143</v>
      </c>
      <c r="H1202" s="165">
        <f t="shared" si="164"/>
        <v>4.2285714285714286</v>
      </c>
      <c r="I1202" s="165">
        <f t="shared" si="165"/>
        <v>3.1714285714285713</v>
      </c>
      <c r="J1202" s="166">
        <f t="shared" si="166"/>
        <v>5.2857142857142856</v>
      </c>
      <c r="K1202" s="165">
        <f t="shared" si="167"/>
        <v>5.2857142857142856</v>
      </c>
      <c r="L1202" s="165">
        <f t="shared" si="168"/>
        <v>1.075</v>
      </c>
      <c r="M1202" s="168">
        <f t="shared" si="156"/>
        <v>0</v>
      </c>
      <c r="N1202" s="231" t="s">
        <v>453</v>
      </c>
    </row>
    <row r="1203" spans="1:14" ht="14">
      <c r="A1203" s="149">
        <v>1202</v>
      </c>
      <c r="B1203" s="235" t="s">
        <v>52</v>
      </c>
      <c r="C1203" s="239" t="s">
        <v>10</v>
      </c>
      <c r="D1203" s="250" t="s">
        <v>2836</v>
      </c>
      <c r="E1203" s="281">
        <v>0</v>
      </c>
      <c r="F1203" s="249">
        <v>300</v>
      </c>
      <c r="G1203" s="165">
        <f t="shared" si="163"/>
        <v>2.1142857142857143</v>
      </c>
      <c r="H1203" s="165">
        <f t="shared" si="164"/>
        <v>4.2285714285714286</v>
      </c>
      <c r="I1203" s="165">
        <f t="shared" si="165"/>
        <v>3.1714285714285713</v>
      </c>
      <c r="J1203" s="166">
        <f t="shared" si="166"/>
        <v>5.2857142857142856</v>
      </c>
      <c r="K1203" s="165">
        <f t="shared" si="167"/>
        <v>5.2857142857142856</v>
      </c>
      <c r="L1203" s="165">
        <f t="shared" si="168"/>
        <v>1.075</v>
      </c>
      <c r="M1203" s="168">
        <f t="shared" si="156"/>
        <v>0</v>
      </c>
      <c r="N1203" s="231" t="s">
        <v>453</v>
      </c>
    </row>
    <row r="1204" spans="1:14" ht="14">
      <c r="A1204" s="149">
        <v>1203</v>
      </c>
      <c r="B1204" s="235" t="s">
        <v>52</v>
      </c>
      <c r="C1204" s="239" t="s">
        <v>10</v>
      </c>
      <c r="D1204" s="250" t="s">
        <v>2837</v>
      </c>
      <c r="E1204" s="281">
        <v>0</v>
      </c>
      <c r="F1204" s="249">
        <v>1310</v>
      </c>
      <c r="G1204" s="165">
        <f t="shared" si="163"/>
        <v>7.8857142857142861</v>
      </c>
      <c r="H1204" s="165">
        <f t="shared" si="164"/>
        <v>15.771428571428572</v>
      </c>
      <c r="I1204" s="165">
        <f t="shared" si="165"/>
        <v>11.828571428571429</v>
      </c>
      <c r="J1204" s="166">
        <f t="shared" si="166"/>
        <v>19.714285714285715</v>
      </c>
      <c r="K1204" s="165">
        <f t="shared" si="167"/>
        <v>19.714285714285715</v>
      </c>
      <c r="L1204" s="165">
        <f t="shared" si="168"/>
        <v>1.3275000000000001</v>
      </c>
      <c r="M1204" s="168">
        <f t="shared" si="156"/>
        <v>0</v>
      </c>
      <c r="N1204" s="231" t="s">
        <v>453</v>
      </c>
    </row>
    <row r="1205" spans="1:14" ht="14">
      <c r="A1205" s="149">
        <v>1204</v>
      </c>
      <c r="B1205" s="235" t="s">
        <v>52</v>
      </c>
      <c r="C1205" s="239" t="s">
        <v>10</v>
      </c>
      <c r="D1205" s="250" t="s">
        <v>2838</v>
      </c>
      <c r="E1205" s="281">
        <v>0</v>
      </c>
      <c r="F1205" s="249">
        <v>550</v>
      </c>
      <c r="G1205" s="165">
        <f t="shared" si="163"/>
        <v>3.5428571428571431</v>
      </c>
      <c r="H1205" s="165">
        <f t="shared" si="164"/>
        <v>7.0857142857142863</v>
      </c>
      <c r="I1205" s="165">
        <f t="shared" si="165"/>
        <v>5.3142857142857141</v>
      </c>
      <c r="J1205" s="166">
        <f t="shared" si="166"/>
        <v>8.8571428571428577</v>
      </c>
      <c r="K1205" s="165">
        <f t="shared" si="167"/>
        <v>8.8571428571428577</v>
      </c>
      <c r="L1205" s="165">
        <f t="shared" si="168"/>
        <v>1.1375</v>
      </c>
      <c r="M1205" s="168">
        <f t="shared" si="156"/>
        <v>0</v>
      </c>
      <c r="N1205" s="231" t="s">
        <v>453</v>
      </c>
    </row>
    <row r="1206" spans="1:14" ht="14">
      <c r="A1206" s="149">
        <v>1205</v>
      </c>
      <c r="B1206" s="235" t="s">
        <v>52</v>
      </c>
      <c r="C1206" s="239" t="s">
        <v>10</v>
      </c>
      <c r="D1206" s="250" t="s">
        <v>2839</v>
      </c>
      <c r="E1206" s="281">
        <v>0</v>
      </c>
      <c r="F1206" s="249">
        <v>350</v>
      </c>
      <c r="G1206" s="165">
        <f t="shared" si="163"/>
        <v>2.4000000000000004</v>
      </c>
      <c r="H1206" s="165">
        <f t="shared" si="164"/>
        <v>4.8000000000000007</v>
      </c>
      <c r="I1206" s="165">
        <f t="shared" si="165"/>
        <v>3.5999999999999996</v>
      </c>
      <c r="J1206" s="166">
        <f t="shared" si="166"/>
        <v>6</v>
      </c>
      <c r="K1206" s="165">
        <f t="shared" si="167"/>
        <v>6</v>
      </c>
      <c r="L1206" s="165">
        <f t="shared" si="168"/>
        <v>1.0874999999999999</v>
      </c>
      <c r="M1206" s="168">
        <f t="shared" si="156"/>
        <v>0</v>
      </c>
      <c r="N1206" s="231" t="s">
        <v>453</v>
      </c>
    </row>
    <row r="1207" spans="1:14" ht="14">
      <c r="A1207" s="149">
        <v>1206</v>
      </c>
      <c r="B1207" s="235" t="s">
        <v>52</v>
      </c>
      <c r="C1207" s="239" t="s">
        <v>10</v>
      </c>
      <c r="D1207" s="250" t="s">
        <v>4712</v>
      </c>
      <c r="E1207" s="281">
        <v>0</v>
      </c>
      <c r="F1207" s="249">
        <v>3500</v>
      </c>
      <c r="G1207" s="165">
        <f t="shared" si="163"/>
        <v>20.400000000000002</v>
      </c>
      <c r="H1207" s="165">
        <f t="shared" si="164"/>
        <v>40.800000000000004</v>
      </c>
      <c r="I1207" s="165">
        <f t="shared" si="165"/>
        <v>30.599999999999998</v>
      </c>
      <c r="J1207" s="166">
        <f t="shared" si="166"/>
        <v>51</v>
      </c>
      <c r="K1207" s="165">
        <f t="shared" si="167"/>
        <v>51</v>
      </c>
      <c r="L1207" s="165">
        <f t="shared" si="168"/>
        <v>1.875</v>
      </c>
      <c r="M1207" s="168">
        <f t="shared" si="156"/>
        <v>0</v>
      </c>
      <c r="N1207" s="231" t="s">
        <v>453</v>
      </c>
    </row>
    <row r="1208" spans="1:14" ht="14">
      <c r="A1208" s="149">
        <v>1207</v>
      </c>
      <c r="B1208" s="235" t="s">
        <v>52</v>
      </c>
      <c r="C1208" s="239" t="s">
        <v>10</v>
      </c>
      <c r="D1208" s="250" t="s">
        <v>2840</v>
      </c>
      <c r="E1208" s="281">
        <v>0</v>
      </c>
      <c r="F1208" s="249">
        <v>350</v>
      </c>
      <c r="G1208" s="165">
        <f t="shared" si="163"/>
        <v>2.4000000000000004</v>
      </c>
      <c r="H1208" s="165">
        <f t="shared" si="164"/>
        <v>4.8000000000000007</v>
      </c>
      <c r="I1208" s="165">
        <f t="shared" si="165"/>
        <v>3.5999999999999996</v>
      </c>
      <c r="J1208" s="166">
        <f t="shared" si="166"/>
        <v>6</v>
      </c>
      <c r="K1208" s="165">
        <f t="shared" si="167"/>
        <v>6</v>
      </c>
      <c r="L1208" s="165">
        <f t="shared" si="168"/>
        <v>1.0874999999999999</v>
      </c>
      <c r="M1208" s="168">
        <f t="shared" si="156"/>
        <v>0</v>
      </c>
      <c r="N1208" s="231" t="s">
        <v>453</v>
      </c>
    </row>
    <row r="1209" spans="1:14" ht="14">
      <c r="A1209" s="149">
        <v>1208</v>
      </c>
      <c r="B1209" s="235" t="s">
        <v>52</v>
      </c>
      <c r="C1209" s="239" t="s">
        <v>10</v>
      </c>
      <c r="D1209" s="250" t="s">
        <v>2841</v>
      </c>
      <c r="E1209" s="281">
        <v>0</v>
      </c>
      <c r="F1209" s="249">
        <v>700</v>
      </c>
      <c r="G1209" s="165">
        <f t="shared" si="163"/>
        <v>4.4000000000000004</v>
      </c>
      <c r="H1209" s="165">
        <f t="shared" si="164"/>
        <v>8.8000000000000007</v>
      </c>
      <c r="I1209" s="165">
        <f t="shared" si="165"/>
        <v>6.6</v>
      </c>
      <c r="J1209" s="166">
        <f t="shared" si="166"/>
        <v>11</v>
      </c>
      <c r="K1209" s="165">
        <f t="shared" si="167"/>
        <v>11</v>
      </c>
      <c r="L1209" s="165">
        <f t="shared" si="168"/>
        <v>1.175</v>
      </c>
      <c r="M1209" s="168">
        <f t="shared" si="156"/>
        <v>0</v>
      </c>
      <c r="N1209" s="231" t="s">
        <v>453</v>
      </c>
    </row>
    <row r="1210" spans="1:14" ht="14">
      <c r="A1210" s="149">
        <v>1209</v>
      </c>
      <c r="B1210" s="235" t="s">
        <v>52</v>
      </c>
      <c r="C1210" s="239" t="s">
        <v>10</v>
      </c>
      <c r="D1210" s="250" t="s">
        <v>2842</v>
      </c>
      <c r="E1210" s="281">
        <v>0</v>
      </c>
      <c r="F1210" s="249">
        <v>500</v>
      </c>
      <c r="G1210" s="165">
        <f t="shared" si="163"/>
        <v>3.2571428571428571</v>
      </c>
      <c r="H1210" s="165">
        <f t="shared" si="164"/>
        <v>6.5142857142857142</v>
      </c>
      <c r="I1210" s="165">
        <f t="shared" si="165"/>
        <v>4.8857142857142852</v>
      </c>
      <c r="J1210" s="166">
        <f t="shared" si="166"/>
        <v>8.1428571428571423</v>
      </c>
      <c r="K1210" s="165">
        <f t="shared" si="167"/>
        <v>8.1428571428571423</v>
      </c>
      <c r="L1210" s="165">
        <f t="shared" si="168"/>
        <v>1.125</v>
      </c>
      <c r="M1210" s="168">
        <f t="shared" si="156"/>
        <v>0</v>
      </c>
      <c r="N1210" s="231" t="s">
        <v>453</v>
      </c>
    </row>
    <row r="1211" spans="1:14" ht="14">
      <c r="A1211" s="149">
        <v>1210</v>
      </c>
      <c r="B1211" s="235" t="s">
        <v>55</v>
      </c>
      <c r="C1211" s="239" t="s">
        <v>10</v>
      </c>
      <c r="D1211" s="250" t="s">
        <v>2843</v>
      </c>
      <c r="E1211" s="281">
        <v>0</v>
      </c>
      <c r="F1211" s="249">
        <v>500</v>
      </c>
      <c r="G1211" s="165">
        <f t="shared" si="163"/>
        <v>3.2571428571428571</v>
      </c>
      <c r="H1211" s="165">
        <f t="shared" si="164"/>
        <v>6.5142857142857142</v>
      </c>
      <c r="I1211" s="165">
        <f t="shared" si="165"/>
        <v>4.8857142857142852</v>
      </c>
      <c r="J1211" s="166">
        <f t="shared" si="166"/>
        <v>8.1428571428571423</v>
      </c>
      <c r="K1211" s="165">
        <f t="shared" si="167"/>
        <v>8.1428571428571423</v>
      </c>
      <c r="L1211" s="165">
        <f t="shared" si="168"/>
        <v>1.125</v>
      </c>
      <c r="M1211" s="168">
        <f t="shared" si="156"/>
        <v>0</v>
      </c>
      <c r="N1211" s="231" t="s">
        <v>453</v>
      </c>
    </row>
    <row r="1212" spans="1:14" ht="14">
      <c r="A1212" s="149">
        <v>1211</v>
      </c>
      <c r="B1212" s="235" t="s">
        <v>52</v>
      </c>
      <c r="C1212" s="239" t="s">
        <v>10</v>
      </c>
      <c r="D1212" s="250" t="s">
        <v>2844</v>
      </c>
      <c r="E1212" s="281">
        <v>0</v>
      </c>
      <c r="F1212" s="249">
        <v>450</v>
      </c>
      <c r="G1212" s="165">
        <f t="shared" si="163"/>
        <v>2.9714285714285715</v>
      </c>
      <c r="H1212" s="165">
        <f t="shared" si="164"/>
        <v>5.9428571428571431</v>
      </c>
      <c r="I1212" s="165">
        <f t="shared" si="165"/>
        <v>4.4571428571428573</v>
      </c>
      <c r="J1212" s="166">
        <f t="shared" si="166"/>
        <v>7.4285714285714288</v>
      </c>
      <c r="K1212" s="165">
        <f t="shared" si="167"/>
        <v>7.4285714285714288</v>
      </c>
      <c r="L1212" s="165">
        <f t="shared" si="168"/>
        <v>1.1125</v>
      </c>
      <c r="M1212" s="168">
        <f t="shared" si="156"/>
        <v>0</v>
      </c>
      <c r="N1212" s="231" t="s">
        <v>453</v>
      </c>
    </row>
    <row r="1213" spans="1:14" ht="14">
      <c r="A1213" s="149">
        <v>1212</v>
      </c>
      <c r="B1213" s="235" t="s">
        <v>52</v>
      </c>
      <c r="C1213" s="239" t="s">
        <v>10</v>
      </c>
      <c r="D1213" s="250" t="s">
        <v>2845</v>
      </c>
      <c r="E1213" s="281">
        <v>0</v>
      </c>
      <c r="F1213" s="249">
        <v>350</v>
      </c>
      <c r="G1213" s="165">
        <f t="shared" si="163"/>
        <v>2.4000000000000004</v>
      </c>
      <c r="H1213" s="165">
        <f t="shared" si="164"/>
        <v>4.8000000000000007</v>
      </c>
      <c r="I1213" s="165">
        <f t="shared" si="165"/>
        <v>3.5999999999999996</v>
      </c>
      <c r="J1213" s="166">
        <f t="shared" si="166"/>
        <v>6</v>
      </c>
      <c r="K1213" s="165">
        <f t="shared" si="167"/>
        <v>6</v>
      </c>
      <c r="L1213" s="165">
        <f t="shared" si="168"/>
        <v>1.0874999999999999</v>
      </c>
      <c r="M1213" s="168">
        <f t="shared" si="156"/>
        <v>0</v>
      </c>
      <c r="N1213" s="231" t="s">
        <v>453</v>
      </c>
    </row>
    <row r="1214" spans="1:14" ht="14">
      <c r="A1214" s="149">
        <v>1213</v>
      </c>
      <c r="B1214" s="235" t="s">
        <v>52</v>
      </c>
      <c r="C1214" s="239" t="s">
        <v>10</v>
      </c>
      <c r="D1214" s="250" t="s">
        <v>2846</v>
      </c>
      <c r="E1214" s="281">
        <v>0</v>
      </c>
      <c r="F1214" s="249">
        <v>300</v>
      </c>
      <c r="G1214" s="165">
        <f t="shared" si="163"/>
        <v>2.1142857142857143</v>
      </c>
      <c r="H1214" s="165">
        <f t="shared" si="164"/>
        <v>4.2285714285714286</v>
      </c>
      <c r="I1214" s="165">
        <f t="shared" si="165"/>
        <v>3.1714285714285713</v>
      </c>
      <c r="J1214" s="166">
        <f t="shared" si="166"/>
        <v>5.2857142857142856</v>
      </c>
      <c r="K1214" s="165">
        <f t="shared" si="167"/>
        <v>5.2857142857142856</v>
      </c>
      <c r="L1214" s="165">
        <f t="shared" si="168"/>
        <v>1.075</v>
      </c>
      <c r="M1214" s="168">
        <f t="shared" si="156"/>
        <v>0</v>
      </c>
      <c r="N1214" s="231" t="s">
        <v>453</v>
      </c>
    </row>
    <row r="1215" spans="1:14" ht="14">
      <c r="A1215" s="149">
        <v>1214</v>
      </c>
      <c r="B1215" s="235" t="s">
        <v>52</v>
      </c>
      <c r="C1215" s="239" t="s">
        <v>10</v>
      </c>
      <c r="D1215" s="250" t="s">
        <v>2847</v>
      </c>
      <c r="E1215" s="281">
        <v>0</v>
      </c>
      <c r="F1215" s="249">
        <v>300</v>
      </c>
      <c r="G1215" s="165">
        <f t="shared" si="163"/>
        <v>2.1142857142857143</v>
      </c>
      <c r="H1215" s="165">
        <f t="shared" si="164"/>
        <v>4.2285714285714286</v>
      </c>
      <c r="I1215" s="165">
        <f t="shared" si="165"/>
        <v>3.1714285714285713</v>
      </c>
      <c r="J1215" s="166">
        <f t="shared" si="166"/>
        <v>5.2857142857142856</v>
      </c>
      <c r="K1215" s="165">
        <f t="shared" si="167"/>
        <v>5.2857142857142856</v>
      </c>
      <c r="L1215" s="165">
        <f t="shared" si="168"/>
        <v>1.075</v>
      </c>
      <c r="M1215" s="168">
        <f t="shared" si="156"/>
        <v>0</v>
      </c>
      <c r="N1215" s="231" t="s">
        <v>453</v>
      </c>
    </row>
    <row r="1216" spans="1:14" ht="14">
      <c r="A1216" s="149">
        <v>1215</v>
      </c>
      <c r="B1216" s="235" t="s">
        <v>52</v>
      </c>
      <c r="C1216" s="239" t="s">
        <v>10</v>
      </c>
      <c r="D1216" s="250" t="s">
        <v>2848</v>
      </c>
      <c r="E1216" s="281">
        <v>0</v>
      </c>
      <c r="F1216" s="249">
        <v>300</v>
      </c>
      <c r="G1216" s="165">
        <f t="shared" si="163"/>
        <v>2.1142857142857143</v>
      </c>
      <c r="H1216" s="165">
        <f t="shared" si="164"/>
        <v>4.2285714285714286</v>
      </c>
      <c r="I1216" s="165">
        <f t="shared" si="165"/>
        <v>3.1714285714285713</v>
      </c>
      <c r="J1216" s="166">
        <f t="shared" si="166"/>
        <v>5.2857142857142856</v>
      </c>
      <c r="K1216" s="165">
        <f t="shared" si="167"/>
        <v>5.2857142857142856</v>
      </c>
      <c r="L1216" s="165">
        <f t="shared" si="168"/>
        <v>1.075</v>
      </c>
      <c r="M1216" s="168">
        <f t="shared" si="156"/>
        <v>0</v>
      </c>
      <c r="N1216" s="231" t="s">
        <v>453</v>
      </c>
    </row>
    <row r="1217" spans="1:14" ht="14">
      <c r="A1217" s="149">
        <v>1216</v>
      </c>
      <c r="B1217" s="235" t="s">
        <v>52</v>
      </c>
      <c r="C1217" s="239" t="s">
        <v>10</v>
      </c>
      <c r="D1217" s="250" t="s">
        <v>2849</v>
      </c>
      <c r="E1217" s="281">
        <v>0</v>
      </c>
      <c r="F1217" s="249">
        <v>500</v>
      </c>
      <c r="G1217" s="165">
        <f t="shared" si="163"/>
        <v>3.2571428571428571</v>
      </c>
      <c r="H1217" s="165">
        <f t="shared" si="164"/>
        <v>6.5142857142857142</v>
      </c>
      <c r="I1217" s="165">
        <f t="shared" si="165"/>
        <v>4.8857142857142852</v>
      </c>
      <c r="J1217" s="166">
        <f t="shared" si="166"/>
        <v>8.1428571428571423</v>
      </c>
      <c r="K1217" s="165">
        <f t="shared" si="167"/>
        <v>8.1428571428571423</v>
      </c>
      <c r="L1217" s="165">
        <f t="shared" si="168"/>
        <v>1.125</v>
      </c>
      <c r="M1217" s="168">
        <f t="shared" si="156"/>
        <v>0</v>
      </c>
      <c r="N1217" s="231" t="s">
        <v>453</v>
      </c>
    </row>
    <row r="1218" spans="1:14" ht="14">
      <c r="A1218" s="149">
        <v>1217</v>
      </c>
      <c r="B1218" s="235" t="s">
        <v>52</v>
      </c>
      <c r="C1218" s="239" t="s">
        <v>10</v>
      </c>
      <c r="D1218" s="250" t="s">
        <v>2850</v>
      </c>
      <c r="E1218" s="281">
        <v>0</v>
      </c>
      <c r="F1218" s="249">
        <v>850</v>
      </c>
      <c r="G1218" s="165">
        <f t="shared" si="163"/>
        <v>5.2571428571428571</v>
      </c>
      <c r="H1218" s="165">
        <f t="shared" si="164"/>
        <v>10.514285714285714</v>
      </c>
      <c r="I1218" s="165">
        <f t="shared" si="165"/>
        <v>7.8857142857142852</v>
      </c>
      <c r="J1218" s="166">
        <f t="shared" si="166"/>
        <v>13.142857142857142</v>
      </c>
      <c r="K1218" s="165">
        <f t="shared" si="167"/>
        <v>13.142857142857142</v>
      </c>
      <c r="L1218" s="165">
        <f t="shared" si="168"/>
        <v>1.2124999999999999</v>
      </c>
      <c r="M1218" s="168">
        <f t="shared" ref="M1218:M1281" si="169">E1218/60</f>
        <v>0</v>
      </c>
      <c r="N1218" s="231" t="s">
        <v>453</v>
      </c>
    </row>
    <row r="1219" spans="1:14" ht="14">
      <c r="A1219" s="149">
        <v>1218</v>
      </c>
      <c r="B1219" s="235" t="s">
        <v>52</v>
      </c>
      <c r="C1219" s="239" t="s">
        <v>10</v>
      </c>
      <c r="D1219" s="250" t="s">
        <v>2851</v>
      </c>
      <c r="E1219" s="281">
        <v>0</v>
      </c>
      <c r="F1219" s="249">
        <v>150</v>
      </c>
      <c r="G1219" s="165">
        <f t="shared" si="163"/>
        <v>1.2571428571428571</v>
      </c>
      <c r="H1219" s="165">
        <f t="shared" si="164"/>
        <v>2.5142857142857142</v>
      </c>
      <c r="I1219" s="165">
        <f t="shared" si="165"/>
        <v>1.8857142857142857</v>
      </c>
      <c r="J1219" s="166">
        <f t="shared" si="166"/>
        <v>3.1428571428571428</v>
      </c>
      <c r="K1219" s="165">
        <f t="shared" si="167"/>
        <v>3.1428571428571428</v>
      </c>
      <c r="L1219" s="165">
        <f t="shared" si="168"/>
        <v>1.0375000000000001</v>
      </c>
      <c r="M1219" s="168">
        <f t="shared" si="169"/>
        <v>0</v>
      </c>
      <c r="N1219" s="231" t="s">
        <v>453</v>
      </c>
    </row>
    <row r="1220" spans="1:14" ht="14">
      <c r="A1220" s="149">
        <v>1219</v>
      </c>
      <c r="B1220" s="235" t="s">
        <v>52</v>
      </c>
      <c r="C1220" s="239" t="s">
        <v>10</v>
      </c>
      <c r="D1220" s="250" t="s">
        <v>2852</v>
      </c>
      <c r="E1220" s="281">
        <v>0</v>
      </c>
      <c r="F1220" s="249">
        <v>350</v>
      </c>
      <c r="G1220" s="165">
        <f t="shared" si="163"/>
        <v>2.4000000000000004</v>
      </c>
      <c r="H1220" s="165">
        <f t="shared" si="164"/>
        <v>4.8000000000000007</v>
      </c>
      <c r="I1220" s="165">
        <f t="shared" si="165"/>
        <v>3.5999999999999996</v>
      </c>
      <c r="J1220" s="166">
        <f t="shared" si="166"/>
        <v>6</v>
      </c>
      <c r="K1220" s="165">
        <f t="shared" si="167"/>
        <v>6</v>
      </c>
      <c r="L1220" s="165">
        <f t="shared" si="168"/>
        <v>1.0874999999999999</v>
      </c>
      <c r="M1220" s="168">
        <f t="shared" si="169"/>
        <v>0</v>
      </c>
      <c r="N1220" s="231" t="s">
        <v>453</v>
      </c>
    </row>
    <row r="1221" spans="1:14" ht="14">
      <c r="A1221" s="149">
        <v>1220</v>
      </c>
      <c r="B1221" s="235" t="s">
        <v>52</v>
      </c>
      <c r="C1221" s="239" t="s">
        <v>10</v>
      </c>
      <c r="D1221" s="250" t="s">
        <v>2854</v>
      </c>
      <c r="E1221" s="281">
        <v>0</v>
      </c>
      <c r="F1221" s="249">
        <v>350</v>
      </c>
      <c r="G1221" s="165">
        <f t="shared" si="163"/>
        <v>2.4000000000000004</v>
      </c>
      <c r="H1221" s="165">
        <f t="shared" si="164"/>
        <v>4.8000000000000007</v>
      </c>
      <c r="I1221" s="165">
        <f t="shared" si="165"/>
        <v>3.5999999999999996</v>
      </c>
      <c r="J1221" s="166">
        <f t="shared" si="166"/>
        <v>6</v>
      </c>
      <c r="K1221" s="165">
        <f t="shared" si="167"/>
        <v>6</v>
      </c>
      <c r="L1221" s="165">
        <f t="shared" si="168"/>
        <v>1.0874999999999999</v>
      </c>
      <c r="M1221" s="168">
        <f t="shared" si="169"/>
        <v>0</v>
      </c>
      <c r="N1221" s="231" t="s">
        <v>453</v>
      </c>
    </row>
    <row r="1222" spans="1:14" ht="14">
      <c r="A1222" s="149">
        <v>1221</v>
      </c>
      <c r="B1222" s="235" t="s">
        <v>52</v>
      </c>
      <c r="C1222" s="239" t="s">
        <v>10</v>
      </c>
      <c r="D1222" s="250" t="s">
        <v>2855</v>
      </c>
      <c r="E1222" s="281">
        <v>0</v>
      </c>
      <c r="F1222" s="249">
        <v>300</v>
      </c>
      <c r="G1222" s="165">
        <f t="shared" si="163"/>
        <v>2.1142857142857143</v>
      </c>
      <c r="H1222" s="165">
        <f t="shared" si="164"/>
        <v>4.2285714285714286</v>
      </c>
      <c r="I1222" s="165">
        <f t="shared" si="165"/>
        <v>3.1714285714285713</v>
      </c>
      <c r="J1222" s="166">
        <f t="shared" si="166"/>
        <v>5.2857142857142856</v>
      </c>
      <c r="K1222" s="165">
        <f t="shared" si="167"/>
        <v>5.2857142857142856</v>
      </c>
      <c r="L1222" s="165">
        <f t="shared" si="168"/>
        <v>1.075</v>
      </c>
      <c r="M1222" s="168">
        <f t="shared" si="169"/>
        <v>0</v>
      </c>
      <c r="N1222" s="231" t="s">
        <v>453</v>
      </c>
    </row>
    <row r="1223" spans="1:14" ht="14">
      <c r="A1223" s="149">
        <v>1222</v>
      </c>
      <c r="B1223" s="235" t="s">
        <v>52</v>
      </c>
      <c r="C1223" s="239" t="s">
        <v>10</v>
      </c>
      <c r="D1223" s="250" t="s">
        <v>2856</v>
      </c>
      <c r="E1223" s="281">
        <v>0</v>
      </c>
      <c r="F1223" s="249">
        <v>300</v>
      </c>
      <c r="G1223" s="165">
        <f t="shared" si="163"/>
        <v>2.1142857142857143</v>
      </c>
      <c r="H1223" s="165">
        <f t="shared" si="164"/>
        <v>4.2285714285714286</v>
      </c>
      <c r="I1223" s="165">
        <f t="shared" si="165"/>
        <v>3.1714285714285713</v>
      </c>
      <c r="J1223" s="166">
        <f t="shared" si="166"/>
        <v>5.2857142857142856</v>
      </c>
      <c r="K1223" s="165">
        <f t="shared" si="167"/>
        <v>5.2857142857142856</v>
      </c>
      <c r="L1223" s="165">
        <f t="shared" si="168"/>
        <v>1.075</v>
      </c>
      <c r="M1223" s="168">
        <f t="shared" si="169"/>
        <v>0</v>
      </c>
      <c r="N1223" s="231" t="s">
        <v>453</v>
      </c>
    </row>
    <row r="1224" spans="1:14" ht="14">
      <c r="A1224" s="149">
        <v>1223</v>
      </c>
      <c r="B1224" s="235" t="s">
        <v>49</v>
      </c>
      <c r="C1224" s="239" t="s">
        <v>10</v>
      </c>
      <c r="D1224" s="250" t="s">
        <v>2857</v>
      </c>
      <c r="E1224" s="281">
        <v>0</v>
      </c>
      <c r="F1224" s="249">
        <v>500</v>
      </c>
      <c r="G1224" s="165">
        <f t="shared" si="163"/>
        <v>3.2571428571428571</v>
      </c>
      <c r="H1224" s="165">
        <f t="shared" si="164"/>
        <v>6.5142857142857142</v>
      </c>
      <c r="I1224" s="165">
        <f t="shared" si="165"/>
        <v>4.8857142857142852</v>
      </c>
      <c r="J1224" s="166">
        <f t="shared" si="166"/>
        <v>8.1428571428571423</v>
      </c>
      <c r="K1224" s="165">
        <f t="shared" si="167"/>
        <v>8.1428571428571423</v>
      </c>
      <c r="L1224" s="165">
        <f t="shared" si="168"/>
        <v>1.125</v>
      </c>
      <c r="M1224" s="168">
        <f t="shared" si="169"/>
        <v>0</v>
      </c>
      <c r="N1224" s="231" t="s">
        <v>453</v>
      </c>
    </row>
    <row r="1225" spans="1:14" ht="14">
      <c r="A1225" s="149">
        <v>1224</v>
      </c>
      <c r="B1225" s="235" t="s">
        <v>52</v>
      </c>
      <c r="C1225" s="239" t="s">
        <v>10</v>
      </c>
      <c r="D1225" s="250" t="s">
        <v>2858</v>
      </c>
      <c r="E1225" s="281">
        <v>0</v>
      </c>
      <c r="F1225" s="249">
        <v>1800</v>
      </c>
      <c r="G1225" s="165">
        <f t="shared" si="163"/>
        <v>10.685714285714287</v>
      </c>
      <c r="H1225" s="165">
        <f t="shared" si="164"/>
        <v>21.371428571428574</v>
      </c>
      <c r="I1225" s="165">
        <f t="shared" si="165"/>
        <v>16.028571428571428</v>
      </c>
      <c r="J1225" s="166">
        <f t="shared" si="166"/>
        <v>26.714285714285715</v>
      </c>
      <c r="K1225" s="165">
        <f t="shared" si="167"/>
        <v>26.714285714285715</v>
      </c>
      <c r="L1225" s="165">
        <f t="shared" si="168"/>
        <v>1.45</v>
      </c>
      <c r="M1225" s="168">
        <f t="shared" si="169"/>
        <v>0</v>
      </c>
      <c r="N1225" s="231" t="s">
        <v>453</v>
      </c>
    </row>
    <row r="1226" spans="1:14" ht="14">
      <c r="A1226" s="149">
        <v>1225</v>
      </c>
      <c r="B1226" s="235" t="s">
        <v>52</v>
      </c>
      <c r="C1226" s="239" t="s">
        <v>10</v>
      </c>
      <c r="D1226" s="250" t="s">
        <v>2860</v>
      </c>
      <c r="E1226" s="281">
        <v>0</v>
      </c>
      <c r="F1226" s="249">
        <v>500</v>
      </c>
      <c r="G1226" s="165">
        <f t="shared" si="163"/>
        <v>3.2571428571428571</v>
      </c>
      <c r="H1226" s="165">
        <f t="shared" si="164"/>
        <v>6.5142857142857142</v>
      </c>
      <c r="I1226" s="165">
        <f t="shared" si="165"/>
        <v>4.8857142857142852</v>
      </c>
      <c r="J1226" s="166">
        <f t="shared" si="166"/>
        <v>8.1428571428571423</v>
      </c>
      <c r="K1226" s="165">
        <f t="shared" si="167"/>
        <v>8.1428571428571423</v>
      </c>
      <c r="L1226" s="165">
        <f t="shared" si="168"/>
        <v>1.125</v>
      </c>
      <c r="M1226" s="168">
        <f t="shared" si="169"/>
        <v>0</v>
      </c>
      <c r="N1226" s="231" t="s">
        <v>453</v>
      </c>
    </row>
    <row r="1227" spans="1:14" ht="14">
      <c r="A1227" s="149">
        <v>1226</v>
      </c>
      <c r="B1227" s="235" t="s">
        <v>52</v>
      </c>
      <c r="C1227" s="239" t="s">
        <v>10</v>
      </c>
      <c r="D1227" s="250" t="s">
        <v>2861</v>
      </c>
      <c r="E1227" s="281">
        <v>0</v>
      </c>
      <c r="F1227" s="249">
        <v>400</v>
      </c>
      <c r="G1227" s="165">
        <f t="shared" si="163"/>
        <v>2.6857142857142859</v>
      </c>
      <c r="H1227" s="165">
        <f t="shared" si="164"/>
        <v>5.3714285714285719</v>
      </c>
      <c r="I1227" s="165">
        <f t="shared" si="165"/>
        <v>4.0285714285714285</v>
      </c>
      <c r="J1227" s="166">
        <f t="shared" si="166"/>
        <v>6.7142857142857144</v>
      </c>
      <c r="K1227" s="165">
        <f t="shared" si="167"/>
        <v>6.7142857142857144</v>
      </c>
      <c r="L1227" s="165">
        <f t="shared" si="168"/>
        <v>1.1000000000000001</v>
      </c>
      <c r="M1227" s="168">
        <f t="shared" si="169"/>
        <v>0</v>
      </c>
      <c r="N1227" s="231" t="s">
        <v>453</v>
      </c>
    </row>
    <row r="1228" spans="1:14" ht="14">
      <c r="A1228" s="149">
        <v>1227</v>
      </c>
      <c r="B1228" s="235" t="s">
        <v>52</v>
      </c>
      <c r="C1228" s="239" t="s">
        <v>10</v>
      </c>
      <c r="D1228" s="250" t="s">
        <v>2862</v>
      </c>
      <c r="E1228" s="281">
        <v>0</v>
      </c>
      <c r="F1228" s="249">
        <v>250</v>
      </c>
      <c r="G1228" s="165">
        <f t="shared" si="163"/>
        <v>1.8285714285714285</v>
      </c>
      <c r="H1228" s="165">
        <f t="shared" si="164"/>
        <v>3.657142857142857</v>
      </c>
      <c r="I1228" s="165">
        <f t="shared" si="165"/>
        <v>2.7428571428571424</v>
      </c>
      <c r="J1228" s="166">
        <f t="shared" si="166"/>
        <v>4.5714285714285712</v>
      </c>
      <c r="K1228" s="165">
        <f t="shared" si="167"/>
        <v>4.5714285714285712</v>
      </c>
      <c r="L1228" s="165">
        <f t="shared" si="168"/>
        <v>1.0625</v>
      </c>
      <c r="M1228" s="168">
        <f t="shared" si="169"/>
        <v>0</v>
      </c>
      <c r="N1228" s="231" t="s">
        <v>453</v>
      </c>
    </row>
    <row r="1229" spans="1:14" ht="14">
      <c r="A1229" s="149">
        <v>1228</v>
      </c>
      <c r="B1229" s="235" t="s">
        <v>52</v>
      </c>
      <c r="C1229" s="239" t="s">
        <v>10</v>
      </c>
      <c r="D1229" s="250" t="s">
        <v>2863</v>
      </c>
      <c r="E1229" s="281">
        <v>0</v>
      </c>
      <c r="F1229" s="249">
        <v>350</v>
      </c>
      <c r="G1229" s="165">
        <f t="shared" si="163"/>
        <v>2.4000000000000004</v>
      </c>
      <c r="H1229" s="165">
        <f t="shared" si="164"/>
        <v>4.8000000000000007</v>
      </c>
      <c r="I1229" s="165">
        <f t="shared" si="165"/>
        <v>3.5999999999999996</v>
      </c>
      <c r="J1229" s="166">
        <f t="shared" si="166"/>
        <v>6</v>
      </c>
      <c r="K1229" s="165">
        <f t="shared" si="167"/>
        <v>6</v>
      </c>
      <c r="L1229" s="165">
        <f t="shared" si="168"/>
        <v>1.0874999999999999</v>
      </c>
      <c r="M1229" s="168">
        <f t="shared" si="169"/>
        <v>0</v>
      </c>
      <c r="N1229" s="231" t="s">
        <v>453</v>
      </c>
    </row>
    <row r="1230" spans="1:14" ht="14">
      <c r="A1230" s="149">
        <v>1229</v>
      </c>
      <c r="B1230" s="258" t="s">
        <v>59</v>
      </c>
      <c r="C1230" s="239" t="s">
        <v>11</v>
      </c>
      <c r="D1230" s="250" t="s">
        <v>2864</v>
      </c>
      <c r="E1230" s="281">
        <v>0</v>
      </c>
      <c r="F1230" s="249">
        <v>0</v>
      </c>
      <c r="G1230" s="165">
        <f t="shared" ref="G1230:G1293" si="170">(((F1230/70)+1)*0.4)</f>
        <v>0.4</v>
      </c>
      <c r="H1230" s="165">
        <f t="shared" ref="H1230:H1293" si="171">G1230*2</f>
        <v>0.8</v>
      </c>
      <c r="I1230" s="165">
        <f t="shared" ref="I1230:I1293" si="172">(((F1230/70)+1)*0.6)</f>
        <v>0.6</v>
      </c>
      <c r="J1230" s="166">
        <f t="shared" ref="J1230:J1293" si="173">I1230+G1230</f>
        <v>1</v>
      </c>
      <c r="K1230" s="165">
        <f t="shared" ref="K1230:K1293" si="174">J1230</f>
        <v>1</v>
      </c>
      <c r="L1230" s="165">
        <f t="shared" ref="L1230:L1293" si="175">(F1230/4000)+1</f>
        <v>1</v>
      </c>
      <c r="M1230" s="168">
        <f t="shared" si="169"/>
        <v>0</v>
      </c>
      <c r="N1230" s="231" t="s">
        <v>453</v>
      </c>
    </row>
    <row r="1231" spans="1:14" ht="14">
      <c r="A1231" s="149">
        <v>1230</v>
      </c>
      <c r="B1231" s="235" t="s">
        <v>52</v>
      </c>
      <c r="C1231" s="239" t="s">
        <v>10</v>
      </c>
      <c r="D1231" s="250" t="s">
        <v>2865</v>
      </c>
      <c r="E1231" s="281">
        <v>0</v>
      </c>
      <c r="F1231" s="249">
        <v>300</v>
      </c>
      <c r="G1231" s="165">
        <f t="shared" si="170"/>
        <v>2.1142857142857143</v>
      </c>
      <c r="H1231" s="165">
        <f t="shared" si="171"/>
        <v>4.2285714285714286</v>
      </c>
      <c r="I1231" s="165">
        <f t="shared" si="172"/>
        <v>3.1714285714285713</v>
      </c>
      <c r="J1231" s="166">
        <f t="shared" si="173"/>
        <v>5.2857142857142856</v>
      </c>
      <c r="K1231" s="165">
        <f t="shared" si="174"/>
        <v>5.2857142857142856</v>
      </c>
      <c r="L1231" s="165">
        <f t="shared" si="175"/>
        <v>1.075</v>
      </c>
      <c r="M1231" s="168">
        <f t="shared" si="169"/>
        <v>0</v>
      </c>
      <c r="N1231" s="231" t="s">
        <v>453</v>
      </c>
    </row>
    <row r="1232" spans="1:14" ht="14">
      <c r="A1232" s="149">
        <v>1231</v>
      </c>
      <c r="B1232" s="235" t="s">
        <v>52</v>
      </c>
      <c r="C1232" s="239" t="s">
        <v>10</v>
      </c>
      <c r="D1232" s="250" t="s">
        <v>2866</v>
      </c>
      <c r="E1232" s="281">
        <v>0</v>
      </c>
      <c r="F1232" s="249">
        <v>350</v>
      </c>
      <c r="G1232" s="165">
        <f t="shared" si="170"/>
        <v>2.4000000000000004</v>
      </c>
      <c r="H1232" s="165">
        <f t="shared" si="171"/>
        <v>4.8000000000000007</v>
      </c>
      <c r="I1232" s="165">
        <f t="shared" si="172"/>
        <v>3.5999999999999996</v>
      </c>
      <c r="J1232" s="166">
        <f t="shared" si="173"/>
        <v>6</v>
      </c>
      <c r="K1232" s="165">
        <f t="shared" si="174"/>
        <v>6</v>
      </c>
      <c r="L1232" s="165">
        <f t="shared" si="175"/>
        <v>1.0874999999999999</v>
      </c>
      <c r="M1232" s="168">
        <f t="shared" si="169"/>
        <v>0</v>
      </c>
      <c r="N1232" s="231" t="s">
        <v>453</v>
      </c>
    </row>
    <row r="1233" spans="1:14" ht="14">
      <c r="A1233" s="149">
        <v>1232</v>
      </c>
      <c r="B1233" s="235" t="s">
        <v>52</v>
      </c>
      <c r="C1233" s="239" t="s">
        <v>10</v>
      </c>
      <c r="D1233" s="250" t="s">
        <v>2867</v>
      </c>
      <c r="E1233" s="281">
        <v>0</v>
      </c>
      <c r="F1233" s="249">
        <v>350</v>
      </c>
      <c r="G1233" s="165">
        <f t="shared" si="170"/>
        <v>2.4000000000000004</v>
      </c>
      <c r="H1233" s="165">
        <f t="shared" si="171"/>
        <v>4.8000000000000007</v>
      </c>
      <c r="I1233" s="165">
        <f t="shared" si="172"/>
        <v>3.5999999999999996</v>
      </c>
      <c r="J1233" s="166">
        <f t="shared" si="173"/>
        <v>6</v>
      </c>
      <c r="K1233" s="165">
        <f t="shared" si="174"/>
        <v>6</v>
      </c>
      <c r="L1233" s="165">
        <f t="shared" si="175"/>
        <v>1.0874999999999999</v>
      </c>
      <c r="M1233" s="168">
        <f t="shared" si="169"/>
        <v>0</v>
      </c>
      <c r="N1233" s="231" t="s">
        <v>453</v>
      </c>
    </row>
    <row r="1234" spans="1:14" ht="14">
      <c r="A1234" s="149">
        <v>1233</v>
      </c>
      <c r="B1234" s="235" t="s">
        <v>52</v>
      </c>
      <c r="C1234" s="239" t="s">
        <v>10</v>
      </c>
      <c r="D1234" s="250" t="s">
        <v>2868</v>
      </c>
      <c r="E1234" s="281">
        <v>0</v>
      </c>
      <c r="F1234" s="249">
        <v>150</v>
      </c>
      <c r="G1234" s="165">
        <f t="shared" si="170"/>
        <v>1.2571428571428571</v>
      </c>
      <c r="H1234" s="165">
        <f t="shared" si="171"/>
        <v>2.5142857142857142</v>
      </c>
      <c r="I1234" s="165">
        <f t="shared" si="172"/>
        <v>1.8857142857142857</v>
      </c>
      <c r="J1234" s="166">
        <f t="shared" si="173"/>
        <v>3.1428571428571428</v>
      </c>
      <c r="K1234" s="165">
        <f t="shared" si="174"/>
        <v>3.1428571428571428</v>
      </c>
      <c r="L1234" s="165">
        <f t="shared" si="175"/>
        <v>1.0375000000000001</v>
      </c>
      <c r="M1234" s="168">
        <f t="shared" si="169"/>
        <v>0</v>
      </c>
      <c r="N1234" s="231" t="s">
        <v>453</v>
      </c>
    </row>
    <row r="1235" spans="1:14" ht="14">
      <c r="A1235" s="149">
        <v>1234</v>
      </c>
      <c r="B1235" s="235" t="s">
        <v>52</v>
      </c>
      <c r="C1235" s="239" t="s">
        <v>10</v>
      </c>
      <c r="D1235" s="250" t="s">
        <v>2869</v>
      </c>
      <c r="E1235" s="281">
        <v>0</v>
      </c>
      <c r="F1235" s="249">
        <v>250</v>
      </c>
      <c r="G1235" s="165">
        <f t="shared" si="170"/>
        <v>1.8285714285714285</v>
      </c>
      <c r="H1235" s="165">
        <f t="shared" si="171"/>
        <v>3.657142857142857</v>
      </c>
      <c r="I1235" s="165">
        <f t="shared" si="172"/>
        <v>2.7428571428571424</v>
      </c>
      <c r="J1235" s="166">
        <f t="shared" si="173"/>
        <v>4.5714285714285712</v>
      </c>
      <c r="K1235" s="165">
        <f t="shared" si="174"/>
        <v>4.5714285714285712</v>
      </c>
      <c r="L1235" s="165">
        <f t="shared" si="175"/>
        <v>1.0625</v>
      </c>
      <c r="M1235" s="168">
        <f t="shared" si="169"/>
        <v>0</v>
      </c>
      <c r="N1235" s="231" t="s">
        <v>453</v>
      </c>
    </row>
    <row r="1236" spans="1:14" ht="14">
      <c r="A1236" s="149">
        <v>1235</v>
      </c>
      <c r="B1236" s="235" t="s">
        <v>52</v>
      </c>
      <c r="C1236" s="239" t="s">
        <v>10</v>
      </c>
      <c r="D1236" s="250" t="s">
        <v>2870</v>
      </c>
      <c r="E1236" s="281">
        <v>0</v>
      </c>
      <c r="F1236" s="249">
        <v>250</v>
      </c>
      <c r="G1236" s="165">
        <f t="shared" si="170"/>
        <v>1.8285714285714285</v>
      </c>
      <c r="H1236" s="165">
        <f t="shared" si="171"/>
        <v>3.657142857142857</v>
      </c>
      <c r="I1236" s="165">
        <f t="shared" si="172"/>
        <v>2.7428571428571424</v>
      </c>
      <c r="J1236" s="166">
        <f t="shared" si="173"/>
        <v>4.5714285714285712</v>
      </c>
      <c r="K1236" s="165">
        <f t="shared" si="174"/>
        <v>4.5714285714285712</v>
      </c>
      <c r="L1236" s="165">
        <f t="shared" si="175"/>
        <v>1.0625</v>
      </c>
      <c r="M1236" s="168">
        <f t="shared" si="169"/>
        <v>0</v>
      </c>
      <c r="N1236" s="231" t="s">
        <v>453</v>
      </c>
    </row>
    <row r="1237" spans="1:14" ht="14">
      <c r="A1237" s="149">
        <v>1236</v>
      </c>
      <c r="B1237" s="235" t="s">
        <v>51</v>
      </c>
      <c r="C1237" s="239" t="s">
        <v>10</v>
      </c>
      <c r="D1237" s="250" t="s">
        <v>2871</v>
      </c>
      <c r="E1237" s="281">
        <v>0</v>
      </c>
      <c r="F1237" s="249">
        <v>350</v>
      </c>
      <c r="G1237" s="165">
        <f t="shared" si="170"/>
        <v>2.4000000000000004</v>
      </c>
      <c r="H1237" s="165">
        <f t="shared" si="171"/>
        <v>4.8000000000000007</v>
      </c>
      <c r="I1237" s="165">
        <f t="shared" si="172"/>
        <v>3.5999999999999996</v>
      </c>
      <c r="J1237" s="166">
        <f t="shared" si="173"/>
        <v>6</v>
      </c>
      <c r="K1237" s="165">
        <f t="shared" si="174"/>
        <v>6</v>
      </c>
      <c r="L1237" s="165">
        <f t="shared" si="175"/>
        <v>1.0874999999999999</v>
      </c>
      <c r="M1237" s="168">
        <f t="shared" si="169"/>
        <v>0</v>
      </c>
      <c r="N1237" s="231" t="s">
        <v>453</v>
      </c>
    </row>
    <row r="1238" spans="1:14" ht="14">
      <c r="A1238" s="149">
        <v>1237</v>
      </c>
      <c r="B1238" s="235" t="s">
        <v>52</v>
      </c>
      <c r="C1238" s="239" t="s">
        <v>10</v>
      </c>
      <c r="D1238" s="250" t="s">
        <v>2872</v>
      </c>
      <c r="E1238" s="281">
        <v>0</v>
      </c>
      <c r="F1238" s="249">
        <v>300</v>
      </c>
      <c r="G1238" s="165">
        <f t="shared" si="170"/>
        <v>2.1142857142857143</v>
      </c>
      <c r="H1238" s="165">
        <f t="shared" si="171"/>
        <v>4.2285714285714286</v>
      </c>
      <c r="I1238" s="165">
        <f t="shared" si="172"/>
        <v>3.1714285714285713</v>
      </c>
      <c r="J1238" s="166">
        <f t="shared" si="173"/>
        <v>5.2857142857142856</v>
      </c>
      <c r="K1238" s="165">
        <f t="shared" si="174"/>
        <v>5.2857142857142856</v>
      </c>
      <c r="L1238" s="165">
        <f t="shared" si="175"/>
        <v>1.075</v>
      </c>
      <c r="M1238" s="168">
        <f t="shared" si="169"/>
        <v>0</v>
      </c>
      <c r="N1238" s="231" t="s">
        <v>453</v>
      </c>
    </row>
    <row r="1239" spans="1:14" ht="14">
      <c r="A1239" s="149">
        <v>1238</v>
      </c>
      <c r="B1239" s="235" t="s">
        <v>52</v>
      </c>
      <c r="C1239" s="239" t="s">
        <v>10</v>
      </c>
      <c r="D1239" s="250" t="s">
        <v>2873</v>
      </c>
      <c r="E1239" s="281">
        <v>0</v>
      </c>
      <c r="F1239" s="249">
        <v>600</v>
      </c>
      <c r="G1239" s="165">
        <f t="shared" si="170"/>
        <v>3.8285714285714287</v>
      </c>
      <c r="H1239" s="165">
        <f t="shared" si="171"/>
        <v>7.6571428571428575</v>
      </c>
      <c r="I1239" s="165">
        <f t="shared" si="172"/>
        <v>5.7428571428571429</v>
      </c>
      <c r="J1239" s="166">
        <f t="shared" si="173"/>
        <v>9.5714285714285712</v>
      </c>
      <c r="K1239" s="165">
        <f t="shared" si="174"/>
        <v>9.5714285714285712</v>
      </c>
      <c r="L1239" s="165">
        <f t="shared" si="175"/>
        <v>1.1499999999999999</v>
      </c>
      <c r="M1239" s="168">
        <f t="shared" si="169"/>
        <v>0</v>
      </c>
      <c r="N1239" s="231" t="s">
        <v>453</v>
      </c>
    </row>
    <row r="1240" spans="1:14" ht="14">
      <c r="A1240" s="149">
        <v>1239</v>
      </c>
      <c r="B1240" s="235" t="s">
        <v>52</v>
      </c>
      <c r="C1240" s="239" t="s">
        <v>10</v>
      </c>
      <c r="D1240" s="250" t="s">
        <v>2874</v>
      </c>
      <c r="E1240" s="281">
        <v>0</v>
      </c>
      <c r="F1240" s="249">
        <v>300</v>
      </c>
      <c r="G1240" s="165">
        <f t="shared" si="170"/>
        <v>2.1142857142857143</v>
      </c>
      <c r="H1240" s="165">
        <f t="shared" si="171"/>
        <v>4.2285714285714286</v>
      </c>
      <c r="I1240" s="165">
        <f t="shared" si="172"/>
        <v>3.1714285714285713</v>
      </c>
      <c r="J1240" s="166">
        <f t="shared" si="173"/>
        <v>5.2857142857142856</v>
      </c>
      <c r="K1240" s="165">
        <f t="shared" si="174"/>
        <v>5.2857142857142856</v>
      </c>
      <c r="L1240" s="165">
        <f t="shared" si="175"/>
        <v>1.075</v>
      </c>
      <c r="M1240" s="168">
        <f t="shared" si="169"/>
        <v>0</v>
      </c>
      <c r="N1240" s="231" t="s">
        <v>453</v>
      </c>
    </row>
    <row r="1241" spans="1:14" ht="14">
      <c r="A1241" s="149">
        <v>1240</v>
      </c>
      <c r="B1241" s="235" t="s">
        <v>52</v>
      </c>
      <c r="C1241" s="239" t="s">
        <v>10</v>
      </c>
      <c r="D1241" s="250" t="s">
        <v>2876</v>
      </c>
      <c r="E1241" s="281">
        <v>0</v>
      </c>
      <c r="F1241" s="249">
        <v>1500</v>
      </c>
      <c r="G1241" s="165">
        <f t="shared" si="170"/>
        <v>8.9714285714285715</v>
      </c>
      <c r="H1241" s="165">
        <f t="shared" si="171"/>
        <v>17.942857142857143</v>
      </c>
      <c r="I1241" s="165">
        <f t="shared" si="172"/>
        <v>13.457142857142856</v>
      </c>
      <c r="J1241" s="166">
        <f t="shared" si="173"/>
        <v>22.428571428571427</v>
      </c>
      <c r="K1241" s="165">
        <f t="shared" si="174"/>
        <v>22.428571428571427</v>
      </c>
      <c r="L1241" s="165">
        <f t="shared" si="175"/>
        <v>1.375</v>
      </c>
      <c r="M1241" s="168">
        <f t="shared" si="169"/>
        <v>0</v>
      </c>
      <c r="N1241" s="231" t="s">
        <v>453</v>
      </c>
    </row>
    <row r="1242" spans="1:14" ht="14">
      <c r="A1242" s="149">
        <v>1241</v>
      </c>
      <c r="B1242" s="235" t="s">
        <v>52</v>
      </c>
      <c r="C1242" s="239" t="s">
        <v>10</v>
      </c>
      <c r="D1242" s="250" t="s">
        <v>2878</v>
      </c>
      <c r="E1242" s="281">
        <v>0</v>
      </c>
      <c r="F1242" s="249">
        <v>350</v>
      </c>
      <c r="G1242" s="165">
        <f t="shared" si="170"/>
        <v>2.4000000000000004</v>
      </c>
      <c r="H1242" s="165">
        <f t="shared" si="171"/>
        <v>4.8000000000000007</v>
      </c>
      <c r="I1242" s="165">
        <f t="shared" si="172"/>
        <v>3.5999999999999996</v>
      </c>
      <c r="J1242" s="166">
        <f t="shared" si="173"/>
        <v>6</v>
      </c>
      <c r="K1242" s="165">
        <f t="shared" si="174"/>
        <v>6</v>
      </c>
      <c r="L1242" s="165">
        <f t="shared" si="175"/>
        <v>1.0874999999999999</v>
      </c>
      <c r="M1242" s="168">
        <f t="shared" si="169"/>
        <v>0</v>
      </c>
      <c r="N1242" s="231" t="s">
        <v>453</v>
      </c>
    </row>
    <row r="1243" spans="1:14" ht="14">
      <c r="A1243" s="149">
        <v>1242</v>
      </c>
      <c r="B1243" s="235" t="s">
        <v>52</v>
      </c>
      <c r="C1243" s="231" t="s">
        <v>10</v>
      </c>
      <c r="D1243" s="250" t="s">
        <v>2879</v>
      </c>
      <c r="E1243" s="281">
        <v>0</v>
      </c>
      <c r="F1243" s="249">
        <v>350</v>
      </c>
      <c r="G1243" s="165">
        <f t="shared" si="170"/>
        <v>2.4000000000000004</v>
      </c>
      <c r="H1243" s="165">
        <f t="shared" si="171"/>
        <v>4.8000000000000007</v>
      </c>
      <c r="I1243" s="165">
        <f t="shared" si="172"/>
        <v>3.5999999999999996</v>
      </c>
      <c r="J1243" s="166">
        <f t="shared" si="173"/>
        <v>6</v>
      </c>
      <c r="K1243" s="165">
        <f t="shared" si="174"/>
        <v>6</v>
      </c>
      <c r="L1243" s="165">
        <f t="shared" si="175"/>
        <v>1.0874999999999999</v>
      </c>
      <c r="M1243" s="168">
        <f t="shared" si="169"/>
        <v>0</v>
      </c>
      <c r="N1243" s="231" t="s">
        <v>453</v>
      </c>
    </row>
    <row r="1244" spans="1:14" ht="14">
      <c r="A1244" s="149">
        <v>1243</v>
      </c>
      <c r="B1244" s="235" t="s">
        <v>52</v>
      </c>
      <c r="C1244" s="231" t="s">
        <v>10</v>
      </c>
      <c r="D1244" s="250" t="s">
        <v>2880</v>
      </c>
      <c r="E1244" s="281">
        <v>0</v>
      </c>
      <c r="F1244" s="249">
        <v>350</v>
      </c>
      <c r="G1244" s="165">
        <f t="shared" si="170"/>
        <v>2.4000000000000004</v>
      </c>
      <c r="H1244" s="165">
        <f t="shared" si="171"/>
        <v>4.8000000000000007</v>
      </c>
      <c r="I1244" s="165">
        <f t="shared" si="172"/>
        <v>3.5999999999999996</v>
      </c>
      <c r="J1244" s="166">
        <f t="shared" si="173"/>
        <v>6</v>
      </c>
      <c r="K1244" s="165">
        <f t="shared" si="174"/>
        <v>6</v>
      </c>
      <c r="L1244" s="165">
        <f t="shared" si="175"/>
        <v>1.0874999999999999</v>
      </c>
      <c r="M1244" s="168">
        <f t="shared" si="169"/>
        <v>0</v>
      </c>
      <c r="N1244" s="231" t="s">
        <v>453</v>
      </c>
    </row>
    <row r="1245" spans="1:14" ht="14">
      <c r="A1245" s="149">
        <v>1244</v>
      </c>
      <c r="B1245" s="235" t="s">
        <v>52</v>
      </c>
      <c r="C1245" s="231" t="s">
        <v>10</v>
      </c>
      <c r="D1245" s="250" t="s">
        <v>2881</v>
      </c>
      <c r="E1245" s="281">
        <v>0</v>
      </c>
      <c r="F1245" s="249">
        <v>500</v>
      </c>
      <c r="G1245" s="165">
        <f t="shared" si="170"/>
        <v>3.2571428571428571</v>
      </c>
      <c r="H1245" s="165">
        <f t="shared" si="171"/>
        <v>6.5142857142857142</v>
      </c>
      <c r="I1245" s="165">
        <f t="shared" si="172"/>
        <v>4.8857142857142852</v>
      </c>
      <c r="J1245" s="166">
        <f t="shared" si="173"/>
        <v>8.1428571428571423</v>
      </c>
      <c r="K1245" s="165">
        <f t="shared" si="174"/>
        <v>8.1428571428571423</v>
      </c>
      <c r="L1245" s="165">
        <f t="shared" si="175"/>
        <v>1.125</v>
      </c>
      <c r="M1245" s="168">
        <f t="shared" si="169"/>
        <v>0</v>
      </c>
      <c r="N1245" s="231" t="s">
        <v>453</v>
      </c>
    </row>
    <row r="1246" spans="1:14" ht="14">
      <c r="A1246" s="149">
        <v>1245</v>
      </c>
      <c r="B1246" s="235" t="s">
        <v>52</v>
      </c>
      <c r="C1246" s="231" t="s">
        <v>10</v>
      </c>
      <c r="D1246" s="250" t="s">
        <v>2882</v>
      </c>
      <c r="E1246" s="281">
        <v>0</v>
      </c>
      <c r="F1246" s="249">
        <v>500</v>
      </c>
      <c r="G1246" s="165">
        <f t="shared" si="170"/>
        <v>3.2571428571428571</v>
      </c>
      <c r="H1246" s="165">
        <f t="shared" si="171"/>
        <v>6.5142857142857142</v>
      </c>
      <c r="I1246" s="165">
        <f t="shared" si="172"/>
        <v>4.8857142857142852</v>
      </c>
      <c r="J1246" s="166">
        <f t="shared" si="173"/>
        <v>8.1428571428571423</v>
      </c>
      <c r="K1246" s="165">
        <f t="shared" si="174"/>
        <v>8.1428571428571423</v>
      </c>
      <c r="L1246" s="165">
        <f t="shared" si="175"/>
        <v>1.125</v>
      </c>
      <c r="M1246" s="168">
        <f t="shared" si="169"/>
        <v>0</v>
      </c>
      <c r="N1246" s="231" t="s">
        <v>453</v>
      </c>
    </row>
    <row r="1247" spans="1:14" ht="14">
      <c r="A1247" s="149">
        <v>1246</v>
      </c>
      <c r="B1247" s="235" t="s">
        <v>52</v>
      </c>
      <c r="C1247" s="231" t="s">
        <v>10</v>
      </c>
      <c r="D1247" s="250" t="s">
        <v>2883</v>
      </c>
      <c r="E1247" s="281">
        <v>0</v>
      </c>
      <c r="F1247" s="249">
        <v>300</v>
      </c>
      <c r="G1247" s="165">
        <f t="shared" si="170"/>
        <v>2.1142857142857143</v>
      </c>
      <c r="H1247" s="165">
        <f t="shared" si="171"/>
        <v>4.2285714285714286</v>
      </c>
      <c r="I1247" s="165">
        <f t="shared" si="172"/>
        <v>3.1714285714285713</v>
      </c>
      <c r="J1247" s="166">
        <f t="shared" si="173"/>
        <v>5.2857142857142856</v>
      </c>
      <c r="K1247" s="165">
        <f t="shared" si="174"/>
        <v>5.2857142857142856</v>
      </c>
      <c r="L1247" s="165">
        <f t="shared" si="175"/>
        <v>1.075</v>
      </c>
      <c r="M1247" s="168">
        <f t="shared" si="169"/>
        <v>0</v>
      </c>
      <c r="N1247" s="231" t="s">
        <v>453</v>
      </c>
    </row>
    <row r="1248" spans="1:14" ht="14">
      <c r="A1248" s="149">
        <v>1247</v>
      </c>
      <c r="B1248" s="235" t="s">
        <v>52</v>
      </c>
      <c r="C1248" s="231" t="s">
        <v>10</v>
      </c>
      <c r="D1248" s="250" t="s">
        <v>2884</v>
      </c>
      <c r="E1248" s="281">
        <v>0</v>
      </c>
      <c r="F1248" s="249">
        <v>1000</v>
      </c>
      <c r="G1248" s="165">
        <f t="shared" si="170"/>
        <v>6.1142857142857148</v>
      </c>
      <c r="H1248" s="165">
        <f t="shared" si="171"/>
        <v>12.22857142857143</v>
      </c>
      <c r="I1248" s="165">
        <f t="shared" si="172"/>
        <v>9.1714285714285708</v>
      </c>
      <c r="J1248" s="166">
        <f t="shared" si="173"/>
        <v>15.285714285714285</v>
      </c>
      <c r="K1248" s="165">
        <f t="shared" si="174"/>
        <v>15.285714285714285</v>
      </c>
      <c r="L1248" s="165">
        <f t="shared" si="175"/>
        <v>1.25</v>
      </c>
      <c r="M1248" s="168">
        <f t="shared" si="169"/>
        <v>0</v>
      </c>
      <c r="N1248" s="231" t="s">
        <v>453</v>
      </c>
    </row>
    <row r="1249" spans="1:14" ht="14">
      <c r="A1249" s="149">
        <v>1248</v>
      </c>
      <c r="B1249" s="235" t="s">
        <v>52</v>
      </c>
      <c r="C1249" s="231" t="s">
        <v>10</v>
      </c>
      <c r="D1249" s="250" t="s">
        <v>2885</v>
      </c>
      <c r="E1249" s="281">
        <v>0</v>
      </c>
      <c r="F1249" s="249">
        <v>400</v>
      </c>
      <c r="G1249" s="165">
        <f t="shared" si="170"/>
        <v>2.6857142857142859</v>
      </c>
      <c r="H1249" s="165">
        <f t="shared" si="171"/>
        <v>5.3714285714285719</v>
      </c>
      <c r="I1249" s="165">
        <f t="shared" si="172"/>
        <v>4.0285714285714285</v>
      </c>
      <c r="J1249" s="166">
        <f t="shared" si="173"/>
        <v>6.7142857142857144</v>
      </c>
      <c r="K1249" s="165">
        <f t="shared" si="174"/>
        <v>6.7142857142857144</v>
      </c>
      <c r="L1249" s="165">
        <f t="shared" si="175"/>
        <v>1.1000000000000001</v>
      </c>
      <c r="M1249" s="168">
        <f t="shared" si="169"/>
        <v>0</v>
      </c>
      <c r="N1249" s="231" t="s">
        <v>453</v>
      </c>
    </row>
    <row r="1250" spans="1:14" ht="14">
      <c r="A1250" s="149">
        <v>1249</v>
      </c>
      <c r="B1250" s="235" t="s">
        <v>53</v>
      </c>
      <c r="C1250" s="231" t="s">
        <v>10</v>
      </c>
      <c r="D1250" s="250" t="s">
        <v>2886</v>
      </c>
      <c r="E1250" s="281">
        <v>0</v>
      </c>
      <c r="F1250" s="249">
        <v>300</v>
      </c>
      <c r="G1250" s="165">
        <f t="shared" si="170"/>
        <v>2.1142857142857143</v>
      </c>
      <c r="H1250" s="165">
        <f t="shared" si="171"/>
        <v>4.2285714285714286</v>
      </c>
      <c r="I1250" s="165">
        <f t="shared" si="172"/>
        <v>3.1714285714285713</v>
      </c>
      <c r="J1250" s="166">
        <f t="shared" si="173"/>
        <v>5.2857142857142856</v>
      </c>
      <c r="K1250" s="165">
        <f t="shared" si="174"/>
        <v>5.2857142857142856</v>
      </c>
      <c r="L1250" s="165">
        <f t="shared" si="175"/>
        <v>1.075</v>
      </c>
      <c r="M1250" s="168">
        <f t="shared" si="169"/>
        <v>0</v>
      </c>
      <c r="N1250" s="231" t="s">
        <v>453</v>
      </c>
    </row>
    <row r="1251" spans="1:14" ht="14">
      <c r="A1251" s="149">
        <v>1250</v>
      </c>
      <c r="B1251" s="235" t="s">
        <v>52</v>
      </c>
      <c r="C1251" s="231" t="s">
        <v>10</v>
      </c>
      <c r="D1251" s="250" t="s">
        <v>2887</v>
      </c>
      <c r="E1251" s="281">
        <v>0</v>
      </c>
      <c r="F1251" s="249">
        <v>800</v>
      </c>
      <c r="G1251" s="165">
        <f t="shared" si="170"/>
        <v>4.9714285714285715</v>
      </c>
      <c r="H1251" s="165">
        <f t="shared" si="171"/>
        <v>9.9428571428571431</v>
      </c>
      <c r="I1251" s="165">
        <f t="shared" si="172"/>
        <v>7.4571428571428573</v>
      </c>
      <c r="J1251" s="166">
        <f t="shared" si="173"/>
        <v>12.428571428571429</v>
      </c>
      <c r="K1251" s="165">
        <f t="shared" si="174"/>
        <v>12.428571428571429</v>
      </c>
      <c r="L1251" s="165">
        <f t="shared" si="175"/>
        <v>1.2</v>
      </c>
      <c r="M1251" s="168">
        <f t="shared" si="169"/>
        <v>0</v>
      </c>
      <c r="N1251" s="231" t="s">
        <v>453</v>
      </c>
    </row>
    <row r="1252" spans="1:14" ht="14">
      <c r="A1252" s="149">
        <v>1251</v>
      </c>
      <c r="B1252" s="235" t="s">
        <v>52</v>
      </c>
      <c r="C1252" s="231" t="s">
        <v>10</v>
      </c>
      <c r="D1252" s="250" t="s">
        <v>2888</v>
      </c>
      <c r="E1252" s="281">
        <v>0</v>
      </c>
      <c r="F1252" s="249">
        <v>500</v>
      </c>
      <c r="G1252" s="165">
        <f t="shared" si="170"/>
        <v>3.2571428571428571</v>
      </c>
      <c r="H1252" s="165">
        <f t="shared" si="171"/>
        <v>6.5142857142857142</v>
      </c>
      <c r="I1252" s="165">
        <f t="shared" si="172"/>
        <v>4.8857142857142852</v>
      </c>
      <c r="J1252" s="166">
        <f t="shared" si="173"/>
        <v>8.1428571428571423</v>
      </c>
      <c r="K1252" s="165">
        <f t="shared" si="174"/>
        <v>8.1428571428571423</v>
      </c>
      <c r="L1252" s="165">
        <f t="shared" si="175"/>
        <v>1.125</v>
      </c>
      <c r="M1252" s="168">
        <f t="shared" si="169"/>
        <v>0</v>
      </c>
      <c r="N1252" s="231" t="s">
        <v>453</v>
      </c>
    </row>
    <row r="1253" spans="1:14" ht="14">
      <c r="A1253" s="149">
        <v>1252</v>
      </c>
      <c r="B1253" s="235" t="s">
        <v>52</v>
      </c>
      <c r="C1253" s="231" t="s">
        <v>10</v>
      </c>
      <c r="D1253" s="250" t="s">
        <v>2890</v>
      </c>
      <c r="E1253" s="281">
        <v>0</v>
      </c>
      <c r="F1253" s="249">
        <v>2000</v>
      </c>
      <c r="G1253" s="165">
        <f t="shared" si="170"/>
        <v>11.828571428571429</v>
      </c>
      <c r="H1253" s="165">
        <f t="shared" si="171"/>
        <v>23.657142857142858</v>
      </c>
      <c r="I1253" s="165">
        <f t="shared" si="172"/>
        <v>17.742857142857144</v>
      </c>
      <c r="J1253" s="166">
        <f t="shared" si="173"/>
        <v>29.571428571428573</v>
      </c>
      <c r="K1253" s="165">
        <f t="shared" si="174"/>
        <v>29.571428571428573</v>
      </c>
      <c r="L1253" s="165">
        <f t="shared" si="175"/>
        <v>1.5</v>
      </c>
      <c r="M1253" s="168">
        <f t="shared" si="169"/>
        <v>0</v>
      </c>
      <c r="N1253" s="231" t="s">
        <v>453</v>
      </c>
    </row>
    <row r="1254" spans="1:14" ht="14">
      <c r="A1254" s="149">
        <v>1253</v>
      </c>
      <c r="B1254" s="235" t="s">
        <v>52</v>
      </c>
      <c r="C1254" s="231" t="s">
        <v>10</v>
      </c>
      <c r="D1254" s="250" t="s">
        <v>2893</v>
      </c>
      <c r="E1254" s="281">
        <v>0</v>
      </c>
      <c r="F1254" s="249">
        <v>700</v>
      </c>
      <c r="G1254" s="165">
        <f t="shared" si="170"/>
        <v>4.4000000000000004</v>
      </c>
      <c r="H1254" s="165">
        <f t="shared" si="171"/>
        <v>8.8000000000000007</v>
      </c>
      <c r="I1254" s="165">
        <f t="shared" si="172"/>
        <v>6.6</v>
      </c>
      <c r="J1254" s="166">
        <f t="shared" si="173"/>
        <v>11</v>
      </c>
      <c r="K1254" s="165">
        <f t="shared" si="174"/>
        <v>11</v>
      </c>
      <c r="L1254" s="165">
        <f t="shared" si="175"/>
        <v>1.175</v>
      </c>
      <c r="M1254" s="168">
        <f t="shared" si="169"/>
        <v>0</v>
      </c>
      <c r="N1254" s="231" t="s">
        <v>453</v>
      </c>
    </row>
    <row r="1255" spans="1:14" ht="14">
      <c r="A1255" s="149">
        <v>1254</v>
      </c>
      <c r="B1255" s="235" t="s">
        <v>52</v>
      </c>
      <c r="C1255" s="231" t="s">
        <v>10</v>
      </c>
      <c r="D1255" s="250" t="s">
        <v>2895</v>
      </c>
      <c r="E1255" s="281">
        <v>0</v>
      </c>
      <c r="F1255" s="249">
        <v>450</v>
      </c>
      <c r="G1255" s="165">
        <f t="shared" si="170"/>
        <v>2.9714285714285715</v>
      </c>
      <c r="H1255" s="165">
        <f t="shared" si="171"/>
        <v>5.9428571428571431</v>
      </c>
      <c r="I1255" s="165">
        <f t="shared" si="172"/>
        <v>4.4571428571428573</v>
      </c>
      <c r="J1255" s="166">
        <f t="shared" si="173"/>
        <v>7.4285714285714288</v>
      </c>
      <c r="K1255" s="165">
        <f t="shared" si="174"/>
        <v>7.4285714285714288</v>
      </c>
      <c r="L1255" s="165">
        <f t="shared" si="175"/>
        <v>1.1125</v>
      </c>
      <c r="M1255" s="168">
        <f t="shared" si="169"/>
        <v>0</v>
      </c>
      <c r="N1255" s="231" t="s">
        <v>453</v>
      </c>
    </row>
    <row r="1256" spans="1:14" ht="14">
      <c r="A1256" s="149">
        <v>1255</v>
      </c>
      <c r="B1256" s="235" t="s">
        <v>52</v>
      </c>
      <c r="C1256" s="231" t="s">
        <v>10</v>
      </c>
      <c r="D1256" s="250" t="s">
        <v>2897</v>
      </c>
      <c r="E1256" s="281">
        <v>0</v>
      </c>
      <c r="F1256" s="249">
        <v>350</v>
      </c>
      <c r="G1256" s="165">
        <f t="shared" si="170"/>
        <v>2.4000000000000004</v>
      </c>
      <c r="H1256" s="165">
        <f t="shared" si="171"/>
        <v>4.8000000000000007</v>
      </c>
      <c r="I1256" s="165">
        <f t="shared" si="172"/>
        <v>3.5999999999999996</v>
      </c>
      <c r="J1256" s="166">
        <f t="shared" si="173"/>
        <v>6</v>
      </c>
      <c r="K1256" s="165">
        <f t="shared" si="174"/>
        <v>6</v>
      </c>
      <c r="L1256" s="165">
        <f t="shared" si="175"/>
        <v>1.0874999999999999</v>
      </c>
      <c r="M1256" s="168">
        <f t="shared" si="169"/>
        <v>0</v>
      </c>
      <c r="N1256" s="231" t="s">
        <v>453</v>
      </c>
    </row>
    <row r="1257" spans="1:14" ht="14">
      <c r="A1257" s="149">
        <v>1256</v>
      </c>
      <c r="B1257" s="235" t="s">
        <v>52</v>
      </c>
      <c r="C1257" s="231" t="s">
        <v>10</v>
      </c>
      <c r="D1257" s="250" t="s">
        <v>2899</v>
      </c>
      <c r="E1257" s="281">
        <v>0</v>
      </c>
      <c r="F1257" s="249">
        <v>350</v>
      </c>
      <c r="G1257" s="165">
        <f t="shared" si="170"/>
        <v>2.4000000000000004</v>
      </c>
      <c r="H1257" s="165">
        <f t="shared" si="171"/>
        <v>4.8000000000000007</v>
      </c>
      <c r="I1257" s="165">
        <f t="shared" si="172"/>
        <v>3.5999999999999996</v>
      </c>
      <c r="J1257" s="166">
        <f t="shared" si="173"/>
        <v>6</v>
      </c>
      <c r="K1257" s="165">
        <f t="shared" si="174"/>
        <v>6</v>
      </c>
      <c r="L1257" s="165">
        <f t="shared" si="175"/>
        <v>1.0874999999999999</v>
      </c>
      <c r="M1257" s="168">
        <f t="shared" si="169"/>
        <v>0</v>
      </c>
      <c r="N1257" s="231" t="s">
        <v>453</v>
      </c>
    </row>
    <row r="1258" spans="1:14" ht="14">
      <c r="A1258" s="149">
        <v>1257</v>
      </c>
      <c r="B1258" s="235" t="s">
        <v>52</v>
      </c>
      <c r="C1258" s="231" t="s">
        <v>10</v>
      </c>
      <c r="D1258" s="250" t="s">
        <v>2901</v>
      </c>
      <c r="E1258" s="281">
        <v>0</v>
      </c>
      <c r="F1258" s="249">
        <v>300</v>
      </c>
      <c r="G1258" s="165">
        <f t="shared" si="170"/>
        <v>2.1142857142857143</v>
      </c>
      <c r="H1258" s="165">
        <f t="shared" si="171"/>
        <v>4.2285714285714286</v>
      </c>
      <c r="I1258" s="165">
        <f t="shared" si="172"/>
        <v>3.1714285714285713</v>
      </c>
      <c r="J1258" s="166">
        <f t="shared" si="173"/>
        <v>5.2857142857142856</v>
      </c>
      <c r="K1258" s="165">
        <f t="shared" si="174"/>
        <v>5.2857142857142856</v>
      </c>
      <c r="L1258" s="165">
        <f t="shared" si="175"/>
        <v>1.075</v>
      </c>
      <c r="M1258" s="168">
        <f t="shared" si="169"/>
        <v>0</v>
      </c>
      <c r="N1258" s="231" t="s">
        <v>453</v>
      </c>
    </row>
    <row r="1259" spans="1:14" ht="14">
      <c r="A1259" s="149">
        <v>1258</v>
      </c>
      <c r="B1259" s="235" t="s">
        <v>55</v>
      </c>
      <c r="C1259" s="231" t="s">
        <v>10</v>
      </c>
      <c r="D1259" s="250" t="s">
        <v>2903</v>
      </c>
      <c r="E1259" s="281">
        <v>0</v>
      </c>
      <c r="F1259" s="249">
        <v>650</v>
      </c>
      <c r="G1259" s="165">
        <f t="shared" si="170"/>
        <v>4.1142857142857148</v>
      </c>
      <c r="H1259" s="165">
        <f t="shared" si="171"/>
        <v>8.2285714285714295</v>
      </c>
      <c r="I1259" s="165">
        <f t="shared" si="172"/>
        <v>6.1714285714285717</v>
      </c>
      <c r="J1259" s="166">
        <f t="shared" si="173"/>
        <v>10.285714285714286</v>
      </c>
      <c r="K1259" s="165">
        <f t="shared" si="174"/>
        <v>10.285714285714286</v>
      </c>
      <c r="L1259" s="165">
        <f t="shared" si="175"/>
        <v>1.1625000000000001</v>
      </c>
      <c r="M1259" s="168">
        <f t="shared" si="169"/>
        <v>0</v>
      </c>
      <c r="N1259" s="231" t="s">
        <v>453</v>
      </c>
    </row>
    <row r="1260" spans="1:14" ht="14">
      <c r="A1260" s="149">
        <v>1259</v>
      </c>
      <c r="B1260" s="235" t="s">
        <v>55</v>
      </c>
      <c r="C1260" s="240" t="s">
        <v>10</v>
      </c>
      <c r="D1260" s="250" t="s">
        <v>2904</v>
      </c>
      <c r="E1260" s="281">
        <v>0</v>
      </c>
      <c r="F1260" s="260">
        <v>0</v>
      </c>
      <c r="G1260" s="165">
        <f t="shared" si="170"/>
        <v>0.4</v>
      </c>
      <c r="H1260" s="165">
        <f t="shared" si="171"/>
        <v>0.8</v>
      </c>
      <c r="I1260" s="165">
        <f t="shared" si="172"/>
        <v>0.6</v>
      </c>
      <c r="J1260" s="166">
        <f t="shared" si="173"/>
        <v>1</v>
      </c>
      <c r="K1260" s="165">
        <f t="shared" si="174"/>
        <v>1</v>
      </c>
      <c r="L1260" s="165">
        <f t="shared" si="175"/>
        <v>1</v>
      </c>
      <c r="M1260" s="168">
        <f t="shared" si="169"/>
        <v>0</v>
      </c>
      <c r="N1260" s="240" t="s">
        <v>453</v>
      </c>
    </row>
    <row r="1261" spans="1:14" ht="14">
      <c r="A1261" s="149">
        <v>1260</v>
      </c>
      <c r="B1261" s="235" t="s">
        <v>52</v>
      </c>
      <c r="C1261" s="231" t="s">
        <v>10</v>
      </c>
      <c r="D1261" s="250" t="s">
        <v>2905</v>
      </c>
      <c r="E1261" s="281">
        <v>0</v>
      </c>
      <c r="F1261" s="249">
        <v>450</v>
      </c>
      <c r="G1261" s="165">
        <f t="shared" si="170"/>
        <v>2.9714285714285715</v>
      </c>
      <c r="H1261" s="165">
        <f t="shared" si="171"/>
        <v>5.9428571428571431</v>
      </c>
      <c r="I1261" s="165">
        <f t="shared" si="172"/>
        <v>4.4571428571428573</v>
      </c>
      <c r="J1261" s="166">
        <f t="shared" si="173"/>
        <v>7.4285714285714288</v>
      </c>
      <c r="K1261" s="165">
        <f t="shared" si="174"/>
        <v>7.4285714285714288</v>
      </c>
      <c r="L1261" s="165">
        <f t="shared" si="175"/>
        <v>1.1125</v>
      </c>
      <c r="M1261" s="168">
        <f t="shared" si="169"/>
        <v>0</v>
      </c>
      <c r="N1261" s="231" t="s">
        <v>453</v>
      </c>
    </row>
    <row r="1262" spans="1:14" ht="14">
      <c r="A1262" s="149">
        <v>1261</v>
      </c>
      <c r="B1262" s="235" t="s">
        <v>52</v>
      </c>
      <c r="C1262" s="231" t="s">
        <v>10</v>
      </c>
      <c r="D1262" s="250" t="s">
        <v>2906</v>
      </c>
      <c r="E1262" s="281">
        <v>0</v>
      </c>
      <c r="F1262" s="249">
        <v>400</v>
      </c>
      <c r="G1262" s="165">
        <f t="shared" si="170"/>
        <v>2.6857142857142859</v>
      </c>
      <c r="H1262" s="165">
        <f t="shared" si="171"/>
        <v>5.3714285714285719</v>
      </c>
      <c r="I1262" s="165">
        <f t="shared" si="172"/>
        <v>4.0285714285714285</v>
      </c>
      <c r="J1262" s="166">
        <f t="shared" si="173"/>
        <v>6.7142857142857144</v>
      </c>
      <c r="K1262" s="165">
        <f t="shared" si="174"/>
        <v>6.7142857142857144</v>
      </c>
      <c r="L1262" s="165">
        <f t="shared" si="175"/>
        <v>1.1000000000000001</v>
      </c>
      <c r="M1262" s="168">
        <f t="shared" si="169"/>
        <v>0</v>
      </c>
      <c r="N1262" s="231" t="s">
        <v>453</v>
      </c>
    </row>
    <row r="1263" spans="1:14" ht="14">
      <c r="A1263" s="149">
        <v>1262</v>
      </c>
      <c r="B1263" s="235" t="s">
        <v>52</v>
      </c>
      <c r="C1263" s="231" t="s">
        <v>10</v>
      </c>
      <c r="D1263" s="250" t="s">
        <v>2907</v>
      </c>
      <c r="E1263" s="281">
        <v>0</v>
      </c>
      <c r="F1263" s="249">
        <v>350</v>
      </c>
      <c r="G1263" s="165">
        <f t="shared" si="170"/>
        <v>2.4000000000000004</v>
      </c>
      <c r="H1263" s="165">
        <f t="shared" si="171"/>
        <v>4.8000000000000007</v>
      </c>
      <c r="I1263" s="165">
        <f t="shared" si="172"/>
        <v>3.5999999999999996</v>
      </c>
      <c r="J1263" s="166">
        <f t="shared" si="173"/>
        <v>6</v>
      </c>
      <c r="K1263" s="165">
        <f t="shared" si="174"/>
        <v>6</v>
      </c>
      <c r="L1263" s="165">
        <f t="shared" si="175"/>
        <v>1.0874999999999999</v>
      </c>
      <c r="M1263" s="168">
        <f t="shared" si="169"/>
        <v>0</v>
      </c>
      <c r="N1263" s="231" t="s">
        <v>453</v>
      </c>
    </row>
    <row r="1264" spans="1:14" ht="14">
      <c r="A1264" s="149">
        <v>1263</v>
      </c>
      <c r="B1264" s="235" t="s">
        <v>55</v>
      </c>
      <c r="C1264" s="231" t="s">
        <v>10</v>
      </c>
      <c r="D1264" s="250" t="s">
        <v>2908</v>
      </c>
      <c r="E1264" s="281">
        <v>0</v>
      </c>
      <c r="F1264" s="249">
        <v>500</v>
      </c>
      <c r="G1264" s="165">
        <f t="shared" si="170"/>
        <v>3.2571428571428571</v>
      </c>
      <c r="H1264" s="165">
        <f t="shared" si="171"/>
        <v>6.5142857142857142</v>
      </c>
      <c r="I1264" s="165">
        <f t="shared" si="172"/>
        <v>4.8857142857142852</v>
      </c>
      <c r="J1264" s="166">
        <f t="shared" si="173"/>
        <v>8.1428571428571423</v>
      </c>
      <c r="K1264" s="165">
        <f t="shared" si="174"/>
        <v>8.1428571428571423</v>
      </c>
      <c r="L1264" s="165">
        <f t="shared" si="175"/>
        <v>1.125</v>
      </c>
      <c r="M1264" s="168">
        <f t="shared" si="169"/>
        <v>0</v>
      </c>
      <c r="N1264" s="231" t="s">
        <v>453</v>
      </c>
    </row>
    <row r="1265" spans="1:14" ht="14">
      <c r="A1265" s="149">
        <v>1264</v>
      </c>
      <c r="B1265" s="235" t="s">
        <v>52</v>
      </c>
      <c r="C1265" s="231" t="s">
        <v>10</v>
      </c>
      <c r="D1265" s="250" t="s">
        <v>2909</v>
      </c>
      <c r="E1265" s="281">
        <v>0</v>
      </c>
      <c r="F1265" s="249">
        <v>400</v>
      </c>
      <c r="G1265" s="165">
        <f t="shared" si="170"/>
        <v>2.6857142857142859</v>
      </c>
      <c r="H1265" s="165">
        <f t="shared" si="171"/>
        <v>5.3714285714285719</v>
      </c>
      <c r="I1265" s="165">
        <f t="shared" si="172"/>
        <v>4.0285714285714285</v>
      </c>
      <c r="J1265" s="166">
        <f t="shared" si="173"/>
        <v>6.7142857142857144</v>
      </c>
      <c r="K1265" s="165">
        <f t="shared" si="174"/>
        <v>6.7142857142857144</v>
      </c>
      <c r="L1265" s="165">
        <f t="shared" si="175"/>
        <v>1.1000000000000001</v>
      </c>
      <c r="M1265" s="168">
        <f t="shared" si="169"/>
        <v>0</v>
      </c>
      <c r="N1265" s="231" t="s">
        <v>453</v>
      </c>
    </row>
    <row r="1266" spans="1:14" ht="14">
      <c r="A1266" s="149">
        <v>1265</v>
      </c>
      <c r="B1266" s="235" t="s">
        <v>52</v>
      </c>
      <c r="C1266" s="231" t="s">
        <v>10</v>
      </c>
      <c r="D1266" s="250" t="s">
        <v>2910</v>
      </c>
      <c r="E1266" s="281">
        <v>0</v>
      </c>
      <c r="F1266" s="249">
        <v>200</v>
      </c>
      <c r="G1266" s="165">
        <f t="shared" si="170"/>
        <v>1.5428571428571429</v>
      </c>
      <c r="H1266" s="165">
        <f t="shared" si="171"/>
        <v>3.0857142857142859</v>
      </c>
      <c r="I1266" s="165">
        <f t="shared" si="172"/>
        <v>2.3142857142857141</v>
      </c>
      <c r="J1266" s="166">
        <f t="shared" si="173"/>
        <v>3.8571428571428568</v>
      </c>
      <c r="K1266" s="165">
        <f t="shared" si="174"/>
        <v>3.8571428571428568</v>
      </c>
      <c r="L1266" s="165">
        <f t="shared" si="175"/>
        <v>1.05</v>
      </c>
      <c r="M1266" s="168">
        <f t="shared" si="169"/>
        <v>0</v>
      </c>
      <c r="N1266" s="231" t="s">
        <v>453</v>
      </c>
    </row>
    <row r="1267" spans="1:14" ht="14">
      <c r="A1267" s="149">
        <v>1266</v>
      </c>
      <c r="B1267" s="235" t="s">
        <v>52</v>
      </c>
      <c r="C1267" s="231" t="s">
        <v>10</v>
      </c>
      <c r="D1267" s="250" t="s">
        <v>2911</v>
      </c>
      <c r="E1267" s="281">
        <v>0</v>
      </c>
      <c r="F1267" s="249">
        <v>250</v>
      </c>
      <c r="G1267" s="165">
        <f t="shared" si="170"/>
        <v>1.8285714285714285</v>
      </c>
      <c r="H1267" s="165">
        <f t="shared" si="171"/>
        <v>3.657142857142857</v>
      </c>
      <c r="I1267" s="165">
        <f t="shared" si="172"/>
        <v>2.7428571428571424</v>
      </c>
      <c r="J1267" s="166">
        <f t="shared" si="173"/>
        <v>4.5714285714285712</v>
      </c>
      <c r="K1267" s="165">
        <f t="shared" si="174"/>
        <v>4.5714285714285712</v>
      </c>
      <c r="L1267" s="165">
        <f t="shared" si="175"/>
        <v>1.0625</v>
      </c>
      <c r="M1267" s="168">
        <f t="shared" si="169"/>
        <v>0</v>
      </c>
      <c r="N1267" s="231" t="s">
        <v>453</v>
      </c>
    </row>
    <row r="1268" spans="1:14" ht="14">
      <c r="A1268" s="149">
        <v>1267</v>
      </c>
      <c r="B1268" s="235" t="s">
        <v>52</v>
      </c>
      <c r="C1268" s="231" t="s">
        <v>10</v>
      </c>
      <c r="D1268" s="250" t="s">
        <v>2912</v>
      </c>
      <c r="E1268" s="281">
        <v>0</v>
      </c>
      <c r="F1268" s="249">
        <v>250</v>
      </c>
      <c r="G1268" s="165">
        <f t="shared" si="170"/>
        <v>1.8285714285714285</v>
      </c>
      <c r="H1268" s="165">
        <f t="shared" si="171"/>
        <v>3.657142857142857</v>
      </c>
      <c r="I1268" s="165">
        <f t="shared" si="172"/>
        <v>2.7428571428571424</v>
      </c>
      <c r="J1268" s="166">
        <f t="shared" si="173"/>
        <v>4.5714285714285712</v>
      </c>
      <c r="K1268" s="165">
        <f t="shared" si="174"/>
        <v>4.5714285714285712</v>
      </c>
      <c r="L1268" s="165">
        <f t="shared" si="175"/>
        <v>1.0625</v>
      </c>
      <c r="M1268" s="168">
        <f t="shared" si="169"/>
        <v>0</v>
      </c>
      <c r="N1268" s="231" t="s">
        <v>453</v>
      </c>
    </row>
    <row r="1269" spans="1:14" ht="14">
      <c r="A1269" s="149">
        <v>1268</v>
      </c>
      <c r="B1269" s="235" t="s">
        <v>52</v>
      </c>
      <c r="C1269" s="231" t="s">
        <v>10</v>
      </c>
      <c r="D1269" s="250" t="s">
        <v>2913</v>
      </c>
      <c r="E1269" s="281">
        <v>0</v>
      </c>
      <c r="F1269" s="249">
        <v>200</v>
      </c>
      <c r="G1269" s="165">
        <f t="shared" si="170"/>
        <v>1.5428571428571429</v>
      </c>
      <c r="H1269" s="165">
        <f t="shared" si="171"/>
        <v>3.0857142857142859</v>
      </c>
      <c r="I1269" s="165">
        <f t="shared" si="172"/>
        <v>2.3142857142857141</v>
      </c>
      <c r="J1269" s="166">
        <f t="shared" si="173"/>
        <v>3.8571428571428568</v>
      </c>
      <c r="K1269" s="165">
        <f t="shared" si="174"/>
        <v>3.8571428571428568</v>
      </c>
      <c r="L1269" s="165">
        <f t="shared" si="175"/>
        <v>1.05</v>
      </c>
      <c r="M1269" s="168">
        <f t="shared" si="169"/>
        <v>0</v>
      </c>
      <c r="N1269" s="231" t="s">
        <v>453</v>
      </c>
    </row>
    <row r="1270" spans="1:14" ht="14">
      <c r="A1270" s="149">
        <v>1269</v>
      </c>
      <c r="B1270" s="235" t="s">
        <v>52</v>
      </c>
      <c r="C1270" s="231" t="s">
        <v>10</v>
      </c>
      <c r="D1270" s="250" t="s">
        <v>2915</v>
      </c>
      <c r="E1270" s="281">
        <v>0</v>
      </c>
      <c r="F1270" s="249">
        <v>200</v>
      </c>
      <c r="G1270" s="165">
        <f t="shared" si="170"/>
        <v>1.5428571428571429</v>
      </c>
      <c r="H1270" s="165">
        <f t="shared" si="171"/>
        <v>3.0857142857142859</v>
      </c>
      <c r="I1270" s="165">
        <f t="shared" si="172"/>
        <v>2.3142857142857141</v>
      </c>
      <c r="J1270" s="166">
        <f t="shared" si="173"/>
        <v>3.8571428571428568</v>
      </c>
      <c r="K1270" s="165">
        <f t="shared" si="174"/>
        <v>3.8571428571428568</v>
      </c>
      <c r="L1270" s="165">
        <f t="shared" si="175"/>
        <v>1.05</v>
      </c>
      <c r="M1270" s="168">
        <f t="shared" si="169"/>
        <v>0</v>
      </c>
      <c r="N1270" s="231" t="s">
        <v>453</v>
      </c>
    </row>
    <row r="1271" spans="1:14" ht="14">
      <c r="A1271" s="149">
        <v>1270</v>
      </c>
      <c r="B1271" s="235" t="s">
        <v>52</v>
      </c>
      <c r="C1271" s="231" t="s">
        <v>10</v>
      </c>
      <c r="D1271" s="250" t="s">
        <v>2916</v>
      </c>
      <c r="E1271" s="281">
        <v>0</v>
      </c>
      <c r="F1271" s="249">
        <v>250</v>
      </c>
      <c r="G1271" s="165">
        <f t="shared" si="170"/>
        <v>1.8285714285714285</v>
      </c>
      <c r="H1271" s="165">
        <f t="shared" si="171"/>
        <v>3.657142857142857</v>
      </c>
      <c r="I1271" s="165">
        <f t="shared" si="172"/>
        <v>2.7428571428571424</v>
      </c>
      <c r="J1271" s="166">
        <f t="shared" si="173"/>
        <v>4.5714285714285712</v>
      </c>
      <c r="K1271" s="165">
        <f t="shared" si="174"/>
        <v>4.5714285714285712</v>
      </c>
      <c r="L1271" s="165">
        <f t="shared" si="175"/>
        <v>1.0625</v>
      </c>
      <c r="M1271" s="168">
        <f t="shared" si="169"/>
        <v>0</v>
      </c>
      <c r="N1271" s="231" t="s">
        <v>453</v>
      </c>
    </row>
    <row r="1272" spans="1:14" ht="14">
      <c r="A1272" s="149">
        <v>1271</v>
      </c>
      <c r="B1272" s="235" t="s">
        <v>52</v>
      </c>
      <c r="C1272" s="231" t="s">
        <v>10</v>
      </c>
      <c r="D1272" s="250" t="s">
        <v>2917</v>
      </c>
      <c r="E1272" s="281">
        <v>0</v>
      </c>
      <c r="F1272" s="249">
        <v>300</v>
      </c>
      <c r="G1272" s="165">
        <f t="shared" si="170"/>
        <v>2.1142857142857143</v>
      </c>
      <c r="H1272" s="165">
        <f t="shared" si="171"/>
        <v>4.2285714285714286</v>
      </c>
      <c r="I1272" s="165">
        <f t="shared" si="172"/>
        <v>3.1714285714285713</v>
      </c>
      <c r="J1272" s="166">
        <f t="shared" si="173"/>
        <v>5.2857142857142856</v>
      </c>
      <c r="K1272" s="165">
        <f t="shared" si="174"/>
        <v>5.2857142857142856</v>
      </c>
      <c r="L1272" s="165">
        <f t="shared" si="175"/>
        <v>1.075</v>
      </c>
      <c r="M1272" s="168">
        <f t="shared" si="169"/>
        <v>0</v>
      </c>
      <c r="N1272" s="231" t="s">
        <v>453</v>
      </c>
    </row>
    <row r="1273" spans="1:14" ht="14">
      <c r="A1273" s="149">
        <v>1272</v>
      </c>
      <c r="B1273" s="235" t="s">
        <v>52</v>
      </c>
      <c r="C1273" s="231" t="s">
        <v>10</v>
      </c>
      <c r="D1273" s="250" t="s">
        <v>2918</v>
      </c>
      <c r="E1273" s="281">
        <v>0</v>
      </c>
      <c r="F1273" s="249">
        <v>350</v>
      </c>
      <c r="G1273" s="165">
        <f t="shared" si="170"/>
        <v>2.4000000000000004</v>
      </c>
      <c r="H1273" s="165">
        <f t="shared" si="171"/>
        <v>4.8000000000000007</v>
      </c>
      <c r="I1273" s="165">
        <f t="shared" si="172"/>
        <v>3.5999999999999996</v>
      </c>
      <c r="J1273" s="166">
        <f t="shared" si="173"/>
        <v>6</v>
      </c>
      <c r="K1273" s="165">
        <f t="shared" si="174"/>
        <v>6</v>
      </c>
      <c r="L1273" s="165">
        <f t="shared" si="175"/>
        <v>1.0874999999999999</v>
      </c>
      <c r="M1273" s="168">
        <f t="shared" si="169"/>
        <v>0</v>
      </c>
      <c r="N1273" s="231" t="s">
        <v>453</v>
      </c>
    </row>
    <row r="1274" spans="1:14" ht="14">
      <c r="A1274" s="149">
        <v>1273</v>
      </c>
      <c r="B1274" s="235" t="s">
        <v>52</v>
      </c>
      <c r="C1274" s="231" t="s">
        <v>10</v>
      </c>
      <c r="D1274" s="250" t="s">
        <v>2919</v>
      </c>
      <c r="E1274" s="281">
        <v>0</v>
      </c>
      <c r="F1274" s="249">
        <v>1250</v>
      </c>
      <c r="G1274" s="165">
        <f t="shared" si="170"/>
        <v>7.5428571428571436</v>
      </c>
      <c r="H1274" s="165">
        <f t="shared" si="171"/>
        <v>15.085714285714287</v>
      </c>
      <c r="I1274" s="165">
        <f t="shared" si="172"/>
        <v>11.314285714285715</v>
      </c>
      <c r="J1274" s="166">
        <f t="shared" si="173"/>
        <v>18.857142857142858</v>
      </c>
      <c r="K1274" s="165">
        <f t="shared" si="174"/>
        <v>18.857142857142858</v>
      </c>
      <c r="L1274" s="165">
        <f t="shared" si="175"/>
        <v>1.3125</v>
      </c>
      <c r="M1274" s="168">
        <f t="shared" si="169"/>
        <v>0</v>
      </c>
      <c r="N1274" s="231" t="s">
        <v>453</v>
      </c>
    </row>
    <row r="1275" spans="1:14" ht="14">
      <c r="A1275" s="149">
        <v>1274</v>
      </c>
      <c r="B1275" s="235" t="s">
        <v>52</v>
      </c>
      <c r="C1275" s="231" t="s">
        <v>10</v>
      </c>
      <c r="D1275" s="250" t="s">
        <v>2920</v>
      </c>
      <c r="E1275" s="281">
        <v>0</v>
      </c>
      <c r="F1275" s="249">
        <v>400</v>
      </c>
      <c r="G1275" s="165">
        <f t="shared" si="170"/>
        <v>2.6857142857142859</v>
      </c>
      <c r="H1275" s="165">
        <f t="shared" si="171"/>
        <v>5.3714285714285719</v>
      </c>
      <c r="I1275" s="165">
        <f t="shared" si="172"/>
        <v>4.0285714285714285</v>
      </c>
      <c r="J1275" s="166">
        <f t="shared" si="173"/>
        <v>6.7142857142857144</v>
      </c>
      <c r="K1275" s="165">
        <f t="shared" si="174"/>
        <v>6.7142857142857144</v>
      </c>
      <c r="L1275" s="165">
        <f t="shared" si="175"/>
        <v>1.1000000000000001</v>
      </c>
      <c r="M1275" s="168">
        <f t="shared" si="169"/>
        <v>0</v>
      </c>
      <c r="N1275" s="231" t="s">
        <v>453</v>
      </c>
    </row>
    <row r="1276" spans="1:14" ht="14">
      <c r="A1276" s="149">
        <v>1275</v>
      </c>
      <c r="B1276" s="235" t="s">
        <v>49</v>
      </c>
      <c r="C1276" s="231" t="s">
        <v>10</v>
      </c>
      <c r="D1276" s="250" t="s">
        <v>2921</v>
      </c>
      <c r="E1276" s="281">
        <v>0</v>
      </c>
      <c r="F1276" s="249">
        <v>5600</v>
      </c>
      <c r="G1276" s="165">
        <f t="shared" si="170"/>
        <v>32.4</v>
      </c>
      <c r="H1276" s="165">
        <f t="shared" si="171"/>
        <v>64.8</v>
      </c>
      <c r="I1276" s="165">
        <f t="shared" si="172"/>
        <v>48.6</v>
      </c>
      <c r="J1276" s="166">
        <f t="shared" si="173"/>
        <v>81</v>
      </c>
      <c r="K1276" s="165">
        <f t="shared" si="174"/>
        <v>81</v>
      </c>
      <c r="L1276" s="165">
        <f t="shared" si="175"/>
        <v>2.4</v>
      </c>
      <c r="M1276" s="168">
        <f t="shared" si="169"/>
        <v>0</v>
      </c>
      <c r="N1276" s="231" t="s">
        <v>453</v>
      </c>
    </row>
    <row r="1277" spans="1:14" ht="14">
      <c r="A1277" s="149">
        <v>1276</v>
      </c>
      <c r="B1277" s="235" t="s">
        <v>52</v>
      </c>
      <c r="C1277" s="231" t="s">
        <v>10</v>
      </c>
      <c r="D1277" s="250" t="s">
        <v>2922</v>
      </c>
      <c r="E1277" s="281">
        <v>0</v>
      </c>
      <c r="F1277" s="249">
        <v>650</v>
      </c>
      <c r="G1277" s="165">
        <f t="shared" si="170"/>
        <v>4.1142857142857148</v>
      </c>
      <c r="H1277" s="165">
        <f t="shared" si="171"/>
        <v>8.2285714285714295</v>
      </c>
      <c r="I1277" s="165">
        <f t="shared" si="172"/>
        <v>6.1714285714285717</v>
      </c>
      <c r="J1277" s="166">
        <f t="shared" si="173"/>
        <v>10.285714285714286</v>
      </c>
      <c r="K1277" s="165">
        <f t="shared" si="174"/>
        <v>10.285714285714286</v>
      </c>
      <c r="L1277" s="165">
        <f t="shared" si="175"/>
        <v>1.1625000000000001</v>
      </c>
      <c r="M1277" s="168">
        <f t="shared" si="169"/>
        <v>0</v>
      </c>
      <c r="N1277" s="231" t="s">
        <v>453</v>
      </c>
    </row>
    <row r="1278" spans="1:14" ht="14">
      <c r="A1278" s="149">
        <v>1277</v>
      </c>
      <c r="B1278" s="235" t="s">
        <v>52</v>
      </c>
      <c r="C1278" s="231" t="s">
        <v>10</v>
      </c>
      <c r="D1278" s="250" t="s">
        <v>2924</v>
      </c>
      <c r="E1278" s="281">
        <v>0</v>
      </c>
      <c r="F1278" s="249">
        <v>400</v>
      </c>
      <c r="G1278" s="165">
        <f t="shared" si="170"/>
        <v>2.6857142857142859</v>
      </c>
      <c r="H1278" s="165">
        <f t="shared" si="171"/>
        <v>5.3714285714285719</v>
      </c>
      <c r="I1278" s="165">
        <f t="shared" si="172"/>
        <v>4.0285714285714285</v>
      </c>
      <c r="J1278" s="166">
        <f t="shared" si="173"/>
        <v>6.7142857142857144</v>
      </c>
      <c r="K1278" s="165">
        <f t="shared" si="174"/>
        <v>6.7142857142857144</v>
      </c>
      <c r="L1278" s="165">
        <f t="shared" si="175"/>
        <v>1.1000000000000001</v>
      </c>
      <c r="M1278" s="168">
        <f t="shared" si="169"/>
        <v>0</v>
      </c>
      <c r="N1278" s="231" t="s">
        <v>453</v>
      </c>
    </row>
    <row r="1279" spans="1:14" ht="14">
      <c r="A1279" s="149">
        <v>1278</v>
      </c>
      <c r="B1279" s="235" t="s">
        <v>52</v>
      </c>
      <c r="C1279" s="231" t="s">
        <v>10</v>
      </c>
      <c r="D1279" s="250" t="s">
        <v>2926</v>
      </c>
      <c r="E1279" s="281">
        <v>0</v>
      </c>
      <c r="F1279" s="249">
        <v>300</v>
      </c>
      <c r="G1279" s="165">
        <f t="shared" si="170"/>
        <v>2.1142857142857143</v>
      </c>
      <c r="H1279" s="165">
        <f t="shared" si="171"/>
        <v>4.2285714285714286</v>
      </c>
      <c r="I1279" s="165">
        <f t="shared" si="172"/>
        <v>3.1714285714285713</v>
      </c>
      <c r="J1279" s="166">
        <f t="shared" si="173"/>
        <v>5.2857142857142856</v>
      </c>
      <c r="K1279" s="165">
        <f t="shared" si="174"/>
        <v>5.2857142857142856</v>
      </c>
      <c r="L1279" s="165">
        <f t="shared" si="175"/>
        <v>1.075</v>
      </c>
      <c r="M1279" s="168">
        <f t="shared" si="169"/>
        <v>0</v>
      </c>
      <c r="N1279" s="231" t="s">
        <v>453</v>
      </c>
    </row>
    <row r="1280" spans="1:14" ht="14">
      <c r="A1280" s="149">
        <v>1279</v>
      </c>
      <c r="B1280" s="235" t="s">
        <v>52</v>
      </c>
      <c r="C1280" s="231" t="s">
        <v>10</v>
      </c>
      <c r="D1280" s="250" t="s">
        <v>2927</v>
      </c>
      <c r="E1280" s="281">
        <v>0</v>
      </c>
      <c r="F1280" s="249">
        <v>300</v>
      </c>
      <c r="G1280" s="165">
        <f t="shared" si="170"/>
        <v>2.1142857142857143</v>
      </c>
      <c r="H1280" s="165">
        <f t="shared" si="171"/>
        <v>4.2285714285714286</v>
      </c>
      <c r="I1280" s="165">
        <f t="shared" si="172"/>
        <v>3.1714285714285713</v>
      </c>
      <c r="J1280" s="166">
        <f t="shared" si="173"/>
        <v>5.2857142857142856</v>
      </c>
      <c r="K1280" s="165">
        <f t="shared" si="174"/>
        <v>5.2857142857142856</v>
      </c>
      <c r="L1280" s="165">
        <f t="shared" si="175"/>
        <v>1.075</v>
      </c>
      <c r="M1280" s="168">
        <f t="shared" si="169"/>
        <v>0</v>
      </c>
      <c r="N1280" s="231" t="s">
        <v>453</v>
      </c>
    </row>
    <row r="1281" spans="1:14" ht="14">
      <c r="A1281" s="149">
        <v>1280</v>
      </c>
      <c r="B1281" s="235" t="s">
        <v>52</v>
      </c>
      <c r="C1281" s="231" t="s">
        <v>10</v>
      </c>
      <c r="D1281" s="250" t="s">
        <v>2929</v>
      </c>
      <c r="E1281" s="281">
        <v>0</v>
      </c>
      <c r="F1281" s="249">
        <v>350</v>
      </c>
      <c r="G1281" s="165">
        <f t="shared" si="170"/>
        <v>2.4000000000000004</v>
      </c>
      <c r="H1281" s="165">
        <f t="shared" si="171"/>
        <v>4.8000000000000007</v>
      </c>
      <c r="I1281" s="165">
        <f t="shared" si="172"/>
        <v>3.5999999999999996</v>
      </c>
      <c r="J1281" s="166">
        <f t="shared" si="173"/>
        <v>6</v>
      </c>
      <c r="K1281" s="165">
        <f t="shared" si="174"/>
        <v>6</v>
      </c>
      <c r="L1281" s="165">
        <f t="shared" si="175"/>
        <v>1.0874999999999999</v>
      </c>
      <c r="M1281" s="168">
        <f t="shared" si="169"/>
        <v>0</v>
      </c>
      <c r="N1281" s="231" t="s">
        <v>453</v>
      </c>
    </row>
    <row r="1282" spans="1:14" ht="14">
      <c r="A1282" s="149">
        <v>1281</v>
      </c>
      <c r="B1282" s="235" t="s">
        <v>52</v>
      </c>
      <c r="C1282" s="231" t="s">
        <v>10</v>
      </c>
      <c r="D1282" s="250" t="s">
        <v>2930</v>
      </c>
      <c r="E1282" s="281">
        <v>0</v>
      </c>
      <c r="F1282" s="249">
        <v>400</v>
      </c>
      <c r="G1282" s="165">
        <f t="shared" si="170"/>
        <v>2.6857142857142859</v>
      </c>
      <c r="H1282" s="165">
        <f t="shared" si="171"/>
        <v>5.3714285714285719</v>
      </c>
      <c r="I1282" s="165">
        <f t="shared" si="172"/>
        <v>4.0285714285714285</v>
      </c>
      <c r="J1282" s="166">
        <f t="shared" si="173"/>
        <v>6.7142857142857144</v>
      </c>
      <c r="K1282" s="165">
        <f t="shared" si="174"/>
        <v>6.7142857142857144</v>
      </c>
      <c r="L1282" s="165">
        <f t="shared" si="175"/>
        <v>1.1000000000000001</v>
      </c>
      <c r="M1282" s="168">
        <f t="shared" ref="M1282:M1345" si="176">E1282/60</f>
        <v>0</v>
      </c>
      <c r="N1282" s="231" t="s">
        <v>453</v>
      </c>
    </row>
    <row r="1283" spans="1:14" ht="14">
      <c r="A1283" s="149">
        <v>1282</v>
      </c>
      <c r="B1283" s="235" t="s">
        <v>52</v>
      </c>
      <c r="C1283" s="231" t="s">
        <v>10</v>
      </c>
      <c r="D1283" s="250" t="s">
        <v>2931</v>
      </c>
      <c r="E1283" s="281">
        <v>0</v>
      </c>
      <c r="F1283" s="249">
        <v>300</v>
      </c>
      <c r="G1283" s="165">
        <f t="shared" si="170"/>
        <v>2.1142857142857143</v>
      </c>
      <c r="H1283" s="165">
        <f t="shared" si="171"/>
        <v>4.2285714285714286</v>
      </c>
      <c r="I1283" s="165">
        <f t="shared" si="172"/>
        <v>3.1714285714285713</v>
      </c>
      <c r="J1283" s="166">
        <f t="shared" si="173"/>
        <v>5.2857142857142856</v>
      </c>
      <c r="K1283" s="165">
        <f t="shared" si="174"/>
        <v>5.2857142857142856</v>
      </c>
      <c r="L1283" s="165">
        <f t="shared" si="175"/>
        <v>1.075</v>
      </c>
      <c r="M1283" s="168">
        <f t="shared" si="176"/>
        <v>0</v>
      </c>
      <c r="N1283" s="231" t="s">
        <v>453</v>
      </c>
    </row>
    <row r="1284" spans="1:14" ht="14">
      <c r="A1284" s="149">
        <v>1283</v>
      </c>
      <c r="B1284" s="235" t="s">
        <v>52</v>
      </c>
      <c r="C1284" s="231" t="s">
        <v>10</v>
      </c>
      <c r="D1284" s="250" t="s">
        <v>2933</v>
      </c>
      <c r="E1284" s="281">
        <v>0</v>
      </c>
      <c r="F1284" s="249">
        <v>600</v>
      </c>
      <c r="G1284" s="165">
        <f t="shared" si="170"/>
        <v>3.8285714285714287</v>
      </c>
      <c r="H1284" s="165">
        <f t="shared" si="171"/>
        <v>7.6571428571428575</v>
      </c>
      <c r="I1284" s="165">
        <f t="shared" si="172"/>
        <v>5.7428571428571429</v>
      </c>
      <c r="J1284" s="166">
        <f t="shared" si="173"/>
        <v>9.5714285714285712</v>
      </c>
      <c r="K1284" s="165">
        <f t="shared" si="174"/>
        <v>9.5714285714285712</v>
      </c>
      <c r="L1284" s="165">
        <f t="shared" si="175"/>
        <v>1.1499999999999999</v>
      </c>
      <c r="M1284" s="168">
        <f t="shared" si="176"/>
        <v>0</v>
      </c>
      <c r="N1284" s="231" t="s">
        <v>453</v>
      </c>
    </row>
    <row r="1285" spans="1:14" ht="14">
      <c r="A1285" s="149">
        <v>1284</v>
      </c>
      <c r="B1285" s="235" t="s">
        <v>52</v>
      </c>
      <c r="C1285" s="231" t="s">
        <v>10</v>
      </c>
      <c r="D1285" s="250" t="s">
        <v>2935</v>
      </c>
      <c r="E1285" s="281">
        <v>0</v>
      </c>
      <c r="F1285" s="249">
        <v>300</v>
      </c>
      <c r="G1285" s="165">
        <f t="shared" si="170"/>
        <v>2.1142857142857143</v>
      </c>
      <c r="H1285" s="165">
        <f t="shared" si="171"/>
        <v>4.2285714285714286</v>
      </c>
      <c r="I1285" s="165">
        <f t="shared" si="172"/>
        <v>3.1714285714285713</v>
      </c>
      <c r="J1285" s="166">
        <f t="shared" si="173"/>
        <v>5.2857142857142856</v>
      </c>
      <c r="K1285" s="165">
        <f t="shared" si="174"/>
        <v>5.2857142857142856</v>
      </c>
      <c r="L1285" s="165">
        <f t="shared" si="175"/>
        <v>1.075</v>
      </c>
      <c r="M1285" s="168">
        <f t="shared" si="176"/>
        <v>0</v>
      </c>
      <c r="N1285" s="231" t="s">
        <v>453</v>
      </c>
    </row>
    <row r="1286" spans="1:14" ht="14">
      <c r="A1286" s="149">
        <v>1285</v>
      </c>
      <c r="B1286" s="235" t="s">
        <v>52</v>
      </c>
      <c r="C1286" s="231" t="s">
        <v>10</v>
      </c>
      <c r="D1286" s="250" t="s">
        <v>2938</v>
      </c>
      <c r="E1286" s="281">
        <v>0</v>
      </c>
      <c r="F1286" s="249">
        <v>300</v>
      </c>
      <c r="G1286" s="165">
        <f t="shared" si="170"/>
        <v>2.1142857142857143</v>
      </c>
      <c r="H1286" s="165">
        <f t="shared" si="171"/>
        <v>4.2285714285714286</v>
      </c>
      <c r="I1286" s="165">
        <f t="shared" si="172"/>
        <v>3.1714285714285713</v>
      </c>
      <c r="J1286" s="166">
        <f t="shared" si="173"/>
        <v>5.2857142857142856</v>
      </c>
      <c r="K1286" s="165">
        <f t="shared" si="174"/>
        <v>5.2857142857142856</v>
      </c>
      <c r="L1286" s="165">
        <f t="shared" si="175"/>
        <v>1.075</v>
      </c>
      <c r="M1286" s="168">
        <f t="shared" si="176"/>
        <v>0</v>
      </c>
      <c r="N1286" s="231" t="s">
        <v>453</v>
      </c>
    </row>
    <row r="1287" spans="1:14" ht="14">
      <c r="A1287" s="149">
        <v>1286</v>
      </c>
      <c r="B1287" s="235" t="s">
        <v>52</v>
      </c>
      <c r="C1287" s="231" t="s">
        <v>10</v>
      </c>
      <c r="D1287" s="250" t="s">
        <v>2941</v>
      </c>
      <c r="E1287" s="281">
        <v>0</v>
      </c>
      <c r="F1287" s="249">
        <v>300</v>
      </c>
      <c r="G1287" s="165">
        <f t="shared" si="170"/>
        <v>2.1142857142857143</v>
      </c>
      <c r="H1287" s="165">
        <f t="shared" si="171"/>
        <v>4.2285714285714286</v>
      </c>
      <c r="I1287" s="165">
        <f t="shared" si="172"/>
        <v>3.1714285714285713</v>
      </c>
      <c r="J1287" s="166">
        <f t="shared" si="173"/>
        <v>5.2857142857142856</v>
      </c>
      <c r="K1287" s="165">
        <f t="shared" si="174"/>
        <v>5.2857142857142856</v>
      </c>
      <c r="L1287" s="165">
        <f t="shared" si="175"/>
        <v>1.075</v>
      </c>
      <c r="M1287" s="168">
        <f t="shared" si="176"/>
        <v>0</v>
      </c>
      <c r="N1287" s="231" t="s">
        <v>453</v>
      </c>
    </row>
    <row r="1288" spans="1:14" ht="14">
      <c r="A1288" s="149">
        <v>1287</v>
      </c>
      <c r="B1288" s="235" t="s">
        <v>52</v>
      </c>
      <c r="C1288" s="231" t="s">
        <v>10</v>
      </c>
      <c r="D1288" s="250" t="s">
        <v>2944</v>
      </c>
      <c r="E1288" s="281">
        <v>0</v>
      </c>
      <c r="F1288" s="249">
        <v>350</v>
      </c>
      <c r="G1288" s="165">
        <f t="shared" si="170"/>
        <v>2.4000000000000004</v>
      </c>
      <c r="H1288" s="165">
        <f t="shared" si="171"/>
        <v>4.8000000000000007</v>
      </c>
      <c r="I1288" s="165">
        <f t="shared" si="172"/>
        <v>3.5999999999999996</v>
      </c>
      <c r="J1288" s="166">
        <f t="shared" si="173"/>
        <v>6</v>
      </c>
      <c r="K1288" s="165">
        <f t="shared" si="174"/>
        <v>6</v>
      </c>
      <c r="L1288" s="165">
        <f t="shared" si="175"/>
        <v>1.0874999999999999</v>
      </c>
      <c r="M1288" s="168">
        <f t="shared" si="176"/>
        <v>0</v>
      </c>
      <c r="N1288" s="231" t="s">
        <v>453</v>
      </c>
    </row>
    <row r="1289" spans="1:14" ht="14">
      <c r="A1289" s="149">
        <v>1288</v>
      </c>
      <c r="B1289" s="235" t="s">
        <v>52</v>
      </c>
      <c r="C1289" s="231" t="s">
        <v>10</v>
      </c>
      <c r="D1289" s="250" t="s">
        <v>2946</v>
      </c>
      <c r="E1289" s="281">
        <v>0</v>
      </c>
      <c r="F1289" s="249">
        <v>300</v>
      </c>
      <c r="G1289" s="165">
        <f t="shared" si="170"/>
        <v>2.1142857142857143</v>
      </c>
      <c r="H1289" s="165">
        <f t="shared" si="171"/>
        <v>4.2285714285714286</v>
      </c>
      <c r="I1289" s="165">
        <f t="shared" si="172"/>
        <v>3.1714285714285713</v>
      </c>
      <c r="J1289" s="166">
        <f t="shared" si="173"/>
        <v>5.2857142857142856</v>
      </c>
      <c r="K1289" s="165">
        <f t="shared" si="174"/>
        <v>5.2857142857142856</v>
      </c>
      <c r="L1289" s="165">
        <f t="shared" si="175"/>
        <v>1.075</v>
      </c>
      <c r="M1289" s="168">
        <f t="shared" si="176"/>
        <v>0</v>
      </c>
      <c r="N1289" s="231" t="s">
        <v>453</v>
      </c>
    </row>
    <row r="1290" spans="1:14" ht="14">
      <c r="A1290" s="149">
        <v>1289</v>
      </c>
      <c r="B1290" s="235" t="s">
        <v>55</v>
      </c>
      <c r="C1290" s="231" t="s">
        <v>10</v>
      </c>
      <c r="D1290" s="250" t="s">
        <v>2948</v>
      </c>
      <c r="E1290" s="281">
        <v>0</v>
      </c>
      <c r="F1290" s="249">
        <v>150</v>
      </c>
      <c r="G1290" s="165">
        <f t="shared" si="170"/>
        <v>1.2571428571428571</v>
      </c>
      <c r="H1290" s="165">
        <f t="shared" si="171"/>
        <v>2.5142857142857142</v>
      </c>
      <c r="I1290" s="165">
        <f t="shared" si="172"/>
        <v>1.8857142857142857</v>
      </c>
      <c r="J1290" s="166">
        <f t="shared" si="173"/>
        <v>3.1428571428571428</v>
      </c>
      <c r="K1290" s="165">
        <f t="shared" si="174"/>
        <v>3.1428571428571428</v>
      </c>
      <c r="L1290" s="165">
        <f t="shared" si="175"/>
        <v>1.0375000000000001</v>
      </c>
      <c r="M1290" s="168">
        <f t="shared" si="176"/>
        <v>0</v>
      </c>
      <c r="N1290" s="231" t="s">
        <v>453</v>
      </c>
    </row>
    <row r="1291" spans="1:14" ht="14">
      <c r="A1291" s="149">
        <v>1290</v>
      </c>
      <c r="B1291" s="235" t="s">
        <v>52</v>
      </c>
      <c r="C1291" s="231" t="s">
        <v>10</v>
      </c>
      <c r="D1291" s="250" t="s">
        <v>2950</v>
      </c>
      <c r="E1291" s="281">
        <v>0</v>
      </c>
      <c r="F1291" s="249">
        <v>650</v>
      </c>
      <c r="G1291" s="165">
        <f t="shared" si="170"/>
        <v>4.1142857142857148</v>
      </c>
      <c r="H1291" s="165">
        <f t="shared" si="171"/>
        <v>8.2285714285714295</v>
      </c>
      <c r="I1291" s="165">
        <f t="shared" si="172"/>
        <v>6.1714285714285717</v>
      </c>
      <c r="J1291" s="166">
        <f t="shared" si="173"/>
        <v>10.285714285714286</v>
      </c>
      <c r="K1291" s="165">
        <f t="shared" si="174"/>
        <v>10.285714285714286</v>
      </c>
      <c r="L1291" s="165">
        <f t="shared" si="175"/>
        <v>1.1625000000000001</v>
      </c>
      <c r="M1291" s="168">
        <f t="shared" si="176"/>
        <v>0</v>
      </c>
      <c r="N1291" s="231" t="s">
        <v>453</v>
      </c>
    </row>
    <row r="1292" spans="1:14" ht="14">
      <c r="A1292" s="149">
        <v>1291</v>
      </c>
      <c r="B1292" s="235" t="s">
        <v>52</v>
      </c>
      <c r="C1292" s="231" t="s">
        <v>10</v>
      </c>
      <c r="D1292" s="250" t="s">
        <v>2951</v>
      </c>
      <c r="E1292" s="281">
        <v>0</v>
      </c>
      <c r="F1292" s="249">
        <v>650</v>
      </c>
      <c r="G1292" s="165">
        <f t="shared" si="170"/>
        <v>4.1142857142857148</v>
      </c>
      <c r="H1292" s="165">
        <f t="shared" si="171"/>
        <v>8.2285714285714295</v>
      </c>
      <c r="I1292" s="165">
        <f t="shared" si="172"/>
        <v>6.1714285714285717</v>
      </c>
      <c r="J1292" s="166">
        <f t="shared" si="173"/>
        <v>10.285714285714286</v>
      </c>
      <c r="K1292" s="165">
        <f t="shared" si="174"/>
        <v>10.285714285714286</v>
      </c>
      <c r="L1292" s="165">
        <f t="shared" si="175"/>
        <v>1.1625000000000001</v>
      </c>
      <c r="M1292" s="168">
        <f t="shared" si="176"/>
        <v>0</v>
      </c>
      <c r="N1292" s="231" t="s">
        <v>453</v>
      </c>
    </row>
    <row r="1293" spans="1:14" ht="14">
      <c r="A1293" s="149">
        <v>1292</v>
      </c>
      <c r="B1293" s="235" t="s">
        <v>52</v>
      </c>
      <c r="C1293" s="231" t="s">
        <v>10</v>
      </c>
      <c r="D1293" s="250" t="s">
        <v>2953</v>
      </c>
      <c r="E1293" s="281">
        <v>0</v>
      </c>
      <c r="F1293" s="249">
        <v>600</v>
      </c>
      <c r="G1293" s="165">
        <f t="shared" si="170"/>
        <v>3.8285714285714287</v>
      </c>
      <c r="H1293" s="165">
        <f t="shared" si="171"/>
        <v>7.6571428571428575</v>
      </c>
      <c r="I1293" s="165">
        <f t="shared" si="172"/>
        <v>5.7428571428571429</v>
      </c>
      <c r="J1293" s="166">
        <f t="shared" si="173"/>
        <v>9.5714285714285712</v>
      </c>
      <c r="K1293" s="165">
        <f t="shared" si="174"/>
        <v>9.5714285714285712</v>
      </c>
      <c r="L1293" s="165">
        <f t="shared" si="175"/>
        <v>1.1499999999999999</v>
      </c>
      <c r="M1293" s="168">
        <f t="shared" si="176"/>
        <v>0</v>
      </c>
      <c r="N1293" s="231" t="s">
        <v>453</v>
      </c>
    </row>
    <row r="1294" spans="1:14" ht="14">
      <c r="A1294" s="149">
        <v>1293</v>
      </c>
      <c r="B1294" s="235" t="s">
        <v>52</v>
      </c>
      <c r="C1294" s="231" t="s">
        <v>10</v>
      </c>
      <c r="D1294" s="250" t="s">
        <v>2955</v>
      </c>
      <c r="E1294" s="281">
        <v>0</v>
      </c>
      <c r="F1294" s="249">
        <v>500</v>
      </c>
      <c r="G1294" s="165">
        <f t="shared" ref="G1294:G1322" si="177">(((F1294/70)+1)*0.4)</f>
        <v>3.2571428571428571</v>
      </c>
      <c r="H1294" s="165">
        <f t="shared" ref="H1294:H1322" si="178">G1294*2</f>
        <v>6.5142857142857142</v>
      </c>
      <c r="I1294" s="165">
        <f t="shared" ref="I1294:I1322" si="179">(((F1294/70)+1)*0.6)</f>
        <v>4.8857142857142852</v>
      </c>
      <c r="J1294" s="166">
        <f t="shared" ref="J1294:J1322" si="180">I1294+G1294</f>
        <v>8.1428571428571423</v>
      </c>
      <c r="K1294" s="165">
        <f t="shared" ref="K1294:K1322" si="181">J1294</f>
        <v>8.1428571428571423</v>
      </c>
      <c r="L1294" s="165">
        <f t="shared" ref="L1294:L1322" si="182">(F1294/4000)+1</f>
        <v>1.125</v>
      </c>
      <c r="M1294" s="168">
        <f t="shared" si="176"/>
        <v>0</v>
      </c>
      <c r="N1294" s="231" t="s">
        <v>453</v>
      </c>
    </row>
    <row r="1295" spans="1:14" ht="14">
      <c r="A1295" s="149">
        <v>1294</v>
      </c>
      <c r="B1295" s="235" t="s">
        <v>52</v>
      </c>
      <c r="C1295" s="231" t="s">
        <v>10</v>
      </c>
      <c r="D1295" s="250" t="s">
        <v>2957</v>
      </c>
      <c r="E1295" s="281">
        <v>0</v>
      </c>
      <c r="F1295" s="249">
        <v>400</v>
      </c>
      <c r="G1295" s="165">
        <f t="shared" si="177"/>
        <v>2.6857142857142859</v>
      </c>
      <c r="H1295" s="165">
        <f t="shared" si="178"/>
        <v>5.3714285714285719</v>
      </c>
      <c r="I1295" s="165">
        <f t="shared" si="179"/>
        <v>4.0285714285714285</v>
      </c>
      <c r="J1295" s="166">
        <f t="shared" si="180"/>
        <v>6.7142857142857144</v>
      </c>
      <c r="K1295" s="165">
        <f t="shared" si="181"/>
        <v>6.7142857142857144</v>
      </c>
      <c r="L1295" s="165">
        <f t="shared" si="182"/>
        <v>1.1000000000000001</v>
      </c>
      <c r="M1295" s="168">
        <f t="shared" si="176"/>
        <v>0</v>
      </c>
      <c r="N1295" s="231" t="s">
        <v>453</v>
      </c>
    </row>
    <row r="1296" spans="1:14" ht="14">
      <c r="A1296" s="149">
        <v>1295</v>
      </c>
      <c r="B1296" s="235" t="s">
        <v>52</v>
      </c>
      <c r="C1296" s="231" t="s">
        <v>10</v>
      </c>
      <c r="D1296" s="250" t="s">
        <v>2959</v>
      </c>
      <c r="E1296" s="281">
        <v>0</v>
      </c>
      <c r="F1296" s="249">
        <v>250</v>
      </c>
      <c r="G1296" s="165">
        <f t="shared" si="177"/>
        <v>1.8285714285714285</v>
      </c>
      <c r="H1296" s="165">
        <f t="shared" si="178"/>
        <v>3.657142857142857</v>
      </c>
      <c r="I1296" s="165">
        <f t="shared" si="179"/>
        <v>2.7428571428571424</v>
      </c>
      <c r="J1296" s="166">
        <f t="shared" si="180"/>
        <v>4.5714285714285712</v>
      </c>
      <c r="K1296" s="165">
        <f t="shared" si="181"/>
        <v>4.5714285714285712</v>
      </c>
      <c r="L1296" s="165">
        <f t="shared" si="182"/>
        <v>1.0625</v>
      </c>
      <c r="M1296" s="168">
        <f t="shared" si="176"/>
        <v>0</v>
      </c>
      <c r="N1296" s="231" t="s">
        <v>453</v>
      </c>
    </row>
    <row r="1297" spans="1:14" ht="14">
      <c r="A1297" s="149">
        <v>1296</v>
      </c>
      <c r="B1297" s="235" t="s">
        <v>52</v>
      </c>
      <c r="C1297" s="231" t="s">
        <v>10</v>
      </c>
      <c r="D1297" s="250" t="s">
        <v>2960</v>
      </c>
      <c r="E1297" s="281">
        <v>0</v>
      </c>
      <c r="F1297" s="249">
        <v>250</v>
      </c>
      <c r="G1297" s="165">
        <f t="shared" si="177"/>
        <v>1.8285714285714285</v>
      </c>
      <c r="H1297" s="165">
        <f t="shared" si="178"/>
        <v>3.657142857142857</v>
      </c>
      <c r="I1297" s="165">
        <f t="shared" si="179"/>
        <v>2.7428571428571424</v>
      </c>
      <c r="J1297" s="166">
        <f t="shared" si="180"/>
        <v>4.5714285714285712</v>
      </c>
      <c r="K1297" s="165">
        <f t="shared" si="181"/>
        <v>4.5714285714285712</v>
      </c>
      <c r="L1297" s="165">
        <f t="shared" si="182"/>
        <v>1.0625</v>
      </c>
      <c r="M1297" s="168">
        <f t="shared" si="176"/>
        <v>0</v>
      </c>
      <c r="N1297" s="231" t="s">
        <v>453</v>
      </c>
    </row>
    <row r="1298" spans="1:14" ht="14">
      <c r="A1298" s="149">
        <v>1297</v>
      </c>
      <c r="B1298" s="235" t="s">
        <v>52</v>
      </c>
      <c r="C1298" s="231" t="s">
        <v>10</v>
      </c>
      <c r="D1298" s="250" t="s">
        <v>2962</v>
      </c>
      <c r="E1298" s="281">
        <v>0</v>
      </c>
      <c r="F1298" s="249">
        <v>3000</v>
      </c>
      <c r="G1298" s="165">
        <f t="shared" si="177"/>
        <v>17.542857142857141</v>
      </c>
      <c r="H1298" s="165">
        <f t="shared" si="178"/>
        <v>35.085714285714282</v>
      </c>
      <c r="I1298" s="165">
        <f t="shared" si="179"/>
        <v>26.314285714285713</v>
      </c>
      <c r="J1298" s="166">
        <f t="shared" si="180"/>
        <v>43.857142857142854</v>
      </c>
      <c r="K1298" s="165">
        <f t="shared" si="181"/>
        <v>43.857142857142854</v>
      </c>
      <c r="L1298" s="165">
        <f t="shared" si="182"/>
        <v>1.75</v>
      </c>
      <c r="M1298" s="168">
        <f t="shared" si="176"/>
        <v>0</v>
      </c>
      <c r="N1298" s="231" t="s">
        <v>453</v>
      </c>
    </row>
    <row r="1299" spans="1:14" ht="14">
      <c r="A1299" s="149">
        <v>1298</v>
      </c>
      <c r="B1299" s="235" t="s">
        <v>52</v>
      </c>
      <c r="C1299" s="231" t="s">
        <v>10</v>
      </c>
      <c r="D1299" s="250" t="s">
        <v>2964</v>
      </c>
      <c r="E1299" s="281">
        <v>0</v>
      </c>
      <c r="F1299" s="249">
        <v>300</v>
      </c>
      <c r="G1299" s="165">
        <f t="shared" si="177"/>
        <v>2.1142857142857143</v>
      </c>
      <c r="H1299" s="165">
        <f t="shared" si="178"/>
        <v>4.2285714285714286</v>
      </c>
      <c r="I1299" s="165">
        <f t="shared" si="179"/>
        <v>3.1714285714285713</v>
      </c>
      <c r="J1299" s="166">
        <f t="shared" si="180"/>
        <v>5.2857142857142856</v>
      </c>
      <c r="K1299" s="165">
        <f t="shared" si="181"/>
        <v>5.2857142857142856</v>
      </c>
      <c r="L1299" s="165">
        <f t="shared" si="182"/>
        <v>1.075</v>
      </c>
      <c r="M1299" s="168">
        <f t="shared" si="176"/>
        <v>0</v>
      </c>
      <c r="N1299" s="231" t="s">
        <v>453</v>
      </c>
    </row>
    <row r="1300" spans="1:14" ht="14">
      <c r="A1300" s="149">
        <v>1299</v>
      </c>
      <c r="B1300" s="235" t="s">
        <v>52</v>
      </c>
      <c r="C1300" s="231" t="s">
        <v>10</v>
      </c>
      <c r="D1300" s="250" t="s">
        <v>2966</v>
      </c>
      <c r="E1300" s="281">
        <v>0</v>
      </c>
      <c r="F1300" s="249">
        <v>800</v>
      </c>
      <c r="G1300" s="165">
        <f t="shared" si="177"/>
        <v>4.9714285714285715</v>
      </c>
      <c r="H1300" s="165">
        <f t="shared" si="178"/>
        <v>9.9428571428571431</v>
      </c>
      <c r="I1300" s="165">
        <f t="shared" si="179"/>
        <v>7.4571428571428573</v>
      </c>
      <c r="J1300" s="166">
        <f t="shared" si="180"/>
        <v>12.428571428571429</v>
      </c>
      <c r="K1300" s="165">
        <f t="shared" si="181"/>
        <v>12.428571428571429</v>
      </c>
      <c r="L1300" s="165">
        <f t="shared" si="182"/>
        <v>1.2</v>
      </c>
      <c r="M1300" s="168">
        <f t="shared" si="176"/>
        <v>0</v>
      </c>
      <c r="N1300" s="231" t="s">
        <v>453</v>
      </c>
    </row>
    <row r="1301" spans="1:14" ht="14">
      <c r="A1301" s="149">
        <v>1300</v>
      </c>
      <c r="B1301" s="235" t="s">
        <v>52</v>
      </c>
      <c r="C1301" s="231" t="s">
        <v>10</v>
      </c>
      <c r="D1301" s="250" t="s">
        <v>2967</v>
      </c>
      <c r="E1301" s="281">
        <v>0</v>
      </c>
      <c r="F1301" s="249">
        <v>250</v>
      </c>
      <c r="G1301" s="165">
        <f t="shared" si="177"/>
        <v>1.8285714285714285</v>
      </c>
      <c r="H1301" s="165">
        <f t="shared" si="178"/>
        <v>3.657142857142857</v>
      </c>
      <c r="I1301" s="165">
        <f t="shared" si="179"/>
        <v>2.7428571428571424</v>
      </c>
      <c r="J1301" s="166">
        <f t="shared" si="180"/>
        <v>4.5714285714285712</v>
      </c>
      <c r="K1301" s="165">
        <f t="shared" si="181"/>
        <v>4.5714285714285712</v>
      </c>
      <c r="L1301" s="165">
        <f t="shared" si="182"/>
        <v>1.0625</v>
      </c>
      <c r="M1301" s="168">
        <f t="shared" si="176"/>
        <v>0</v>
      </c>
      <c r="N1301" s="231" t="s">
        <v>453</v>
      </c>
    </row>
    <row r="1302" spans="1:14" ht="14">
      <c r="A1302" s="149">
        <v>1301</v>
      </c>
      <c r="B1302" s="235" t="s">
        <v>52</v>
      </c>
      <c r="C1302" s="231" t="s">
        <v>10</v>
      </c>
      <c r="D1302" s="250" t="s">
        <v>2969</v>
      </c>
      <c r="E1302" s="281">
        <v>0</v>
      </c>
      <c r="F1302" s="249">
        <v>800</v>
      </c>
      <c r="G1302" s="165">
        <f t="shared" si="177"/>
        <v>4.9714285714285715</v>
      </c>
      <c r="H1302" s="165">
        <f t="shared" si="178"/>
        <v>9.9428571428571431</v>
      </c>
      <c r="I1302" s="165">
        <f t="shared" si="179"/>
        <v>7.4571428571428573</v>
      </c>
      <c r="J1302" s="166">
        <f t="shared" si="180"/>
        <v>12.428571428571429</v>
      </c>
      <c r="K1302" s="165">
        <f t="shared" si="181"/>
        <v>12.428571428571429</v>
      </c>
      <c r="L1302" s="165">
        <f t="shared" si="182"/>
        <v>1.2</v>
      </c>
      <c r="M1302" s="168">
        <f t="shared" si="176"/>
        <v>0</v>
      </c>
      <c r="N1302" s="231" t="s">
        <v>453</v>
      </c>
    </row>
    <row r="1303" spans="1:14" ht="14">
      <c r="A1303" s="149">
        <v>1302</v>
      </c>
      <c r="B1303" s="258" t="s">
        <v>59</v>
      </c>
      <c r="C1303" s="231" t="s">
        <v>11</v>
      </c>
      <c r="D1303" s="250" t="s">
        <v>2971</v>
      </c>
      <c r="E1303" s="281">
        <v>0</v>
      </c>
      <c r="F1303" s="249">
        <v>1000</v>
      </c>
      <c r="G1303" s="165">
        <f t="shared" si="177"/>
        <v>6.1142857142857148</v>
      </c>
      <c r="H1303" s="165">
        <f t="shared" si="178"/>
        <v>12.22857142857143</v>
      </c>
      <c r="I1303" s="165">
        <f t="shared" si="179"/>
        <v>9.1714285714285708</v>
      </c>
      <c r="J1303" s="166">
        <f t="shared" si="180"/>
        <v>15.285714285714285</v>
      </c>
      <c r="K1303" s="165">
        <f t="shared" si="181"/>
        <v>15.285714285714285</v>
      </c>
      <c r="L1303" s="165">
        <f t="shared" si="182"/>
        <v>1.25</v>
      </c>
      <c r="M1303" s="168">
        <f t="shared" si="176"/>
        <v>0</v>
      </c>
      <c r="N1303" s="231" t="s">
        <v>453</v>
      </c>
    </row>
    <row r="1304" spans="1:14" ht="14">
      <c r="A1304" s="149">
        <v>1303</v>
      </c>
      <c r="B1304" s="235" t="s">
        <v>52</v>
      </c>
      <c r="C1304" s="231" t="s">
        <v>10</v>
      </c>
      <c r="D1304" s="250" t="s">
        <v>2973</v>
      </c>
      <c r="E1304" s="281">
        <v>0</v>
      </c>
      <c r="F1304" s="249">
        <v>1300</v>
      </c>
      <c r="G1304" s="165">
        <f t="shared" si="177"/>
        <v>7.8285714285714292</v>
      </c>
      <c r="H1304" s="165">
        <f t="shared" si="178"/>
        <v>15.657142857142858</v>
      </c>
      <c r="I1304" s="165">
        <f t="shared" si="179"/>
        <v>11.742857142857144</v>
      </c>
      <c r="J1304" s="166">
        <f t="shared" si="180"/>
        <v>19.571428571428573</v>
      </c>
      <c r="K1304" s="165">
        <f t="shared" si="181"/>
        <v>19.571428571428573</v>
      </c>
      <c r="L1304" s="165">
        <f t="shared" si="182"/>
        <v>1.325</v>
      </c>
      <c r="M1304" s="168">
        <f t="shared" si="176"/>
        <v>0</v>
      </c>
      <c r="N1304" s="261" t="s">
        <v>453</v>
      </c>
    </row>
    <row r="1305" spans="1:14" ht="14">
      <c r="A1305" s="149">
        <v>1304</v>
      </c>
      <c r="B1305" s="235" t="s">
        <v>52</v>
      </c>
      <c r="C1305" s="231" t="s">
        <v>10</v>
      </c>
      <c r="D1305" s="250" t="s">
        <v>2977</v>
      </c>
      <c r="E1305" s="281">
        <v>0</v>
      </c>
      <c r="F1305" s="249">
        <v>300</v>
      </c>
      <c r="G1305" s="165">
        <f t="shared" si="177"/>
        <v>2.1142857142857143</v>
      </c>
      <c r="H1305" s="165">
        <f t="shared" si="178"/>
        <v>4.2285714285714286</v>
      </c>
      <c r="I1305" s="165">
        <f t="shared" si="179"/>
        <v>3.1714285714285713</v>
      </c>
      <c r="J1305" s="166">
        <f t="shared" si="180"/>
        <v>5.2857142857142856</v>
      </c>
      <c r="K1305" s="165">
        <f t="shared" si="181"/>
        <v>5.2857142857142856</v>
      </c>
      <c r="L1305" s="165">
        <f t="shared" si="182"/>
        <v>1.075</v>
      </c>
      <c r="M1305" s="168">
        <f t="shared" si="176"/>
        <v>0</v>
      </c>
      <c r="N1305" s="261" t="s">
        <v>453</v>
      </c>
    </row>
    <row r="1306" spans="1:14" ht="14">
      <c r="A1306" s="149">
        <v>1305</v>
      </c>
      <c r="B1306" s="235" t="s">
        <v>52</v>
      </c>
      <c r="C1306" s="231" t="s">
        <v>10</v>
      </c>
      <c r="D1306" s="250" t="s">
        <v>2981</v>
      </c>
      <c r="E1306" s="281">
        <v>0</v>
      </c>
      <c r="F1306" s="249">
        <v>500</v>
      </c>
      <c r="G1306" s="165">
        <f t="shared" si="177"/>
        <v>3.2571428571428571</v>
      </c>
      <c r="H1306" s="165">
        <f t="shared" si="178"/>
        <v>6.5142857142857142</v>
      </c>
      <c r="I1306" s="165">
        <f t="shared" si="179"/>
        <v>4.8857142857142852</v>
      </c>
      <c r="J1306" s="166">
        <f t="shared" si="180"/>
        <v>8.1428571428571423</v>
      </c>
      <c r="K1306" s="165">
        <f t="shared" si="181"/>
        <v>8.1428571428571423</v>
      </c>
      <c r="L1306" s="165">
        <f t="shared" si="182"/>
        <v>1.125</v>
      </c>
      <c r="M1306" s="168">
        <f t="shared" si="176"/>
        <v>0</v>
      </c>
      <c r="N1306" s="261" t="s">
        <v>457</v>
      </c>
    </row>
    <row r="1307" spans="1:14" ht="14">
      <c r="A1307" s="149">
        <v>1306</v>
      </c>
      <c r="B1307" s="235" t="s">
        <v>50</v>
      </c>
      <c r="C1307" s="231" t="s">
        <v>10</v>
      </c>
      <c r="D1307" s="250" t="s">
        <v>2982</v>
      </c>
      <c r="E1307" s="281">
        <v>0</v>
      </c>
      <c r="F1307" s="249">
        <v>200</v>
      </c>
      <c r="G1307" s="165">
        <f t="shared" si="177"/>
        <v>1.5428571428571429</v>
      </c>
      <c r="H1307" s="165">
        <f t="shared" si="178"/>
        <v>3.0857142857142859</v>
      </c>
      <c r="I1307" s="165">
        <f t="shared" si="179"/>
        <v>2.3142857142857141</v>
      </c>
      <c r="J1307" s="166">
        <f t="shared" si="180"/>
        <v>3.8571428571428568</v>
      </c>
      <c r="K1307" s="165">
        <f t="shared" si="181"/>
        <v>3.8571428571428568</v>
      </c>
      <c r="L1307" s="165">
        <f t="shared" si="182"/>
        <v>1.05</v>
      </c>
      <c r="M1307" s="168">
        <f t="shared" si="176"/>
        <v>0</v>
      </c>
      <c r="N1307" s="261" t="s">
        <v>457</v>
      </c>
    </row>
    <row r="1308" spans="1:14" ht="14">
      <c r="A1308" s="149">
        <v>1307</v>
      </c>
      <c r="B1308" s="235" t="s">
        <v>49</v>
      </c>
      <c r="C1308" s="262" t="s">
        <v>10</v>
      </c>
      <c r="D1308" s="330" t="s">
        <v>2985</v>
      </c>
      <c r="E1308" s="281">
        <v>0</v>
      </c>
      <c r="F1308" s="249">
        <v>650</v>
      </c>
      <c r="G1308" s="165">
        <f t="shared" si="177"/>
        <v>4.1142857142857148</v>
      </c>
      <c r="H1308" s="165">
        <f t="shared" si="178"/>
        <v>8.2285714285714295</v>
      </c>
      <c r="I1308" s="165">
        <f t="shared" si="179"/>
        <v>6.1714285714285717</v>
      </c>
      <c r="J1308" s="166">
        <f t="shared" si="180"/>
        <v>10.285714285714286</v>
      </c>
      <c r="K1308" s="165">
        <f t="shared" si="181"/>
        <v>10.285714285714286</v>
      </c>
      <c r="L1308" s="165">
        <f t="shared" si="182"/>
        <v>1.1625000000000001</v>
      </c>
      <c r="M1308" s="168">
        <f t="shared" si="176"/>
        <v>0</v>
      </c>
      <c r="N1308" s="241" t="s">
        <v>453</v>
      </c>
    </row>
    <row r="1309" spans="1:14" ht="14">
      <c r="A1309" s="149">
        <v>1308</v>
      </c>
      <c r="B1309" s="235" t="s">
        <v>52</v>
      </c>
      <c r="C1309" s="243" t="s">
        <v>10</v>
      </c>
      <c r="D1309" s="250" t="s">
        <v>2987</v>
      </c>
      <c r="E1309" s="281">
        <v>0</v>
      </c>
      <c r="F1309" s="249">
        <v>500</v>
      </c>
      <c r="G1309" s="165">
        <f t="shared" si="177"/>
        <v>3.2571428571428571</v>
      </c>
      <c r="H1309" s="165">
        <f t="shared" si="178"/>
        <v>6.5142857142857142</v>
      </c>
      <c r="I1309" s="165">
        <f t="shared" si="179"/>
        <v>4.8857142857142852</v>
      </c>
      <c r="J1309" s="166">
        <f t="shared" si="180"/>
        <v>8.1428571428571423</v>
      </c>
      <c r="K1309" s="165">
        <f t="shared" si="181"/>
        <v>8.1428571428571423</v>
      </c>
      <c r="L1309" s="165">
        <f t="shared" si="182"/>
        <v>1.125</v>
      </c>
      <c r="M1309" s="168">
        <f t="shared" si="176"/>
        <v>0</v>
      </c>
      <c r="N1309" s="241" t="s">
        <v>453</v>
      </c>
    </row>
    <row r="1310" spans="1:14" ht="14">
      <c r="A1310" s="149">
        <v>1309</v>
      </c>
      <c r="B1310" s="235" t="s">
        <v>52</v>
      </c>
      <c r="C1310" s="243" t="s">
        <v>10</v>
      </c>
      <c r="D1310" s="250" t="s">
        <v>2989</v>
      </c>
      <c r="E1310" s="281">
        <v>0</v>
      </c>
      <c r="F1310" s="249">
        <v>370</v>
      </c>
      <c r="G1310" s="165">
        <f t="shared" si="177"/>
        <v>2.5142857142857142</v>
      </c>
      <c r="H1310" s="165">
        <f t="shared" si="178"/>
        <v>5.0285714285714285</v>
      </c>
      <c r="I1310" s="165">
        <f t="shared" si="179"/>
        <v>3.7714285714285714</v>
      </c>
      <c r="J1310" s="166">
        <f t="shared" si="180"/>
        <v>6.2857142857142856</v>
      </c>
      <c r="K1310" s="165">
        <f t="shared" si="181"/>
        <v>6.2857142857142856</v>
      </c>
      <c r="L1310" s="165">
        <f t="shared" si="182"/>
        <v>1.0925</v>
      </c>
      <c r="M1310" s="168">
        <f t="shared" si="176"/>
        <v>0</v>
      </c>
      <c r="N1310" s="241" t="s">
        <v>453</v>
      </c>
    </row>
    <row r="1311" spans="1:14" ht="14">
      <c r="A1311" s="149">
        <v>1310</v>
      </c>
      <c r="B1311" s="235" t="s">
        <v>52</v>
      </c>
      <c r="C1311" s="243" t="s">
        <v>10</v>
      </c>
      <c r="D1311" s="250" t="s">
        <v>2992</v>
      </c>
      <c r="E1311" s="281">
        <v>0</v>
      </c>
      <c r="F1311" s="249">
        <v>800</v>
      </c>
      <c r="G1311" s="165">
        <f t="shared" si="177"/>
        <v>4.9714285714285715</v>
      </c>
      <c r="H1311" s="165">
        <f t="shared" si="178"/>
        <v>9.9428571428571431</v>
      </c>
      <c r="I1311" s="165">
        <f t="shared" si="179"/>
        <v>7.4571428571428573</v>
      </c>
      <c r="J1311" s="166">
        <f t="shared" si="180"/>
        <v>12.428571428571429</v>
      </c>
      <c r="K1311" s="165">
        <f t="shared" si="181"/>
        <v>12.428571428571429</v>
      </c>
      <c r="L1311" s="165">
        <f t="shared" si="182"/>
        <v>1.2</v>
      </c>
      <c r="M1311" s="168">
        <f t="shared" si="176"/>
        <v>0</v>
      </c>
      <c r="N1311" s="241" t="s">
        <v>453</v>
      </c>
    </row>
    <row r="1312" spans="1:14" ht="14">
      <c r="A1312" s="149">
        <v>1311</v>
      </c>
      <c r="B1312" s="235" t="s">
        <v>52</v>
      </c>
      <c r="C1312" s="243" t="s">
        <v>10</v>
      </c>
      <c r="D1312" s="250" t="s">
        <v>2994</v>
      </c>
      <c r="E1312" s="281">
        <v>0</v>
      </c>
      <c r="F1312" s="249">
        <v>300</v>
      </c>
      <c r="G1312" s="165">
        <f t="shared" si="177"/>
        <v>2.1142857142857143</v>
      </c>
      <c r="H1312" s="165">
        <f t="shared" si="178"/>
        <v>4.2285714285714286</v>
      </c>
      <c r="I1312" s="165">
        <f t="shared" si="179"/>
        <v>3.1714285714285713</v>
      </c>
      <c r="J1312" s="166">
        <f t="shared" si="180"/>
        <v>5.2857142857142856</v>
      </c>
      <c r="K1312" s="165">
        <f t="shared" si="181"/>
        <v>5.2857142857142856</v>
      </c>
      <c r="L1312" s="165">
        <f t="shared" si="182"/>
        <v>1.075</v>
      </c>
      <c r="M1312" s="168">
        <f t="shared" si="176"/>
        <v>0</v>
      </c>
      <c r="N1312" s="241" t="s">
        <v>453</v>
      </c>
    </row>
    <row r="1313" spans="1:14" ht="14">
      <c r="A1313" s="149">
        <v>1312</v>
      </c>
      <c r="B1313" s="235" t="s">
        <v>52</v>
      </c>
      <c r="C1313" s="243" t="s">
        <v>10</v>
      </c>
      <c r="D1313" s="330" t="s">
        <v>2996</v>
      </c>
      <c r="E1313" s="281">
        <v>0</v>
      </c>
      <c r="F1313" s="249">
        <v>500</v>
      </c>
      <c r="G1313" s="165">
        <f t="shared" si="177"/>
        <v>3.2571428571428571</v>
      </c>
      <c r="H1313" s="165">
        <f t="shared" si="178"/>
        <v>6.5142857142857142</v>
      </c>
      <c r="I1313" s="165">
        <f t="shared" si="179"/>
        <v>4.8857142857142852</v>
      </c>
      <c r="J1313" s="166">
        <f t="shared" si="180"/>
        <v>8.1428571428571423</v>
      </c>
      <c r="K1313" s="165">
        <f t="shared" si="181"/>
        <v>8.1428571428571423</v>
      </c>
      <c r="L1313" s="165">
        <f t="shared" si="182"/>
        <v>1.125</v>
      </c>
      <c r="M1313" s="168">
        <f t="shared" si="176"/>
        <v>0</v>
      </c>
      <c r="N1313" s="241" t="s">
        <v>453</v>
      </c>
    </row>
    <row r="1314" spans="1:14" ht="14">
      <c r="A1314" s="149">
        <v>1313</v>
      </c>
      <c r="B1314" s="235" t="s">
        <v>52</v>
      </c>
      <c r="C1314" s="243" t="s">
        <v>10</v>
      </c>
      <c r="D1314" s="250" t="s">
        <v>2999</v>
      </c>
      <c r="E1314" s="281">
        <v>0</v>
      </c>
      <c r="F1314" s="249">
        <v>1100</v>
      </c>
      <c r="G1314" s="165">
        <f t="shared" si="177"/>
        <v>6.6857142857142868</v>
      </c>
      <c r="H1314" s="165">
        <f t="shared" si="178"/>
        <v>13.371428571428574</v>
      </c>
      <c r="I1314" s="165">
        <f t="shared" si="179"/>
        <v>10.028571428571428</v>
      </c>
      <c r="J1314" s="166">
        <f t="shared" si="180"/>
        <v>16.714285714285715</v>
      </c>
      <c r="K1314" s="165">
        <f t="shared" si="181"/>
        <v>16.714285714285715</v>
      </c>
      <c r="L1314" s="165">
        <f t="shared" si="182"/>
        <v>1.2749999999999999</v>
      </c>
      <c r="M1314" s="168">
        <f t="shared" si="176"/>
        <v>0</v>
      </c>
      <c r="N1314" s="241" t="s">
        <v>453</v>
      </c>
    </row>
    <row r="1315" spans="1:14" ht="14">
      <c r="A1315" s="149">
        <v>1314</v>
      </c>
      <c r="B1315" s="235" t="s">
        <v>52</v>
      </c>
      <c r="C1315" s="243" t="s">
        <v>10</v>
      </c>
      <c r="D1315" s="250" t="s">
        <v>3002</v>
      </c>
      <c r="E1315" s="281">
        <v>0</v>
      </c>
      <c r="F1315" s="249">
        <v>3000</v>
      </c>
      <c r="G1315" s="165">
        <f t="shared" si="177"/>
        <v>17.542857142857141</v>
      </c>
      <c r="H1315" s="165">
        <f t="shared" si="178"/>
        <v>35.085714285714282</v>
      </c>
      <c r="I1315" s="165">
        <f t="shared" si="179"/>
        <v>26.314285714285713</v>
      </c>
      <c r="J1315" s="166">
        <f t="shared" si="180"/>
        <v>43.857142857142854</v>
      </c>
      <c r="K1315" s="165">
        <f t="shared" si="181"/>
        <v>43.857142857142854</v>
      </c>
      <c r="L1315" s="165">
        <f t="shared" si="182"/>
        <v>1.75</v>
      </c>
      <c r="M1315" s="168">
        <f t="shared" si="176"/>
        <v>0</v>
      </c>
      <c r="N1315" s="241" t="s">
        <v>453</v>
      </c>
    </row>
    <row r="1316" spans="1:14" ht="14">
      <c r="A1316" s="149">
        <v>1315</v>
      </c>
      <c r="B1316" s="235" t="s">
        <v>52</v>
      </c>
      <c r="C1316" s="243" t="s">
        <v>10</v>
      </c>
      <c r="D1316" s="250" t="s">
        <v>3003</v>
      </c>
      <c r="E1316" s="281">
        <v>0</v>
      </c>
      <c r="F1316" s="249">
        <v>300</v>
      </c>
      <c r="G1316" s="165">
        <f t="shared" si="177"/>
        <v>2.1142857142857143</v>
      </c>
      <c r="H1316" s="165">
        <f t="shared" si="178"/>
        <v>4.2285714285714286</v>
      </c>
      <c r="I1316" s="165">
        <f t="shared" si="179"/>
        <v>3.1714285714285713</v>
      </c>
      <c r="J1316" s="166">
        <f t="shared" si="180"/>
        <v>5.2857142857142856</v>
      </c>
      <c r="K1316" s="165">
        <f t="shared" si="181"/>
        <v>5.2857142857142856</v>
      </c>
      <c r="L1316" s="165">
        <f t="shared" si="182"/>
        <v>1.075</v>
      </c>
      <c r="M1316" s="168">
        <f t="shared" si="176"/>
        <v>0</v>
      </c>
      <c r="N1316" s="241" t="s">
        <v>453</v>
      </c>
    </row>
    <row r="1317" spans="1:14" ht="14">
      <c r="A1317" s="149">
        <v>1316</v>
      </c>
      <c r="B1317" s="235" t="s">
        <v>52</v>
      </c>
      <c r="C1317" s="243" t="s">
        <v>10</v>
      </c>
      <c r="D1317" s="250" t="s">
        <v>3005</v>
      </c>
      <c r="E1317" s="281">
        <v>0</v>
      </c>
      <c r="F1317" s="249">
        <v>800</v>
      </c>
      <c r="G1317" s="165">
        <f t="shared" si="177"/>
        <v>4.9714285714285715</v>
      </c>
      <c r="H1317" s="165">
        <f t="shared" si="178"/>
        <v>9.9428571428571431</v>
      </c>
      <c r="I1317" s="165">
        <f t="shared" si="179"/>
        <v>7.4571428571428573</v>
      </c>
      <c r="J1317" s="166">
        <f t="shared" si="180"/>
        <v>12.428571428571429</v>
      </c>
      <c r="K1317" s="165">
        <f t="shared" si="181"/>
        <v>12.428571428571429</v>
      </c>
      <c r="L1317" s="165">
        <f t="shared" si="182"/>
        <v>1.2</v>
      </c>
      <c r="M1317" s="168">
        <f t="shared" si="176"/>
        <v>0</v>
      </c>
      <c r="N1317" s="241" t="s">
        <v>453</v>
      </c>
    </row>
    <row r="1318" spans="1:14" ht="14">
      <c r="A1318" s="149">
        <v>1317</v>
      </c>
      <c r="B1318" s="235" t="s">
        <v>52</v>
      </c>
      <c r="C1318" s="243" t="s">
        <v>10</v>
      </c>
      <c r="D1318" s="250" t="s">
        <v>3007</v>
      </c>
      <c r="E1318" s="281">
        <v>0</v>
      </c>
      <c r="F1318" s="249">
        <v>120</v>
      </c>
      <c r="G1318" s="165">
        <f t="shared" si="177"/>
        <v>1.0857142857142859</v>
      </c>
      <c r="H1318" s="165">
        <f t="shared" si="178"/>
        <v>2.1714285714285717</v>
      </c>
      <c r="I1318" s="165">
        <f t="shared" si="179"/>
        <v>1.6285714285714286</v>
      </c>
      <c r="J1318" s="166">
        <f t="shared" si="180"/>
        <v>2.7142857142857144</v>
      </c>
      <c r="K1318" s="165">
        <f t="shared" si="181"/>
        <v>2.7142857142857144</v>
      </c>
      <c r="L1318" s="165">
        <f t="shared" si="182"/>
        <v>1.03</v>
      </c>
      <c r="M1318" s="168">
        <f t="shared" si="176"/>
        <v>0</v>
      </c>
      <c r="N1318" s="241" t="s">
        <v>453</v>
      </c>
    </row>
    <row r="1319" spans="1:14" ht="14">
      <c r="A1319" s="149">
        <v>1318</v>
      </c>
      <c r="B1319" s="258" t="s">
        <v>55</v>
      </c>
      <c r="C1319" s="243" t="s">
        <v>10</v>
      </c>
      <c r="D1319" s="250" t="s">
        <v>3008</v>
      </c>
      <c r="E1319" s="281">
        <v>0</v>
      </c>
      <c r="F1319" s="249">
        <v>300</v>
      </c>
      <c r="G1319" s="165">
        <f t="shared" si="177"/>
        <v>2.1142857142857143</v>
      </c>
      <c r="H1319" s="165">
        <f t="shared" si="178"/>
        <v>4.2285714285714286</v>
      </c>
      <c r="I1319" s="165">
        <f t="shared" si="179"/>
        <v>3.1714285714285713</v>
      </c>
      <c r="J1319" s="166">
        <f t="shared" si="180"/>
        <v>5.2857142857142856</v>
      </c>
      <c r="K1319" s="165">
        <f t="shared" si="181"/>
        <v>5.2857142857142856</v>
      </c>
      <c r="L1319" s="165">
        <f t="shared" si="182"/>
        <v>1.075</v>
      </c>
      <c r="M1319" s="168">
        <f t="shared" si="176"/>
        <v>0</v>
      </c>
      <c r="N1319" s="241" t="s">
        <v>453</v>
      </c>
    </row>
    <row r="1320" spans="1:14" ht="14">
      <c r="A1320" s="149">
        <v>1319</v>
      </c>
      <c r="B1320" s="235" t="s">
        <v>52</v>
      </c>
      <c r="C1320" s="243" t="s">
        <v>10</v>
      </c>
      <c r="D1320" s="250" t="s">
        <v>3009</v>
      </c>
      <c r="E1320" s="281">
        <v>0</v>
      </c>
      <c r="F1320" s="249">
        <v>80</v>
      </c>
      <c r="G1320" s="165">
        <f t="shared" si="177"/>
        <v>0.85714285714285721</v>
      </c>
      <c r="H1320" s="165">
        <f t="shared" si="178"/>
        <v>1.7142857142857144</v>
      </c>
      <c r="I1320" s="165">
        <f t="shared" si="179"/>
        <v>1.2857142857142856</v>
      </c>
      <c r="J1320" s="166">
        <f t="shared" si="180"/>
        <v>2.1428571428571428</v>
      </c>
      <c r="K1320" s="165">
        <f t="shared" si="181"/>
        <v>2.1428571428571428</v>
      </c>
      <c r="L1320" s="165">
        <f t="shared" si="182"/>
        <v>1.02</v>
      </c>
      <c r="M1320" s="168">
        <f t="shared" si="176"/>
        <v>0</v>
      </c>
      <c r="N1320" s="241" t="s">
        <v>453</v>
      </c>
    </row>
    <row r="1321" spans="1:14" ht="14">
      <c r="A1321" s="149">
        <v>1320</v>
      </c>
      <c r="B1321" s="235" t="s">
        <v>50</v>
      </c>
      <c r="C1321" s="243" t="s">
        <v>10</v>
      </c>
      <c r="D1321" s="250" t="s">
        <v>3010</v>
      </c>
      <c r="E1321" s="281">
        <v>0</v>
      </c>
      <c r="F1321" s="249">
        <v>1450</v>
      </c>
      <c r="G1321" s="165">
        <f t="shared" si="177"/>
        <v>8.6857142857142868</v>
      </c>
      <c r="H1321" s="165">
        <f t="shared" si="178"/>
        <v>17.371428571428574</v>
      </c>
      <c r="I1321" s="165">
        <f t="shared" si="179"/>
        <v>13.028571428571428</v>
      </c>
      <c r="J1321" s="166">
        <f t="shared" si="180"/>
        <v>21.714285714285715</v>
      </c>
      <c r="K1321" s="165">
        <f t="shared" si="181"/>
        <v>21.714285714285715</v>
      </c>
      <c r="L1321" s="165">
        <f t="shared" si="182"/>
        <v>1.3625</v>
      </c>
      <c r="M1321" s="168">
        <f t="shared" si="176"/>
        <v>0</v>
      </c>
      <c r="N1321" s="241" t="s">
        <v>453</v>
      </c>
    </row>
    <row r="1322" spans="1:14" ht="14">
      <c r="A1322" s="149">
        <v>1321</v>
      </c>
      <c r="B1322" s="235" t="s">
        <v>52</v>
      </c>
      <c r="C1322" s="243" t="s">
        <v>10</v>
      </c>
      <c r="D1322" s="250" t="s">
        <v>3011</v>
      </c>
      <c r="E1322" s="281">
        <v>0</v>
      </c>
      <c r="F1322" s="249">
        <v>180</v>
      </c>
      <c r="G1322" s="165">
        <f t="shared" si="177"/>
        <v>1.4285714285714288</v>
      </c>
      <c r="H1322" s="165">
        <f t="shared" si="178"/>
        <v>2.8571428571428577</v>
      </c>
      <c r="I1322" s="165">
        <f t="shared" si="179"/>
        <v>2.1428571428571428</v>
      </c>
      <c r="J1322" s="166">
        <f t="shared" si="180"/>
        <v>3.5714285714285716</v>
      </c>
      <c r="K1322" s="165">
        <f t="shared" si="181"/>
        <v>3.5714285714285716</v>
      </c>
      <c r="L1322" s="165">
        <f t="shared" si="182"/>
        <v>1.0449999999999999</v>
      </c>
      <c r="M1322" s="168">
        <f t="shared" si="176"/>
        <v>0</v>
      </c>
      <c r="N1322" s="241" t="s">
        <v>453</v>
      </c>
    </row>
    <row r="1323" spans="1:14" ht="14">
      <c r="A1323" s="149">
        <v>1322</v>
      </c>
      <c r="B1323" s="235" t="s">
        <v>55</v>
      </c>
      <c r="C1323" s="243" t="s">
        <v>10</v>
      </c>
      <c r="D1323" s="250" t="s">
        <v>3012</v>
      </c>
      <c r="E1323" s="281">
        <v>0</v>
      </c>
      <c r="F1323" s="249">
        <v>80</v>
      </c>
      <c r="G1323" s="165">
        <f t="shared" ref="G1323:G1338" si="183">(((F1323/70)+1)*0.4)</f>
        <v>0.85714285714285721</v>
      </c>
      <c r="H1323" s="165">
        <f t="shared" ref="H1323:H1338" si="184">G1323*2</f>
        <v>1.7142857142857144</v>
      </c>
      <c r="I1323" s="165">
        <f t="shared" ref="I1323:I1338" si="185">(((F1323/70)+1)*0.6)</f>
        <v>1.2857142857142856</v>
      </c>
      <c r="J1323" s="166">
        <f t="shared" ref="J1323:J1338" si="186">I1323+G1323</f>
        <v>2.1428571428571428</v>
      </c>
      <c r="K1323" s="165">
        <f t="shared" ref="K1323:K1338" si="187">J1323</f>
        <v>2.1428571428571428</v>
      </c>
      <c r="L1323" s="165">
        <f t="shared" ref="L1323:L1338" si="188">(F1323/4000)+1</f>
        <v>1.02</v>
      </c>
      <c r="M1323" s="168">
        <f t="shared" si="176"/>
        <v>0</v>
      </c>
      <c r="N1323" s="241" t="s">
        <v>453</v>
      </c>
    </row>
    <row r="1324" spans="1:14" ht="14">
      <c r="A1324" s="149">
        <v>1323</v>
      </c>
      <c r="B1324" s="235" t="s">
        <v>52</v>
      </c>
      <c r="C1324" s="243" t="s">
        <v>10</v>
      </c>
      <c r="D1324" s="250" t="s">
        <v>3013</v>
      </c>
      <c r="E1324" s="281">
        <v>0</v>
      </c>
      <c r="F1324" s="249">
        <v>300</v>
      </c>
      <c r="G1324" s="165">
        <f t="shared" si="183"/>
        <v>2.1142857142857143</v>
      </c>
      <c r="H1324" s="165">
        <f t="shared" si="184"/>
        <v>4.2285714285714286</v>
      </c>
      <c r="I1324" s="165">
        <f t="shared" si="185"/>
        <v>3.1714285714285713</v>
      </c>
      <c r="J1324" s="166">
        <f t="shared" si="186"/>
        <v>5.2857142857142856</v>
      </c>
      <c r="K1324" s="165">
        <f t="shared" si="187"/>
        <v>5.2857142857142856</v>
      </c>
      <c r="L1324" s="165">
        <f t="shared" si="188"/>
        <v>1.075</v>
      </c>
      <c r="M1324" s="168">
        <f t="shared" si="176"/>
        <v>0</v>
      </c>
      <c r="N1324" s="241" t="s">
        <v>453</v>
      </c>
    </row>
    <row r="1325" spans="1:14" ht="14">
      <c r="A1325" s="149">
        <v>1324</v>
      </c>
      <c r="B1325" s="235" t="s">
        <v>52</v>
      </c>
      <c r="C1325" s="243" t="s">
        <v>10</v>
      </c>
      <c r="D1325" s="250" t="s">
        <v>3014</v>
      </c>
      <c r="E1325" s="281">
        <v>0</v>
      </c>
      <c r="F1325" s="249">
        <v>350</v>
      </c>
      <c r="G1325" s="165">
        <f t="shared" si="183"/>
        <v>2.4000000000000004</v>
      </c>
      <c r="H1325" s="165">
        <f t="shared" si="184"/>
        <v>4.8000000000000007</v>
      </c>
      <c r="I1325" s="165">
        <f t="shared" si="185"/>
        <v>3.5999999999999996</v>
      </c>
      <c r="J1325" s="166">
        <f t="shared" si="186"/>
        <v>6</v>
      </c>
      <c r="K1325" s="165">
        <f t="shared" si="187"/>
        <v>6</v>
      </c>
      <c r="L1325" s="165">
        <f t="shared" si="188"/>
        <v>1.0874999999999999</v>
      </c>
      <c r="M1325" s="168">
        <f t="shared" si="176"/>
        <v>0</v>
      </c>
      <c r="N1325" s="241" t="s">
        <v>453</v>
      </c>
    </row>
    <row r="1326" spans="1:14" ht="14">
      <c r="A1326" s="149">
        <v>1325</v>
      </c>
      <c r="B1326" s="235" t="s">
        <v>52</v>
      </c>
      <c r="C1326" s="243" t="s">
        <v>10</v>
      </c>
      <c r="D1326" s="250" t="s">
        <v>3015</v>
      </c>
      <c r="E1326" s="281">
        <v>0</v>
      </c>
      <c r="F1326" s="249">
        <v>300</v>
      </c>
      <c r="G1326" s="165">
        <f t="shared" si="183"/>
        <v>2.1142857142857143</v>
      </c>
      <c r="H1326" s="165">
        <f t="shared" si="184"/>
        <v>4.2285714285714286</v>
      </c>
      <c r="I1326" s="165">
        <f t="shared" si="185"/>
        <v>3.1714285714285713</v>
      </c>
      <c r="J1326" s="166">
        <f t="shared" si="186"/>
        <v>5.2857142857142856</v>
      </c>
      <c r="K1326" s="165">
        <f t="shared" si="187"/>
        <v>5.2857142857142856</v>
      </c>
      <c r="L1326" s="165">
        <f t="shared" si="188"/>
        <v>1.075</v>
      </c>
      <c r="M1326" s="168">
        <f t="shared" si="176"/>
        <v>0</v>
      </c>
      <c r="N1326" s="241" t="s">
        <v>453</v>
      </c>
    </row>
    <row r="1327" spans="1:14" ht="14">
      <c r="A1327" s="149">
        <v>1326</v>
      </c>
      <c r="B1327" s="235" t="s">
        <v>49</v>
      </c>
      <c r="C1327" s="243" t="s">
        <v>10</v>
      </c>
      <c r="D1327" s="250" t="s">
        <v>3016</v>
      </c>
      <c r="E1327" s="281">
        <v>0</v>
      </c>
      <c r="F1327" s="249">
        <v>600</v>
      </c>
      <c r="G1327" s="165">
        <f t="shared" si="183"/>
        <v>3.8285714285714287</v>
      </c>
      <c r="H1327" s="165">
        <f t="shared" si="184"/>
        <v>7.6571428571428575</v>
      </c>
      <c r="I1327" s="165">
        <f t="shared" si="185"/>
        <v>5.7428571428571429</v>
      </c>
      <c r="J1327" s="166">
        <f t="shared" si="186"/>
        <v>9.5714285714285712</v>
      </c>
      <c r="K1327" s="165">
        <f t="shared" si="187"/>
        <v>9.5714285714285712</v>
      </c>
      <c r="L1327" s="165">
        <f t="shared" si="188"/>
        <v>1.1499999999999999</v>
      </c>
      <c r="M1327" s="168">
        <f t="shared" si="176"/>
        <v>0</v>
      </c>
      <c r="N1327" s="241" t="s">
        <v>453</v>
      </c>
    </row>
    <row r="1328" spans="1:14" ht="14">
      <c r="A1328" s="149">
        <v>1327</v>
      </c>
      <c r="B1328" s="235" t="s">
        <v>52</v>
      </c>
      <c r="C1328" s="243" t="s">
        <v>10</v>
      </c>
      <c r="D1328" s="250" t="s">
        <v>3018</v>
      </c>
      <c r="E1328" s="281">
        <v>0</v>
      </c>
      <c r="F1328" s="249">
        <v>300</v>
      </c>
      <c r="G1328" s="165">
        <f t="shared" si="183"/>
        <v>2.1142857142857143</v>
      </c>
      <c r="H1328" s="165">
        <f t="shared" si="184"/>
        <v>4.2285714285714286</v>
      </c>
      <c r="I1328" s="165">
        <f t="shared" si="185"/>
        <v>3.1714285714285713</v>
      </c>
      <c r="J1328" s="166">
        <f t="shared" si="186"/>
        <v>5.2857142857142856</v>
      </c>
      <c r="K1328" s="165">
        <f t="shared" si="187"/>
        <v>5.2857142857142856</v>
      </c>
      <c r="L1328" s="165">
        <f t="shared" si="188"/>
        <v>1.075</v>
      </c>
      <c r="M1328" s="168">
        <f t="shared" si="176"/>
        <v>0</v>
      </c>
      <c r="N1328" s="241" t="s">
        <v>453</v>
      </c>
    </row>
    <row r="1329" spans="1:14" ht="14">
      <c r="A1329" s="149">
        <v>1328</v>
      </c>
      <c r="B1329" s="235" t="s">
        <v>51</v>
      </c>
      <c r="C1329" s="243" t="s">
        <v>10</v>
      </c>
      <c r="D1329" s="250" t="s">
        <v>3019</v>
      </c>
      <c r="E1329" s="281">
        <v>0</v>
      </c>
      <c r="F1329" s="249">
        <v>1000</v>
      </c>
      <c r="G1329" s="165">
        <f t="shared" si="183"/>
        <v>6.1142857142857148</v>
      </c>
      <c r="H1329" s="165">
        <f t="shared" si="184"/>
        <v>12.22857142857143</v>
      </c>
      <c r="I1329" s="165">
        <f t="shared" si="185"/>
        <v>9.1714285714285708</v>
      </c>
      <c r="J1329" s="166">
        <f t="shared" si="186"/>
        <v>15.285714285714285</v>
      </c>
      <c r="K1329" s="165">
        <f t="shared" si="187"/>
        <v>15.285714285714285</v>
      </c>
      <c r="L1329" s="165">
        <f t="shared" si="188"/>
        <v>1.25</v>
      </c>
      <c r="M1329" s="168">
        <f t="shared" si="176"/>
        <v>0</v>
      </c>
      <c r="N1329" s="241" t="s">
        <v>453</v>
      </c>
    </row>
    <row r="1330" spans="1:14" ht="14">
      <c r="A1330" s="149">
        <v>1329</v>
      </c>
      <c r="B1330" s="235" t="s">
        <v>53</v>
      </c>
      <c r="C1330" s="243" t="s">
        <v>10</v>
      </c>
      <c r="D1330" s="250" t="s">
        <v>3021</v>
      </c>
      <c r="E1330" s="281">
        <v>0</v>
      </c>
      <c r="F1330" s="249">
        <v>420</v>
      </c>
      <c r="G1330" s="165">
        <f t="shared" si="183"/>
        <v>2.8000000000000003</v>
      </c>
      <c r="H1330" s="165">
        <f t="shared" si="184"/>
        <v>5.6000000000000005</v>
      </c>
      <c r="I1330" s="165">
        <f t="shared" si="185"/>
        <v>4.2</v>
      </c>
      <c r="J1330" s="166">
        <f t="shared" si="186"/>
        <v>7</v>
      </c>
      <c r="K1330" s="165">
        <f t="shared" si="187"/>
        <v>7</v>
      </c>
      <c r="L1330" s="165">
        <f t="shared" si="188"/>
        <v>1.105</v>
      </c>
      <c r="M1330" s="168">
        <f t="shared" si="176"/>
        <v>0</v>
      </c>
      <c r="N1330" s="241" t="s">
        <v>453</v>
      </c>
    </row>
    <row r="1331" spans="1:14" ht="14">
      <c r="A1331" s="149">
        <v>1330</v>
      </c>
      <c r="B1331" s="235" t="s">
        <v>52</v>
      </c>
      <c r="C1331" s="243" t="s">
        <v>10</v>
      </c>
      <c r="D1331" s="250" t="s">
        <v>3025</v>
      </c>
      <c r="E1331" s="281">
        <v>0</v>
      </c>
      <c r="F1331" s="249">
        <v>350</v>
      </c>
      <c r="G1331" s="165">
        <f t="shared" si="183"/>
        <v>2.4000000000000004</v>
      </c>
      <c r="H1331" s="165">
        <f t="shared" si="184"/>
        <v>4.8000000000000007</v>
      </c>
      <c r="I1331" s="165">
        <f t="shared" si="185"/>
        <v>3.5999999999999996</v>
      </c>
      <c r="J1331" s="166">
        <f t="shared" si="186"/>
        <v>6</v>
      </c>
      <c r="K1331" s="165">
        <f t="shared" si="187"/>
        <v>6</v>
      </c>
      <c r="L1331" s="165">
        <f t="shared" si="188"/>
        <v>1.0874999999999999</v>
      </c>
      <c r="M1331" s="168">
        <f t="shared" si="176"/>
        <v>0</v>
      </c>
      <c r="N1331" s="241" t="s">
        <v>453</v>
      </c>
    </row>
    <row r="1332" spans="1:14" ht="14">
      <c r="A1332" s="149">
        <v>1331</v>
      </c>
      <c r="B1332" s="235" t="s">
        <v>52</v>
      </c>
      <c r="C1332" s="243" t="s">
        <v>10</v>
      </c>
      <c r="D1332" s="250" t="s">
        <v>3028</v>
      </c>
      <c r="E1332" s="281">
        <v>0</v>
      </c>
      <c r="F1332" s="249">
        <v>350</v>
      </c>
      <c r="G1332" s="165">
        <f t="shared" si="183"/>
        <v>2.4000000000000004</v>
      </c>
      <c r="H1332" s="165">
        <f t="shared" si="184"/>
        <v>4.8000000000000007</v>
      </c>
      <c r="I1332" s="165">
        <f t="shared" si="185"/>
        <v>3.5999999999999996</v>
      </c>
      <c r="J1332" s="166">
        <f t="shared" si="186"/>
        <v>6</v>
      </c>
      <c r="K1332" s="165">
        <f t="shared" si="187"/>
        <v>6</v>
      </c>
      <c r="L1332" s="165">
        <f t="shared" si="188"/>
        <v>1.0874999999999999</v>
      </c>
      <c r="M1332" s="168">
        <f t="shared" si="176"/>
        <v>0</v>
      </c>
      <c r="N1332" s="241" t="s">
        <v>453</v>
      </c>
    </row>
    <row r="1333" spans="1:14" ht="14">
      <c r="A1333" s="149">
        <v>1332</v>
      </c>
      <c r="B1333" s="235" t="s">
        <v>52</v>
      </c>
      <c r="C1333" s="243" t="s">
        <v>10</v>
      </c>
      <c r="D1333" s="250" t="s">
        <v>3029</v>
      </c>
      <c r="E1333" s="281">
        <v>0</v>
      </c>
      <c r="F1333" s="249">
        <v>350</v>
      </c>
      <c r="G1333" s="165">
        <f t="shared" si="183"/>
        <v>2.4000000000000004</v>
      </c>
      <c r="H1333" s="165">
        <f t="shared" si="184"/>
        <v>4.8000000000000007</v>
      </c>
      <c r="I1333" s="165">
        <f t="shared" si="185"/>
        <v>3.5999999999999996</v>
      </c>
      <c r="J1333" s="166">
        <f t="shared" si="186"/>
        <v>6</v>
      </c>
      <c r="K1333" s="165">
        <f t="shared" si="187"/>
        <v>6</v>
      </c>
      <c r="L1333" s="165">
        <f t="shared" si="188"/>
        <v>1.0874999999999999</v>
      </c>
      <c r="M1333" s="168">
        <f t="shared" si="176"/>
        <v>0</v>
      </c>
      <c r="N1333" s="241" t="s">
        <v>453</v>
      </c>
    </row>
    <row r="1334" spans="1:14" ht="14">
      <c r="A1334" s="149">
        <v>1333</v>
      </c>
      <c r="B1334" s="242" t="s">
        <v>61</v>
      </c>
      <c r="C1334" s="243" t="s">
        <v>11</v>
      </c>
      <c r="D1334" s="250" t="s">
        <v>3030</v>
      </c>
      <c r="E1334" s="281">
        <v>0</v>
      </c>
      <c r="F1334" s="249">
        <v>350</v>
      </c>
      <c r="G1334" s="165">
        <f t="shared" si="183"/>
        <v>2.4000000000000004</v>
      </c>
      <c r="H1334" s="165">
        <f t="shared" si="184"/>
        <v>4.8000000000000007</v>
      </c>
      <c r="I1334" s="165">
        <f t="shared" si="185"/>
        <v>3.5999999999999996</v>
      </c>
      <c r="J1334" s="166">
        <f t="shared" si="186"/>
        <v>6</v>
      </c>
      <c r="K1334" s="165">
        <f t="shared" si="187"/>
        <v>6</v>
      </c>
      <c r="L1334" s="165">
        <f t="shared" si="188"/>
        <v>1.0874999999999999</v>
      </c>
      <c r="M1334" s="168">
        <f t="shared" si="176"/>
        <v>0</v>
      </c>
      <c r="N1334" s="241" t="s">
        <v>453</v>
      </c>
    </row>
    <row r="1335" spans="1:14" ht="14">
      <c r="A1335" s="149">
        <v>1334</v>
      </c>
      <c r="B1335" s="242" t="s">
        <v>61</v>
      </c>
      <c r="C1335" s="243" t="s">
        <v>11</v>
      </c>
      <c r="D1335" s="250" t="s">
        <v>3031</v>
      </c>
      <c r="E1335" s="281">
        <v>0</v>
      </c>
      <c r="F1335" s="249">
        <v>500</v>
      </c>
      <c r="G1335" s="165">
        <f t="shared" si="183"/>
        <v>3.2571428571428571</v>
      </c>
      <c r="H1335" s="165">
        <f t="shared" si="184"/>
        <v>6.5142857142857142</v>
      </c>
      <c r="I1335" s="165">
        <f t="shared" si="185"/>
        <v>4.8857142857142852</v>
      </c>
      <c r="J1335" s="166">
        <f t="shared" si="186"/>
        <v>8.1428571428571423</v>
      </c>
      <c r="K1335" s="165">
        <f t="shared" si="187"/>
        <v>8.1428571428571423</v>
      </c>
      <c r="L1335" s="165">
        <f t="shared" si="188"/>
        <v>1.125</v>
      </c>
      <c r="M1335" s="168">
        <f t="shared" si="176"/>
        <v>0</v>
      </c>
      <c r="N1335" s="241" t="s">
        <v>453</v>
      </c>
    </row>
    <row r="1336" spans="1:14" ht="14">
      <c r="A1336" s="149">
        <v>1335</v>
      </c>
      <c r="B1336" s="235" t="s">
        <v>52</v>
      </c>
      <c r="C1336" s="243" t="s">
        <v>10</v>
      </c>
      <c r="D1336" s="250" t="s">
        <v>3032</v>
      </c>
      <c r="E1336" s="281">
        <v>0</v>
      </c>
      <c r="F1336" s="249">
        <v>350</v>
      </c>
      <c r="G1336" s="165">
        <f t="shared" si="183"/>
        <v>2.4000000000000004</v>
      </c>
      <c r="H1336" s="165">
        <f t="shared" si="184"/>
        <v>4.8000000000000007</v>
      </c>
      <c r="I1336" s="165">
        <f t="shared" si="185"/>
        <v>3.5999999999999996</v>
      </c>
      <c r="J1336" s="166">
        <f t="shared" si="186"/>
        <v>6</v>
      </c>
      <c r="K1336" s="165">
        <f t="shared" si="187"/>
        <v>6</v>
      </c>
      <c r="L1336" s="165">
        <f t="shared" si="188"/>
        <v>1.0874999999999999</v>
      </c>
      <c r="M1336" s="168">
        <f t="shared" si="176"/>
        <v>0</v>
      </c>
      <c r="N1336" s="241" t="s">
        <v>453</v>
      </c>
    </row>
    <row r="1337" spans="1:14" ht="14">
      <c r="A1337" s="149">
        <v>1336</v>
      </c>
      <c r="B1337" s="235" t="s">
        <v>52</v>
      </c>
      <c r="C1337" s="243" t="s">
        <v>10</v>
      </c>
      <c r="D1337" s="250" t="s">
        <v>3034</v>
      </c>
      <c r="E1337" s="281">
        <v>0</v>
      </c>
      <c r="F1337" s="249">
        <v>350</v>
      </c>
      <c r="G1337" s="165">
        <f t="shared" si="183"/>
        <v>2.4000000000000004</v>
      </c>
      <c r="H1337" s="165">
        <f t="shared" si="184"/>
        <v>4.8000000000000007</v>
      </c>
      <c r="I1337" s="165">
        <f t="shared" si="185"/>
        <v>3.5999999999999996</v>
      </c>
      <c r="J1337" s="166">
        <f t="shared" si="186"/>
        <v>6</v>
      </c>
      <c r="K1337" s="165">
        <f t="shared" si="187"/>
        <v>6</v>
      </c>
      <c r="L1337" s="165">
        <f t="shared" si="188"/>
        <v>1.0874999999999999</v>
      </c>
      <c r="M1337" s="168">
        <f t="shared" si="176"/>
        <v>0</v>
      </c>
      <c r="N1337" s="241" t="s">
        <v>453</v>
      </c>
    </row>
    <row r="1338" spans="1:14" ht="14">
      <c r="A1338" s="149">
        <v>1337</v>
      </c>
      <c r="B1338" s="235" t="s">
        <v>49</v>
      </c>
      <c r="C1338" s="243" t="s">
        <v>10</v>
      </c>
      <c r="D1338" s="250" t="s">
        <v>3035</v>
      </c>
      <c r="E1338" s="281">
        <v>0</v>
      </c>
      <c r="F1338" s="249">
        <v>1000</v>
      </c>
      <c r="G1338" s="165">
        <f t="shared" si="183"/>
        <v>6.1142857142857148</v>
      </c>
      <c r="H1338" s="165">
        <f t="shared" si="184"/>
        <v>12.22857142857143</v>
      </c>
      <c r="I1338" s="165">
        <f t="shared" si="185"/>
        <v>9.1714285714285708</v>
      </c>
      <c r="J1338" s="166">
        <f t="shared" si="186"/>
        <v>15.285714285714285</v>
      </c>
      <c r="K1338" s="165">
        <f t="shared" si="187"/>
        <v>15.285714285714285</v>
      </c>
      <c r="L1338" s="165">
        <f t="shared" si="188"/>
        <v>1.25</v>
      </c>
      <c r="M1338" s="168">
        <f t="shared" si="176"/>
        <v>0</v>
      </c>
      <c r="N1338" s="241" t="s">
        <v>453</v>
      </c>
    </row>
    <row r="1339" spans="1:14" ht="14">
      <c r="A1339" s="149">
        <v>1338</v>
      </c>
      <c r="B1339" s="235" t="s">
        <v>52</v>
      </c>
      <c r="C1339" s="243" t="s">
        <v>10</v>
      </c>
      <c r="D1339" s="250" t="s">
        <v>3037</v>
      </c>
      <c r="E1339" s="281">
        <v>0</v>
      </c>
      <c r="F1339" s="249">
        <v>800</v>
      </c>
      <c r="G1339" s="165">
        <f t="shared" ref="G1339:G1371" si="189">(((F1339/70)+1)*0.4)</f>
        <v>4.9714285714285715</v>
      </c>
      <c r="H1339" s="165">
        <f t="shared" ref="H1339:H1371" si="190">G1339*2</f>
        <v>9.9428571428571431</v>
      </c>
      <c r="I1339" s="165">
        <f t="shared" ref="I1339:I1371" si="191">(((F1339/70)+1)*0.6)</f>
        <v>7.4571428571428573</v>
      </c>
      <c r="J1339" s="166">
        <f t="shared" ref="J1339:J1371" si="192">I1339+G1339</f>
        <v>12.428571428571429</v>
      </c>
      <c r="K1339" s="165">
        <f t="shared" ref="K1339:K1371" si="193">J1339</f>
        <v>12.428571428571429</v>
      </c>
      <c r="L1339" s="165">
        <f t="shared" ref="L1339:L1371" si="194">(F1339/4000)+1</f>
        <v>1.2</v>
      </c>
      <c r="M1339" s="168">
        <f t="shared" si="176"/>
        <v>0</v>
      </c>
      <c r="N1339" s="241" t="s">
        <v>453</v>
      </c>
    </row>
    <row r="1340" spans="1:14" ht="14">
      <c r="A1340" s="149">
        <v>1339</v>
      </c>
      <c r="B1340" s="235" t="s">
        <v>52</v>
      </c>
      <c r="C1340" s="243" t="s">
        <v>10</v>
      </c>
      <c r="D1340" s="250" t="s">
        <v>3040</v>
      </c>
      <c r="E1340" s="281">
        <v>0</v>
      </c>
      <c r="F1340" s="249">
        <v>300</v>
      </c>
      <c r="G1340" s="165">
        <f t="shared" si="189"/>
        <v>2.1142857142857143</v>
      </c>
      <c r="H1340" s="165">
        <f t="shared" si="190"/>
        <v>4.2285714285714286</v>
      </c>
      <c r="I1340" s="165">
        <f t="shared" si="191"/>
        <v>3.1714285714285713</v>
      </c>
      <c r="J1340" s="166">
        <f t="shared" si="192"/>
        <v>5.2857142857142856</v>
      </c>
      <c r="K1340" s="165">
        <f t="shared" si="193"/>
        <v>5.2857142857142856</v>
      </c>
      <c r="L1340" s="165">
        <f t="shared" si="194"/>
        <v>1.075</v>
      </c>
      <c r="M1340" s="168">
        <f t="shared" si="176"/>
        <v>0</v>
      </c>
      <c r="N1340" s="241" t="s">
        <v>453</v>
      </c>
    </row>
    <row r="1341" spans="1:14" ht="14">
      <c r="A1341" s="149">
        <v>1340</v>
      </c>
      <c r="B1341" s="235" t="s">
        <v>49</v>
      </c>
      <c r="C1341" s="243" t="s">
        <v>10</v>
      </c>
      <c r="D1341" s="250" t="s">
        <v>3043</v>
      </c>
      <c r="E1341" s="281">
        <v>0</v>
      </c>
      <c r="F1341" s="249">
        <v>500</v>
      </c>
      <c r="G1341" s="165">
        <f t="shared" si="189"/>
        <v>3.2571428571428571</v>
      </c>
      <c r="H1341" s="165">
        <f t="shared" si="190"/>
        <v>6.5142857142857142</v>
      </c>
      <c r="I1341" s="165">
        <f t="shared" si="191"/>
        <v>4.8857142857142852</v>
      </c>
      <c r="J1341" s="166">
        <f t="shared" si="192"/>
        <v>8.1428571428571423</v>
      </c>
      <c r="K1341" s="165">
        <f t="shared" si="193"/>
        <v>8.1428571428571423</v>
      </c>
      <c r="L1341" s="165">
        <f t="shared" si="194"/>
        <v>1.125</v>
      </c>
      <c r="M1341" s="168">
        <f t="shared" si="176"/>
        <v>0</v>
      </c>
      <c r="N1341" s="241" t="s">
        <v>453</v>
      </c>
    </row>
    <row r="1342" spans="1:14" ht="14">
      <c r="A1342" s="149">
        <v>1341</v>
      </c>
      <c r="B1342" s="235" t="s">
        <v>52</v>
      </c>
      <c r="C1342" s="243" t="s">
        <v>10</v>
      </c>
      <c r="D1342" s="250" t="s">
        <v>4713</v>
      </c>
      <c r="E1342" s="281">
        <v>0</v>
      </c>
      <c r="F1342" s="249">
        <v>450</v>
      </c>
      <c r="G1342" s="165">
        <f t="shared" si="189"/>
        <v>2.9714285714285715</v>
      </c>
      <c r="H1342" s="165">
        <f t="shared" si="190"/>
        <v>5.9428571428571431</v>
      </c>
      <c r="I1342" s="165">
        <f t="shared" si="191"/>
        <v>4.4571428571428573</v>
      </c>
      <c r="J1342" s="166">
        <f t="shared" si="192"/>
        <v>7.4285714285714288</v>
      </c>
      <c r="K1342" s="165">
        <f t="shared" si="193"/>
        <v>7.4285714285714288</v>
      </c>
      <c r="L1342" s="165">
        <f t="shared" si="194"/>
        <v>1.1125</v>
      </c>
      <c r="M1342" s="168">
        <f t="shared" si="176"/>
        <v>0</v>
      </c>
      <c r="N1342" s="241" t="s">
        <v>453</v>
      </c>
    </row>
    <row r="1343" spans="1:14" ht="14">
      <c r="A1343" s="149">
        <v>1342</v>
      </c>
      <c r="B1343" s="235" t="s">
        <v>52</v>
      </c>
      <c r="C1343" s="243" t="s">
        <v>10</v>
      </c>
      <c r="D1343" s="250" t="s">
        <v>3046</v>
      </c>
      <c r="E1343" s="281">
        <v>0</v>
      </c>
      <c r="F1343" s="249">
        <v>350</v>
      </c>
      <c r="G1343" s="165">
        <f t="shared" si="189"/>
        <v>2.4000000000000004</v>
      </c>
      <c r="H1343" s="165">
        <f t="shared" si="190"/>
        <v>4.8000000000000007</v>
      </c>
      <c r="I1343" s="165">
        <f t="shared" si="191"/>
        <v>3.5999999999999996</v>
      </c>
      <c r="J1343" s="166">
        <f t="shared" si="192"/>
        <v>6</v>
      </c>
      <c r="K1343" s="165">
        <f t="shared" si="193"/>
        <v>6</v>
      </c>
      <c r="L1343" s="165">
        <f t="shared" si="194"/>
        <v>1.0874999999999999</v>
      </c>
      <c r="M1343" s="168">
        <f t="shared" si="176"/>
        <v>0</v>
      </c>
      <c r="N1343" s="241" t="s">
        <v>453</v>
      </c>
    </row>
    <row r="1344" spans="1:14" ht="14">
      <c r="A1344" s="149">
        <v>1343</v>
      </c>
      <c r="B1344" s="235" t="s">
        <v>52</v>
      </c>
      <c r="C1344" s="243" t="s">
        <v>10</v>
      </c>
      <c r="D1344" s="250" t="s">
        <v>3048</v>
      </c>
      <c r="E1344" s="281">
        <v>0</v>
      </c>
      <c r="F1344" s="249">
        <v>820</v>
      </c>
      <c r="G1344" s="165">
        <f t="shared" si="189"/>
        <v>5.0857142857142854</v>
      </c>
      <c r="H1344" s="165">
        <f t="shared" si="190"/>
        <v>10.171428571428571</v>
      </c>
      <c r="I1344" s="165">
        <f t="shared" si="191"/>
        <v>7.6285714285714281</v>
      </c>
      <c r="J1344" s="166">
        <f t="shared" si="192"/>
        <v>12.714285714285714</v>
      </c>
      <c r="K1344" s="165">
        <f t="shared" si="193"/>
        <v>12.714285714285714</v>
      </c>
      <c r="L1344" s="165">
        <f t="shared" si="194"/>
        <v>1.2050000000000001</v>
      </c>
      <c r="M1344" s="168">
        <f t="shared" si="176"/>
        <v>0</v>
      </c>
      <c r="N1344" s="241" t="s">
        <v>453</v>
      </c>
    </row>
    <row r="1345" spans="1:14" ht="14">
      <c r="A1345" s="149">
        <v>1344</v>
      </c>
      <c r="B1345" s="235" t="s">
        <v>52</v>
      </c>
      <c r="C1345" s="243" t="s">
        <v>10</v>
      </c>
      <c r="D1345" s="250" t="s">
        <v>3050</v>
      </c>
      <c r="E1345" s="281">
        <v>0</v>
      </c>
      <c r="F1345" s="249">
        <v>200</v>
      </c>
      <c r="G1345" s="165">
        <f t="shared" si="189"/>
        <v>1.5428571428571429</v>
      </c>
      <c r="H1345" s="165">
        <f t="shared" si="190"/>
        <v>3.0857142857142859</v>
      </c>
      <c r="I1345" s="165">
        <f t="shared" si="191"/>
        <v>2.3142857142857141</v>
      </c>
      <c r="J1345" s="166">
        <f t="shared" si="192"/>
        <v>3.8571428571428568</v>
      </c>
      <c r="K1345" s="165">
        <f t="shared" si="193"/>
        <v>3.8571428571428568</v>
      </c>
      <c r="L1345" s="165">
        <f t="shared" si="194"/>
        <v>1.05</v>
      </c>
      <c r="M1345" s="168">
        <f t="shared" si="176"/>
        <v>0</v>
      </c>
      <c r="N1345" s="241" t="s">
        <v>453</v>
      </c>
    </row>
    <row r="1346" spans="1:14" ht="14">
      <c r="A1346" s="149">
        <v>1345</v>
      </c>
      <c r="B1346" s="235" t="s">
        <v>52</v>
      </c>
      <c r="C1346" s="243" t="s">
        <v>10</v>
      </c>
      <c r="D1346" s="250" t="s">
        <v>3052</v>
      </c>
      <c r="E1346" s="281">
        <v>0</v>
      </c>
      <c r="F1346" s="249">
        <v>350</v>
      </c>
      <c r="G1346" s="165">
        <f t="shared" si="189"/>
        <v>2.4000000000000004</v>
      </c>
      <c r="H1346" s="165">
        <f t="shared" si="190"/>
        <v>4.8000000000000007</v>
      </c>
      <c r="I1346" s="165">
        <f t="shared" si="191"/>
        <v>3.5999999999999996</v>
      </c>
      <c r="J1346" s="166">
        <f t="shared" si="192"/>
        <v>6</v>
      </c>
      <c r="K1346" s="165">
        <f t="shared" si="193"/>
        <v>6</v>
      </c>
      <c r="L1346" s="165">
        <f t="shared" si="194"/>
        <v>1.0874999999999999</v>
      </c>
      <c r="M1346" s="168">
        <f t="shared" ref="M1346:M1409" si="195">E1346/60</f>
        <v>0</v>
      </c>
      <c r="N1346" s="241" t="s">
        <v>453</v>
      </c>
    </row>
    <row r="1347" spans="1:14" ht="14">
      <c r="A1347" s="149">
        <v>1346</v>
      </c>
      <c r="B1347" s="235" t="s">
        <v>52</v>
      </c>
      <c r="C1347" s="243" t="s">
        <v>10</v>
      </c>
      <c r="D1347" s="250" t="s">
        <v>3054</v>
      </c>
      <c r="E1347" s="281">
        <v>0</v>
      </c>
      <c r="F1347" s="249">
        <v>450</v>
      </c>
      <c r="G1347" s="165">
        <f t="shared" si="189"/>
        <v>2.9714285714285715</v>
      </c>
      <c r="H1347" s="165">
        <f t="shared" si="190"/>
        <v>5.9428571428571431</v>
      </c>
      <c r="I1347" s="165">
        <f t="shared" si="191"/>
        <v>4.4571428571428573</v>
      </c>
      <c r="J1347" s="166">
        <f t="shared" si="192"/>
        <v>7.4285714285714288</v>
      </c>
      <c r="K1347" s="165">
        <f t="shared" si="193"/>
        <v>7.4285714285714288</v>
      </c>
      <c r="L1347" s="165">
        <f t="shared" si="194"/>
        <v>1.1125</v>
      </c>
      <c r="M1347" s="168">
        <f t="shared" si="195"/>
        <v>0</v>
      </c>
      <c r="N1347" s="241" t="s">
        <v>453</v>
      </c>
    </row>
    <row r="1348" spans="1:14" ht="14">
      <c r="A1348" s="149">
        <v>1347</v>
      </c>
      <c r="B1348" s="235" t="s">
        <v>52</v>
      </c>
      <c r="C1348" s="243" t="s">
        <v>10</v>
      </c>
      <c r="D1348" s="250" t="s">
        <v>3056</v>
      </c>
      <c r="E1348" s="281">
        <v>0</v>
      </c>
      <c r="F1348" s="249">
        <v>700</v>
      </c>
      <c r="G1348" s="165">
        <f t="shared" si="189"/>
        <v>4.4000000000000004</v>
      </c>
      <c r="H1348" s="165">
        <f t="shared" si="190"/>
        <v>8.8000000000000007</v>
      </c>
      <c r="I1348" s="165">
        <f t="shared" si="191"/>
        <v>6.6</v>
      </c>
      <c r="J1348" s="166">
        <f t="shared" si="192"/>
        <v>11</v>
      </c>
      <c r="K1348" s="165">
        <f t="shared" si="193"/>
        <v>11</v>
      </c>
      <c r="L1348" s="165">
        <f t="shared" si="194"/>
        <v>1.175</v>
      </c>
      <c r="M1348" s="168">
        <f t="shared" si="195"/>
        <v>0</v>
      </c>
      <c r="N1348" s="241" t="s">
        <v>453</v>
      </c>
    </row>
    <row r="1349" spans="1:14" ht="14">
      <c r="A1349" s="149">
        <v>1348</v>
      </c>
      <c r="B1349" s="235" t="s">
        <v>52</v>
      </c>
      <c r="C1349" s="243" t="s">
        <v>10</v>
      </c>
      <c r="D1349" s="250" t="s">
        <v>3057</v>
      </c>
      <c r="E1349" s="281">
        <v>0</v>
      </c>
      <c r="F1349" s="249">
        <v>1450</v>
      </c>
      <c r="G1349" s="165">
        <f t="shared" si="189"/>
        <v>8.6857142857142868</v>
      </c>
      <c r="H1349" s="165">
        <f t="shared" si="190"/>
        <v>17.371428571428574</v>
      </c>
      <c r="I1349" s="165">
        <f t="shared" si="191"/>
        <v>13.028571428571428</v>
      </c>
      <c r="J1349" s="166">
        <f t="shared" si="192"/>
        <v>21.714285714285715</v>
      </c>
      <c r="K1349" s="165">
        <f t="shared" si="193"/>
        <v>21.714285714285715</v>
      </c>
      <c r="L1349" s="165">
        <f t="shared" si="194"/>
        <v>1.3625</v>
      </c>
      <c r="M1349" s="168">
        <f t="shared" si="195"/>
        <v>0</v>
      </c>
      <c r="N1349" s="241" t="s">
        <v>453</v>
      </c>
    </row>
    <row r="1350" spans="1:14" ht="14">
      <c r="A1350" s="149">
        <v>1349</v>
      </c>
      <c r="B1350" s="235" t="s">
        <v>52</v>
      </c>
      <c r="C1350" s="243" t="s">
        <v>10</v>
      </c>
      <c r="D1350" s="250" t="s">
        <v>3059</v>
      </c>
      <c r="E1350" s="281">
        <v>0</v>
      </c>
      <c r="F1350" s="249">
        <v>1050</v>
      </c>
      <c r="G1350" s="165">
        <f t="shared" si="189"/>
        <v>6.4</v>
      </c>
      <c r="H1350" s="165">
        <f t="shared" si="190"/>
        <v>12.8</v>
      </c>
      <c r="I1350" s="165">
        <f t="shared" si="191"/>
        <v>9.6</v>
      </c>
      <c r="J1350" s="166">
        <f t="shared" si="192"/>
        <v>16</v>
      </c>
      <c r="K1350" s="165">
        <f t="shared" si="193"/>
        <v>16</v>
      </c>
      <c r="L1350" s="165">
        <f t="shared" si="194"/>
        <v>1.2625</v>
      </c>
      <c r="M1350" s="168">
        <f t="shared" si="195"/>
        <v>0</v>
      </c>
      <c r="N1350" s="241" t="s">
        <v>453</v>
      </c>
    </row>
    <row r="1351" spans="1:14" ht="14">
      <c r="A1351" s="149">
        <v>1350</v>
      </c>
      <c r="B1351" s="235" t="s">
        <v>52</v>
      </c>
      <c r="C1351" s="243" t="s">
        <v>10</v>
      </c>
      <c r="D1351" s="250" t="s">
        <v>3061</v>
      </c>
      <c r="E1351" s="281">
        <v>0</v>
      </c>
      <c r="F1351" s="249">
        <v>300</v>
      </c>
      <c r="G1351" s="165">
        <f t="shared" si="189"/>
        <v>2.1142857142857143</v>
      </c>
      <c r="H1351" s="165">
        <f t="shared" si="190"/>
        <v>4.2285714285714286</v>
      </c>
      <c r="I1351" s="165">
        <f t="shared" si="191"/>
        <v>3.1714285714285713</v>
      </c>
      <c r="J1351" s="166">
        <f t="shared" si="192"/>
        <v>5.2857142857142856</v>
      </c>
      <c r="K1351" s="165">
        <f t="shared" si="193"/>
        <v>5.2857142857142856</v>
      </c>
      <c r="L1351" s="165">
        <f t="shared" si="194"/>
        <v>1.075</v>
      </c>
      <c r="M1351" s="168">
        <f t="shared" si="195"/>
        <v>0</v>
      </c>
      <c r="N1351" s="241" t="s">
        <v>453</v>
      </c>
    </row>
    <row r="1352" spans="1:14" ht="14">
      <c r="A1352" s="149">
        <v>1351</v>
      </c>
      <c r="B1352" s="235" t="s">
        <v>52</v>
      </c>
      <c r="C1352" s="243" t="s">
        <v>10</v>
      </c>
      <c r="D1352" s="250" t="s">
        <v>3062</v>
      </c>
      <c r="E1352" s="281">
        <v>0</v>
      </c>
      <c r="F1352" s="249">
        <v>350</v>
      </c>
      <c r="G1352" s="165">
        <f t="shared" si="189"/>
        <v>2.4000000000000004</v>
      </c>
      <c r="H1352" s="165">
        <f t="shared" si="190"/>
        <v>4.8000000000000007</v>
      </c>
      <c r="I1352" s="165">
        <f t="shared" si="191"/>
        <v>3.5999999999999996</v>
      </c>
      <c r="J1352" s="166">
        <f t="shared" si="192"/>
        <v>6</v>
      </c>
      <c r="K1352" s="165">
        <f t="shared" si="193"/>
        <v>6</v>
      </c>
      <c r="L1352" s="165">
        <f t="shared" si="194"/>
        <v>1.0874999999999999</v>
      </c>
      <c r="M1352" s="168">
        <f t="shared" si="195"/>
        <v>0</v>
      </c>
      <c r="N1352" s="241" t="s">
        <v>453</v>
      </c>
    </row>
    <row r="1353" spans="1:14" ht="14">
      <c r="A1353" s="149">
        <v>1352</v>
      </c>
      <c r="B1353" s="235" t="s">
        <v>52</v>
      </c>
      <c r="C1353" s="243" t="s">
        <v>10</v>
      </c>
      <c r="D1353" s="250" t="s">
        <v>3064</v>
      </c>
      <c r="E1353" s="281">
        <v>0</v>
      </c>
      <c r="F1353" s="249">
        <v>300</v>
      </c>
      <c r="G1353" s="165">
        <f t="shared" si="189"/>
        <v>2.1142857142857143</v>
      </c>
      <c r="H1353" s="165">
        <f t="shared" si="190"/>
        <v>4.2285714285714286</v>
      </c>
      <c r="I1353" s="165">
        <f t="shared" si="191"/>
        <v>3.1714285714285713</v>
      </c>
      <c r="J1353" s="166">
        <f t="shared" si="192"/>
        <v>5.2857142857142856</v>
      </c>
      <c r="K1353" s="165">
        <f t="shared" si="193"/>
        <v>5.2857142857142856</v>
      </c>
      <c r="L1353" s="165">
        <f t="shared" si="194"/>
        <v>1.075</v>
      </c>
      <c r="M1353" s="168">
        <f t="shared" si="195"/>
        <v>0</v>
      </c>
      <c r="N1353" s="241" t="s">
        <v>453</v>
      </c>
    </row>
    <row r="1354" spans="1:14" ht="14">
      <c r="A1354" s="149">
        <v>1353</v>
      </c>
      <c r="B1354" s="235" t="s">
        <v>52</v>
      </c>
      <c r="C1354" s="243" t="s">
        <v>10</v>
      </c>
      <c r="D1354" s="250" t="s">
        <v>3065</v>
      </c>
      <c r="E1354" s="281">
        <v>0</v>
      </c>
      <c r="F1354" s="249">
        <v>300</v>
      </c>
      <c r="G1354" s="165">
        <f t="shared" si="189"/>
        <v>2.1142857142857143</v>
      </c>
      <c r="H1354" s="165">
        <f t="shared" si="190"/>
        <v>4.2285714285714286</v>
      </c>
      <c r="I1354" s="165">
        <f t="shared" si="191"/>
        <v>3.1714285714285713</v>
      </c>
      <c r="J1354" s="166">
        <f t="shared" si="192"/>
        <v>5.2857142857142856</v>
      </c>
      <c r="K1354" s="165">
        <f t="shared" si="193"/>
        <v>5.2857142857142856</v>
      </c>
      <c r="L1354" s="165">
        <f t="shared" si="194"/>
        <v>1.075</v>
      </c>
      <c r="M1354" s="168">
        <f t="shared" si="195"/>
        <v>0</v>
      </c>
      <c r="N1354" s="241" t="s">
        <v>453</v>
      </c>
    </row>
    <row r="1355" spans="1:14" ht="14">
      <c r="A1355" s="149">
        <v>1354</v>
      </c>
      <c r="B1355" s="235" t="s">
        <v>52</v>
      </c>
      <c r="C1355" s="243" t="s">
        <v>10</v>
      </c>
      <c r="D1355" s="250" t="s">
        <v>3066</v>
      </c>
      <c r="E1355" s="281">
        <v>0</v>
      </c>
      <c r="F1355" s="249">
        <v>400</v>
      </c>
      <c r="G1355" s="165">
        <f t="shared" si="189"/>
        <v>2.6857142857142859</v>
      </c>
      <c r="H1355" s="165">
        <f t="shared" si="190"/>
        <v>5.3714285714285719</v>
      </c>
      <c r="I1355" s="165">
        <f t="shared" si="191"/>
        <v>4.0285714285714285</v>
      </c>
      <c r="J1355" s="166">
        <f t="shared" si="192"/>
        <v>6.7142857142857144</v>
      </c>
      <c r="K1355" s="165">
        <f t="shared" si="193"/>
        <v>6.7142857142857144</v>
      </c>
      <c r="L1355" s="165">
        <f t="shared" si="194"/>
        <v>1.1000000000000001</v>
      </c>
      <c r="M1355" s="168">
        <f t="shared" si="195"/>
        <v>0</v>
      </c>
      <c r="N1355" s="241" t="s">
        <v>453</v>
      </c>
    </row>
    <row r="1356" spans="1:14" ht="14">
      <c r="A1356" s="149">
        <v>1355</v>
      </c>
      <c r="B1356" s="235" t="s">
        <v>52</v>
      </c>
      <c r="C1356" s="243" t="s">
        <v>10</v>
      </c>
      <c r="D1356" s="250" t="s">
        <v>3067</v>
      </c>
      <c r="E1356" s="281">
        <v>0</v>
      </c>
      <c r="F1356" s="249">
        <v>300</v>
      </c>
      <c r="G1356" s="165">
        <f t="shared" si="189"/>
        <v>2.1142857142857143</v>
      </c>
      <c r="H1356" s="165">
        <f t="shared" si="190"/>
        <v>4.2285714285714286</v>
      </c>
      <c r="I1356" s="165">
        <f t="shared" si="191"/>
        <v>3.1714285714285713</v>
      </c>
      <c r="J1356" s="166">
        <f t="shared" si="192"/>
        <v>5.2857142857142856</v>
      </c>
      <c r="K1356" s="165">
        <f t="shared" si="193"/>
        <v>5.2857142857142856</v>
      </c>
      <c r="L1356" s="165">
        <f t="shared" si="194"/>
        <v>1.075</v>
      </c>
      <c r="M1356" s="168">
        <f t="shared" si="195"/>
        <v>0</v>
      </c>
      <c r="N1356" s="241" t="s">
        <v>453</v>
      </c>
    </row>
    <row r="1357" spans="1:14" ht="14">
      <c r="A1357" s="149">
        <v>1356</v>
      </c>
      <c r="B1357" s="235" t="s">
        <v>52</v>
      </c>
      <c r="C1357" s="243" t="s">
        <v>10</v>
      </c>
      <c r="D1357" s="250" t="s">
        <v>3068</v>
      </c>
      <c r="E1357" s="281">
        <v>0</v>
      </c>
      <c r="F1357" s="249">
        <v>450</v>
      </c>
      <c r="G1357" s="165">
        <f t="shared" si="189"/>
        <v>2.9714285714285715</v>
      </c>
      <c r="H1357" s="165">
        <f t="shared" si="190"/>
        <v>5.9428571428571431</v>
      </c>
      <c r="I1357" s="165">
        <f t="shared" si="191"/>
        <v>4.4571428571428573</v>
      </c>
      <c r="J1357" s="166">
        <f t="shared" si="192"/>
        <v>7.4285714285714288</v>
      </c>
      <c r="K1357" s="165">
        <f t="shared" si="193"/>
        <v>7.4285714285714288</v>
      </c>
      <c r="L1357" s="165">
        <f t="shared" si="194"/>
        <v>1.1125</v>
      </c>
      <c r="M1357" s="168">
        <f t="shared" si="195"/>
        <v>0</v>
      </c>
      <c r="N1357" s="241" t="s">
        <v>453</v>
      </c>
    </row>
    <row r="1358" spans="1:14" ht="14">
      <c r="A1358" s="149">
        <v>1357</v>
      </c>
      <c r="B1358" s="258" t="s">
        <v>59</v>
      </c>
      <c r="C1358" s="243" t="s">
        <v>11</v>
      </c>
      <c r="D1358" s="250" t="s">
        <v>4711</v>
      </c>
      <c r="E1358" s="281">
        <v>0</v>
      </c>
      <c r="F1358" s="249">
        <v>350</v>
      </c>
      <c r="G1358" s="165">
        <f t="shared" si="189"/>
        <v>2.4000000000000004</v>
      </c>
      <c r="H1358" s="165">
        <f t="shared" si="190"/>
        <v>4.8000000000000007</v>
      </c>
      <c r="I1358" s="165">
        <f t="shared" si="191"/>
        <v>3.5999999999999996</v>
      </c>
      <c r="J1358" s="166">
        <f t="shared" si="192"/>
        <v>6</v>
      </c>
      <c r="K1358" s="165">
        <f t="shared" si="193"/>
        <v>6</v>
      </c>
      <c r="L1358" s="165">
        <f t="shared" si="194"/>
        <v>1.0874999999999999</v>
      </c>
      <c r="M1358" s="168">
        <f t="shared" si="195"/>
        <v>0</v>
      </c>
      <c r="N1358" s="241" t="s">
        <v>453</v>
      </c>
    </row>
    <row r="1359" spans="1:14" ht="14">
      <c r="A1359" s="149">
        <v>1358</v>
      </c>
      <c r="B1359" s="235" t="s">
        <v>52</v>
      </c>
      <c r="C1359" s="243" t="s">
        <v>10</v>
      </c>
      <c r="D1359" s="250" t="s">
        <v>3069</v>
      </c>
      <c r="E1359" s="281">
        <v>0</v>
      </c>
      <c r="F1359" s="249">
        <v>250</v>
      </c>
      <c r="G1359" s="165">
        <f t="shared" si="189"/>
        <v>1.8285714285714285</v>
      </c>
      <c r="H1359" s="165">
        <f t="shared" si="190"/>
        <v>3.657142857142857</v>
      </c>
      <c r="I1359" s="165">
        <f t="shared" si="191"/>
        <v>2.7428571428571424</v>
      </c>
      <c r="J1359" s="166">
        <f t="shared" si="192"/>
        <v>4.5714285714285712</v>
      </c>
      <c r="K1359" s="165">
        <f t="shared" si="193"/>
        <v>4.5714285714285712</v>
      </c>
      <c r="L1359" s="165">
        <f t="shared" si="194"/>
        <v>1.0625</v>
      </c>
      <c r="M1359" s="168">
        <f t="shared" si="195"/>
        <v>0</v>
      </c>
      <c r="N1359" s="241" t="s">
        <v>453</v>
      </c>
    </row>
    <row r="1360" spans="1:14" ht="14">
      <c r="A1360" s="149">
        <v>1359</v>
      </c>
      <c r="B1360" s="235" t="s">
        <v>52</v>
      </c>
      <c r="C1360" s="243" t="s">
        <v>10</v>
      </c>
      <c r="D1360" s="250" t="s">
        <v>3070</v>
      </c>
      <c r="E1360" s="281">
        <v>0</v>
      </c>
      <c r="F1360" s="249">
        <v>200</v>
      </c>
      <c r="G1360" s="165">
        <f t="shared" si="189"/>
        <v>1.5428571428571429</v>
      </c>
      <c r="H1360" s="165">
        <f t="shared" si="190"/>
        <v>3.0857142857142859</v>
      </c>
      <c r="I1360" s="165">
        <f t="shared" si="191"/>
        <v>2.3142857142857141</v>
      </c>
      <c r="J1360" s="166">
        <f t="shared" si="192"/>
        <v>3.8571428571428568</v>
      </c>
      <c r="K1360" s="165">
        <f t="shared" si="193"/>
        <v>3.8571428571428568</v>
      </c>
      <c r="L1360" s="165">
        <f t="shared" si="194"/>
        <v>1.05</v>
      </c>
      <c r="M1360" s="168">
        <f t="shared" si="195"/>
        <v>0</v>
      </c>
      <c r="N1360" s="241" t="s">
        <v>453</v>
      </c>
    </row>
    <row r="1361" spans="1:14" ht="14">
      <c r="A1361" s="149">
        <v>1360</v>
      </c>
      <c r="B1361" s="235" t="s">
        <v>52</v>
      </c>
      <c r="C1361" s="243" t="s">
        <v>10</v>
      </c>
      <c r="D1361" s="250" t="s">
        <v>3071</v>
      </c>
      <c r="E1361" s="281">
        <v>0</v>
      </c>
      <c r="F1361" s="249">
        <v>300</v>
      </c>
      <c r="G1361" s="165">
        <f t="shared" si="189"/>
        <v>2.1142857142857143</v>
      </c>
      <c r="H1361" s="165">
        <f t="shared" si="190"/>
        <v>4.2285714285714286</v>
      </c>
      <c r="I1361" s="165">
        <f t="shared" si="191"/>
        <v>3.1714285714285713</v>
      </c>
      <c r="J1361" s="166">
        <f t="shared" si="192"/>
        <v>5.2857142857142856</v>
      </c>
      <c r="K1361" s="165">
        <f t="shared" si="193"/>
        <v>5.2857142857142856</v>
      </c>
      <c r="L1361" s="165">
        <f t="shared" si="194"/>
        <v>1.075</v>
      </c>
      <c r="M1361" s="168">
        <f t="shared" si="195"/>
        <v>0</v>
      </c>
      <c r="N1361" s="241" t="s">
        <v>453</v>
      </c>
    </row>
    <row r="1362" spans="1:14" ht="14">
      <c r="A1362" s="149">
        <v>1361</v>
      </c>
      <c r="B1362" s="235" t="s">
        <v>52</v>
      </c>
      <c r="C1362" s="243" t="s">
        <v>10</v>
      </c>
      <c r="D1362" s="250" t="s">
        <v>3073</v>
      </c>
      <c r="E1362" s="281">
        <v>0</v>
      </c>
      <c r="F1362" s="249">
        <v>1700</v>
      </c>
      <c r="G1362" s="165">
        <f t="shared" si="189"/>
        <v>10.114285714285714</v>
      </c>
      <c r="H1362" s="165">
        <f t="shared" si="190"/>
        <v>20.228571428571428</v>
      </c>
      <c r="I1362" s="165">
        <f t="shared" si="191"/>
        <v>15.171428571428571</v>
      </c>
      <c r="J1362" s="166">
        <f t="shared" si="192"/>
        <v>25.285714285714285</v>
      </c>
      <c r="K1362" s="165">
        <f t="shared" si="193"/>
        <v>25.285714285714285</v>
      </c>
      <c r="L1362" s="165">
        <f t="shared" si="194"/>
        <v>1.425</v>
      </c>
      <c r="M1362" s="168">
        <f t="shared" si="195"/>
        <v>0</v>
      </c>
      <c r="N1362" s="241" t="s">
        <v>453</v>
      </c>
    </row>
    <row r="1363" spans="1:14" ht="14">
      <c r="A1363" s="149">
        <v>1362</v>
      </c>
      <c r="B1363" s="235" t="s">
        <v>53</v>
      </c>
      <c r="C1363" s="243" t="s">
        <v>10</v>
      </c>
      <c r="D1363" s="250" t="s">
        <v>3074</v>
      </c>
      <c r="E1363" s="281">
        <v>0</v>
      </c>
      <c r="F1363" s="249">
        <v>0</v>
      </c>
      <c r="G1363" s="165">
        <f t="shared" si="189"/>
        <v>0.4</v>
      </c>
      <c r="H1363" s="165">
        <f t="shared" si="190"/>
        <v>0.8</v>
      </c>
      <c r="I1363" s="165">
        <f t="shared" si="191"/>
        <v>0.6</v>
      </c>
      <c r="J1363" s="166">
        <f t="shared" si="192"/>
        <v>1</v>
      </c>
      <c r="K1363" s="165">
        <f t="shared" si="193"/>
        <v>1</v>
      </c>
      <c r="L1363" s="165">
        <f t="shared" si="194"/>
        <v>1</v>
      </c>
      <c r="M1363" s="168">
        <f t="shared" si="195"/>
        <v>0</v>
      </c>
      <c r="N1363" s="241" t="s">
        <v>453</v>
      </c>
    </row>
    <row r="1364" spans="1:14" ht="14">
      <c r="A1364" s="149">
        <v>1363</v>
      </c>
      <c r="B1364" s="235" t="s">
        <v>52</v>
      </c>
      <c r="C1364" s="243" t="s">
        <v>10</v>
      </c>
      <c r="D1364" s="250" t="s">
        <v>3075</v>
      </c>
      <c r="E1364" s="281">
        <v>0</v>
      </c>
      <c r="F1364" s="249">
        <v>1100</v>
      </c>
      <c r="G1364" s="165">
        <f t="shared" si="189"/>
        <v>6.6857142857142868</v>
      </c>
      <c r="H1364" s="165">
        <f t="shared" si="190"/>
        <v>13.371428571428574</v>
      </c>
      <c r="I1364" s="165">
        <f t="shared" si="191"/>
        <v>10.028571428571428</v>
      </c>
      <c r="J1364" s="166">
        <f t="shared" si="192"/>
        <v>16.714285714285715</v>
      </c>
      <c r="K1364" s="165">
        <f t="shared" si="193"/>
        <v>16.714285714285715</v>
      </c>
      <c r="L1364" s="165">
        <f t="shared" si="194"/>
        <v>1.2749999999999999</v>
      </c>
      <c r="M1364" s="168">
        <f t="shared" si="195"/>
        <v>0</v>
      </c>
      <c r="N1364" s="241" t="s">
        <v>453</v>
      </c>
    </row>
    <row r="1365" spans="1:14" ht="14">
      <c r="A1365" s="149">
        <v>1364</v>
      </c>
      <c r="B1365" s="235" t="s">
        <v>52</v>
      </c>
      <c r="C1365" s="243" t="s">
        <v>10</v>
      </c>
      <c r="D1365" s="250" t="s">
        <v>3076</v>
      </c>
      <c r="E1365" s="281">
        <v>0</v>
      </c>
      <c r="F1365" s="249">
        <v>200</v>
      </c>
      <c r="G1365" s="165">
        <f t="shared" si="189"/>
        <v>1.5428571428571429</v>
      </c>
      <c r="H1365" s="165">
        <f t="shared" si="190"/>
        <v>3.0857142857142859</v>
      </c>
      <c r="I1365" s="165">
        <f t="shared" si="191"/>
        <v>2.3142857142857141</v>
      </c>
      <c r="J1365" s="166">
        <f t="shared" si="192"/>
        <v>3.8571428571428568</v>
      </c>
      <c r="K1365" s="165">
        <f t="shared" si="193"/>
        <v>3.8571428571428568</v>
      </c>
      <c r="L1365" s="165">
        <f t="shared" si="194"/>
        <v>1.05</v>
      </c>
      <c r="M1365" s="168">
        <f t="shared" si="195"/>
        <v>0</v>
      </c>
      <c r="N1365" s="241" t="s">
        <v>453</v>
      </c>
    </row>
    <row r="1366" spans="1:14" ht="14">
      <c r="A1366" s="149">
        <v>1365</v>
      </c>
      <c r="B1366" s="235" t="s">
        <v>52</v>
      </c>
      <c r="C1366" s="243" t="s">
        <v>10</v>
      </c>
      <c r="D1366" s="250" t="s">
        <v>3078</v>
      </c>
      <c r="E1366" s="281">
        <v>0</v>
      </c>
      <c r="F1366" s="249">
        <v>0</v>
      </c>
      <c r="G1366" s="165">
        <f t="shared" si="189"/>
        <v>0.4</v>
      </c>
      <c r="H1366" s="165">
        <f t="shared" si="190"/>
        <v>0.8</v>
      </c>
      <c r="I1366" s="165">
        <f t="shared" si="191"/>
        <v>0.6</v>
      </c>
      <c r="J1366" s="166">
        <f t="shared" si="192"/>
        <v>1</v>
      </c>
      <c r="K1366" s="165">
        <f t="shared" si="193"/>
        <v>1</v>
      </c>
      <c r="L1366" s="165">
        <f t="shared" si="194"/>
        <v>1</v>
      </c>
      <c r="M1366" s="168">
        <f t="shared" si="195"/>
        <v>0</v>
      </c>
      <c r="N1366" s="241" t="s">
        <v>453</v>
      </c>
    </row>
    <row r="1367" spans="1:14" ht="14">
      <c r="A1367" s="149">
        <v>1366</v>
      </c>
      <c r="B1367" s="235" t="s">
        <v>52</v>
      </c>
      <c r="C1367" s="243" t="s">
        <v>10</v>
      </c>
      <c r="D1367" s="250" t="s">
        <v>3079</v>
      </c>
      <c r="E1367" s="281">
        <v>0</v>
      </c>
      <c r="F1367" s="249">
        <v>300</v>
      </c>
      <c r="G1367" s="165">
        <f t="shared" si="189"/>
        <v>2.1142857142857143</v>
      </c>
      <c r="H1367" s="165">
        <f t="shared" si="190"/>
        <v>4.2285714285714286</v>
      </c>
      <c r="I1367" s="165">
        <f t="shared" si="191"/>
        <v>3.1714285714285713</v>
      </c>
      <c r="J1367" s="166">
        <f t="shared" si="192"/>
        <v>5.2857142857142856</v>
      </c>
      <c r="K1367" s="165">
        <f t="shared" si="193"/>
        <v>5.2857142857142856</v>
      </c>
      <c r="L1367" s="165">
        <f t="shared" si="194"/>
        <v>1.075</v>
      </c>
      <c r="M1367" s="168">
        <f t="shared" si="195"/>
        <v>0</v>
      </c>
      <c r="N1367" s="241" t="s">
        <v>453</v>
      </c>
    </row>
    <row r="1368" spans="1:14" ht="14">
      <c r="A1368" s="149">
        <v>1367</v>
      </c>
      <c r="B1368" s="235" t="s">
        <v>55</v>
      </c>
      <c r="C1368" s="243" t="s">
        <v>10</v>
      </c>
      <c r="D1368" s="250" t="s">
        <v>3080</v>
      </c>
      <c r="E1368" s="281">
        <v>0</v>
      </c>
      <c r="F1368" s="249">
        <v>400</v>
      </c>
      <c r="G1368" s="165">
        <f t="shared" si="189"/>
        <v>2.6857142857142859</v>
      </c>
      <c r="H1368" s="165">
        <f t="shared" si="190"/>
        <v>5.3714285714285719</v>
      </c>
      <c r="I1368" s="165">
        <f t="shared" si="191"/>
        <v>4.0285714285714285</v>
      </c>
      <c r="J1368" s="166">
        <f t="shared" si="192"/>
        <v>6.7142857142857144</v>
      </c>
      <c r="K1368" s="165">
        <f t="shared" si="193"/>
        <v>6.7142857142857144</v>
      </c>
      <c r="L1368" s="165">
        <f t="shared" si="194"/>
        <v>1.1000000000000001</v>
      </c>
      <c r="M1368" s="168">
        <f t="shared" si="195"/>
        <v>0</v>
      </c>
      <c r="N1368" s="241" t="s">
        <v>453</v>
      </c>
    </row>
    <row r="1369" spans="1:14" ht="14">
      <c r="A1369" s="149">
        <v>1368</v>
      </c>
      <c r="B1369" s="235" t="s">
        <v>52</v>
      </c>
      <c r="C1369" s="243" t="s">
        <v>10</v>
      </c>
      <c r="D1369" s="250" t="s">
        <v>3081</v>
      </c>
      <c r="E1369" s="281">
        <v>0</v>
      </c>
      <c r="F1369" s="249">
        <v>700</v>
      </c>
      <c r="G1369" s="165">
        <f t="shared" si="189"/>
        <v>4.4000000000000004</v>
      </c>
      <c r="H1369" s="165">
        <f t="shared" si="190"/>
        <v>8.8000000000000007</v>
      </c>
      <c r="I1369" s="165">
        <f t="shared" si="191"/>
        <v>6.6</v>
      </c>
      <c r="J1369" s="166">
        <f t="shared" si="192"/>
        <v>11</v>
      </c>
      <c r="K1369" s="165">
        <f t="shared" si="193"/>
        <v>11</v>
      </c>
      <c r="L1369" s="165">
        <f t="shared" si="194"/>
        <v>1.175</v>
      </c>
      <c r="M1369" s="168">
        <f t="shared" si="195"/>
        <v>0</v>
      </c>
      <c r="N1369" s="241" t="s">
        <v>453</v>
      </c>
    </row>
    <row r="1370" spans="1:14" ht="14">
      <c r="A1370" s="149">
        <v>1369</v>
      </c>
      <c r="B1370" s="235" t="s">
        <v>55</v>
      </c>
      <c r="C1370" s="243" t="s">
        <v>10</v>
      </c>
      <c r="D1370" s="250" t="s">
        <v>3082</v>
      </c>
      <c r="E1370" s="281">
        <v>0</v>
      </c>
      <c r="F1370" s="249">
        <v>300</v>
      </c>
      <c r="G1370" s="165">
        <f t="shared" si="189"/>
        <v>2.1142857142857143</v>
      </c>
      <c r="H1370" s="165">
        <f t="shared" si="190"/>
        <v>4.2285714285714286</v>
      </c>
      <c r="I1370" s="165">
        <f t="shared" si="191"/>
        <v>3.1714285714285713</v>
      </c>
      <c r="J1370" s="166">
        <f t="shared" si="192"/>
        <v>5.2857142857142856</v>
      </c>
      <c r="K1370" s="165">
        <f t="shared" si="193"/>
        <v>5.2857142857142856</v>
      </c>
      <c r="L1370" s="165">
        <f t="shared" si="194"/>
        <v>1.075</v>
      </c>
      <c r="M1370" s="168">
        <f t="shared" si="195"/>
        <v>0</v>
      </c>
      <c r="N1370" s="241" t="s">
        <v>453</v>
      </c>
    </row>
    <row r="1371" spans="1:14" ht="14">
      <c r="A1371" s="149">
        <v>1370</v>
      </c>
      <c r="B1371" s="235" t="s">
        <v>52</v>
      </c>
      <c r="C1371" s="243" t="s">
        <v>10</v>
      </c>
      <c r="D1371" s="250" t="s">
        <v>3083</v>
      </c>
      <c r="E1371" s="281">
        <v>0</v>
      </c>
      <c r="F1371" s="249">
        <v>300</v>
      </c>
      <c r="G1371" s="165">
        <f t="shared" si="189"/>
        <v>2.1142857142857143</v>
      </c>
      <c r="H1371" s="165">
        <f t="shared" si="190"/>
        <v>4.2285714285714286</v>
      </c>
      <c r="I1371" s="165">
        <f t="shared" si="191"/>
        <v>3.1714285714285713</v>
      </c>
      <c r="J1371" s="166">
        <f t="shared" si="192"/>
        <v>5.2857142857142856</v>
      </c>
      <c r="K1371" s="165">
        <f t="shared" si="193"/>
        <v>5.2857142857142856</v>
      </c>
      <c r="L1371" s="165">
        <f t="shared" si="194"/>
        <v>1.075</v>
      </c>
      <c r="M1371" s="168">
        <f t="shared" si="195"/>
        <v>0</v>
      </c>
      <c r="N1371" s="241" t="s">
        <v>453</v>
      </c>
    </row>
    <row r="1372" spans="1:14" ht="14">
      <c r="A1372" s="149">
        <v>1371</v>
      </c>
      <c r="B1372" s="235" t="s">
        <v>52</v>
      </c>
      <c r="C1372" s="243" t="s">
        <v>10</v>
      </c>
      <c r="D1372" s="250" t="s">
        <v>3084</v>
      </c>
      <c r="E1372" s="281">
        <v>0</v>
      </c>
      <c r="F1372" s="249">
        <v>500</v>
      </c>
      <c r="G1372" s="165">
        <f t="shared" ref="G1372:G1406" si="196">(((F1372/70)+1)*0.4)</f>
        <v>3.2571428571428571</v>
      </c>
      <c r="H1372" s="165">
        <f t="shared" ref="H1372:H1406" si="197">G1372*2</f>
        <v>6.5142857142857142</v>
      </c>
      <c r="I1372" s="165">
        <f t="shared" ref="I1372:I1406" si="198">(((F1372/70)+1)*0.6)</f>
        <v>4.8857142857142852</v>
      </c>
      <c r="J1372" s="166">
        <f t="shared" ref="J1372:J1406" si="199">I1372+G1372</f>
        <v>8.1428571428571423</v>
      </c>
      <c r="K1372" s="165">
        <f t="shared" ref="K1372:K1406" si="200">J1372</f>
        <v>8.1428571428571423</v>
      </c>
      <c r="L1372" s="165">
        <f t="shared" ref="L1372:L1406" si="201">(F1372/4000)+1</f>
        <v>1.125</v>
      </c>
      <c r="M1372" s="168">
        <f t="shared" si="195"/>
        <v>0</v>
      </c>
      <c r="N1372" s="241" t="s">
        <v>453</v>
      </c>
    </row>
    <row r="1373" spans="1:14" ht="14">
      <c r="A1373" s="149">
        <v>1372</v>
      </c>
      <c r="B1373" s="235" t="s">
        <v>52</v>
      </c>
      <c r="C1373" s="243" t="s">
        <v>10</v>
      </c>
      <c r="D1373" s="250" t="s">
        <v>3085</v>
      </c>
      <c r="E1373" s="281">
        <v>0</v>
      </c>
      <c r="F1373" s="249">
        <v>300</v>
      </c>
      <c r="G1373" s="165">
        <f t="shared" si="196"/>
        <v>2.1142857142857143</v>
      </c>
      <c r="H1373" s="165">
        <f t="shared" si="197"/>
        <v>4.2285714285714286</v>
      </c>
      <c r="I1373" s="165">
        <f t="shared" si="198"/>
        <v>3.1714285714285713</v>
      </c>
      <c r="J1373" s="166">
        <f t="shared" si="199"/>
        <v>5.2857142857142856</v>
      </c>
      <c r="K1373" s="165">
        <f t="shared" si="200"/>
        <v>5.2857142857142856</v>
      </c>
      <c r="L1373" s="165">
        <f t="shared" si="201"/>
        <v>1.075</v>
      </c>
      <c r="M1373" s="168">
        <f t="shared" si="195"/>
        <v>0</v>
      </c>
      <c r="N1373" s="241" t="s">
        <v>453</v>
      </c>
    </row>
    <row r="1374" spans="1:14" ht="14">
      <c r="A1374" s="149">
        <v>1373</v>
      </c>
      <c r="B1374" s="235" t="s">
        <v>51</v>
      </c>
      <c r="C1374" s="243" t="s">
        <v>10</v>
      </c>
      <c r="D1374" s="250" t="s">
        <v>3087</v>
      </c>
      <c r="E1374" s="281">
        <v>0</v>
      </c>
      <c r="F1374" s="249">
        <v>150</v>
      </c>
      <c r="G1374" s="165">
        <f t="shared" si="196"/>
        <v>1.2571428571428571</v>
      </c>
      <c r="H1374" s="165">
        <f t="shared" si="197"/>
        <v>2.5142857142857142</v>
      </c>
      <c r="I1374" s="165">
        <f t="shared" si="198"/>
        <v>1.8857142857142857</v>
      </c>
      <c r="J1374" s="166">
        <f t="shared" si="199"/>
        <v>3.1428571428571428</v>
      </c>
      <c r="K1374" s="165">
        <f t="shared" si="200"/>
        <v>3.1428571428571428</v>
      </c>
      <c r="L1374" s="165">
        <f t="shared" si="201"/>
        <v>1.0375000000000001</v>
      </c>
      <c r="M1374" s="168">
        <f t="shared" si="195"/>
        <v>0</v>
      </c>
      <c r="N1374" s="241" t="s">
        <v>453</v>
      </c>
    </row>
    <row r="1375" spans="1:14" ht="14">
      <c r="A1375" s="149">
        <v>1374</v>
      </c>
      <c r="B1375" s="235" t="s">
        <v>52</v>
      </c>
      <c r="C1375" s="243" t="s">
        <v>10</v>
      </c>
      <c r="D1375" s="237" t="s">
        <v>3088</v>
      </c>
      <c r="E1375" s="281">
        <v>0</v>
      </c>
      <c r="F1375" s="249">
        <v>150</v>
      </c>
      <c r="G1375" s="165">
        <f t="shared" si="196"/>
        <v>1.2571428571428571</v>
      </c>
      <c r="H1375" s="165">
        <f t="shared" si="197"/>
        <v>2.5142857142857142</v>
      </c>
      <c r="I1375" s="165">
        <f t="shared" si="198"/>
        <v>1.8857142857142857</v>
      </c>
      <c r="J1375" s="166">
        <f t="shared" si="199"/>
        <v>3.1428571428571428</v>
      </c>
      <c r="K1375" s="165">
        <f t="shared" si="200"/>
        <v>3.1428571428571428</v>
      </c>
      <c r="L1375" s="165">
        <f t="shared" si="201"/>
        <v>1.0375000000000001</v>
      </c>
      <c r="M1375" s="168">
        <f t="shared" si="195"/>
        <v>0</v>
      </c>
      <c r="N1375" s="241" t="s">
        <v>453</v>
      </c>
    </row>
    <row r="1376" spans="1:14" ht="14">
      <c r="A1376" s="149">
        <v>1375</v>
      </c>
      <c r="B1376" s="235" t="s">
        <v>52</v>
      </c>
      <c r="C1376" s="243" t="s">
        <v>10</v>
      </c>
      <c r="D1376" s="237" t="s">
        <v>3089</v>
      </c>
      <c r="E1376" s="281">
        <v>0</v>
      </c>
      <c r="F1376" s="249">
        <v>250</v>
      </c>
      <c r="G1376" s="165">
        <f t="shared" si="196"/>
        <v>1.8285714285714285</v>
      </c>
      <c r="H1376" s="165">
        <f t="shared" si="197"/>
        <v>3.657142857142857</v>
      </c>
      <c r="I1376" s="165">
        <f t="shared" si="198"/>
        <v>2.7428571428571424</v>
      </c>
      <c r="J1376" s="166">
        <f t="shared" si="199"/>
        <v>4.5714285714285712</v>
      </c>
      <c r="K1376" s="165">
        <f t="shared" si="200"/>
        <v>4.5714285714285712</v>
      </c>
      <c r="L1376" s="165">
        <f t="shared" si="201"/>
        <v>1.0625</v>
      </c>
      <c r="M1376" s="168">
        <f t="shared" si="195"/>
        <v>0</v>
      </c>
      <c r="N1376" s="241" t="s">
        <v>453</v>
      </c>
    </row>
    <row r="1377" spans="1:14" ht="14">
      <c r="A1377" s="149">
        <v>1376</v>
      </c>
      <c r="B1377" s="235" t="s">
        <v>52</v>
      </c>
      <c r="C1377" s="243" t="s">
        <v>10</v>
      </c>
      <c r="D1377" s="237" t="s">
        <v>3090</v>
      </c>
      <c r="E1377" s="281">
        <v>0</v>
      </c>
      <c r="F1377" s="249">
        <v>2500</v>
      </c>
      <c r="G1377" s="165">
        <f t="shared" si="196"/>
        <v>14.685714285714287</v>
      </c>
      <c r="H1377" s="165">
        <f t="shared" si="197"/>
        <v>29.371428571428574</v>
      </c>
      <c r="I1377" s="165">
        <f t="shared" si="198"/>
        <v>22.028571428571428</v>
      </c>
      <c r="J1377" s="166">
        <f t="shared" si="199"/>
        <v>36.714285714285715</v>
      </c>
      <c r="K1377" s="165">
        <f t="shared" si="200"/>
        <v>36.714285714285715</v>
      </c>
      <c r="L1377" s="165">
        <f t="shared" si="201"/>
        <v>1.625</v>
      </c>
      <c r="M1377" s="168">
        <f t="shared" si="195"/>
        <v>0</v>
      </c>
      <c r="N1377" s="241" t="s">
        <v>453</v>
      </c>
    </row>
    <row r="1378" spans="1:14" ht="14">
      <c r="A1378" s="149">
        <v>1377</v>
      </c>
      <c r="B1378" s="235" t="s">
        <v>49</v>
      </c>
      <c r="C1378" s="243" t="s">
        <v>10</v>
      </c>
      <c r="D1378" s="237" t="s">
        <v>3091</v>
      </c>
      <c r="E1378" s="281">
        <v>0</v>
      </c>
      <c r="F1378" s="249">
        <v>1000</v>
      </c>
      <c r="G1378" s="165">
        <f t="shared" si="196"/>
        <v>6.1142857142857148</v>
      </c>
      <c r="H1378" s="165">
        <f t="shared" si="197"/>
        <v>12.22857142857143</v>
      </c>
      <c r="I1378" s="165">
        <f t="shared" si="198"/>
        <v>9.1714285714285708</v>
      </c>
      <c r="J1378" s="166">
        <f t="shared" si="199"/>
        <v>15.285714285714285</v>
      </c>
      <c r="K1378" s="165">
        <f t="shared" si="200"/>
        <v>15.285714285714285</v>
      </c>
      <c r="L1378" s="165">
        <f t="shared" si="201"/>
        <v>1.25</v>
      </c>
      <c r="M1378" s="168">
        <f t="shared" si="195"/>
        <v>0</v>
      </c>
      <c r="N1378" s="241" t="s">
        <v>453</v>
      </c>
    </row>
    <row r="1379" spans="1:14" ht="14">
      <c r="A1379" s="149">
        <v>1378</v>
      </c>
      <c r="B1379" s="235" t="s">
        <v>49</v>
      </c>
      <c r="C1379" s="243" t="s">
        <v>10</v>
      </c>
      <c r="D1379" s="237" t="s">
        <v>3092</v>
      </c>
      <c r="E1379" s="281">
        <v>0</v>
      </c>
      <c r="F1379" s="249">
        <v>700</v>
      </c>
      <c r="G1379" s="165">
        <f t="shared" si="196"/>
        <v>4.4000000000000004</v>
      </c>
      <c r="H1379" s="165">
        <f t="shared" si="197"/>
        <v>8.8000000000000007</v>
      </c>
      <c r="I1379" s="165">
        <f t="shared" si="198"/>
        <v>6.6</v>
      </c>
      <c r="J1379" s="166">
        <f t="shared" si="199"/>
        <v>11</v>
      </c>
      <c r="K1379" s="165">
        <f t="shared" si="200"/>
        <v>11</v>
      </c>
      <c r="L1379" s="165">
        <f t="shared" si="201"/>
        <v>1.175</v>
      </c>
      <c r="M1379" s="168">
        <f t="shared" si="195"/>
        <v>0</v>
      </c>
      <c r="N1379" s="241" t="s">
        <v>453</v>
      </c>
    </row>
    <row r="1380" spans="1:14" ht="14">
      <c r="A1380" s="149">
        <v>1379</v>
      </c>
      <c r="B1380" s="235" t="s">
        <v>50</v>
      </c>
      <c r="C1380" s="243" t="s">
        <v>10</v>
      </c>
      <c r="D1380" s="237" t="s">
        <v>3093</v>
      </c>
      <c r="E1380" s="281">
        <v>0</v>
      </c>
      <c r="F1380" s="249">
        <v>1000</v>
      </c>
      <c r="G1380" s="165">
        <f t="shared" si="196"/>
        <v>6.1142857142857148</v>
      </c>
      <c r="H1380" s="165">
        <f t="shared" si="197"/>
        <v>12.22857142857143</v>
      </c>
      <c r="I1380" s="165">
        <f t="shared" si="198"/>
        <v>9.1714285714285708</v>
      </c>
      <c r="J1380" s="166">
        <f t="shared" si="199"/>
        <v>15.285714285714285</v>
      </c>
      <c r="K1380" s="165">
        <f t="shared" si="200"/>
        <v>15.285714285714285</v>
      </c>
      <c r="L1380" s="165">
        <f t="shared" si="201"/>
        <v>1.25</v>
      </c>
      <c r="M1380" s="168">
        <f t="shared" si="195"/>
        <v>0</v>
      </c>
      <c r="N1380" s="241" t="s">
        <v>453</v>
      </c>
    </row>
    <row r="1381" spans="1:14" ht="14">
      <c r="A1381" s="149">
        <v>1380</v>
      </c>
      <c r="B1381" s="235" t="s">
        <v>50</v>
      </c>
      <c r="C1381" s="243" t="s">
        <v>10</v>
      </c>
      <c r="D1381" s="237" t="s">
        <v>3094</v>
      </c>
      <c r="E1381" s="281">
        <v>0</v>
      </c>
      <c r="F1381" s="249">
        <v>700</v>
      </c>
      <c r="G1381" s="165">
        <f t="shared" si="196"/>
        <v>4.4000000000000004</v>
      </c>
      <c r="H1381" s="165">
        <f t="shared" si="197"/>
        <v>8.8000000000000007</v>
      </c>
      <c r="I1381" s="165">
        <f t="shared" si="198"/>
        <v>6.6</v>
      </c>
      <c r="J1381" s="166">
        <f t="shared" si="199"/>
        <v>11</v>
      </c>
      <c r="K1381" s="165">
        <f t="shared" si="200"/>
        <v>11</v>
      </c>
      <c r="L1381" s="165">
        <f t="shared" si="201"/>
        <v>1.175</v>
      </c>
      <c r="M1381" s="168">
        <f t="shared" si="195"/>
        <v>0</v>
      </c>
      <c r="N1381" s="241" t="s">
        <v>453</v>
      </c>
    </row>
    <row r="1382" spans="1:14" ht="14">
      <c r="A1382" s="149">
        <v>1381</v>
      </c>
      <c r="B1382" s="235" t="s">
        <v>52</v>
      </c>
      <c r="C1382" s="243" t="s">
        <v>10</v>
      </c>
      <c r="D1382" s="237" t="s">
        <v>3095</v>
      </c>
      <c r="E1382" s="281">
        <v>0</v>
      </c>
      <c r="F1382" s="249">
        <v>1600</v>
      </c>
      <c r="G1382" s="165">
        <f t="shared" si="196"/>
        <v>9.5428571428571427</v>
      </c>
      <c r="H1382" s="165">
        <f t="shared" si="197"/>
        <v>19.085714285714285</v>
      </c>
      <c r="I1382" s="165">
        <f t="shared" si="198"/>
        <v>14.314285714285715</v>
      </c>
      <c r="J1382" s="166">
        <f t="shared" si="199"/>
        <v>23.857142857142858</v>
      </c>
      <c r="K1382" s="165">
        <f t="shared" si="200"/>
        <v>23.857142857142858</v>
      </c>
      <c r="L1382" s="165">
        <f t="shared" si="201"/>
        <v>1.4</v>
      </c>
      <c r="M1382" s="168">
        <f t="shared" si="195"/>
        <v>0</v>
      </c>
      <c r="N1382" s="241" t="s">
        <v>453</v>
      </c>
    </row>
    <row r="1383" spans="1:14" ht="14">
      <c r="A1383" s="149">
        <v>1382</v>
      </c>
      <c r="B1383" s="235" t="s">
        <v>52</v>
      </c>
      <c r="C1383" s="243" t="s">
        <v>10</v>
      </c>
      <c r="D1383" s="237" t="s">
        <v>3096</v>
      </c>
      <c r="E1383" s="281">
        <v>0</v>
      </c>
      <c r="F1383" s="249">
        <v>300</v>
      </c>
      <c r="G1383" s="165">
        <f t="shared" si="196"/>
        <v>2.1142857142857143</v>
      </c>
      <c r="H1383" s="165">
        <f t="shared" si="197"/>
        <v>4.2285714285714286</v>
      </c>
      <c r="I1383" s="165">
        <f t="shared" si="198"/>
        <v>3.1714285714285713</v>
      </c>
      <c r="J1383" s="166">
        <f t="shared" si="199"/>
        <v>5.2857142857142856</v>
      </c>
      <c r="K1383" s="165">
        <f t="shared" si="200"/>
        <v>5.2857142857142856</v>
      </c>
      <c r="L1383" s="165">
        <f t="shared" si="201"/>
        <v>1.075</v>
      </c>
      <c r="M1383" s="168">
        <f t="shared" si="195"/>
        <v>0</v>
      </c>
      <c r="N1383" s="241" t="s">
        <v>453</v>
      </c>
    </row>
    <row r="1384" spans="1:14" ht="14">
      <c r="A1384" s="149">
        <v>1383</v>
      </c>
      <c r="B1384" s="235" t="s">
        <v>52</v>
      </c>
      <c r="C1384" s="243" t="s">
        <v>10</v>
      </c>
      <c r="D1384" s="237" t="s">
        <v>3097</v>
      </c>
      <c r="E1384" s="281">
        <v>0</v>
      </c>
      <c r="F1384" s="249">
        <v>400</v>
      </c>
      <c r="G1384" s="165">
        <f t="shared" si="196"/>
        <v>2.6857142857142859</v>
      </c>
      <c r="H1384" s="165">
        <f t="shared" si="197"/>
        <v>5.3714285714285719</v>
      </c>
      <c r="I1384" s="165">
        <f t="shared" si="198"/>
        <v>4.0285714285714285</v>
      </c>
      <c r="J1384" s="166">
        <f t="shared" si="199"/>
        <v>6.7142857142857144</v>
      </c>
      <c r="K1384" s="165">
        <f t="shared" si="200"/>
        <v>6.7142857142857144</v>
      </c>
      <c r="L1384" s="165">
        <f t="shared" si="201"/>
        <v>1.1000000000000001</v>
      </c>
      <c r="M1384" s="168">
        <f t="shared" si="195"/>
        <v>0</v>
      </c>
      <c r="N1384" s="241" t="s">
        <v>453</v>
      </c>
    </row>
    <row r="1385" spans="1:14" ht="14">
      <c r="A1385" s="149">
        <v>1384</v>
      </c>
      <c r="B1385" s="235" t="s">
        <v>52</v>
      </c>
      <c r="C1385" s="243" t="s">
        <v>10</v>
      </c>
      <c r="D1385" s="237" t="s">
        <v>3098</v>
      </c>
      <c r="E1385" s="281">
        <v>0</v>
      </c>
      <c r="F1385" s="249">
        <v>350</v>
      </c>
      <c r="G1385" s="165">
        <f t="shared" si="196"/>
        <v>2.4000000000000004</v>
      </c>
      <c r="H1385" s="165">
        <f t="shared" si="197"/>
        <v>4.8000000000000007</v>
      </c>
      <c r="I1385" s="165">
        <f t="shared" si="198"/>
        <v>3.5999999999999996</v>
      </c>
      <c r="J1385" s="166">
        <f t="shared" si="199"/>
        <v>6</v>
      </c>
      <c r="K1385" s="165">
        <f t="shared" si="200"/>
        <v>6</v>
      </c>
      <c r="L1385" s="165">
        <f t="shared" si="201"/>
        <v>1.0874999999999999</v>
      </c>
      <c r="M1385" s="168">
        <f t="shared" si="195"/>
        <v>0</v>
      </c>
      <c r="N1385" s="241" t="s">
        <v>453</v>
      </c>
    </row>
    <row r="1386" spans="1:14" ht="14">
      <c r="A1386" s="149">
        <v>1385</v>
      </c>
      <c r="B1386" s="235" t="s">
        <v>55</v>
      </c>
      <c r="C1386" s="243" t="s">
        <v>10</v>
      </c>
      <c r="D1386" s="237" t="s">
        <v>3099</v>
      </c>
      <c r="E1386" s="281">
        <v>0</v>
      </c>
      <c r="F1386" s="249">
        <v>2500</v>
      </c>
      <c r="G1386" s="165">
        <f t="shared" si="196"/>
        <v>14.685714285714287</v>
      </c>
      <c r="H1386" s="165">
        <f t="shared" si="197"/>
        <v>29.371428571428574</v>
      </c>
      <c r="I1386" s="165">
        <f t="shared" si="198"/>
        <v>22.028571428571428</v>
      </c>
      <c r="J1386" s="166">
        <f t="shared" si="199"/>
        <v>36.714285714285715</v>
      </c>
      <c r="K1386" s="165">
        <f t="shared" si="200"/>
        <v>36.714285714285715</v>
      </c>
      <c r="L1386" s="165">
        <f t="shared" si="201"/>
        <v>1.625</v>
      </c>
      <c r="M1386" s="168">
        <f t="shared" si="195"/>
        <v>0</v>
      </c>
      <c r="N1386" s="241" t="s">
        <v>453</v>
      </c>
    </row>
    <row r="1387" spans="1:14" ht="14">
      <c r="A1387" s="149">
        <v>1386</v>
      </c>
      <c r="B1387" s="235" t="s">
        <v>52</v>
      </c>
      <c r="C1387" s="243" t="s">
        <v>10</v>
      </c>
      <c r="D1387" s="237" t="s">
        <v>3101</v>
      </c>
      <c r="E1387" s="281">
        <v>0</v>
      </c>
      <c r="F1387" s="249">
        <v>2200</v>
      </c>
      <c r="G1387" s="165">
        <f t="shared" si="196"/>
        <v>12.971428571428573</v>
      </c>
      <c r="H1387" s="165">
        <f t="shared" si="197"/>
        <v>25.942857142857147</v>
      </c>
      <c r="I1387" s="165">
        <f t="shared" si="198"/>
        <v>19.457142857142859</v>
      </c>
      <c r="J1387" s="166">
        <f t="shared" si="199"/>
        <v>32.428571428571431</v>
      </c>
      <c r="K1387" s="165">
        <f t="shared" si="200"/>
        <v>32.428571428571431</v>
      </c>
      <c r="L1387" s="165">
        <f t="shared" si="201"/>
        <v>1.55</v>
      </c>
      <c r="M1387" s="168">
        <f t="shared" si="195"/>
        <v>0</v>
      </c>
      <c r="N1387" s="241" t="s">
        <v>453</v>
      </c>
    </row>
    <row r="1388" spans="1:14" ht="14">
      <c r="A1388" s="149">
        <v>1387</v>
      </c>
      <c r="B1388" s="235" t="s">
        <v>51</v>
      </c>
      <c r="C1388" s="243" t="s">
        <v>10</v>
      </c>
      <c r="D1388" s="237" t="s">
        <v>3102</v>
      </c>
      <c r="E1388" s="281">
        <v>0</v>
      </c>
      <c r="F1388" s="249">
        <v>1000</v>
      </c>
      <c r="G1388" s="165">
        <f t="shared" si="196"/>
        <v>6.1142857142857148</v>
      </c>
      <c r="H1388" s="165">
        <f t="shared" si="197"/>
        <v>12.22857142857143</v>
      </c>
      <c r="I1388" s="165">
        <f t="shared" si="198"/>
        <v>9.1714285714285708</v>
      </c>
      <c r="J1388" s="166">
        <f t="shared" si="199"/>
        <v>15.285714285714285</v>
      </c>
      <c r="K1388" s="165">
        <f t="shared" si="200"/>
        <v>15.285714285714285</v>
      </c>
      <c r="L1388" s="165">
        <f t="shared" si="201"/>
        <v>1.25</v>
      </c>
      <c r="M1388" s="168">
        <f t="shared" si="195"/>
        <v>0</v>
      </c>
      <c r="N1388" s="241" t="s">
        <v>453</v>
      </c>
    </row>
    <row r="1389" spans="1:14" ht="14">
      <c r="A1389" s="149">
        <v>1388</v>
      </c>
      <c r="B1389" s="235" t="s">
        <v>52</v>
      </c>
      <c r="C1389" s="243" t="s">
        <v>10</v>
      </c>
      <c r="D1389" s="237" t="s">
        <v>3103</v>
      </c>
      <c r="E1389" s="281">
        <v>0</v>
      </c>
      <c r="F1389" s="249">
        <v>300</v>
      </c>
      <c r="G1389" s="165">
        <f t="shared" si="196"/>
        <v>2.1142857142857143</v>
      </c>
      <c r="H1389" s="165">
        <f t="shared" si="197"/>
        <v>4.2285714285714286</v>
      </c>
      <c r="I1389" s="165">
        <f t="shared" si="198"/>
        <v>3.1714285714285713</v>
      </c>
      <c r="J1389" s="166">
        <f t="shared" si="199"/>
        <v>5.2857142857142856</v>
      </c>
      <c r="K1389" s="165">
        <f t="shared" si="200"/>
        <v>5.2857142857142856</v>
      </c>
      <c r="L1389" s="165">
        <f t="shared" si="201"/>
        <v>1.075</v>
      </c>
      <c r="M1389" s="168">
        <f t="shared" si="195"/>
        <v>0</v>
      </c>
      <c r="N1389" s="241" t="s">
        <v>453</v>
      </c>
    </row>
    <row r="1390" spans="1:14" ht="14">
      <c r="A1390" s="149">
        <v>1389</v>
      </c>
      <c r="B1390" s="235" t="s">
        <v>52</v>
      </c>
      <c r="C1390" s="243" t="s">
        <v>10</v>
      </c>
      <c r="D1390" s="237" t="s">
        <v>3104</v>
      </c>
      <c r="E1390" s="281">
        <v>0</v>
      </c>
      <c r="F1390" s="249">
        <v>300</v>
      </c>
      <c r="G1390" s="165">
        <f t="shared" si="196"/>
        <v>2.1142857142857143</v>
      </c>
      <c r="H1390" s="165">
        <f t="shared" si="197"/>
        <v>4.2285714285714286</v>
      </c>
      <c r="I1390" s="165">
        <f t="shared" si="198"/>
        <v>3.1714285714285713</v>
      </c>
      <c r="J1390" s="166">
        <f t="shared" si="199"/>
        <v>5.2857142857142856</v>
      </c>
      <c r="K1390" s="165">
        <f t="shared" si="200"/>
        <v>5.2857142857142856</v>
      </c>
      <c r="L1390" s="165">
        <f t="shared" si="201"/>
        <v>1.075</v>
      </c>
      <c r="M1390" s="168">
        <f t="shared" si="195"/>
        <v>0</v>
      </c>
      <c r="N1390" s="241" t="s">
        <v>453</v>
      </c>
    </row>
    <row r="1391" spans="1:14" ht="14">
      <c r="A1391" s="149">
        <v>1390</v>
      </c>
      <c r="B1391" s="235" t="s">
        <v>52</v>
      </c>
      <c r="C1391" s="243" t="s">
        <v>10</v>
      </c>
      <c r="D1391" s="237" t="s">
        <v>3105</v>
      </c>
      <c r="E1391" s="281">
        <v>0</v>
      </c>
      <c r="F1391" s="249">
        <v>300</v>
      </c>
      <c r="G1391" s="165">
        <f t="shared" si="196"/>
        <v>2.1142857142857143</v>
      </c>
      <c r="H1391" s="165">
        <f t="shared" si="197"/>
        <v>4.2285714285714286</v>
      </c>
      <c r="I1391" s="165">
        <f t="shared" si="198"/>
        <v>3.1714285714285713</v>
      </c>
      <c r="J1391" s="166">
        <f t="shared" si="199"/>
        <v>5.2857142857142856</v>
      </c>
      <c r="K1391" s="165">
        <f t="shared" si="200"/>
        <v>5.2857142857142856</v>
      </c>
      <c r="L1391" s="165">
        <f t="shared" si="201"/>
        <v>1.075</v>
      </c>
      <c r="M1391" s="168">
        <f t="shared" si="195"/>
        <v>0</v>
      </c>
      <c r="N1391" s="241" t="s">
        <v>453</v>
      </c>
    </row>
    <row r="1392" spans="1:14" ht="14">
      <c r="A1392" s="149">
        <v>1391</v>
      </c>
      <c r="B1392" s="235" t="s">
        <v>52</v>
      </c>
      <c r="C1392" s="243" t="s">
        <v>10</v>
      </c>
      <c r="D1392" s="237" t="s">
        <v>3106</v>
      </c>
      <c r="E1392" s="281">
        <v>0</v>
      </c>
      <c r="F1392" s="249">
        <v>200</v>
      </c>
      <c r="G1392" s="165">
        <f t="shared" si="196"/>
        <v>1.5428571428571429</v>
      </c>
      <c r="H1392" s="165">
        <f t="shared" si="197"/>
        <v>3.0857142857142859</v>
      </c>
      <c r="I1392" s="165">
        <f t="shared" si="198"/>
        <v>2.3142857142857141</v>
      </c>
      <c r="J1392" s="166">
        <f t="shared" si="199"/>
        <v>3.8571428571428568</v>
      </c>
      <c r="K1392" s="165">
        <f t="shared" si="200"/>
        <v>3.8571428571428568</v>
      </c>
      <c r="L1392" s="165">
        <f t="shared" si="201"/>
        <v>1.05</v>
      </c>
      <c r="M1392" s="168">
        <f t="shared" si="195"/>
        <v>0</v>
      </c>
      <c r="N1392" s="241" t="s">
        <v>453</v>
      </c>
    </row>
    <row r="1393" spans="1:14" ht="14">
      <c r="A1393" s="149">
        <v>1392</v>
      </c>
      <c r="B1393" s="235" t="s">
        <v>52</v>
      </c>
      <c r="C1393" s="243" t="s">
        <v>10</v>
      </c>
      <c r="D1393" s="237" t="s">
        <v>3107</v>
      </c>
      <c r="E1393" s="281">
        <v>0</v>
      </c>
      <c r="F1393" s="249">
        <v>250</v>
      </c>
      <c r="G1393" s="165">
        <f t="shared" si="196"/>
        <v>1.8285714285714285</v>
      </c>
      <c r="H1393" s="165">
        <f t="shared" si="197"/>
        <v>3.657142857142857</v>
      </c>
      <c r="I1393" s="165">
        <f t="shared" si="198"/>
        <v>2.7428571428571424</v>
      </c>
      <c r="J1393" s="166">
        <f t="shared" si="199"/>
        <v>4.5714285714285712</v>
      </c>
      <c r="K1393" s="165">
        <f t="shared" si="200"/>
        <v>4.5714285714285712</v>
      </c>
      <c r="L1393" s="165">
        <f t="shared" si="201"/>
        <v>1.0625</v>
      </c>
      <c r="M1393" s="168">
        <f t="shared" si="195"/>
        <v>0</v>
      </c>
      <c r="N1393" s="241" t="s">
        <v>453</v>
      </c>
    </row>
    <row r="1394" spans="1:14" ht="14">
      <c r="A1394" s="149">
        <v>1393</v>
      </c>
      <c r="B1394" s="235" t="s">
        <v>52</v>
      </c>
      <c r="C1394" s="243" t="s">
        <v>10</v>
      </c>
      <c r="D1394" s="237" t="s">
        <v>3108</v>
      </c>
      <c r="E1394" s="281">
        <v>0</v>
      </c>
      <c r="F1394" s="249">
        <v>700</v>
      </c>
      <c r="G1394" s="165">
        <f t="shared" si="196"/>
        <v>4.4000000000000004</v>
      </c>
      <c r="H1394" s="165">
        <f t="shared" si="197"/>
        <v>8.8000000000000007</v>
      </c>
      <c r="I1394" s="165">
        <f t="shared" si="198"/>
        <v>6.6</v>
      </c>
      <c r="J1394" s="166">
        <f t="shared" si="199"/>
        <v>11</v>
      </c>
      <c r="K1394" s="165">
        <f t="shared" si="200"/>
        <v>11</v>
      </c>
      <c r="L1394" s="165">
        <f t="shared" si="201"/>
        <v>1.175</v>
      </c>
      <c r="M1394" s="168">
        <f t="shared" si="195"/>
        <v>0</v>
      </c>
      <c r="N1394" s="241" t="s">
        <v>453</v>
      </c>
    </row>
    <row r="1395" spans="1:14" ht="14">
      <c r="A1395" s="149">
        <v>1394</v>
      </c>
      <c r="B1395" s="235" t="s">
        <v>52</v>
      </c>
      <c r="C1395" s="243" t="s">
        <v>10</v>
      </c>
      <c r="D1395" s="237" t="s">
        <v>3109</v>
      </c>
      <c r="E1395" s="281">
        <v>0</v>
      </c>
      <c r="F1395" s="249">
        <v>800</v>
      </c>
      <c r="G1395" s="165">
        <f t="shared" si="196"/>
        <v>4.9714285714285715</v>
      </c>
      <c r="H1395" s="165">
        <f t="shared" si="197"/>
        <v>9.9428571428571431</v>
      </c>
      <c r="I1395" s="165">
        <f t="shared" si="198"/>
        <v>7.4571428571428573</v>
      </c>
      <c r="J1395" s="166">
        <f t="shared" si="199"/>
        <v>12.428571428571429</v>
      </c>
      <c r="K1395" s="165">
        <f t="shared" si="200"/>
        <v>12.428571428571429</v>
      </c>
      <c r="L1395" s="165">
        <f t="shared" si="201"/>
        <v>1.2</v>
      </c>
      <c r="M1395" s="168">
        <f t="shared" si="195"/>
        <v>0</v>
      </c>
      <c r="N1395" s="241" t="s">
        <v>453</v>
      </c>
    </row>
    <row r="1396" spans="1:14" ht="14">
      <c r="A1396" s="149">
        <v>1395</v>
      </c>
      <c r="B1396" s="235" t="s">
        <v>52</v>
      </c>
      <c r="C1396" s="243" t="s">
        <v>10</v>
      </c>
      <c r="D1396" s="237" t="s">
        <v>3110</v>
      </c>
      <c r="E1396" s="281">
        <v>0</v>
      </c>
      <c r="F1396" s="249">
        <v>250</v>
      </c>
      <c r="G1396" s="165">
        <f t="shared" si="196"/>
        <v>1.8285714285714285</v>
      </c>
      <c r="H1396" s="165">
        <f t="shared" si="197"/>
        <v>3.657142857142857</v>
      </c>
      <c r="I1396" s="165">
        <f t="shared" si="198"/>
        <v>2.7428571428571424</v>
      </c>
      <c r="J1396" s="166">
        <f t="shared" si="199"/>
        <v>4.5714285714285712</v>
      </c>
      <c r="K1396" s="165">
        <f t="shared" si="200"/>
        <v>4.5714285714285712</v>
      </c>
      <c r="L1396" s="165">
        <f t="shared" si="201"/>
        <v>1.0625</v>
      </c>
      <c r="M1396" s="168">
        <f t="shared" si="195"/>
        <v>0</v>
      </c>
      <c r="N1396" s="241" t="s">
        <v>453</v>
      </c>
    </row>
    <row r="1397" spans="1:14" ht="14">
      <c r="A1397" s="149">
        <v>1396</v>
      </c>
      <c r="B1397" s="235" t="s">
        <v>52</v>
      </c>
      <c r="C1397" s="243" t="s">
        <v>10</v>
      </c>
      <c r="D1397" s="237" t="s">
        <v>3112</v>
      </c>
      <c r="E1397" s="281">
        <v>0</v>
      </c>
      <c r="F1397" s="249">
        <v>1800</v>
      </c>
      <c r="G1397" s="165">
        <f t="shared" si="196"/>
        <v>10.685714285714287</v>
      </c>
      <c r="H1397" s="165">
        <f t="shared" si="197"/>
        <v>21.371428571428574</v>
      </c>
      <c r="I1397" s="165">
        <f t="shared" si="198"/>
        <v>16.028571428571428</v>
      </c>
      <c r="J1397" s="166">
        <f t="shared" si="199"/>
        <v>26.714285714285715</v>
      </c>
      <c r="K1397" s="165">
        <f t="shared" si="200"/>
        <v>26.714285714285715</v>
      </c>
      <c r="L1397" s="165">
        <f t="shared" si="201"/>
        <v>1.45</v>
      </c>
      <c r="M1397" s="168">
        <f t="shared" si="195"/>
        <v>0</v>
      </c>
      <c r="N1397" s="241" t="s">
        <v>453</v>
      </c>
    </row>
    <row r="1398" spans="1:14" ht="14">
      <c r="A1398" s="149">
        <v>1397</v>
      </c>
      <c r="B1398" s="235" t="s">
        <v>52</v>
      </c>
      <c r="C1398" s="243" t="s">
        <v>10</v>
      </c>
      <c r="D1398" s="237" t="s">
        <v>3113</v>
      </c>
      <c r="E1398" s="281">
        <v>0</v>
      </c>
      <c r="F1398" s="249">
        <v>650</v>
      </c>
      <c r="G1398" s="165">
        <f t="shared" si="196"/>
        <v>4.1142857142857148</v>
      </c>
      <c r="H1398" s="165">
        <f t="shared" si="197"/>
        <v>8.2285714285714295</v>
      </c>
      <c r="I1398" s="165">
        <f t="shared" si="198"/>
        <v>6.1714285714285717</v>
      </c>
      <c r="J1398" s="166">
        <f t="shared" si="199"/>
        <v>10.285714285714286</v>
      </c>
      <c r="K1398" s="165">
        <f t="shared" si="200"/>
        <v>10.285714285714286</v>
      </c>
      <c r="L1398" s="165">
        <f t="shared" si="201"/>
        <v>1.1625000000000001</v>
      </c>
      <c r="M1398" s="168">
        <f t="shared" si="195"/>
        <v>0</v>
      </c>
      <c r="N1398" s="241" t="s">
        <v>453</v>
      </c>
    </row>
    <row r="1399" spans="1:14" ht="14">
      <c r="A1399" s="149">
        <v>1398</v>
      </c>
      <c r="B1399" s="235" t="s">
        <v>52</v>
      </c>
      <c r="C1399" s="243" t="s">
        <v>10</v>
      </c>
      <c r="D1399" s="237" t="s">
        <v>3114</v>
      </c>
      <c r="E1399" s="281">
        <v>0</v>
      </c>
      <c r="F1399" s="249">
        <v>250</v>
      </c>
      <c r="G1399" s="165">
        <f t="shared" si="196"/>
        <v>1.8285714285714285</v>
      </c>
      <c r="H1399" s="165">
        <f t="shared" si="197"/>
        <v>3.657142857142857</v>
      </c>
      <c r="I1399" s="165">
        <f t="shared" si="198"/>
        <v>2.7428571428571424</v>
      </c>
      <c r="J1399" s="166">
        <f t="shared" si="199"/>
        <v>4.5714285714285712</v>
      </c>
      <c r="K1399" s="165">
        <f t="shared" si="200"/>
        <v>4.5714285714285712</v>
      </c>
      <c r="L1399" s="165">
        <f t="shared" si="201"/>
        <v>1.0625</v>
      </c>
      <c r="M1399" s="168">
        <f t="shared" si="195"/>
        <v>0</v>
      </c>
      <c r="N1399" s="241" t="s">
        <v>453</v>
      </c>
    </row>
    <row r="1400" spans="1:14" ht="14">
      <c r="A1400" s="149">
        <v>1399</v>
      </c>
      <c r="B1400" s="235" t="s">
        <v>52</v>
      </c>
      <c r="C1400" s="243" t="s">
        <v>10</v>
      </c>
      <c r="D1400" s="237" t="s">
        <v>3115</v>
      </c>
      <c r="E1400" s="281">
        <v>0</v>
      </c>
      <c r="F1400" s="249">
        <v>400</v>
      </c>
      <c r="G1400" s="165">
        <f t="shared" si="196"/>
        <v>2.6857142857142859</v>
      </c>
      <c r="H1400" s="165">
        <f t="shared" si="197"/>
        <v>5.3714285714285719</v>
      </c>
      <c r="I1400" s="165">
        <f t="shared" si="198"/>
        <v>4.0285714285714285</v>
      </c>
      <c r="J1400" s="166">
        <f t="shared" si="199"/>
        <v>6.7142857142857144</v>
      </c>
      <c r="K1400" s="165">
        <f t="shared" si="200"/>
        <v>6.7142857142857144</v>
      </c>
      <c r="L1400" s="165">
        <f t="shared" si="201"/>
        <v>1.1000000000000001</v>
      </c>
      <c r="M1400" s="168">
        <f t="shared" si="195"/>
        <v>0</v>
      </c>
      <c r="N1400" s="241" t="s">
        <v>453</v>
      </c>
    </row>
    <row r="1401" spans="1:14" ht="14">
      <c r="A1401" s="149">
        <v>1400</v>
      </c>
      <c r="B1401" s="235" t="s">
        <v>49</v>
      </c>
      <c r="C1401" s="243" t="s">
        <v>10</v>
      </c>
      <c r="D1401" s="237" t="s">
        <v>3116</v>
      </c>
      <c r="E1401" s="281">
        <v>0</v>
      </c>
      <c r="F1401" s="249">
        <v>1000</v>
      </c>
      <c r="G1401" s="165">
        <f t="shared" si="196"/>
        <v>6.1142857142857148</v>
      </c>
      <c r="H1401" s="165">
        <f t="shared" si="197"/>
        <v>12.22857142857143</v>
      </c>
      <c r="I1401" s="165">
        <f t="shared" si="198"/>
        <v>9.1714285714285708</v>
      </c>
      <c r="J1401" s="166">
        <f t="shared" si="199"/>
        <v>15.285714285714285</v>
      </c>
      <c r="K1401" s="165">
        <f t="shared" si="200"/>
        <v>15.285714285714285</v>
      </c>
      <c r="L1401" s="165">
        <f t="shared" si="201"/>
        <v>1.25</v>
      </c>
      <c r="M1401" s="168">
        <f t="shared" si="195"/>
        <v>0</v>
      </c>
      <c r="N1401" s="241" t="s">
        <v>453</v>
      </c>
    </row>
    <row r="1402" spans="1:14" ht="14">
      <c r="A1402" s="149">
        <v>1401</v>
      </c>
      <c r="B1402" s="235" t="s">
        <v>52</v>
      </c>
      <c r="C1402" s="243" t="s">
        <v>10</v>
      </c>
      <c r="D1402" s="237" t="s">
        <v>3117</v>
      </c>
      <c r="E1402" s="281">
        <v>0</v>
      </c>
      <c r="F1402" s="249">
        <v>400</v>
      </c>
      <c r="G1402" s="165">
        <f t="shared" si="196"/>
        <v>2.6857142857142859</v>
      </c>
      <c r="H1402" s="165">
        <f t="shared" si="197"/>
        <v>5.3714285714285719</v>
      </c>
      <c r="I1402" s="165">
        <f t="shared" si="198"/>
        <v>4.0285714285714285</v>
      </c>
      <c r="J1402" s="166">
        <f t="shared" si="199"/>
        <v>6.7142857142857144</v>
      </c>
      <c r="K1402" s="165">
        <f t="shared" si="200"/>
        <v>6.7142857142857144</v>
      </c>
      <c r="L1402" s="165">
        <f t="shared" si="201"/>
        <v>1.1000000000000001</v>
      </c>
      <c r="M1402" s="168">
        <f t="shared" si="195"/>
        <v>0</v>
      </c>
      <c r="N1402" s="241" t="s">
        <v>453</v>
      </c>
    </row>
    <row r="1403" spans="1:14" ht="14">
      <c r="A1403" s="149">
        <v>1402</v>
      </c>
      <c r="B1403" s="235" t="s">
        <v>52</v>
      </c>
      <c r="C1403" s="243" t="s">
        <v>10</v>
      </c>
      <c r="D1403" s="237" t="s">
        <v>3118</v>
      </c>
      <c r="E1403" s="281">
        <v>0</v>
      </c>
      <c r="F1403" s="249">
        <v>400</v>
      </c>
      <c r="G1403" s="165">
        <f t="shared" si="196"/>
        <v>2.6857142857142859</v>
      </c>
      <c r="H1403" s="165">
        <f t="shared" si="197"/>
        <v>5.3714285714285719</v>
      </c>
      <c r="I1403" s="165">
        <f t="shared" si="198"/>
        <v>4.0285714285714285</v>
      </c>
      <c r="J1403" s="166">
        <f t="shared" si="199"/>
        <v>6.7142857142857144</v>
      </c>
      <c r="K1403" s="165">
        <f t="shared" si="200"/>
        <v>6.7142857142857144</v>
      </c>
      <c r="L1403" s="165">
        <f t="shared" si="201"/>
        <v>1.1000000000000001</v>
      </c>
      <c r="M1403" s="168">
        <f t="shared" si="195"/>
        <v>0</v>
      </c>
      <c r="N1403" s="241" t="s">
        <v>453</v>
      </c>
    </row>
    <row r="1404" spans="1:14" ht="14">
      <c r="A1404" s="149">
        <v>1403</v>
      </c>
      <c r="B1404" s="235" t="s">
        <v>52</v>
      </c>
      <c r="C1404" s="243" t="s">
        <v>10</v>
      </c>
      <c r="D1404" s="237" t="s">
        <v>3119</v>
      </c>
      <c r="E1404" s="281">
        <v>0</v>
      </c>
      <c r="F1404" s="249">
        <v>400</v>
      </c>
      <c r="G1404" s="165">
        <f t="shared" si="196"/>
        <v>2.6857142857142859</v>
      </c>
      <c r="H1404" s="165">
        <f t="shared" si="197"/>
        <v>5.3714285714285719</v>
      </c>
      <c r="I1404" s="165">
        <f t="shared" si="198"/>
        <v>4.0285714285714285</v>
      </c>
      <c r="J1404" s="166">
        <f t="shared" si="199"/>
        <v>6.7142857142857144</v>
      </c>
      <c r="K1404" s="165">
        <f t="shared" si="200"/>
        <v>6.7142857142857144</v>
      </c>
      <c r="L1404" s="165">
        <f t="shared" si="201"/>
        <v>1.1000000000000001</v>
      </c>
      <c r="M1404" s="168">
        <f t="shared" si="195"/>
        <v>0</v>
      </c>
      <c r="N1404" s="241" t="s">
        <v>453</v>
      </c>
    </row>
    <row r="1405" spans="1:14" ht="14">
      <c r="A1405" s="200">
        <v>1404</v>
      </c>
      <c r="B1405" s="235" t="s">
        <v>52</v>
      </c>
      <c r="C1405" s="243" t="s">
        <v>10</v>
      </c>
      <c r="D1405" s="237" t="s">
        <v>3120</v>
      </c>
      <c r="E1405" s="281">
        <v>0</v>
      </c>
      <c r="F1405" s="249">
        <v>300</v>
      </c>
      <c r="G1405" s="223">
        <f t="shared" si="196"/>
        <v>2.1142857142857143</v>
      </c>
      <c r="H1405" s="223">
        <f t="shared" si="197"/>
        <v>4.2285714285714286</v>
      </c>
      <c r="I1405" s="223">
        <f t="shared" si="198"/>
        <v>3.1714285714285713</v>
      </c>
      <c r="J1405" s="224">
        <f t="shared" si="199"/>
        <v>5.2857142857142856</v>
      </c>
      <c r="K1405" s="223">
        <f t="shared" si="200"/>
        <v>5.2857142857142856</v>
      </c>
      <c r="L1405" s="223">
        <f t="shared" si="201"/>
        <v>1.075</v>
      </c>
      <c r="M1405" s="168">
        <f t="shared" si="195"/>
        <v>0</v>
      </c>
      <c r="N1405" s="241" t="s">
        <v>453</v>
      </c>
    </row>
    <row r="1406" spans="1:14" ht="14">
      <c r="A1406" s="107">
        <v>1405</v>
      </c>
      <c r="B1406" s="235" t="s">
        <v>52</v>
      </c>
      <c r="C1406" s="243" t="s">
        <v>10</v>
      </c>
      <c r="D1406" s="237" t="s">
        <v>3121</v>
      </c>
      <c r="E1406" s="281">
        <v>0</v>
      </c>
      <c r="F1406" s="249">
        <v>700</v>
      </c>
      <c r="G1406" s="108">
        <f t="shared" si="196"/>
        <v>4.4000000000000004</v>
      </c>
      <c r="H1406" s="108">
        <f t="shared" si="197"/>
        <v>8.8000000000000007</v>
      </c>
      <c r="I1406" s="108">
        <f t="shared" si="198"/>
        <v>6.6</v>
      </c>
      <c r="J1406" s="225">
        <f t="shared" si="199"/>
        <v>11</v>
      </c>
      <c r="K1406" s="108">
        <f t="shared" si="200"/>
        <v>11</v>
      </c>
      <c r="L1406" s="108">
        <f t="shared" si="201"/>
        <v>1.175</v>
      </c>
      <c r="M1406" s="168">
        <f t="shared" si="195"/>
        <v>0</v>
      </c>
      <c r="N1406" s="241" t="s">
        <v>453</v>
      </c>
    </row>
    <row r="1407" spans="1:14" ht="14">
      <c r="A1407" s="107">
        <v>1406</v>
      </c>
      <c r="B1407" s="235" t="s">
        <v>52</v>
      </c>
      <c r="C1407" s="243" t="s">
        <v>10</v>
      </c>
      <c r="D1407" s="237" t="s">
        <v>3122</v>
      </c>
      <c r="E1407" s="281">
        <v>0</v>
      </c>
      <c r="F1407" s="249">
        <v>350</v>
      </c>
      <c r="G1407" s="108">
        <f t="shared" ref="G1407:G1436" si="202">(((F1407/70)+1)*0.4)</f>
        <v>2.4000000000000004</v>
      </c>
      <c r="H1407" s="108">
        <f t="shared" ref="H1407:H1436" si="203">G1407*2</f>
        <v>4.8000000000000007</v>
      </c>
      <c r="I1407" s="108">
        <f t="shared" ref="I1407:I1436" si="204">(((F1407/70)+1)*0.6)</f>
        <v>3.5999999999999996</v>
      </c>
      <c r="J1407" s="225">
        <f t="shared" ref="J1407:J1436" si="205">I1407+G1407</f>
        <v>6</v>
      </c>
      <c r="K1407" s="108">
        <f t="shared" ref="K1407:K1436" si="206">J1407</f>
        <v>6</v>
      </c>
      <c r="L1407" s="108">
        <f t="shared" ref="L1407:L1436" si="207">(F1407/4000)+1</f>
        <v>1.0874999999999999</v>
      </c>
      <c r="M1407" s="168">
        <f t="shared" si="195"/>
        <v>0</v>
      </c>
      <c r="N1407" s="241" t="s">
        <v>453</v>
      </c>
    </row>
    <row r="1408" spans="1:14" ht="14">
      <c r="A1408" s="107">
        <v>1407</v>
      </c>
      <c r="B1408" s="235" t="s">
        <v>52</v>
      </c>
      <c r="C1408" s="243" t="s">
        <v>10</v>
      </c>
      <c r="D1408" s="237" t="s">
        <v>3123</v>
      </c>
      <c r="E1408" s="281">
        <v>0</v>
      </c>
      <c r="F1408" s="249">
        <v>300</v>
      </c>
      <c r="G1408" s="108">
        <f t="shared" si="202"/>
        <v>2.1142857142857143</v>
      </c>
      <c r="H1408" s="108">
        <f t="shared" si="203"/>
        <v>4.2285714285714286</v>
      </c>
      <c r="I1408" s="108">
        <f t="shared" si="204"/>
        <v>3.1714285714285713</v>
      </c>
      <c r="J1408" s="225">
        <f t="shared" si="205"/>
        <v>5.2857142857142856</v>
      </c>
      <c r="K1408" s="108">
        <f t="shared" si="206"/>
        <v>5.2857142857142856</v>
      </c>
      <c r="L1408" s="108">
        <f t="shared" si="207"/>
        <v>1.075</v>
      </c>
      <c r="M1408" s="168">
        <f t="shared" si="195"/>
        <v>0</v>
      </c>
      <c r="N1408" s="241" t="s">
        <v>453</v>
      </c>
    </row>
    <row r="1409" spans="1:14" ht="14">
      <c r="A1409" s="107">
        <v>1408</v>
      </c>
      <c r="B1409" s="235" t="s">
        <v>52</v>
      </c>
      <c r="C1409" s="243" t="s">
        <v>10</v>
      </c>
      <c r="D1409" s="237" t="s">
        <v>3124</v>
      </c>
      <c r="E1409" s="281">
        <v>0</v>
      </c>
      <c r="F1409" s="249">
        <v>350</v>
      </c>
      <c r="G1409" s="108">
        <f t="shared" si="202"/>
        <v>2.4000000000000004</v>
      </c>
      <c r="H1409" s="108">
        <f t="shared" si="203"/>
        <v>4.8000000000000007</v>
      </c>
      <c r="I1409" s="108">
        <f t="shared" si="204"/>
        <v>3.5999999999999996</v>
      </c>
      <c r="J1409" s="225">
        <f t="shared" si="205"/>
        <v>6</v>
      </c>
      <c r="K1409" s="108">
        <f t="shared" si="206"/>
        <v>6</v>
      </c>
      <c r="L1409" s="108">
        <f t="shared" si="207"/>
        <v>1.0874999999999999</v>
      </c>
      <c r="M1409" s="168">
        <f t="shared" si="195"/>
        <v>0</v>
      </c>
      <c r="N1409" s="241" t="s">
        <v>453</v>
      </c>
    </row>
    <row r="1410" spans="1:14" ht="14">
      <c r="A1410" s="107">
        <v>1409</v>
      </c>
      <c r="B1410" s="235" t="s">
        <v>52</v>
      </c>
      <c r="C1410" s="243" t="s">
        <v>10</v>
      </c>
      <c r="D1410" s="237" t="s">
        <v>3125</v>
      </c>
      <c r="E1410" s="281">
        <v>0</v>
      </c>
      <c r="F1410" s="249">
        <v>350</v>
      </c>
      <c r="G1410" s="108">
        <f t="shared" si="202"/>
        <v>2.4000000000000004</v>
      </c>
      <c r="H1410" s="108">
        <f t="shared" si="203"/>
        <v>4.8000000000000007</v>
      </c>
      <c r="I1410" s="108">
        <f t="shared" si="204"/>
        <v>3.5999999999999996</v>
      </c>
      <c r="J1410" s="225">
        <f t="shared" si="205"/>
        <v>6</v>
      </c>
      <c r="K1410" s="108">
        <f t="shared" si="206"/>
        <v>6</v>
      </c>
      <c r="L1410" s="108">
        <f t="shared" si="207"/>
        <v>1.0874999999999999</v>
      </c>
      <c r="M1410" s="168">
        <f t="shared" ref="M1410:M1473" si="208">E1410/60</f>
        <v>0</v>
      </c>
      <c r="N1410" s="241" t="s">
        <v>453</v>
      </c>
    </row>
    <row r="1411" spans="1:14" ht="14">
      <c r="A1411" s="107">
        <v>1410</v>
      </c>
      <c r="B1411" s="235" t="s">
        <v>52</v>
      </c>
      <c r="C1411" s="243" t="s">
        <v>10</v>
      </c>
      <c r="D1411" s="237" t="s">
        <v>3126</v>
      </c>
      <c r="E1411" s="281">
        <v>0</v>
      </c>
      <c r="F1411" s="249">
        <v>400</v>
      </c>
      <c r="G1411" s="108">
        <f t="shared" si="202"/>
        <v>2.6857142857142859</v>
      </c>
      <c r="H1411" s="108">
        <f t="shared" si="203"/>
        <v>5.3714285714285719</v>
      </c>
      <c r="I1411" s="108">
        <f t="shared" si="204"/>
        <v>4.0285714285714285</v>
      </c>
      <c r="J1411" s="225">
        <f t="shared" si="205"/>
        <v>6.7142857142857144</v>
      </c>
      <c r="K1411" s="108">
        <f t="shared" si="206"/>
        <v>6.7142857142857144</v>
      </c>
      <c r="L1411" s="108">
        <f t="shared" si="207"/>
        <v>1.1000000000000001</v>
      </c>
      <c r="M1411" s="168">
        <f t="shared" si="208"/>
        <v>0</v>
      </c>
      <c r="N1411" s="241" t="s">
        <v>453</v>
      </c>
    </row>
    <row r="1412" spans="1:14" ht="14">
      <c r="A1412" s="107">
        <v>1411</v>
      </c>
      <c r="B1412" s="231" t="s">
        <v>52</v>
      </c>
      <c r="C1412" s="231" t="s">
        <v>10</v>
      </c>
      <c r="D1412" s="237" t="s">
        <v>3127</v>
      </c>
      <c r="E1412" s="281">
        <v>0</v>
      </c>
      <c r="F1412" s="266">
        <v>700</v>
      </c>
      <c r="G1412" s="108">
        <f t="shared" si="202"/>
        <v>4.4000000000000004</v>
      </c>
      <c r="H1412" s="108">
        <f t="shared" si="203"/>
        <v>8.8000000000000007</v>
      </c>
      <c r="I1412" s="108">
        <f t="shared" si="204"/>
        <v>6.6</v>
      </c>
      <c r="J1412" s="225">
        <f t="shared" si="205"/>
        <v>11</v>
      </c>
      <c r="K1412" s="108">
        <f t="shared" si="206"/>
        <v>11</v>
      </c>
      <c r="L1412" s="108">
        <f t="shared" si="207"/>
        <v>1.175</v>
      </c>
      <c r="M1412" s="168">
        <f t="shared" si="208"/>
        <v>0</v>
      </c>
      <c r="N1412" s="241" t="s">
        <v>453</v>
      </c>
    </row>
    <row r="1413" spans="1:14" ht="14">
      <c r="A1413" s="107">
        <v>1412</v>
      </c>
      <c r="B1413" s="231" t="s">
        <v>49</v>
      </c>
      <c r="C1413" s="231" t="s">
        <v>10</v>
      </c>
      <c r="D1413" s="237" t="s">
        <v>3128</v>
      </c>
      <c r="E1413" s="281">
        <v>0</v>
      </c>
      <c r="F1413" s="249">
        <v>350</v>
      </c>
      <c r="G1413" s="108">
        <f t="shared" si="202"/>
        <v>2.4000000000000004</v>
      </c>
      <c r="H1413" s="108">
        <f t="shared" si="203"/>
        <v>4.8000000000000007</v>
      </c>
      <c r="I1413" s="108">
        <f t="shared" si="204"/>
        <v>3.5999999999999996</v>
      </c>
      <c r="J1413" s="225">
        <f t="shared" si="205"/>
        <v>6</v>
      </c>
      <c r="K1413" s="108">
        <f t="shared" si="206"/>
        <v>6</v>
      </c>
      <c r="L1413" s="108">
        <f t="shared" si="207"/>
        <v>1.0874999999999999</v>
      </c>
      <c r="M1413" s="168">
        <f t="shared" si="208"/>
        <v>0</v>
      </c>
      <c r="N1413" s="241" t="s">
        <v>453</v>
      </c>
    </row>
    <row r="1414" spans="1:14" ht="14">
      <c r="A1414" s="107">
        <v>1413</v>
      </c>
      <c r="B1414" s="231" t="s">
        <v>52</v>
      </c>
      <c r="C1414" s="231" t="s">
        <v>10</v>
      </c>
      <c r="D1414" s="237" t="s">
        <v>3129</v>
      </c>
      <c r="E1414" s="281">
        <v>0</v>
      </c>
      <c r="F1414" s="249">
        <v>350</v>
      </c>
      <c r="G1414" s="108">
        <f t="shared" si="202"/>
        <v>2.4000000000000004</v>
      </c>
      <c r="H1414" s="108">
        <f t="shared" si="203"/>
        <v>4.8000000000000007</v>
      </c>
      <c r="I1414" s="108">
        <f t="shared" si="204"/>
        <v>3.5999999999999996</v>
      </c>
      <c r="J1414" s="225">
        <f t="shared" si="205"/>
        <v>6</v>
      </c>
      <c r="K1414" s="108">
        <f t="shared" si="206"/>
        <v>6</v>
      </c>
      <c r="L1414" s="108">
        <f t="shared" si="207"/>
        <v>1.0874999999999999</v>
      </c>
      <c r="M1414" s="168">
        <f t="shared" si="208"/>
        <v>0</v>
      </c>
      <c r="N1414" s="241" t="s">
        <v>453</v>
      </c>
    </row>
    <row r="1415" spans="1:14" ht="14">
      <c r="A1415" s="107">
        <v>1414</v>
      </c>
      <c r="B1415" s="231" t="s">
        <v>52</v>
      </c>
      <c r="C1415" s="231" t="s">
        <v>10</v>
      </c>
      <c r="D1415" s="237" t="s">
        <v>3130</v>
      </c>
      <c r="E1415" s="281">
        <v>0</v>
      </c>
      <c r="F1415" s="249">
        <v>700</v>
      </c>
      <c r="G1415" s="108">
        <f t="shared" si="202"/>
        <v>4.4000000000000004</v>
      </c>
      <c r="H1415" s="108">
        <f t="shared" si="203"/>
        <v>8.8000000000000007</v>
      </c>
      <c r="I1415" s="108">
        <f t="shared" si="204"/>
        <v>6.6</v>
      </c>
      <c r="J1415" s="225">
        <f t="shared" si="205"/>
        <v>11</v>
      </c>
      <c r="K1415" s="108">
        <f t="shared" si="206"/>
        <v>11</v>
      </c>
      <c r="L1415" s="108">
        <f t="shared" si="207"/>
        <v>1.175</v>
      </c>
      <c r="M1415" s="168">
        <f t="shared" si="208"/>
        <v>0</v>
      </c>
      <c r="N1415" s="241" t="s">
        <v>453</v>
      </c>
    </row>
    <row r="1416" spans="1:14" ht="14">
      <c r="A1416" s="107">
        <v>1415</v>
      </c>
      <c r="B1416" s="231" t="s">
        <v>59</v>
      </c>
      <c r="C1416" s="231" t="s">
        <v>11</v>
      </c>
      <c r="D1416" s="237" t="s">
        <v>3131</v>
      </c>
      <c r="E1416" s="281">
        <v>0</v>
      </c>
      <c r="F1416" s="249">
        <v>700</v>
      </c>
      <c r="G1416" s="108">
        <f t="shared" si="202"/>
        <v>4.4000000000000004</v>
      </c>
      <c r="H1416" s="108">
        <f t="shared" si="203"/>
        <v>8.8000000000000007</v>
      </c>
      <c r="I1416" s="108">
        <f t="shared" si="204"/>
        <v>6.6</v>
      </c>
      <c r="J1416" s="225">
        <f t="shared" si="205"/>
        <v>11</v>
      </c>
      <c r="K1416" s="108">
        <f t="shared" si="206"/>
        <v>11</v>
      </c>
      <c r="L1416" s="108">
        <f t="shared" si="207"/>
        <v>1.175</v>
      </c>
      <c r="M1416" s="168">
        <f t="shared" si="208"/>
        <v>0</v>
      </c>
      <c r="N1416" s="241" t="s">
        <v>453</v>
      </c>
    </row>
    <row r="1417" spans="1:14" ht="14">
      <c r="A1417" s="107">
        <v>1416</v>
      </c>
      <c r="B1417" s="231" t="s">
        <v>52</v>
      </c>
      <c r="C1417" s="231" t="s">
        <v>10</v>
      </c>
      <c r="D1417" s="237" t="s">
        <v>3132</v>
      </c>
      <c r="E1417" s="281">
        <v>0</v>
      </c>
      <c r="F1417" s="249">
        <v>750</v>
      </c>
      <c r="G1417" s="108">
        <f t="shared" si="202"/>
        <v>4.6857142857142859</v>
      </c>
      <c r="H1417" s="108">
        <f t="shared" si="203"/>
        <v>9.3714285714285719</v>
      </c>
      <c r="I1417" s="108">
        <f t="shared" si="204"/>
        <v>7.0285714285714276</v>
      </c>
      <c r="J1417" s="225">
        <f t="shared" si="205"/>
        <v>11.714285714285714</v>
      </c>
      <c r="K1417" s="108">
        <f t="shared" si="206"/>
        <v>11.714285714285714</v>
      </c>
      <c r="L1417" s="108">
        <f t="shared" si="207"/>
        <v>1.1875</v>
      </c>
      <c r="M1417" s="168">
        <f t="shared" si="208"/>
        <v>0</v>
      </c>
      <c r="N1417" s="241" t="s">
        <v>453</v>
      </c>
    </row>
    <row r="1418" spans="1:14" ht="14">
      <c r="A1418" s="107">
        <v>1417</v>
      </c>
      <c r="B1418" s="231" t="s">
        <v>52</v>
      </c>
      <c r="C1418" s="231" t="s">
        <v>10</v>
      </c>
      <c r="D1418" s="237" t="s">
        <v>3133</v>
      </c>
      <c r="E1418" s="281">
        <v>0</v>
      </c>
      <c r="F1418" s="249">
        <v>100</v>
      </c>
      <c r="G1418" s="108">
        <f t="shared" si="202"/>
        <v>0.97142857142857153</v>
      </c>
      <c r="H1418" s="108">
        <f t="shared" si="203"/>
        <v>1.9428571428571431</v>
      </c>
      <c r="I1418" s="108">
        <f t="shared" si="204"/>
        <v>1.4571428571428573</v>
      </c>
      <c r="J1418" s="225">
        <f t="shared" si="205"/>
        <v>2.4285714285714288</v>
      </c>
      <c r="K1418" s="108">
        <f t="shared" si="206"/>
        <v>2.4285714285714288</v>
      </c>
      <c r="L1418" s="108">
        <f t="shared" si="207"/>
        <v>1.0249999999999999</v>
      </c>
      <c r="M1418" s="168">
        <f t="shared" si="208"/>
        <v>0</v>
      </c>
      <c r="N1418" s="241" t="s">
        <v>453</v>
      </c>
    </row>
    <row r="1419" spans="1:14" ht="14">
      <c r="A1419" s="107">
        <v>1418</v>
      </c>
      <c r="B1419" s="231" t="s">
        <v>52</v>
      </c>
      <c r="C1419" s="231" t="s">
        <v>10</v>
      </c>
      <c r="D1419" s="237" t="s">
        <v>3134</v>
      </c>
      <c r="E1419" s="281">
        <v>0</v>
      </c>
      <c r="F1419" s="249">
        <v>100</v>
      </c>
      <c r="G1419" s="108">
        <f t="shared" si="202"/>
        <v>0.97142857142857153</v>
      </c>
      <c r="H1419" s="108">
        <f t="shared" si="203"/>
        <v>1.9428571428571431</v>
      </c>
      <c r="I1419" s="108">
        <f t="shared" si="204"/>
        <v>1.4571428571428573</v>
      </c>
      <c r="J1419" s="225">
        <f t="shared" si="205"/>
        <v>2.4285714285714288</v>
      </c>
      <c r="K1419" s="108">
        <f t="shared" si="206"/>
        <v>2.4285714285714288</v>
      </c>
      <c r="L1419" s="108">
        <f t="shared" si="207"/>
        <v>1.0249999999999999</v>
      </c>
      <c r="M1419" s="168">
        <f t="shared" si="208"/>
        <v>0</v>
      </c>
      <c r="N1419" s="241" t="s">
        <v>453</v>
      </c>
    </row>
    <row r="1420" spans="1:14" ht="14">
      <c r="A1420" s="107">
        <v>1419</v>
      </c>
      <c r="B1420" s="231" t="s">
        <v>52</v>
      </c>
      <c r="C1420" s="231" t="s">
        <v>10</v>
      </c>
      <c r="D1420" s="267" t="s">
        <v>3135</v>
      </c>
      <c r="E1420" s="281">
        <v>0</v>
      </c>
      <c r="F1420" s="249">
        <v>120</v>
      </c>
      <c r="G1420" s="108">
        <f t="shared" si="202"/>
        <v>1.0857142857142859</v>
      </c>
      <c r="H1420" s="108">
        <f t="shared" si="203"/>
        <v>2.1714285714285717</v>
      </c>
      <c r="I1420" s="108">
        <f t="shared" si="204"/>
        <v>1.6285714285714286</v>
      </c>
      <c r="J1420" s="225">
        <f t="shared" si="205"/>
        <v>2.7142857142857144</v>
      </c>
      <c r="K1420" s="108">
        <f t="shared" si="206"/>
        <v>2.7142857142857144</v>
      </c>
      <c r="L1420" s="108">
        <f t="shared" si="207"/>
        <v>1.03</v>
      </c>
      <c r="M1420" s="168">
        <f t="shared" si="208"/>
        <v>0</v>
      </c>
      <c r="N1420" s="241" t="s">
        <v>453</v>
      </c>
    </row>
    <row r="1421" spans="1:14" ht="14">
      <c r="A1421" s="107">
        <v>1420</v>
      </c>
      <c r="B1421" s="231" t="s">
        <v>52</v>
      </c>
      <c r="C1421" s="231" t="s">
        <v>10</v>
      </c>
      <c r="D1421" s="237" t="s">
        <v>3136</v>
      </c>
      <c r="E1421" s="281">
        <v>0</v>
      </c>
      <c r="F1421" s="249">
        <v>670</v>
      </c>
      <c r="G1421" s="108">
        <f t="shared" si="202"/>
        <v>4.2285714285714286</v>
      </c>
      <c r="H1421" s="108">
        <f t="shared" si="203"/>
        <v>8.4571428571428573</v>
      </c>
      <c r="I1421" s="108">
        <f t="shared" si="204"/>
        <v>6.3428571428571425</v>
      </c>
      <c r="J1421" s="225">
        <f t="shared" si="205"/>
        <v>10.571428571428571</v>
      </c>
      <c r="K1421" s="108">
        <f t="shared" si="206"/>
        <v>10.571428571428571</v>
      </c>
      <c r="L1421" s="108">
        <f t="shared" si="207"/>
        <v>1.1675</v>
      </c>
      <c r="M1421" s="168">
        <f t="shared" si="208"/>
        <v>0</v>
      </c>
      <c r="N1421" s="241" t="s">
        <v>453</v>
      </c>
    </row>
    <row r="1422" spans="1:14" ht="14">
      <c r="A1422" s="107">
        <v>1421</v>
      </c>
      <c r="B1422" s="231" t="s">
        <v>52</v>
      </c>
      <c r="C1422" s="231" t="s">
        <v>10</v>
      </c>
      <c r="D1422" s="237" t="s">
        <v>3137</v>
      </c>
      <c r="E1422" s="281">
        <v>0</v>
      </c>
      <c r="F1422" s="266">
        <v>300</v>
      </c>
      <c r="G1422" s="108">
        <f t="shared" si="202"/>
        <v>2.1142857142857143</v>
      </c>
      <c r="H1422" s="108">
        <f t="shared" si="203"/>
        <v>4.2285714285714286</v>
      </c>
      <c r="I1422" s="108">
        <f t="shared" si="204"/>
        <v>3.1714285714285713</v>
      </c>
      <c r="J1422" s="225">
        <f t="shared" si="205"/>
        <v>5.2857142857142856</v>
      </c>
      <c r="K1422" s="108">
        <f t="shared" si="206"/>
        <v>5.2857142857142856</v>
      </c>
      <c r="L1422" s="108">
        <f t="shared" si="207"/>
        <v>1.075</v>
      </c>
      <c r="M1422" s="168">
        <f t="shared" si="208"/>
        <v>0</v>
      </c>
      <c r="N1422" s="241" t="s">
        <v>453</v>
      </c>
    </row>
    <row r="1423" spans="1:14" ht="14">
      <c r="A1423" s="107">
        <v>1422</v>
      </c>
      <c r="B1423" s="231" t="s">
        <v>55</v>
      </c>
      <c r="C1423" s="231" t="s">
        <v>10</v>
      </c>
      <c r="D1423" s="237" t="s">
        <v>3138</v>
      </c>
      <c r="E1423" s="281">
        <v>0</v>
      </c>
      <c r="F1423" s="266">
        <v>500</v>
      </c>
      <c r="G1423" s="108">
        <f t="shared" si="202"/>
        <v>3.2571428571428571</v>
      </c>
      <c r="H1423" s="108">
        <f t="shared" si="203"/>
        <v>6.5142857142857142</v>
      </c>
      <c r="I1423" s="108">
        <f t="shared" si="204"/>
        <v>4.8857142857142852</v>
      </c>
      <c r="J1423" s="225">
        <f t="shared" si="205"/>
        <v>8.1428571428571423</v>
      </c>
      <c r="K1423" s="108">
        <f t="shared" si="206"/>
        <v>8.1428571428571423</v>
      </c>
      <c r="L1423" s="108">
        <f t="shared" si="207"/>
        <v>1.125</v>
      </c>
      <c r="M1423" s="168">
        <f t="shared" si="208"/>
        <v>0</v>
      </c>
      <c r="N1423" s="241" t="s">
        <v>453</v>
      </c>
    </row>
    <row r="1424" spans="1:14" ht="14">
      <c r="A1424" s="107">
        <v>1423</v>
      </c>
      <c r="B1424" s="231" t="s">
        <v>55</v>
      </c>
      <c r="C1424" s="231" t="s">
        <v>10</v>
      </c>
      <c r="D1424" s="237" t="s">
        <v>3139</v>
      </c>
      <c r="E1424" s="281">
        <v>0</v>
      </c>
      <c r="F1424" s="249">
        <v>1700</v>
      </c>
      <c r="G1424" s="108">
        <f t="shared" si="202"/>
        <v>10.114285714285714</v>
      </c>
      <c r="H1424" s="108">
        <f t="shared" si="203"/>
        <v>20.228571428571428</v>
      </c>
      <c r="I1424" s="108">
        <f t="shared" si="204"/>
        <v>15.171428571428571</v>
      </c>
      <c r="J1424" s="225">
        <f t="shared" si="205"/>
        <v>25.285714285714285</v>
      </c>
      <c r="K1424" s="108">
        <f t="shared" si="206"/>
        <v>25.285714285714285</v>
      </c>
      <c r="L1424" s="108">
        <f t="shared" si="207"/>
        <v>1.425</v>
      </c>
      <c r="M1424" s="168">
        <f t="shared" si="208"/>
        <v>0</v>
      </c>
      <c r="N1424" s="241" t="s">
        <v>453</v>
      </c>
    </row>
    <row r="1425" spans="1:14" ht="14">
      <c r="A1425" s="107">
        <v>1424</v>
      </c>
      <c r="B1425" s="231" t="s">
        <v>52</v>
      </c>
      <c r="C1425" s="231" t="s">
        <v>10</v>
      </c>
      <c r="D1425" s="237" t="s">
        <v>3140</v>
      </c>
      <c r="E1425" s="281">
        <v>0</v>
      </c>
      <c r="F1425" s="249">
        <v>400</v>
      </c>
      <c r="G1425" s="108">
        <f t="shared" si="202"/>
        <v>2.6857142857142859</v>
      </c>
      <c r="H1425" s="108">
        <f t="shared" si="203"/>
        <v>5.3714285714285719</v>
      </c>
      <c r="I1425" s="108">
        <f t="shared" si="204"/>
        <v>4.0285714285714285</v>
      </c>
      <c r="J1425" s="225">
        <f t="shared" si="205"/>
        <v>6.7142857142857144</v>
      </c>
      <c r="K1425" s="108">
        <f t="shared" si="206"/>
        <v>6.7142857142857144</v>
      </c>
      <c r="L1425" s="108">
        <f t="shared" si="207"/>
        <v>1.1000000000000001</v>
      </c>
      <c r="M1425" s="168">
        <f t="shared" si="208"/>
        <v>0</v>
      </c>
      <c r="N1425" s="241" t="s">
        <v>453</v>
      </c>
    </row>
    <row r="1426" spans="1:14" ht="14">
      <c r="A1426" s="107">
        <v>1425</v>
      </c>
      <c r="B1426" s="231" t="s">
        <v>51</v>
      </c>
      <c r="C1426" s="231" t="s">
        <v>10</v>
      </c>
      <c r="D1426" s="237" t="s">
        <v>3141</v>
      </c>
      <c r="E1426" s="281">
        <v>0</v>
      </c>
      <c r="F1426" s="249">
        <v>4000</v>
      </c>
      <c r="G1426" s="108">
        <f t="shared" si="202"/>
        <v>23.25714285714286</v>
      </c>
      <c r="H1426" s="108">
        <f t="shared" si="203"/>
        <v>46.51428571428572</v>
      </c>
      <c r="I1426" s="108">
        <f t="shared" si="204"/>
        <v>34.885714285714286</v>
      </c>
      <c r="J1426" s="225">
        <f t="shared" si="205"/>
        <v>58.142857142857146</v>
      </c>
      <c r="K1426" s="108">
        <f t="shared" si="206"/>
        <v>58.142857142857146</v>
      </c>
      <c r="L1426" s="108">
        <f t="shared" si="207"/>
        <v>2</v>
      </c>
      <c r="M1426" s="168">
        <f t="shared" si="208"/>
        <v>0</v>
      </c>
      <c r="N1426" s="241" t="s">
        <v>453</v>
      </c>
    </row>
    <row r="1427" spans="1:14" ht="14">
      <c r="A1427" s="107">
        <v>1426</v>
      </c>
      <c r="B1427" s="231" t="s">
        <v>50</v>
      </c>
      <c r="C1427" s="231" t="s">
        <v>10</v>
      </c>
      <c r="D1427" s="237" t="s">
        <v>3143</v>
      </c>
      <c r="E1427" s="281">
        <v>0</v>
      </c>
      <c r="F1427" s="249">
        <v>3300</v>
      </c>
      <c r="G1427" s="108">
        <f t="shared" si="202"/>
        <v>19.25714285714286</v>
      </c>
      <c r="H1427" s="108">
        <f t="shared" si="203"/>
        <v>38.51428571428572</v>
      </c>
      <c r="I1427" s="108">
        <f t="shared" si="204"/>
        <v>28.885714285714286</v>
      </c>
      <c r="J1427" s="225">
        <f t="shared" si="205"/>
        <v>48.142857142857146</v>
      </c>
      <c r="K1427" s="108">
        <f t="shared" si="206"/>
        <v>48.142857142857146</v>
      </c>
      <c r="L1427" s="108">
        <f t="shared" si="207"/>
        <v>1.825</v>
      </c>
      <c r="M1427" s="168">
        <f t="shared" si="208"/>
        <v>0</v>
      </c>
      <c r="N1427" s="241" t="s">
        <v>453</v>
      </c>
    </row>
    <row r="1428" spans="1:14" ht="14">
      <c r="A1428" s="107">
        <v>1427</v>
      </c>
      <c r="B1428" s="231" t="s">
        <v>50</v>
      </c>
      <c r="C1428" s="231" t="s">
        <v>10</v>
      </c>
      <c r="D1428" s="237" t="s">
        <v>3144</v>
      </c>
      <c r="E1428" s="281">
        <v>0</v>
      </c>
      <c r="F1428" s="249">
        <v>300</v>
      </c>
      <c r="G1428" s="108">
        <f t="shared" si="202"/>
        <v>2.1142857142857143</v>
      </c>
      <c r="H1428" s="108">
        <f t="shared" si="203"/>
        <v>4.2285714285714286</v>
      </c>
      <c r="I1428" s="108">
        <f t="shared" si="204"/>
        <v>3.1714285714285713</v>
      </c>
      <c r="J1428" s="225">
        <f t="shared" si="205"/>
        <v>5.2857142857142856</v>
      </c>
      <c r="K1428" s="108">
        <f t="shared" si="206"/>
        <v>5.2857142857142856</v>
      </c>
      <c r="L1428" s="108">
        <f t="shared" si="207"/>
        <v>1.075</v>
      </c>
      <c r="M1428" s="168">
        <f t="shared" si="208"/>
        <v>0</v>
      </c>
      <c r="N1428" s="241" t="s">
        <v>453</v>
      </c>
    </row>
    <row r="1429" spans="1:14" ht="14">
      <c r="A1429" s="107">
        <v>1428</v>
      </c>
      <c r="B1429" s="231" t="s">
        <v>55</v>
      </c>
      <c r="C1429" s="231" t="s">
        <v>10</v>
      </c>
      <c r="D1429" s="237" t="s">
        <v>3145</v>
      </c>
      <c r="E1429" s="281">
        <v>0</v>
      </c>
      <c r="F1429" s="249">
        <v>351</v>
      </c>
      <c r="G1429" s="108">
        <f t="shared" si="202"/>
        <v>2.4057142857142857</v>
      </c>
      <c r="H1429" s="108">
        <f t="shared" si="203"/>
        <v>4.8114285714285714</v>
      </c>
      <c r="I1429" s="108">
        <f t="shared" si="204"/>
        <v>3.6085714285714285</v>
      </c>
      <c r="J1429" s="225">
        <f t="shared" si="205"/>
        <v>6.0142857142857142</v>
      </c>
      <c r="K1429" s="108">
        <f t="shared" si="206"/>
        <v>6.0142857142857142</v>
      </c>
      <c r="L1429" s="108">
        <f t="shared" si="207"/>
        <v>1.08775</v>
      </c>
      <c r="M1429" s="168">
        <f t="shared" si="208"/>
        <v>0</v>
      </c>
      <c r="N1429" s="241" t="s">
        <v>453</v>
      </c>
    </row>
    <row r="1430" spans="1:14" ht="14">
      <c r="A1430" s="107">
        <v>1429</v>
      </c>
      <c r="B1430" s="231" t="s">
        <v>52</v>
      </c>
      <c r="C1430" s="231" t="s">
        <v>10</v>
      </c>
      <c r="D1430" s="237" t="s">
        <v>3146</v>
      </c>
      <c r="E1430" s="281">
        <v>0</v>
      </c>
      <c r="F1430" s="249">
        <v>750</v>
      </c>
      <c r="G1430" s="108">
        <f t="shared" si="202"/>
        <v>4.6857142857142859</v>
      </c>
      <c r="H1430" s="108">
        <f t="shared" si="203"/>
        <v>9.3714285714285719</v>
      </c>
      <c r="I1430" s="108">
        <f t="shared" si="204"/>
        <v>7.0285714285714276</v>
      </c>
      <c r="J1430" s="225">
        <f t="shared" si="205"/>
        <v>11.714285714285714</v>
      </c>
      <c r="K1430" s="108">
        <f t="shared" si="206"/>
        <v>11.714285714285714</v>
      </c>
      <c r="L1430" s="108">
        <f t="shared" si="207"/>
        <v>1.1875</v>
      </c>
      <c r="M1430" s="168">
        <f t="shared" si="208"/>
        <v>0</v>
      </c>
      <c r="N1430" s="241" t="s">
        <v>453</v>
      </c>
    </row>
    <row r="1431" spans="1:14" ht="14">
      <c r="A1431" s="107">
        <v>1430</v>
      </c>
      <c r="B1431" s="231" t="s">
        <v>52</v>
      </c>
      <c r="C1431" s="231" t="s">
        <v>10</v>
      </c>
      <c r="D1431" s="237" t="s">
        <v>3148</v>
      </c>
      <c r="E1431" s="281">
        <v>0</v>
      </c>
      <c r="F1431" s="249">
        <v>350</v>
      </c>
      <c r="G1431" s="108">
        <f t="shared" si="202"/>
        <v>2.4000000000000004</v>
      </c>
      <c r="H1431" s="108">
        <f t="shared" si="203"/>
        <v>4.8000000000000007</v>
      </c>
      <c r="I1431" s="108">
        <f t="shared" si="204"/>
        <v>3.5999999999999996</v>
      </c>
      <c r="J1431" s="225">
        <f t="shared" si="205"/>
        <v>6</v>
      </c>
      <c r="K1431" s="108">
        <f t="shared" si="206"/>
        <v>6</v>
      </c>
      <c r="L1431" s="108">
        <f t="shared" si="207"/>
        <v>1.0874999999999999</v>
      </c>
      <c r="M1431" s="168">
        <f t="shared" si="208"/>
        <v>0</v>
      </c>
      <c r="N1431" s="241" t="s">
        <v>453</v>
      </c>
    </row>
    <row r="1432" spans="1:14" ht="14">
      <c r="A1432" s="107">
        <v>1431</v>
      </c>
      <c r="B1432" s="231" t="s">
        <v>52</v>
      </c>
      <c r="C1432" s="231" t="s">
        <v>10</v>
      </c>
      <c r="D1432" s="237" t="s">
        <v>3149</v>
      </c>
      <c r="E1432" s="281">
        <v>0</v>
      </c>
      <c r="F1432" s="249">
        <v>300</v>
      </c>
      <c r="G1432" s="108">
        <f t="shared" si="202"/>
        <v>2.1142857142857143</v>
      </c>
      <c r="H1432" s="108">
        <f t="shared" si="203"/>
        <v>4.2285714285714286</v>
      </c>
      <c r="I1432" s="108">
        <f t="shared" si="204"/>
        <v>3.1714285714285713</v>
      </c>
      <c r="J1432" s="225">
        <f t="shared" si="205"/>
        <v>5.2857142857142856</v>
      </c>
      <c r="K1432" s="108">
        <f t="shared" si="206"/>
        <v>5.2857142857142856</v>
      </c>
      <c r="L1432" s="108">
        <f t="shared" si="207"/>
        <v>1.075</v>
      </c>
      <c r="M1432" s="168">
        <f t="shared" si="208"/>
        <v>0</v>
      </c>
      <c r="N1432" s="241" t="s">
        <v>453</v>
      </c>
    </row>
    <row r="1433" spans="1:14" ht="14">
      <c r="A1433" s="107">
        <v>1432</v>
      </c>
      <c r="B1433" s="231" t="s">
        <v>52</v>
      </c>
      <c r="C1433" s="231" t="s">
        <v>10</v>
      </c>
      <c r="D1433" s="237" t="s">
        <v>3150</v>
      </c>
      <c r="E1433" s="281">
        <v>0</v>
      </c>
      <c r="F1433" s="249">
        <v>300</v>
      </c>
      <c r="G1433" s="108">
        <f t="shared" si="202"/>
        <v>2.1142857142857143</v>
      </c>
      <c r="H1433" s="108">
        <f t="shared" si="203"/>
        <v>4.2285714285714286</v>
      </c>
      <c r="I1433" s="108">
        <f t="shared" si="204"/>
        <v>3.1714285714285713</v>
      </c>
      <c r="J1433" s="225">
        <f t="shared" si="205"/>
        <v>5.2857142857142856</v>
      </c>
      <c r="K1433" s="108">
        <f t="shared" si="206"/>
        <v>5.2857142857142856</v>
      </c>
      <c r="L1433" s="108">
        <f t="shared" si="207"/>
        <v>1.075</v>
      </c>
      <c r="M1433" s="168">
        <f t="shared" si="208"/>
        <v>0</v>
      </c>
      <c r="N1433" s="241" t="s">
        <v>453</v>
      </c>
    </row>
    <row r="1434" spans="1:14" ht="14">
      <c r="A1434" s="107">
        <v>1433</v>
      </c>
      <c r="B1434" s="231" t="s">
        <v>52</v>
      </c>
      <c r="C1434" s="231" t="s">
        <v>10</v>
      </c>
      <c r="D1434" s="237" t="s">
        <v>3151</v>
      </c>
      <c r="E1434" s="281">
        <v>0</v>
      </c>
      <c r="F1434" s="249">
        <v>300</v>
      </c>
      <c r="G1434" s="108">
        <f t="shared" si="202"/>
        <v>2.1142857142857143</v>
      </c>
      <c r="H1434" s="108">
        <f t="shared" si="203"/>
        <v>4.2285714285714286</v>
      </c>
      <c r="I1434" s="108">
        <f t="shared" si="204"/>
        <v>3.1714285714285713</v>
      </c>
      <c r="J1434" s="225">
        <f t="shared" si="205"/>
        <v>5.2857142857142856</v>
      </c>
      <c r="K1434" s="108">
        <f t="shared" si="206"/>
        <v>5.2857142857142856</v>
      </c>
      <c r="L1434" s="108">
        <f t="shared" si="207"/>
        <v>1.075</v>
      </c>
      <c r="M1434" s="168">
        <f t="shared" si="208"/>
        <v>0</v>
      </c>
      <c r="N1434" s="241" t="s">
        <v>457</v>
      </c>
    </row>
    <row r="1435" spans="1:14" ht="14">
      <c r="A1435" s="107">
        <v>1434</v>
      </c>
      <c r="B1435" s="231" t="s">
        <v>52</v>
      </c>
      <c r="C1435" s="231" t="s">
        <v>10</v>
      </c>
      <c r="D1435" s="237" t="s">
        <v>3152</v>
      </c>
      <c r="E1435" s="281">
        <v>0</v>
      </c>
      <c r="F1435" s="249">
        <v>300</v>
      </c>
      <c r="G1435" s="108">
        <f t="shared" si="202"/>
        <v>2.1142857142857143</v>
      </c>
      <c r="H1435" s="108">
        <f t="shared" si="203"/>
        <v>4.2285714285714286</v>
      </c>
      <c r="I1435" s="108">
        <f t="shared" si="204"/>
        <v>3.1714285714285713</v>
      </c>
      <c r="J1435" s="225">
        <f t="shared" si="205"/>
        <v>5.2857142857142856</v>
      </c>
      <c r="K1435" s="108">
        <f t="shared" si="206"/>
        <v>5.2857142857142856</v>
      </c>
      <c r="L1435" s="108">
        <f t="shared" si="207"/>
        <v>1.075</v>
      </c>
      <c r="M1435" s="168">
        <f t="shared" si="208"/>
        <v>0</v>
      </c>
      <c r="N1435" s="241" t="s">
        <v>457</v>
      </c>
    </row>
    <row r="1436" spans="1:14" ht="14">
      <c r="A1436" s="107">
        <v>1435</v>
      </c>
      <c r="B1436" s="231" t="s">
        <v>52</v>
      </c>
      <c r="C1436" s="231" t="s">
        <v>10</v>
      </c>
      <c r="D1436" s="237" t="s">
        <v>3153</v>
      </c>
      <c r="E1436" s="281">
        <v>0</v>
      </c>
      <c r="F1436" s="249">
        <v>850</v>
      </c>
      <c r="G1436" s="168">
        <f t="shared" si="202"/>
        <v>5.2571428571428571</v>
      </c>
      <c r="H1436" s="168">
        <f t="shared" si="203"/>
        <v>10.514285714285714</v>
      </c>
      <c r="I1436" s="168">
        <f t="shared" si="204"/>
        <v>7.8857142857142852</v>
      </c>
      <c r="J1436" s="168">
        <f t="shared" si="205"/>
        <v>13.142857142857142</v>
      </c>
      <c r="K1436" s="168">
        <f t="shared" si="206"/>
        <v>13.142857142857142</v>
      </c>
      <c r="L1436" s="168">
        <f t="shared" si="207"/>
        <v>1.2124999999999999</v>
      </c>
      <c r="M1436" s="168">
        <f t="shared" si="208"/>
        <v>0</v>
      </c>
      <c r="N1436" s="241" t="s">
        <v>453</v>
      </c>
    </row>
    <row r="1437" spans="1:14" ht="14">
      <c r="A1437" s="107">
        <v>1436</v>
      </c>
      <c r="B1437" s="231" t="s">
        <v>52</v>
      </c>
      <c r="C1437" s="231" t="s">
        <v>10</v>
      </c>
      <c r="D1437" s="237" t="s">
        <v>3154</v>
      </c>
      <c r="E1437" s="281">
        <v>0</v>
      </c>
      <c r="F1437" s="249">
        <v>350</v>
      </c>
      <c r="G1437" s="168">
        <f t="shared" ref="G1437:G1448" si="209">(((F1437/70)+1)*0.4)</f>
        <v>2.4000000000000004</v>
      </c>
      <c r="H1437" s="168">
        <f t="shared" ref="H1437:H1448" si="210">G1437*2</f>
        <v>4.8000000000000007</v>
      </c>
      <c r="I1437" s="168">
        <f t="shared" ref="I1437:I1448" si="211">(((F1437/70)+1)*0.6)</f>
        <v>3.5999999999999996</v>
      </c>
      <c r="J1437" s="168">
        <f t="shared" ref="J1437:J1448" si="212">I1437+G1437</f>
        <v>6</v>
      </c>
      <c r="K1437" s="168">
        <f t="shared" ref="K1437:K1448" si="213">J1437</f>
        <v>6</v>
      </c>
      <c r="L1437" s="168">
        <f t="shared" ref="L1437:L1448" si="214">(F1437/4000)+1</f>
        <v>1.0874999999999999</v>
      </c>
      <c r="M1437" s="168">
        <f t="shared" si="208"/>
        <v>0</v>
      </c>
      <c r="N1437" s="241" t="s">
        <v>453</v>
      </c>
    </row>
    <row r="1438" spans="1:14" ht="14">
      <c r="A1438" s="107">
        <v>1437</v>
      </c>
      <c r="B1438" s="231" t="s">
        <v>52</v>
      </c>
      <c r="C1438" s="231" t="s">
        <v>10</v>
      </c>
      <c r="D1438" s="237" t="s">
        <v>3155</v>
      </c>
      <c r="E1438" s="281">
        <v>0</v>
      </c>
      <c r="F1438" s="249">
        <v>1400</v>
      </c>
      <c r="G1438" s="168">
        <f t="shared" si="209"/>
        <v>8.4</v>
      </c>
      <c r="H1438" s="168">
        <f t="shared" si="210"/>
        <v>16.8</v>
      </c>
      <c r="I1438" s="168">
        <f t="shared" si="211"/>
        <v>12.6</v>
      </c>
      <c r="J1438" s="168">
        <f t="shared" si="212"/>
        <v>21</v>
      </c>
      <c r="K1438" s="168">
        <f t="shared" si="213"/>
        <v>21</v>
      </c>
      <c r="L1438" s="168">
        <f t="shared" si="214"/>
        <v>1.35</v>
      </c>
      <c r="M1438" s="168">
        <f t="shared" si="208"/>
        <v>0</v>
      </c>
      <c r="N1438" s="241" t="s">
        <v>453</v>
      </c>
    </row>
    <row r="1439" spans="1:14" ht="14">
      <c r="A1439" s="107">
        <v>1438</v>
      </c>
      <c r="B1439" s="231" t="s">
        <v>55</v>
      </c>
      <c r="C1439" s="231" t="s">
        <v>10</v>
      </c>
      <c r="D1439" s="237" t="s">
        <v>3157</v>
      </c>
      <c r="E1439" s="281">
        <v>0</v>
      </c>
      <c r="F1439" s="249">
        <v>1600</v>
      </c>
      <c r="G1439" s="168">
        <f t="shared" si="209"/>
        <v>9.5428571428571427</v>
      </c>
      <c r="H1439" s="168">
        <f t="shared" si="210"/>
        <v>19.085714285714285</v>
      </c>
      <c r="I1439" s="168">
        <f t="shared" si="211"/>
        <v>14.314285714285715</v>
      </c>
      <c r="J1439" s="168">
        <f t="shared" si="212"/>
        <v>23.857142857142858</v>
      </c>
      <c r="K1439" s="168">
        <f t="shared" si="213"/>
        <v>23.857142857142858</v>
      </c>
      <c r="L1439" s="168">
        <f t="shared" si="214"/>
        <v>1.4</v>
      </c>
      <c r="M1439" s="168">
        <f t="shared" si="208"/>
        <v>0</v>
      </c>
      <c r="N1439" s="241" t="s">
        <v>457</v>
      </c>
    </row>
    <row r="1440" spans="1:14" ht="14">
      <c r="A1440" s="107">
        <v>1439</v>
      </c>
      <c r="B1440" s="231" t="s">
        <v>55</v>
      </c>
      <c r="C1440" s="231" t="s">
        <v>10</v>
      </c>
      <c r="D1440" s="237" t="s">
        <v>3159</v>
      </c>
      <c r="E1440" s="281">
        <v>0</v>
      </c>
      <c r="F1440" s="249">
        <v>2500</v>
      </c>
      <c r="G1440" s="168">
        <f t="shared" si="209"/>
        <v>14.685714285714287</v>
      </c>
      <c r="H1440" s="168">
        <f t="shared" si="210"/>
        <v>29.371428571428574</v>
      </c>
      <c r="I1440" s="168">
        <f t="shared" si="211"/>
        <v>22.028571428571428</v>
      </c>
      <c r="J1440" s="168">
        <f t="shared" si="212"/>
        <v>36.714285714285715</v>
      </c>
      <c r="K1440" s="168">
        <f t="shared" si="213"/>
        <v>36.714285714285715</v>
      </c>
      <c r="L1440" s="168">
        <f t="shared" si="214"/>
        <v>1.625</v>
      </c>
      <c r="M1440" s="168">
        <f t="shared" si="208"/>
        <v>0</v>
      </c>
      <c r="N1440" s="241" t="s">
        <v>453</v>
      </c>
    </row>
    <row r="1441" spans="1:14" ht="14">
      <c r="A1441" s="107">
        <v>1440</v>
      </c>
      <c r="B1441" s="231" t="s">
        <v>53</v>
      </c>
      <c r="C1441" s="231" t="s">
        <v>10</v>
      </c>
      <c r="D1441" s="237" t="s">
        <v>3161</v>
      </c>
      <c r="E1441" s="281">
        <v>0</v>
      </c>
      <c r="F1441" s="249">
        <v>1500</v>
      </c>
      <c r="G1441" s="168">
        <f t="shared" si="209"/>
        <v>8.9714285714285715</v>
      </c>
      <c r="H1441" s="168">
        <f t="shared" si="210"/>
        <v>17.942857142857143</v>
      </c>
      <c r="I1441" s="168">
        <f t="shared" si="211"/>
        <v>13.457142857142856</v>
      </c>
      <c r="J1441" s="168">
        <f t="shared" si="212"/>
        <v>22.428571428571427</v>
      </c>
      <c r="K1441" s="168">
        <f t="shared" si="213"/>
        <v>22.428571428571427</v>
      </c>
      <c r="L1441" s="168">
        <f t="shared" si="214"/>
        <v>1.375</v>
      </c>
      <c r="M1441" s="168">
        <f t="shared" si="208"/>
        <v>0</v>
      </c>
      <c r="N1441" s="241" t="s">
        <v>453</v>
      </c>
    </row>
    <row r="1442" spans="1:14" ht="14">
      <c r="A1442" s="107">
        <v>1441</v>
      </c>
      <c r="B1442" s="231" t="s">
        <v>52</v>
      </c>
      <c r="C1442" s="231" t="s">
        <v>10</v>
      </c>
      <c r="D1442" s="237" t="s">
        <v>3162</v>
      </c>
      <c r="E1442" s="281">
        <v>0</v>
      </c>
      <c r="F1442" s="249">
        <v>850</v>
      </c>
      <c r="G1442" s="168">
        <f t="shared" si="209"/>
        <v>5.2571428571428571</v>
      </c>
      <c r="H1442" s="168">
        <f t="shared" si="210"/>
        <v>10.514285714285714</v>
      </c>
      <c r="I1442" s="168">
        <f t="shared" si="211"/>
        <v>7.8857142857142852</v>
      </c>
      <c r="J1442" s="168">
        <f t="shared" si="212"/>
        <v>13.142857142857142</v>
      </c>
      <c r="K1442" s="168">
        <f t="shared" si="213"/>
        <v>13.142857142857142</v>
      </c>
      <c r="L1442" s="168">
        <f t="shared" si="214"/>
        <v>1.2124999999999999</v>
      </c>
      <c r="M1442" s="168">
        <f t="shared" si="208"/>
        <v>0</v>
      </c>
      <c r="N1442" s="241" t="s">
        <v>453</v>
      </c>
    </row>
    <row r="1443" spans="1:14" ht="14">
      <c r="A1443" s="107">
        <v>1442</v>
      </c>
      <c r="B1443" s="231" t="s">
        <v>52</v>
      </c>
      <c r="C1443" s="231" t="s">
        <v>10</v>
      </c>
      <c r="D1443" s="237" t="s">
        <v>3163</v>
      </c>
      <c r="E1443" s="281">
        <v>0</v>
      </c>
      <c r="F1443" s="249">
        <v>850</v>
      </c>
      <c r="G1443" s="168">
        <f t="shared" si="209"/>
        <v>5.2571428571428571</v>
      </c>
      <c r="H1443" s="168">
        <f t="shared" si="210"/>
        <v>10.514285714285714</v>
      </c>
      <c r="I1443" s="168">
        <f t="shared" si="211"/>
        <v>7.8857142857142852</v>
      </c>
      <c r="J1443" s="168">
        <f t="shared" si="212"/>
        <v>13.142857142857142</v>
      </c>
      <c r="K1443" s="168">
        <f t="shared" si="213"/>
        <v>13.142857142857142</v>
      </c>
      <c r="L1443" s="168">
        <f t="shared" si="214"/>
        <v>1.2124999999999999</v>
      </c>
      <c r="M1443" s="168">
        <f t="shared" si="208"/>
        <v>0</v>
      </c>
      <c r="N1443" s="241" t="s">
        <v>453</v>
      </c>
    </row>
    <row r="1444" spans="1:14" ht="14">
      <c r="A1444" s="107">
        <v>1443</v>
      </c>
      <c r="B1444" s="231" t="s">
        <v>61</v>
      </c>
      <c r="C1444" s="231" t="s">
        <v>11</v>
      </c>
      <c r="D1444" s="237" t="s">
        <v>3164</v>
      </c>
      <c r="E1444" s="281">
        <v>0</v>
      </c>
      <c r="F1444" s="249">
        <v>500</v>
      </c>
      <c r="G1444" s="168">
        <f t="shared" si="209"/>
        <v>3.2571428571428571</v>
      </c>
      <c r="H1444" s="168">
        <f t="shared" si="210"/>
        <v>6.5142857142857142</v>
      </c>
      <c r="I1444" s="168">
        <f t="shared" si="211"/>
        <v>4.8857142857142852</v>
      </c>
      <c r="J1444" s="168">
        <f t="shared" si="212"/>
        <v>8.1428571428571423</v>
      </c>
      <c r="K1444" s="168">
        <f t="shared" si="213"/>
        <v>8.1428571428571423</v>
      </c>
      <c r="L1444" s="168">
        <f t="shared" si="214"/>
        <v>1.125</v>
      </c>
      <c r="M1444" s="168">
        <f t="shared" si="208"/>
        <v>0</v>
      </c>
      <c r="N1444" s="241" t="s">
        <v>453</v>
      </c>
    </row>
    <row r="1445" spans="1:14" ht="14">
      <c r="A1445" s="107">
        <v>1444</v>
      </c>
      <c r="B1445" s="231" t="s">
        <v>52</v>
      </c>
      <c r="C1445" s="231" t="s">
        <v>10</v>
      </c>
      <c r="D1445" s="237" t="s">
        <v>3165</v>
      </c>
      <c r="E1445" s="281">
        <v>0</v>
      </c>
      <c r="F1445" s="249">
        <v>1100</v>
      </c>
      <c r="G1445" s="168">
        <f t="shared" si="209"/>
        <v>6.6857142857142868</v>
      </c>
      <c r="H1445" s="168">
        <f t="shared" si="210"/>
        <v>13.371428571428574</v>
      </c>
      <c r="I1445" s="168">
        <f t="shared" si="211"/>
        <v>10.028571428571428</v>
      </c>
      <c r="J1445" s="168">
        <f t="shared" si="212"/>
        <v>16.714285714285715</v>
      </c>
      <c r="K1445" s="168">
        <f t="shared" si="213"/>
        <v>16.714285714285715</v>
      </c>
      <c r="L1445" s="168">
        <f t="shared" si="214"/>
        <v>1.2749999999999999</v>
      </c>
      <c r="M1445" s="168">
        <f t="shared" si="208"/>
        <v>0</v>
      </c>
      <c r="N1445" s="241" t="s">
        <v>453</v>
      </c>
    </row>
    <row r="1446" spans="1:14" ht="15" customHeight="1">
      <c r="A1446" s="107">
        <v>1445</v>
      </c>
      <c r="B1446" s="231" t="s">
        <v>52</v>
      </c>
      <c r="C1446" s="231" t="s">
        <v>10</v>
      </c>
      <c r="D1446" s="328" t="s">
        <v>3166</v>
      </c>
      <c r="E1446" s="281">
        <v>0</v>
      </c>
      <c r="F1446" s="249">
        <v>350</v>
      </c>
      <c r="G1446" s="168">
        <f t="shared" si="209"/>
        <v>2.4000000000000004</v>
      </c>
      <c r="H1446" s="168">
        <f t="shared" si="210"/>
        <v>4.8000000000000007</v>
      </c>
      <c r="I1446" s="168">
        <f t="shared" si="211"/>
        <v>3.5999999999999996</v>
      </c>
      <c r="J1446" s="168">
        <f t="shared" si="212"/>
        <v>6</v>
      </c>
      <c r="K1446" s="168">
        <f t="shared" si="213"/>
        <v>6</v>
      </c>
      <c r="L1446" s="168">
        <f t="shared" si="214"/>
        <v>1.0874999999999999</v>
      </c>
      <c r="M1446" s="168">
        <f t="shared" si="208"/>
        <v>0</v>
      </c>
      <c r="N1446" s="241" t="s">
        <v>457</v>
      </c>
    </row>
    <row r="1447" spans="1:14" ht="15" customHeight="1">
      <c r="A1447" s="107">
        <v>1446</v>
      </c>
      <c r="B1447" s="231" t="s">
        <v>49</v>
      </c>
      <c r="C1447" s="231" t="s">
        <v>10</v>
      </c>
      <c r="D1447" s="237" t="s">
        <v>3167</v>
      </c>
      <c r="E1447" s="281">
        <v>0</v>
      </c>
      <c r="F1447" s="249">
        <v>700</v>
      </c>
      <c r="G1447" s="168">
        <f t="shared" si="209"/>
        <v>4.4000000000000004</v>
      </c>
      <c r="H1447" s="168">
        <f t="shared" si="210"/>
        <v>8.8000000000000007</v>
      </c>
      <c r="I1447" s="168">
        <f t="shared" si="211"/>
        <v>6.6</v>
      </c>
      <c r="J1447" s="168">
        <f t="shared" si="212"/>
        <v>11</v>
      </c>
      <c r="K1447" s="168">
        <f t="shared" si="213"/>
        <v>11</v>
      </c>
      <c r="L1447" s="168">
        <f t="shared" si="214"/>
        <v>1.175</v>
      </c>
      <c r="M1447" s="168">
        <f t="shared" si="208"/>
        <v>0</v>
      </c>
      <c r="N1447" s="241" t="s">
        <v>453</v>
      </c>
    </row>
    <row r="1448" spans="1:14" ht="15" customHeight="1">
      <c r="A1448" s="107">
        <v>1447</v>
      </c>
      <c r="B1448" s="231" t="s">
        <v>52</v>
      </c>
      <c r="C1448" s="231" t="s">
        <v>10</v>
      </c>
      <c r="D1448" s="237" t="s">
        <v>3168</v>
      </c>
      <c r="E1448" s="281">
        <v>0</v>
      </c>
      <c r="F1448" s="249">
        <v>350</v>
      </c>
      <c r="G1448" s="168">
        <f t="shared" si="209"/>
        <v>2.4000000000000004</v>
      </c>
      <c r="H1448" s="168">
        <f t="shared" si="210"/>
        <v>4.8000000000000007</v>
      </c>
      <c r="I1448" s="168">
        <f t="shared" si="211"/>
        <v>3.5999999999999996</v>
      </c>
      <c r="J1448" s="168">
        <f t="shared" si="212"/>
        <v>6</v>
      </c>
      <c r="K1448" s="168">
        <f t="shared" si="213"/>
        <v>6</v>
      </c>
      <c r="L1448" s="168">
        <f t="shared" si="214"/>
        <v>1.0874999999999999</v>
      </c>
      <c r="M1448" s="168">
        <f t="shared" si="208"/>
        <v>0</v>
      </c>
      <c r="N1448" s="241" t="s">
        <v>453</v>
      </c>
    </row>
    <row r="1449" spans="1:14" ht="15" customHeight="1">
      <c r="A1449" s="107">
        <v>1448</v>
      </c>
      <c r="B1449" s="231" t="s">
        <v>52</v>
      </c>
      <c r="C1449" s="231" t="s">
        <v>10</v>
      </c>
      <c r="D1449" s="237" t="s">
        <v>3169</v>
      </c>
      <c r="E1449" s="281">
        <v>0</v>
      </c>
      <c r="F1449" s="249">
        <v>350</v>
      </c>
      <c r="G1449" s="168">
        <f t="shared" ref="G1449:G1510" si="215">(((F1449/70)+1)*0.4)</f>
        <v>2.4000000000000004</v>
      </c>
      <c r="H1449" s="168">
        <f t="shared" ref="H1449:H1510" si="216">G1449*2</f>
        <v>4.8000000000000007</v>
      </c>
      <c r="I1449" s="168">
        <f t="shared" ref="I1449:I1510" si="217">(((F1449/70)+1)*0.6)</f>
        <v>3.5999999999999996</v>
      </c>
      <c r="J1449" s="168">
        <f t="shared" ref="J1449:J1510" si="218">I1449+G1449</f>
        <v>6</v>
      </c>
      <c r="K1449" s="168">
        <f t="shared" ref="K1449:K1510" si="219">J1449</f>
        <v>6</v>
      </c>
      <c r="L1449" s="168">
        <f t="shared" ref="L1449:L1510" si="220">(F1449/4000)+1</f>
        <v>1.0874999999999999</v>
      </c>
      <c r="M1449" s="168">
        <f t="shared" si="208"/>
        <v>0</v>
      </c>
      <c r="N1449" s="241" t="s">
        <v>453</v>
      </c>
    </row>
    <row r="1450" spans="1:14" ht="15" customHeight="1">
      <c r="A1450" s="107">
        <v>1449</v>
      </c>
      <c r="B1450" s="231" t="s">
        <v>53</v>
      </c>
      <c r="C1450" s="231" t="s">
        <v>10</v>
      </c>
      <c r="D1450" s="237" t="s">
        <v>3171</v>
      </c>
      <c r="E1450" s="281">
        <v>0</v>
      </c>
      <c r="F1450" s="249">
        <v>350</v>
      </c>
      <c r="G1450" s="168">
        <f t="shared" si="215"/>
        <v>2.4000000000000004</v>
      </c>
      <c r="H1450" s="168">
        <f t="shared" si="216"/>
        <v>4.8000000000000007</v>
      </c>
      <c r="I1450" s="168">
        <f t="shared" si="217"/>
        <v>3.5999999999999996</v>
      </c>
      <c r="J1450" s="168">
        <f t="shared" si="218"/>
        <v>6</v>
      </c>
      <c r="K1450" s="168">
        <f t="shared" si="219"/>
        <v>6</v>
      </c>
      <c r="L1450" s="168">
        <f t="shared" si="220"/>
        <v>1.0874999999999999</v>
      </c>
      <c r="M1450" s="168">
        <f t="shared" si="208"/>
        <v>0</v>
      </c>
      <c r="N1450" s="241" t="s">
        <v>457</v>
      </c>
    </row>
    <row r="1451" spans="1:14" ht="15" customHeight="1">
      <c r="A1451" s="107">
        <v>1450</v>
      </c>
      <c r="B1451" s="231" t="s">
        <v>52</v>
      </c>
      <c r="C1451" s="231" t="s">
        <v>10</v>
      </c>
      <c r="D1451" s="237" t="s">
        <v>3172</v>
      </c>
      <c r="E1451" s="281">
        <v>0</v>
      </c>
      <c r="F1451" s="249">
        <v>300</v>
      </c>
      <c r="G1451" s="168">
        <f t="shared" si="215"/>
        <v>2.1142857142857143</v>
      </c>
      <c r="H1451" s="168">
        <f t="shared" si="216"/>
        <v>4.2285714285714286</v>
      </c>
      <c r="I1451" s="168">
        <f t="shared" si="217"/>
        <v>3.1714285714285713</v>
      </c>
      <c r="J1451" s="168">
        <f t="shared" si="218"/>
        <v>5.2857142857142856</v>
      </c>
      <c r="K1451" s="168">
        <f t="shared" si="219"/>
        <v>5.2857142857142856</v>
      </c>
      <c r="L1451" s="168">
        <f t="shared" si="220"/>
        <v>1.075</v>
      </c>
      <c r="M1451" s="168">
        <f t="shared" si="208"/>
        <v>0</v>
      </c>
      <c r="N1451" s="241" t="s">
        <v>453</v>
      </c>
    </row>
    <row r="1452" spans="1:14" ht="15" customHeight="1">
      <c r="A1452" s="107">
        <v>1451</v>
      </c>
      <c r="B1452" s="231" t="s">
        <v>52</v>
      </c>
      <c r="C1452" s="231" t="s">
        <v>10</v>
      </c>
      <c r="D1452" s="237" t="s">
        <v>3173</v>
      </c>
      <c r="E1452" s="281">
        <v>0</v>
      </c>
      <c r="F1452" s="249">
        <v>400</v>
      </c>
      <c r="G1452" s="168">
        <f t="shared" si="215"/>
        <v>2.6857142857142859</v>
      </c>
      <c r="H1452" s="168">
        <f t="shared" si="216"/>
        <v>5.3714285714285719</v>
      </c>
      <c r="I1452" s="168">
        <f t="shared" si="217"/>
        <v>4.0285714285714285</v>
      </c>
      <c r="J1452" s="168">
        <f t="shared" si="218"/>
        <v>6.7142857142857144</v>
      </c>
      <c r="K1452" s="168">
        <f t="shared" si="219"/>
        <v>6.7142857142857144</v>
      </c>
      <c r="L1452" s="168">
        <f t="shared" si="220"/>
        <v>1.1000000000000001</v>
      </c>
      <c r="M1452" s="168">
        <f t="shared" si="208"/>
        <v>0</v>
      </c>
      <c r="N1452" s="241" t="s">
        <v>453</v>
      </c>
    </row>
    <row r="1453" spans="1:14" ht="15" customHeight="1">
      <c r="A1453" s="107">
        <v>1452</v>
      </c>
      <c r="B1453" s="231" t="s">
        <v>52</v>
      </c>
      <c r="C1453" s="231" t="s">
        <v>10</v>
      </c>
      <c r="D1453" s="237" t="s">
        <v>3174</v>
      </c>
      <c r="E1453" s="281">
        <v>0</v>
      </c>
      <c r="F1453" s="249">
        <v>28000</v>
      </c>
      <c r="G1453" s="168">
        <f t="shared" si="215"/>
        <v>160.4</v>
      </c>
      <c r="H1453" s="168">
        <f t="shared" si="216"/>
        <v>320.8</v>
      </c>
      <c r="I1453" s="168">
        <f t="shared" si="217"/>
        <v>240.6</v>
      </c>
      <c r="J1453" s="168">
        <f t="shared" si="218"/>
        <v>401</v>
      </c>
      <c r="K1453" s="168">
        <f t="shared" si="219"/>
        <v>401</v>
      </c>
      <c r="L1453" s="168">
        <f t="shared" si="220"/>
        <v>8</v>
      </c>
      <c r="M1453" s="168">
        <f t="shared" si="208"/>
        <v>0</v>
      </c>
      <c r="N1453" s="241" t="s">
        <v>453</v>
      </c>
    </row>
    <row r="1454" spans="1:14" ht="15" customHeight="1">
      <c r="A1454" s="107">
        <v>1453</v>
      </c>
      <c r="B1454" s="231" t="s">
        <v>49</v>
      </c>
      <c r="C1454" s="231" t="s">
        <v>10</v>
      </c>
      <c r="D1454" s="237" t="s">
        <v>3175</v>
      </c>
      <c r="E1454" s="281">
        <v>0</v>
      </c>
      <c r="F1454" s="249">
        <v>350</v>
      </c>
      <c r="G1454" s="168">
        <f t="shared" si="215"/>
        <v>2.4000000000000004</v>
      </c>
      <c r="H1454" s="168">
        <f t="shared" si="216"/>
        <v>4.8000000000000007</v>
      </c>
      <c r="I1454" s="168">
        <f t="shared" si="217"/>
        <v>3.5999999999999996</v>
      </c>
      <c r="J1454" s="168">
        <f t="shared" si="218"/>
        <v>6</v>
      </c>
      <c r="K1454" s="168">
        <f t="shared" si="219"/>
        <v>6</v>
      </c>
      <c r="L1454" s="168">
        <f t="shared" si="220"/>
        <v>1.0874999999999999</v>
      </c>
      <c r="M1454" s="168">
        <f t="shared" si="208"/>
        <v>0</v>
      </c>
      <c r="N1454" s="241" t="s">
        <v>453</v>
      </c>
    </row>
    <row r="1455" spans="1:14" ht="15" customHeight="1">
      <c r="A1455" s="107">
        <v>1454</v>
      </c>
      <c r="B1455" s="281" t="s">
        <v>55</v>
      </c>
      <c r="C1455" s="231" t="s">
        <v>10</v>
      </c>
      <c r="D1455" s="237" t="s">
        <v>3177</v>
      </c>
      <c r="E1455" s="281">
        <v>0</v>
      </c>
      <c r="F1455" s="249">
        <v>800</v>
      </c>
      <c r="G1455" s="168">
        <f t="shared" si="215"/>
        <v>4.9714285714285715</v>
      </c>
      <c r="H1455" s="168">
        <f t="shared" si="216"/>
        <v>9.9428571428571431</v>
      </c>
      <c r="I1455" s="168">
        <f t="shared" si="217"/>
        <v>7.4571428571428573</v>
      </c>
      <c r="J1455" s="168">
        <f t="shared" si="218"/>
        <v>12.428571428571429</v>
      </c>
      <c r="K1455" s="168">
        <f t="shared" si="219"/>
        <v>12.428571428571429</v>
      </c>
      <c r="L1455" s="168">
        <f t="shared" si="220"/>
        <v>1.2</v>
      </c>
      <c r="M1455" s="168">
        <f t="shared" si="208"/>
        <v>0</v>
      </c>
      <c r="N1455" s="241" t="s">
        <v>457</v>
      </c>
    </row>
    <row r="1456" spans="1:14" ht="15" customHeight="1">
      <c r="A1456" s="107">
        <v>1455</v>
      </c>
      <c r="B1456" s="231" t="s">
        <v>52</v>
      </c>
      <c r="C1456" s="231" t="s">
        <v>10</v>
      </c>
      <c r="D1456" s="237" t="s">
        <v>3178</v>
      </c>
      <c r="E1456" s="281">
        <v>0</v>
      </c>
      <c r="F1456" s="249">
        <v>0</v>
      </c>
      <c r="G1456" s="168">
        <f t="shared" si="215"/>
        <v>0.4</v>
      </c>
      <c r="H1456" s="168">
        <f t="shared" si="216"/>
        <v>0.8</v>
      </c>
      <c r="I1456" s="168">
        <f t="shared" si="217"/>
        <v>0.6</v>
      </c>
      <c r="J1456" s="168">
        <f t="shared" si="218"/>
        <v>1</v>
      </c>
      <c r="K1456" s="168">
        <f t="shared" si="219"/>
        <v>1</v>
      </c>
      <c r="L1456" s="168">
        <f t="shared" si="220"/>
        <v>1</v>
      </c>
      <c r="M1456" s="168">
        <f t="shared" si="208"/>
        <v>0</v>
      </c>
      <c r="N1456" s="241" t="s">
        <v>453</v>
      </c>
    </row>
    <row r="1457" spans="1:14" ht="15" customHeight="1">
      <c r="A1457" s="107">
        <v>1456</v>
      </c>
      <c r="B1457" s="231" t="s">
        <v>61</v>
      </c>
      <c r="C1457" s="231" t="s">
        <v>10</v>
      </c>
      <c r="D1457" s="237" t="s">
        <v>3179</v>
      </c>
      <c r="E1457" s="281">
        <v>0</v>
      </c>
      <c r="F1457" s="249">
        <v>1500</v>
      </c>
      <c r="G1457" s="168">
        <f t="shared" si="215"/>
        <v>8.9714285714285715</v>
      </c>
      <c r="H1457" s="168">
        <f t="shared" si="216"/>
        <v>17.942857142857143</v>
      </c>
      <c r="I1457" s="168">
        <f t="shared" si="217"/>
        <v>13.457142857142856</v>
      </c>
      <c r="J1457" s="168">
        <f t="shared" si="218"/>
        <v>22.428571428571427</v>
      </c>
      <c r="K1457" s="168">
        <f t="shared" si="219"/>
        <v>22.428571428571427</v>
      </c>
      <c r="L1457" s="168">
        <f t="shared" si="220"/>
        <v>1.375</v>
      </c>
      <c r="M1457" s="168">
        <f t="shared" si="208"/>
        <v>0</v>
      </c>
      <c r="N1457" s="241" t="s">
        <v>453</v>
      </c>
    </row>
    <row r="1458" spans="1:14" ht="15" customHeight="1">
      <c r="A1458" s="107">
        <v>1457</v>
      </c>
      <c r="B1458" s="231" t="s">
        <v>52</v>
      </c>
      <c r="C1458" s="231" t="s">
        <v>10</v>
      </c>
      <c r="D1458" s="237" t="s">
        <v>3180</v>
      </c>
      <c r="E1458" s="281">
        <v>0</v>
      </c>
      <c r="F1458" s="249">
        <v>1500</v>
      </c>
      <c r="G1458" s="168">
        <f t="shared" si="215"/>
        <v>8.9714285714285715</v>
      </c>
      <c r="H1458" s="168">
        <f t="shared" si="216"/>
        <v>17.942857142857143</v>
      </c>
      <c r="I1458" s="168">
        <f t="shared" si="217"/>
        <v>13.457142857142856</v>
      </c>
      <c r="J1458" s="168">
        <f t="shared" si="218"/>
        <v>22.428571428571427</v>
      </c>
      <c r="K1458" s="168">
        <f t="shared" si="219"/>
        <v>22.428571428571427</v>
      </c>
      <c r="L1458" s="168">
        <f t="shared" si="220"/>
        <v>1.375</v>
      </c>
      <c r="M1458" s="168">
        <f t="shared" si="208"/>
        <v>0</v>
      </c>
      <c r="N1458" s="241" t="s">
        <v>453</v>
      </c>
    </row>
    <row r="1459" spans="1:14" ht="15" customHeight="1">
      <c r="A1459" s="107">
        <v>1458</v>
      </c>
      <c r="B1459" s="231" t="s">
        <v>52</v>
      </c>
      <c r="C1459" s="231" t="s">
        <v>10</v>
      </c>
      <c r="D1459" s="237" t="s">
        <v>3181</v>
      </c>
      <c r="E1459" s="281">
        <v>0</v>
      </c>
      <c r="F1459" s="249">
        <v>550</v>
      </c>
      <c r="G1459" s="168">
        <f t="shared" si="215"/>
        <v>3.5428571428571431</v>
      </c>
      <c r="H1459" s="168">
        <f t="shared" si="216"/>
        <v>7.0857142857142863</v>
      </c>
      <c r="I1459" s="168">
        <f t="shared" si="217"/>
        <v>5.3142857142857141</v>
      </c>
      <c r="J1459" s="168">
        <f t="shared" si="218"/>
        <v>8.8571428571428577</v>
      </c>
      <c r="K1459" s="168">
        <f t="shared" si="219"/>
        <v>8.8571428571428577</v>
      </c>
      <c r="L1459" s="168">
        <f t="shared" si="220"/>
        <v>1.1375</v>
      </c>
      <c r="M1459" s="168">
        <f t="shared" si="208"/>
        <v>0</v>
      </c>
      <c r="N1459" s="241" t="s">
        <v>453</v>
      </c>
    </row>
    <row r="1460" spans="1:14" ht="15" customHeight="1">
      <c r="A1460" s="107">
        <v>1459</v>
      </c>
      <c r="B1460" s="231" t="s">
        <v>52</v>
      </c>
      <c r="C1460" s="231" t="s">
        <v>10</v>
      </c>
      <c r="D1460" s="237" t="s">
        <v>3182</v>
      </c>
      <c r="E1460" s="281">
        <v>0</v>
      </c>
      <c r="F1460" s="249">
        <v>750</v>
      </c>
      <c r="G1460" s="168">
        <f t="shared" si="215"/>
        <v>4.6857142857142859</v>
      </c>
      <c r="H1460" s="168">
        <f t="shared" si="216"/>
        <v>9.3714285714285719</v>
      </c>
      <c r="I1460" s="168">
        <f t="shared" si="217"/>
        <v>7.0285714285714276</v>
      </c>
      <c r="J1460" s="168">
        <f t="shared" si="218"/>
        <v>11.714285714285714</v>
      </c>
      <c r="K1460" s="168">
        <f t="shared" si="219"/>
        <v>11.714285714285714</v>
      </c>
      <c r="L1460" s="168">
        <f t="shared" si="220"/>
        <v>1.1875</v>
      </c>
      <c r="M1460" s="168">
        <f t="shared" si="208"/>
        <v>0</v>
      </c>
      <c r="N1460" s="241" t="s">
        <v>453</v>
      </c>
    </row>
    <row r="1461" spans="1:14" ht="15" customHeight="1">
      <c r="A1461" s="107">
        <v>1460</v>
      </c>
      <c r="B1461" s="231" t="s">
        <v>52</v>
      </c>
      <c r="C1461" s="231" t="s">
        <v>10</v>
      </c>
      <c r="D1461" s="237" t="s">
        <v>3183</v>
      </c>
      <c r="E1461" s="281">
        <v>0</v>
      </c>
      <c r="F1461" s="249">
        <v>400</v>
      </c>
      <c r="G1461" s="168">
        <f t="shared" si="215"/>
        <v>2.6857142857142859</v>
      </c>
      <c r="H1461" s="168">
        <f t="shared" si="216"/>
        <v>5.3714285714285719</v>
      </c>
      <c r="I1461" s="168">
        <f t="shared" si="217"/>
        <v>4.0285714285714285</v>
      </c>
      <c r="J1461" s="168">
        <f t="shared" si="218"/>
        <v>6.7142857142857144</v>
      </c>
      <c r="K1461" s="168">
        <f t="shared" si="219"/>
        <v>6.7142857142857144</v>
      </c>
      <c r="L1461" s="168">
        <f t="shared" si="220"/>
        <v>1.1000000000000001</v>
      </c>
      <c r="M1461" s="168">
        <f t="shared" si="208"/>
        <v>0</v>
      </c>
      <c r="N1461" s="241" t="s">
        <v>453</v>
      </c>
    </row>
    <row r="1462" spans="1:14" ht="15" customHeight="1">
      <c r="A1462" s="107">
        <v>1461</v>
      </c>
      <c r="B1462" s="231" t="s">
        <v>52</v>
      </c>
      <c r="C1462" s="231" t="s">
        <v>10</v>
      </c>
      <c r="D1462" s="237" t="s">
        <v>3184</v>
      </c>
      <c r="E1462" s="281">
        <v>0</v>
      </c>
      <c r="F1462" s="249">
        <v>450</v>
      </c>
      <c r="G1462" s="168">
        <f t="shared" si="215"/>
        <v>2.9714285714285715</v>
      </c>
      <c r="H1462" s="168">
        <f t="shared" si="216"/>
        <v>5.9428571428571431</v>
      </c>
      <c r="I1462" s="168">
        <f t="shared" si="217"/>
        <v>4.4571428571428573</v>
      </c>
      <c r="J1462" s="168">
        <f t="shared" si="218"/>
        <v>7.4285714285714288</v>
      </c>
      <c r="K1462" s="168">
        <f t="shared" si="219"/>
        <v>7.4285714285714288</v>
      </c>
      <c r="L1462" s="168">
        <f t="shared" si="220"/>
        <v>1.1125</v>
      </c>
      <c r="M1462" s="168">
        <f t="shared" si="208"/>
        <v>0</v>
      </c>
      <c r="N1462" s="241" t="s">
        <v>453</v>
      </c>
    </row>
    <row r="1463" spans="1:14" ht="15" customHeight="1">
      <c r="A1463" s="107">
        <v>1462</v>
      </c>
      <c r="B1463" s="231" t="s">
        <v>61</v>
      </c>
      <c r="C1463" s="231" t="s">
        <v>11</v>
      </c>
      <c r="D1463" s="237" t="s">
        <v>3185</v>
      </c>
      <c r="E1463" s="281">
        <v>0</v>
      </c>
      <c r="F1463" s="249">
        <v>600</v>
      </c>
      <c r="G1463" s="168">
        <f t="shared" si="215"/>
        <v>3.8285714285714287</v>
      </c>
      <c r="H1463" s="168">
        <f t="shared" si="216"/>
        <v>7.6571428571428575</v>
      </c>
      <c r="I1463" s="168">
        <f t="shared" si="217"/>
        <v>5.7428571428571429</v>
      </c>
      <c r="J1463" s="168">
        <f t="shared" si="218"/>
        <v>9.5714285714285712</v>
      </c>
      <c r="K1463" s="168">
        <f t="shared" si="219"/>
        <v>9.5714285714285712</v>
      </c>
      <c r="L1463" s="168">
        <f t="shared" si="220"/>
        <v>1.1499999999999999</v>
      </c>
      <c r="M1463" s="168">
        <f t="shared" si="208"/>
        <v>0</v>
      </c>
      <c r="N1463" s="241" t="s">
        <v>453</v>
      </c>
    </row>
    <row r="1464" spans="1:14" ht="15" customHeight="1">
      <c r="A1464" s="107">
        <v>1463</v>
      </c>
      <c r="B1464" s="231" t="s">
        <v>52</v>
      </c>
      <c r="C1464" s="231" t="s">
        <v>10</v>
      </c>
      <c r="D1464" s="237" t="s">
        <v>3186</v>
      </c>
      <c r="E1464" s="281">
        <v>0</v>
      </c>
      <c r="F1464" s="249">
        <v>300</v>
      </c>
      <c r="G1464" s="168">
        <f t="shared" si="215"/>
        <v>2.1142857142857143</v>
      </c>
      <c r="H1464" s="168">
        <f t="shared" si="216"/>
        <v>4.2285714285714286</v>
      </c>
      <c r="I1464" s="168">
        <f t="shared" si="217"/>
        <v>3.1714285714285713</v>
      </c>
      <c r="J1464" s="168">
        <f t="shared" si="218"/>
        <v>5.2857142857142856</v>
      </c>
      <c r="K1464" s="168">
        <f t="shared" si="219"/>
        <v>5.2857142857142856</v>
      </c>
      <c r="L1464" s="168">
        <f t="shared" si="220"/>
        <v>1.075</v>
      </c>
      <c r="M1464" s="168">
        <f t="shared" si="208"/>
        <v>0</v>
      </c>
      <c r="N1464" s="241" t="s">
        <v>453</v>
      </c>
    </row>
    <row r="1465" spans="1:14" ht="15" customHeight="1">
      <c r="A1465" s="107">
        <v>1464</v>
      </c>
      <c r="B1465" s="231" t="s">
        <v>52</v>
      </c>
      <c r="C1465" s="231" t="s">
        <v>10</v>
      </c>
      <c r="D1465" s="237" t="s">
        <v>3187</v>
      </c>
      <c r="E1465" s="281">
        <v>0</v>
      </c>
      <c r="F1465" s="249">
        <v>1900</v>
      </c>
      <c r="G1465" s="168">
        <f t="shared" si="215"/>
        <v>11.257142857142858</v>
      </c>
      <c r="H1465" s="168">
        <f t="shared" si="216"/>
        <v>22.514285714285716</v>
      </c>
      <c r="I1465" s="168">
        <f t="shared" si="217"/>
        <v>16.885714285714286</v>
      </c>
      <c r="J1465" s="168">
        <f t="shared" si="218"/>
        <v>28.142857142857146</v>
      </c>
      <c r="K1465" s="168">
        <f t="shared" si="219"/>
        <v>28.142857142857146</v>
      </c>
      <c r="L1465" s="168">
        <f t="shared" si="220"/>
        <v>1.4750000000000001</v>
      </c>
      <c r="M1465" s="168">
        <f t="shared" si="208"/>
        <v>0</v>
      </c>
      <c r="N1465" s="241" t="s">
        <v>453</v>
      </c>
    </row>
    <row r="1466" spans="1:14" ht="15" customHeight="1">
      <c r="A1466" s="107">
        <v>1465</v>
      </c>
      <c r="B1466" s="231" t="s">
        <v>49</v>
      </c>
      <c r="C1466" s="231" t="s">
        <v>10</v>
      </c>
      <c r="D1466" s="237" t="s">
        <v>3188</v>
      </c>
      <c r="E1466" s="281">
        <v>0</v>
      </c>
      <c r="F1466" s="249">
        <v>200</v>
      </c>
      <c r="G1466" s="168">
        <f t="shared" si="215"/>
        <v>1.5428571428571429</v>
      </c>
      <c r="H1466" s="168">
        <f t="shared" si="216"/>
        <v>3.0857142857142859</v>
      </c>
      <c r="I1466" s="168">
        <f t="shared" si="217"/>
        <v>2.3142857142857141</v>
      </c>
      <c r="J1466" s="168">
        <f t="shared" si="218"/>
        <v>3.8571428571428568</v>
      </c>
      <c r="K1466" s="168">
        <f t="shared" si="219"/>
        <v>3.8571428571428568</v>
      </c>
      <c r="L1466" s="168">
        <f t="shared" si="220"/>
        <v>1.05</v>
      </c>
      <c r="M1466" s="168">
        <f t="shared" si="208"/>
        <v>0</v>
      </c>
      <c r="N1466" s="241" t="s">
        <v>453</v>
      </c>
    </row>
    <row r="1467" spans="1:14" ht="15" customHeight="1">
      <c r="A1467" s="107">
        <v>1466</v>
      </c>
      <c r="B1467" s="231" t="s">
        <v>52</v>
      </c>
      <c r="C1467" s="231" t="s">
        <v>10</v>
      </c>
      <c r="D1467" s="237" t="s">
        <v>3189</v>
      </c>
      <c r="E1467" s="281">
        <v>0</v>
      </c>
      <c r="F1467" s="249">
        <v>0</v>
      </c>
      <c r="G1467" s="168">
        <f t="shared" si="215"/>
        <v>0.4</v>
      </c>
      <c r="H1467" s="168">
        <f t="shared" si="216"/>
        <v>0.8</v>
      </c>
      <c r="I1467" s="168">
        <f t="shared" si="217"/>
        <v>0.6</v>
      </c>
      <c r="J1467" s="168">
        <f t="shared" si="218"/>
        <v>1</v>
      </c>
      <c r="K1467" s="168">
        <f t="shared" si="219"/>
        <v>1</v>
      </c>
      <c r="L1467" s="168">
        <f t="shared" si="220"/>
        <v>1</v>
      </c>
      <c r="M1467" s="168">
        <f t="shared" si="208"/>
        <v>0</v>
      </c>
      <c r="N1467" s="241" t="s">
        <v>453</v>
      </c>
    </row>
    <row r="1468" spans="1:14" ht="15" customHeight="1">
      <c r="A1468" s="107">
        <v>1467</v>
      </c>
      <c r="B1468" s="231" t="s">
        <v>52</v>
      </c>
      <c r="C1468" s="231" t="s">
        <v>10</v>
      </c>
      <c r="D1468" s="237" t="s">
        <v>3190</v>
      </c>
      <c r="E1468" s="281">
        <v>0</v>
      </c>
      <c r="F1468" s="249">
        <v>300</v>
      </c>
      <c r="G1468" s="168">
        <f t="shared" si="215"/>
        <v>2.1142857142857143</v>
      </c>
      <c r="H1468" s="168">
        <f t="shared" si="216"/>
        <v>4.2285714285714286</v>
      </c>
      <c r="I1468" s="168">
        <f t="shared" si="217"/>
        <v>3.1714285714285713</v>
      </c>
      <c r="J1468" s="168">
        <f t="shared" si="218"/>
        <v>5.2857142857142856</v>
      </c>
      <c r="K1468" s="168">
        <f t="shared" si="219"/>
        <v>5.2857142857142856</v>
      </c>
      <c r="L1468" s="168">
        <f t="shared" si="220"/>
        <v>1.075</v>
      </c>
      <c r="M1468" s="168">
        <f t="shared" si="208"/>
        <v>0</v>
      </c>
      <c r="N1468" s="241" t="s">
        <v>453</v>
      </c>
    </row>
    <row r="1469" spans="1:14" ht="15" customHeight="1">
      <c r="A1469" s="107">
        <v>1468</v>
      </c>
      <c r="B1469" s="231" t="s">
        <v>52</v>
      </c>
      <c r="C1469" s="231" t="s">
        <v>10</v>
      </c>
      <c r="D1469" s="237" t="s">
        <v>3191</v>
      </c>
      <c r="E1469" s="281">
        <v>0</v>
      </c>
      <c r="F1469" s="249">
        <v>850</v>
      </c>
      <c r="G1469" s="168">
        <f t="shared" si="215"/>
        <v>5.2571428571428571</v>
      </c>
      <c r="H1469" s="168">
        <f t="shared" si="216"/>
        <v>10.514285714285714</v>
      </c>
      <c r="I1469" s="168">
        <f t="shared" si="217"/>
        <v>7.8857142857142852</v>
      </c>
      <c r="J1469" s="168">
        <f t="shared" si="218"/>
        <v>13.142857142857142</v>
      </c>
      <c r="K1469" s="168">
        <f t="shared" si="219"/>
        <v>13.142857142857142</v>
      </c>
      <c r="L1469" s="168">
        <f t="shared" si="220"/>
        <v>1.2124999999999999</v>
      </c>
      <c r="M1469" s="168">
        <f t="shared" si="208"/>
        <v>0</v>
      </c>
      <c r="N1469" s="241" t="s">
        <v>453</v>
      </c>
    </row>
    <row r="1470" spans="1:14" ht="15" customHeight="1">
      <c r="A1470" s="107">
        <v>1469</v>
      </c>
      <c r="B1470" s="281" t="s">
        <v>55</v>
      </c>
      <c r="C1470" s="231" t="s">
        <v>10</v>
      </c>
      <c r="D1470" s="237" t="s">
        <v>4716</v>
      </c>
      <c r="E1470" s="281">
        <v>0</v>
      </c>
      <c r="F1470" s="249">
        <v>750</v>
      </c>
      <c r="G1470" s="168">
        <f t="shared" si="215"/>
        <v>4.6857142857142859</v>
      </c>
      <c r="H1470" s="168">
        <f t="shared" si="216"/>
        <v>9.3714285714285719</v>
      </c>
      <c r="I1470" s="168">
        <f t="shared" si="217"/>
        <v>7.0285714285714276</v>
      </c>
      <c r="J1470" s="168">
        <f t="shared" si="218"/>
        <v>11.714285714285714</v>
      </c>
      <c r="K1470" s="168">
        <f t="shared" si="219"/>
        <v>11.714285714285714</v>
      </c>
      <c r="L1470" s="168">
        <f t="shared" si="220"/>
        <v>1.1875</v>
      </c>
      <c r="M1470" s="168">
        <f t="shared" si="208"/>
        <v>0</v>
      </c>
      <c r="N1470" s="241" t="s">
        <v>453</v>
      </c>
    </row>
    <row r="1471" spans="1:14" ht="15" customHeight="1">
      <c r="A1471" s="107">
        <v>1470</v>
      </c>
      <c r="B1471" s="231" t="s">
        <v>52</v>
      </c>
      <c r="C1471" s="231" t="s">
        <v>10</v>
      </c>
      <c r="D1471" s="237" t="s">
        <v>3192</v>
      </c>
      <c r="E1471" s="281">
        <v>0</v>
      </c>
      <c r="F1471" s="249">
        <v>850</v>
      </c>
      <c r="G1471" s="168">
        <f t="shared" si="215"/>
        <v>5.2571428571428571</v>
      </c>
      <c r="H1471" s="168">
        <f t="shared" si="216"/>
        <v>10.514285714285714</v>
      </c>
      <c r="I1471" s="168">
        <f t="shared" si="217"/>
        <v>7.8857142857142852</v>
      </c>
      <c r="J1471" s="168">
        <f t="shared" si="218"/>
        <v>13.142857142857142</v>
      </c>
      <c r="K1471" s="168">
        <f t="shared" si="219"/>
        <v>13.142857142857142</v>
      </c>
      <c r="L1471" s="168">
        <f t="shared" si="220"/>
        <v>1.2124999999999999</v>
      </c>
      <c r="M1471" s="168">
        <f t="shared" si="208"/>
        <v>0</v>
      </c>
      <c r="N1471" s="241" t="s">
        <v>453</v>
      </c>
    </row>
    <row r="1472" spans="1:14" ht="15" customHeight="1">
      <c r="A1472" s="107">
        <v>1471</v>
      </c>
      <c r="B1472" s="281" t="s">
        <v>55</v>
      </c>
      <c r="C1472" s="231" t="s">
        <v>10</v>
      </c>
      <c r="D1472" s="237" t="s">
        <v>4717</v>
      </c>
      <c r="E1472" s="281">
        <v>0</v>
      </c>
      <c r="F1472" s="249">
        <v>730</v>
      </c>
      <c r="G1472" s="168">
        <f t="shared" si="215"/>
        <v>4.5714285714285721</v>
      </c>
      <c r="H1472" s="168">
        <f t="shared" si="216"/>
        <v>9.1428571428571441</v>
      </c>
      <c r="I1472" s="168">
        <f t="shared" si="217"/>
        <v>6.8571428571428568</v>
      </c>
      <c r="J1472" s="168">
        <f t="shared" si="218"/>
        <v>11.428571428571429</v>
      </c>
      <c r="K1472" s="168">
        <f t="shared" si="219"/>
        <v>11.428571428571429</v>
      </c>
      <c r="L1472" s="168">
        <f t="shared" si="220"/>
        <v>1.1825000000000001</v>
      </c>
      <c r="M1472" s="168">
        <f t="shared" si="208"/>
        <v>0</v>
      </c>
      <c r="N1472" s="241" t="s">
        <v>453</v>
      </c>
    </row>
    <row r="1473" spans="1:14" ht="15" customHeight="1">
      <c r="A1473" s="107">
        <v>1472</v>
      </c>
      <c r="B1473" s="231" t="s">
        <v>52</v>
      </c>
      <c r="C1473" s="231" t="s">
        <v>10</v>
      </c>
      <c r="D1473" s="237" t="s">
        <v>3193</v>
      </c>
      <c r="E1473" s="281">
        <v>0</v>
      </c>
      <c r="F1473" s="249">
        <v>250</v>
      </c>
      <c r="G1473" s="168">
        <f t="shared" si="215"/>
        <v>1.8285714285714285</v>
      </c>
      <c r="H1473" s="168">
        <f t="shared" si="216"/>
        <v>3.657142857142857</v>
      </c>
      <c r="I1473" s="168">
        <f t="shared" si="217"/>
        <v>2.7428571428571424</v>
      </c>
      <c r="J1473" s="168">
        <f t="shared" si="218"/>
        <v>4.5714285714285712</v>
      </c>
      <c r="K1473" s="168">
        <f t="shared" si="219"/>
        <v>4.5714285714285712</v>
      </c>
      <c r="L1473" s="168">
        <f t="shared" si="220"/>
        <v>1.0625</v>
      </c>
      <c r="M1473" s="168">
        <f t="shared" si="208"/>
        <v>0</v>
      </c>
      <c r="N1473" s="241" t="s">
        <v>453</v>
      </c>
    </row>
    <row r="1474" spans="1:14" ht="15" customHeight="1">
      <c r="A1474" s="107">
        <v>1473</v>
      </c>
      <c r="B1474" s="231" t="s">
        <v>52</v>
      </c>
      <c r="C1474" s="231" t="s">
        <v>10</v>
      </c>
      <c r="D1474" s="237" t="s">
        <v>3194</v>
      </c>
      <c r="E1474" s="281">
        <v>0</v>
      </c>
      <c r="F1474" s="249">
        <v>300</v>
      </c>
      <c r="G1474" s="168">
        <f t="shared" si="215"/>
        <v>2.1142857142857143</v>
      </c>
      <c r="H1474" s="168">
        <f t="shared" si="216"/>
        <v>4.2285714285714286</v>
      </c>
      <c r="I1474" s="168">
        <f t="shared" si="217"/>
        <v>3.1714285714285713</v>
      </c>
      <c r="J1474" s="168">
        <f t="shared" si="218"/>
        <v>5.2857142857142856</v>
      </c>
      <c r="K1474" s="168">
        <f t="shared" si="219"/>
        <v>5.2857142857142856</v>
      </c>
      <c r="L1474" s="168">
        <f t="shared" si="220"/>
        <v>1.075</v>
      </c>
      <c r="M1474" s="168">
        <f t="shared" ref="M1474:M1537" si="221">E1474/60</f>
        <v>0</v>
      </c>
      <c r="N1474" s="241" t="s">
        <v>453</v>
      </c>
    </row>
    <row r="1475" spans="1:14" ht="15" customHeight="1">
      <c r="A1475" s="107">
        <v>1474</v>
      </c>
      <c r="B1475" s="281" t="s">
        <v>55</v>
      </c>
      <c r="C1475" s="231" t="s">
        <v>10</v>
      </c>
      <c r="D1475" s="237" t="s">
        <v>3195</v>
      </c>
      <c r="E1475" s="281">
        <v>0</v>
      </c>
      <c r="F1475" s="249">
        <v>500</v>
      </c>
      <c r="G1475" s="168">
        <f t="shared" si="215"/>
        <v>3.2571428571428571</v>
      </c>
      <c r="H1475" s="168">
        <f t="shared" si="216"/>
        <v>6.5142857142857142</v>
      </c>
      <c r="I1475" s="168">
        <f t="shared" si="217"/>
        <v>4.8857142857142852</v>
      </c>
      <c r="J1475" s="168">
        <f t="shared" si="218"/>
        <v>8.1428571428571423</v>
      </c>
      <c r="K1475" s="168">
        <f t="shared" si="219"/>
        <v>8.1428571428571423</v>
      </c>
      <c r="L1475" s="168">
        <f t="shared" si="220"/>
        <v>1.125</v>
      </c>
      <c r="M1475" s="168">
        <f t="shared" si="221"/>
        <v>0</v>
      </c>
      <c r="N1475" s="241" t="s">
        <v>453</v>
      </c>
    </row>
    <row r="1476" spans="1:14" ht="15" customHeight="1">
      <c r="A1476" s="107">
        <v>1475</v>
      </c>
      <c r="B1476" s="231" t="s">
        <v>52</v>
      </c>
      <c r="C1476" s="231" t="s">
        <v>10</v>
      </c>
      <c r="D1476" s="237" t="s">
        <v>3196</v>
      </c>
      <c r="E1476" s="281">
        <v>0</v>
      </c>
      <c r="F1476" s="249">
        <v>350</v>
      </c>
      <c r="G1476" s="168">
        <f t="shared" si="215"/>
        <v>2.4000000000000004</v>
      </c>
      <c r="H1476" s="168">
        <f t="shared" si="216"/>
        <v>4.8000000000000007</v>
      </c>
      <c r="I1476" s="168">
        <f t="shared" si="217"/>
        <v>3.5999999999999996</v>
      </c>
      <c r="J1476" s="168">
        <f t="shared" si="218"/>
        <v>6</v>
      </c>
      <c r="K1476" s="168">
        <f t="shared" si="219"/>
        <v>6</v>
      </c>
      <c r="L1476" s="168">
        <f t="shared" si="220"/>
        <v>1.0874999999999999</v>
      </c>
      <c r="M1476" s="168">
        <f t="shared" si="221"/>
        <v>0</v>
      </c>
      <c r="N1476" s="241" t="s">
        <v>453</v>
      </c>
    </row>
    <row r="1477" spans="1:14" ht="15" customHeight="1">
      <c r="A1477" s="107">
        <v>1476</v>
      </c>
      <c r="B1477" s="231" t="s">
        <v>53</v>
      </c>
      <c r="C1477" s="231" t="s">
        <v>10</v>
      </c>
      <c r="D1477" s="237" t="s">
        <v>3197</v>
      </c>
      <c r="E1477" s="281">
        <v>0</v>
      </c>
      <c r="F1477" s="249">
        <v>350</v>
      </c>
      <c r="G1477" s="168">
        <f t="shared" si="215"/>
        <v>2.4000000000000004</v>
      </c>
      <c r="H1477" s="168">
        <f t="shared" si="216"/>
        <v>4.8000000000000007</v>
      </c>
      <c r="I1477" s="168">
        <f t="shared" si="217"/>
        <v>3.5999999999999996</v>
      </c>
      <c r="J1477" s="168">
        <f t="shared" si="218"/>
        <v>6</v>
      </c>
      <c r="K1477" s="168">
        <f t="shared" si="219"/>
        <v>6</v>
      </c>
      <c r="L1477" s="168">
        <f t="shared" si="220"/>
        <v>1.0874999999999999</v>
      </c>
      <c r="M1477" s="168">
        <f t="shared" si="221"/>
        <v>0</v>
      </c>
      <c r="N1477" s="241" t="s">
        <v>453</v>
      </c>
    </row>
    <row r="1478" spans="1:14" ht="15" customHeight="1">
      <c r="A1478" s="107">
        <v>1477</v>
      </c>
      <c r="B1478" s="231" t="s">
        <v>53</v>
      </c>
      <c r="C1478" s="231" t="s">
        <v>10</v>
      </c>
      <c r="D1478" s="237" t="s">
        <v>3198</v>
      </c>
      <c r="E1478" s="281">
        <v>0</v>
      </c>
      <c r="F1478" s="249">
        <v>350</v>
      </c>
      <c r="G1478" s="168">
        <f t="shared" si="215"/>
        <v>2.4000000000000004</v>
      </c>
      <c r="H1478" s="168">
        <f t="shared" si="216"/>
        <v>4.8000000000000007</v>
      </c>
      <c r="I1478" s="168">
        <f t="shared" si="217"/>
        <v>3.5999999999999996</v>
      </c>
      <c r="J1478" s="168">
        <f t="shared" si="218"/>
        <v>6</v>
      </c>
      <c r="K1478" s="168">
        <f t="shared" si="219"/>
        <v>6</v>
      </c>
      <c r="L1478" s="168">
        <f t="shared" si="220"/>
        <v>1.0874999999999999</v>
      </c>
      <c r="M1478" s="168">
        <f t="shared" si="221"/>
        <v>0</v>
      </c>
      <c r="N1478" s="241" t="s">
        <v>453</v>
      </c>
    </row>
    <row r="1479" spans="1:14" ht="15" customHeight="1">
      <c r="A1479" s="107">
        <v>1478</v>
      </c>
      <c r="B1479" s="231" t="s">
        <v>52</v>
      </c>
      <c r="C1479" s="231" t="s">
        <v>10</v>
      </c>
      <c r="D1479" s="237" t="s">
        <v>3199</v>
      </c>
      <c r="E1479" s="281">
        <v>0</v>
      </c>
      <c r="F1479" s="249">
        <v>850</v>
      </c>
      <c r="G1479" s="168">
        <f t="shared" si="215"/>
        <v>5.2571428571428571</v>
      </c>
      <c r="H1479" s="168">
        <f t="shared" si="216"/>
        <v>10.514285714285714</v>
      </c>
      <c r="I1479" s="168">
        <f t="shared" si="217"/>
        <v>7.8857142857142852</v>
      </c>
      <c r="J1479" s="168">
        <f t="shared" si="218"/>
        <v>13.142857142857142</v>
      </c>
      <c r="K1479" s="168">
        <f t="shared" si="219"/>
        <v>13.142857142857142</v>
      </c>
      <c r="L1479" s="168">
        <f t="shared" si="220"/>
        <v>1.2124999999999999</v>
      </c>
      <c r="M1479" s="168">
        <f t="shared" si="221"/>
        <v>0</v>
      </c>
      <c r="N1479" s="241" t="s">
        <v>453</v>
      </c>
    </row>
    <row r="1480" spans="1:14" ht="15" customHeight="1">
      <c r="A1480" s="107">
        <v>1479</v>
      </c>
      <c r="B1480" s="231" t="s">
        <v>52</v>
      </c>
      <c r="C1480" s="231" t="s">
        <v>10</v>
      </c>
      <c r="D1480" s="237" t="s">
        <v>3200</v>
      </c>
      <c r="E1480" s="281">
        <v>0</v>
      </c>
      <c r="F1480" s="249">
        <v>900</v>
      </c>
      <c r="G1480" s="168">
        <f t="shared" si="215"/>
        <v>5.5428571428571436</v>
      </c>
      <c r="H1480" s="168">
        <f t="shared" si="216"/>
        <v>11.085714285714287</v>
      </c>
      <c r="I1480" s="168">
        <f t="shared" si="217"/>
        <v>8.3142857142857149</v>
      </c>
      <c r="J1480" s="168">
        <f t="shared" si="218"/>
        <v>13.857142857142858</v>
      </c>
      <c r="K1480" s="168">
        <f t="shared" si="219"/>
        <v>13.857142857142858</v>
      </c>
      <c r="L1480" s="168">
        <f t="shared" si="220"/>
        <v>1.2250000000000001</v>
      </c>
      <c r="M1480" s="168">
        <f t="shared" si="221"/>
        <v>0</v>
      </c>
      <c r="N1480" s="241" t="s">
        <v>453</v>
      </c>
    </row>
    <row r="1481" spans="1:14" ht="15" customHeight="1">
      <c r="A1481" s="107">
        <v>1480</v>
      </c>
      <c r="B1481" s="231" t="s">
        <v>52</v>
      </c>
      <c r="C1481" s="231" t="s">
        <v>10</v>
      </c>
      <c r="D1481" s="237" t="s">
        <v>3201</v>
      </c>
      <c r="E1481" s="281">
        <v>0</v>
      </c>
      <c r="F1481" s="249">
        <v>350</v>
      </c>
      <c r="G1481" s="168">
        <f t="shared" si="215"/>
        <v>2.4000000000000004</v>
      </c>
      <c r="H1481" s="168">
        <f t="shared" si="216"/>
        <v>4.8000000000000007</v>
      </c>
      <c r="I1481" s="168">
        <f t="shared" si="217"/>
        <v>3.5999999999999996</v>
      </c>
      <c r="J1481" s="168">
        <f t="shared" si="218"/>
        <v>6</v>
      </c>
      <c r="K1481" s="168">
        <f t="shared" si="219"/>
        <v>6</v>
      </c>
      <c r="L1481" s="168">
        <f t="shared" si="220"/>
        <v>1.0874999999999999</v>
      </c>
      <c r="M1481" s="168">
        <f t="shared" si="221"/>
        <v>0</v>
      </c>
      <c r="N1481" s="241" t="s">
        <v>453</v>
      </c>
    </row>
    <row r="1482" spans="1:14" ht="15" customHeight="1">
      <c r="A1482" s="107">
        <v>1481</v>
      </c>
      <c r="B1482" s="231" t="s">
        <v>52</v>
      </c>
      <c r="C1482" s="231" t="s">
        <v>10</v>
      </c>
      <c r="D1482" s="237" t="s">
        <v>3202</v>
      </c>
      <c r="E1482" s="281">
        <v>0</v>
      </c>
      <c r="F1482" s="249">
        <v>120</v>
      </c>
      <c r="G1482" s="168">
        <f t="shared" si="215"/>
        <v>1.0857142857142859</v>
      </c>
      <c r="H1482" s="168">
        <f t="shared" si="216"/>
        <v>2.1714285714285717</v>
      </c>
      <c r="I1482" s="168">
        <f t="shared" si="217"/>
        <v>1.6285714285714286</v>
      </c>
      <c r="J1482" s="168">
        <f t="shared" si="218"/>
        <v>2.7142857142857144</v>
      </c>
      <c r="K1482" s="168">
        <f t="shared" si="219"/>
        <v>2.7142857142857144</v>
      </c>
      <c r="L1482" s="168">
        <f t="shared" si="220"/>
        <v>1.03</v>
      </c>
      <c r="M1482" s="168">
        <f t="shared" si="221"/>
        <v>0</v>
      </c>
      <c r="N1482" s="241" t="s">
        <v>453</v>
      </c>
    </row>
    <row r="1483" spans="1:14" ht="15" customHeight="1">
      <c r="A1483" s="107">
        <v>1482</v>
      </c>
      <c r="B1483" s="231" t="s">
        <v>52</v>
      </c>
      <c r="C1483" s="231" t="s">
        <v>10</v>
      </c>
      <c r="D1483" s="237" t="s">
        <v>3203</v>
      </c>
      <c r="E1483" s="281">
        <v>0</v>
      </c>
      <c r="F1483" s="249">
        <v>120</v>
      </c>
      <c r="G1483" s="168">
        <f t="shared" si="215"/>
        <v>1.0857142857142859</v>
      </c>
      <c r="H1483" s="168">
        <f t="shared" si="216"/>
        <v>2.1714285714285717</v>
      </c>
      <c r="I1483" s="168">
        <f t="shared" si="217"/>
        <v>1.6285714285714286</v>
      </c>
      <c r="J1483" s="168">
        <f t="shared" si="218"/>
        <v>2.7142857142857144</v>
      </c>
      <c r="K1483" s="168">
        <f t="shared" si="219"/>
        <v>2.7142857142857144</v>
      </c>
      <c r="L1483" s="168">
        <f t="shared" si="220"/>
        <v>1.03</v>
      </c>
      <c r="M1483" s="168">
        <f t="shared" si="221"/>
        <v>0</v>
      </c>
      <c r="N1483" s="241" t="s">
        <v>453</v>
      </c>
    </row>
    <row r="1484" spans="1:14" ht="15" customHeight="1">
      <c r="A1484" s="107">
        <v>1483</v>
      </c>
      <c r="B1484" s="231" t="s">
        <v>52</v>
      </c>
      <c r="C1484" s="231" t="s">
        <v>10</v>
      </c>
      <c r="D1484" s="237" t="s">
        <v>3204</v>
      </c>
      <c r="E1484" s="281">
        <v>0</v>
      </c>
      <c r="F1484" s="249">
        <v>350</v>
      </c>
      <c r="G1484" s="168">
        <f t="shared" si="215"/>
        <v>2.4000000000000004</v>
      </c>
      <c r="H1484" s="168">
        <f t="shared" si="216"/>
        <v>4.8000000000000007</v>
      </c>
      <c r="I1484" s="168">
        <f t="shared" si="217"/>
        <v>3.5999999999999996</v>
      </c>
      <c r="J1484" s="168">
        <f t="shared" si="218"/>
        <v>6</v>
      </c>
      <c r="K1484" s="168">
        <f t="shared" si="219"/>
        <v>6</v>
      </c>
      <c r="L1484" s="168">
        <f t="shared" si="220"/>
        <v>1.0874999999999999</v>
      </c>
      <c r="M1484" s="168">
        <f t="shared" si="221"/>
        <v>0</v>
      </c>
      <c r="N1484" s="241" t="s">
        <v>453</v>
      </c>
    </row>
    <row r="1485" spans="1:14" ht="15" customHeight="1">
      <c r="A1485" s="107">
        <v>1484</v>
      </c>
      <c r="B1485" s="231" t="s">
        <v>49</v>
      </c>
      <c r="C1485" s="231" t="s">
        <v>10</v>
      </c>
      <c r="D1485" s="237" t="s">
        <v>3205</v>
      </c>
      <c r="E1485" s="281">
        <v>0</v>
      </c>
      <c r="F1485" s="249">
        <v>350</v>
      </c>
      <c r="G1485" s="168">
        <f t="shared" si="215"/>
        <v>2.4000000000000004</v>
      </c>
      <c r="H1485" s="168">
        <f t="shared" si="216"/>
        <v>4.8000000000000007</v>
      </c>
      <c r="I1485" s="168">
        <f t="shared" si="217"/>
        <v>3.5999999999999996</v>
      </c>
      <c r="J1485" s="168">
        <f t="shared" si="218"/>
        <v>6</v>
      </c>
      <c r="K1485" s="168">
        <f t="shared" si="219"/>
        <v>6</v>
      </c>
      <c r="L1485" s="168">
        <f t="shared" si="220"/>
        <v>1.0874999999999999</v>
      </c>
      <c r="M1485" s="168">
        <f t="shared" si="221"/>
        <v>0</v>
      </c>
      <c r="N1485" s="241" t="s">
        <v>453</v>
      </c>
    </row>
    <row r="1486" spans="1:14" ht="15" customHeight="1">
      <c r="A1486" s="107">
        <v>1485</v>
      </c>
      <c r="B1486" s="231" t="s">
        <v>49</v>
      </c>
      <c r="C1486" s="231" t="s">
        <v>10</v>
      </c>
      <c r="D1486" s="237" t="s">
        <v>3206</v>
      </c>
      <c r="E1486" s="281">
        <v>0</v>
      </c>
      <c r="F1486" s="249">
        <v>600</v>
      </c>
      <c r="G1486" s="168">
        <f t="shared" si="215"/>
        <v>3.8285714285714287</v>
      </c>
      <c r="H1486" s="168">
        <f t="shared" si="216"/>
        <v>7.6571428571428575</v>
      </c>
      <c r="I1486" s="168">
        <f t="shared" si="217"/>
        <v>5.7428571428571429</v>
      </c>
      <c r="J1486" s="168">
        <f t="shared" si="218"/>
        <v>9.5714285714285712</v>
      </c>
      <c r="K1486" s="168">
        <f t="shared" si="219"/>
        <v>9.5714285714285712</v>
      </c>
      <c r="L1486" s="168">
        <f t="shared" si="220"/>
        <v>1.1499999999999999</v>
      </c>
      <c r="M1486" s="168">
        <f t="shared" si="221"/>
        <v>0</v>
      </c>
      <c r="N1486" s="241" t="s">
        <v>453</v>
      </c>
    </row>
    <row r="1487" spans="1:14" ht="15" customHeight="1">
      <c r="A1487" s="107">
        <v>1486</v>
      </c>
      <c r="B1487" s="231" t="s">
        <v>52</v>
      </c>
      <c r="C1487" s="231" t="s">
        <v>10</v>
      </c>
      <c r="D1487" s="237" t="s">
        <v>3207</v>
      </c>
      <c r="E1487" s="281">
        <v>0</v>
      </c>
      <c r="F1487" s="249">
        <v>350</v>
      </c>
      <c r="G1487" s="168">
        <f t="shared" si="215"/>
        <v>2.4000000000000004</v>
      </c>
      <c r="H1487" s="168">
        <f t="shared" si="216"/>
        <v>4.8000000000000007</v>
      </c>
      <c r="I1487" s="168">
        <f t="shared" si="217"/>
        <v>3.5999999999999996</v>
      </c>
      <c r="J1487" s="168">
        <f t="shared" si="218"/>
        <v>6</v>
      </c>
      <c r="K1487" s="168">
        <f t="shared" si="219"/>
        <v>6</v>
      </c>
      <c r="L1487" s="168">
        <f t="shared" si="220"/>
        <v>1.0874999999999999</v>
      </c>
      <c r="M1487" s="168">
        <f t="shared" si="221"/>
        <v>0</v>
      </c>
      <c r="N1487" s="241" t="s">
        <v>453</v>
      </c>
    </row>
    <row r="1488" spans="1:14" ht="15" customHeight="1">
      <c r="A1488" s="107">
        <v>1487</v>
      </c>
      <c r="B1488" s="231" t="s">
        <v>52</v>
      </c>
      <c r="C1488" s="231" t="s">
        <v>10</v>
      </c>
      <c r="D1488" s="237" t="s">
        <v>3208</v>
      </c>
      <c r="E1488" s="281">
        <v>0</v>
      </c>
      <c r="F1488" s="249">
        <v>350</v>
      </c>
      <c r="G1488" s="168">
        <f t="shared" si="215"/>
        <v>2.4000000000000004</v>
      </c>
      <c r="H1488" s="168">
        <f t="shared" si="216"/>
        <v>4.8000000000000007</v>
      </c>
      <c r="I1488" s="168">
        <f t="shared" si="217"/>
        <v>3.5999999999999996</v>
      </c>
      <c r="J1488" s="168">
        <f t="shared" si="218"/>
        <v>6</v>
      </c>
      <c r="K1488" s="168">
        <f t="shared" si="219"/>
        <v>6</v>
      </c>
      <c r="L1488" s="168">
        <f t="shared" si="220"/>
        <v>1.0874999999999999</v>
      </c>
      <c r="M1488" s="168">
        <f t="shared" si="221"/>
        <v>0</v>
      </c>
      <c r="N1488" s="241" t="s">
        <v>453</v>
      </c>
    </row>
    <row r="1489" spans="1:14" ht="15" customHeight="1">
      <c r="A1489" s="107">
        <v>1488</v>
      </c>
      <c r="B1489" s="231" t="s">
        <v>52</v>
      </c>
      <c r="C1489" s="231" t="s">
        <v>10</v>
      </c>
      <c r="D1489" s="237" t="s">
        <v>3209</v>
      </c>
      <c r="E1489" s="281">
        <v>0</v>
      </c>
      <c r="F1489" s="249">
        <v>350</v>
      </c>
      <c r="G1489" s="168">
        <f t="shared" si="215"/>
        <v>2.4000000000000004</v>
      </c>
      <c r="H1489" s="168">
        <f t="shared" si="216"/>
        <v>4.8000000000000007</v>
      </c>
      <c r="I1489" s="168">
        <f t="shared" si="217"/>
        <v>3.5999999999999996</v>
      </c>
      <c r="J1489" s="168">
        <f t="shared" si="218"/>
        <v>6</v>
      </c>
      <c r="K1489" s="168">
        <f t="shared" si="219"/>
        <v>6</v>
      </c>
      <c r="L1489" s="168">
        <f t="shared" si="220"/>
        <v>1.0874999999999999</v>
      </c>
      <c r="M1489" s="168">
        <f t="shared" si="221"/>
        <v>0</v>
      </c>
      <c r="N1489" s="241" t="s">
        <v>453</v>
      </c>
    </row>
    <row r="1490" spans="1:14" ht="15" customHeight="1">
      <c r="A1490" s="107">
        <v>1489</v>
      </c>
      <c r="B1490" s="231" t="s">
        <v>52</v>
      </c>
      <c r="C1490" s="231" t="s">
        <v>10</v>
      </c>
      <c r="D1490" s="237" t="s">
        <v>3210</v>
      </c>
      <c r="E1490" s="281">
        <v>0</v>
      </c>
      <c r="F1490" s="249">
        <v>300</v>
      </c>
      <c r="G1490" s="168">
        <f t="shared" si="215"/>
        <v>2.1142857142857143</v>
      </c>
      <c r="H1490" s="168">
        <f t="shared" si="216"/>
        <v>4.2285714285714286</v>
      </c>
      <c r="I1490" s="168">
        <f t="shared" si="217"/>
        <v>3.1714285714285713</v>
      </c>
      <c r="J1490" s="168">
        <f t="shared" si="218"/>
        <v>5.2857142857142856</v>
      </c>
      <c r="K1490" s="168">
        <f t="shared" si="219"/>
        <v>5.2857142857142856</v>
      </c>
      <c r="L1490" s="168">
        <f t="shared" si="220"/>
        <v>1.075</v>
      </c>
      <c r="M1490" s="168">
        <f t="shared" si="221"/>
        <v>0</v>
      </c>
      <c r="N1490" s="241" t="s">
        <v>453</v>
      </c>
    </row>
    <row r="1491" spans="1:14" ht="15" customHeight="1">
      <c r="A1491" s="107">
        <v>1490</v>
      </c>
      <c r="B1491" s="231" t="s">
        <v>52</v>
      </c>
      <c r="C1491" s="231" t="s">
        <v>10</v>
      </c>
      <c r="D1491" s="237" t="s">
        <v>3211</v>
      </c>
      <c r="E1491" s="281">
        <v>0</v>
      </c>
      <c r="F1491" s="249">
        <v>800</v>
      </c>
      <c r="G1491" s="168">
        <f t="shared" si="215"/>
        <v>4.9714285714285715</v>
      </c>
      <c r="H1491" s="168">
        <f t="shared" si="216"/>
        <v>9.9428571428571431</v>
      </c>
      <c r="I1491" s="168">
        <f t="shared" si="217"/>
        <v>7.4571428571428573</v>
      </c>
      <c r="J1491" s="168">
        <f t="shared" si="218"/>
        <v>12.428571428571429</v>
      </c>
      <c r="K1491" s="168">
        <f t="shared" si="219"/>
        <v>12.428571428571429</v>
      </c>
      <c r="L1491" s="168">
        <f t="shared" si="220"/>
        <v>1.2</v>
      </c>
      <c r="M1491" s="168">
        <f t="shared" si="221"/>
        <v>0</v>
      </c>
      <c r="N1491" s="241" t="s">
        <v>453</v>
      </c>
    </row>
    <row r="1492" spans="1:14" ht="15" customHeight="1">
      <c r="A1492" s="107">
        <v>1491</v>
      </c>
      <c r="B1492" s="231" t="s">
        <v>52</v>
      </c>
      <c r="C1492" s="231" t="s">
        <v>10</v>
      </c>
      <c r="D1492" s="237" t="s">
        <v>3212</v>
      </c>
      <c r="E1492" s="281">
        <v>0</v>
      </c>
      <c r="F1492" s="249">
        <v>300</v>
      </c>
      <c r="G1492" s="168">
        <f t="shared" si="215"/>
        <v>2.1142857142857143</v>
      </c>
      <c r="H1492" s="168">
        <f t="shared" si="216"/>
        <v>4.2285714285714286</v>
      </c>
      <c r="I1492" s="168">
        <f t="shared" si="217"/>
        <v>3.1714285714285713</v>
      </c>
      <c r="J1492" s="168">
        <f t="shared" si="218"/>
        <v>5.2857142857142856</v>
      </c>
      <c r="K1492" s="168">
        <f t="shared" si="219"/>
        <v>5.2857142857142856</v>
      </c>
      <c r="L1492" s="168">
        <f t="shared" si="220"/>
        <v>1.075</v>
      </c>
      <c r="M1492" s="168">
        <f t="shared" si="221"/>
        <v>0</v>
      </c>
      <c r="N1492" s="241" t="s">
        <v>453</v>
      </c>
    </row>
    <row r="1493" spans="1:14" ht="15" customHeight="1">
      <c r="A1493" s="107">
        <v>1492</v>
      </c>
      <c r="B1493" s="231" t="s">
        <v>52</v>
      </c>
      <c r="C1493" s="231" t="s">
        <v>10</v>
      </c>
      <c r="D1493" s="237" t="s">
        <v>3213</v>
      </c>
      <c r="E1493" s="281">
        <v>0</v>
      </c>
      <c r="F1493" s="249">
        <v>300</v>
      </c>
      <c r="G1493" s="168">
        <f t="shared" si="215"/>
        <v>2.1142857142857143</v>
      </c>
      <c r="H1493" s="168">
        <f t="shared" si="216"/>
        <v>4.2285714285714286</v>
      </c>
      <c r="I1493" s="168">
        <f t="shared" si="217"/>
        <v>3.1714285714285713</v>
      </c>
      <c r="J1493" s="168">
        <f t="shared" si="218"/>
        <v>5.2857142857142856</v>
      </c>
      <c r="K1493" s="168">
        <f t="shared" si="219"/>
        <v>5.2857142857142856</v>
      </c>
      <c r="L1493" s="168">
        <f t="shared" si="220"/>
        <v>1.075</v>
      </c>
      <c r="M1493" s="168">
        <f t="shared" si="221"/>
        <v>0</v>
      </c>
      <c r="N1493" s="241" t="s">
        <v>453</v>
      </c>
    </row>
    <row r="1494" spans="1:14" ht="15" customHeight="1">
      <c r="A1494" s="107">
        <v>1493</v>
      </c>
      <c r="B1494" s="231" t="s">
        <v>52</v>
      </c>
      <c r="C1494" s="231" t="s">
        <v>10</v>
      </c>
      <c r="D1494" s="237" t="s">
        <v>3214</v>
      </c>
      <c r="E1494" s="281">
        <v>0</v>
      </c>
      <c r="F1494" s="249">
        <v>300</v>
      </c>
      <c r="G1494" s="168">
        <f t="shared" si="215"/>
        <v>2.1142857142857143</v>
      </c>
      <c r="H1494" s="168">
        <f t="shared" si="216"/>
        <v>4.2285714285714286</v>
      </c>
      <c r="I1494" s="168">
        <f t="shared" si="217"/>
        <v>3.1714285714285713</v>
      </c>
      <c r="J1494" s="168">
        <f t="shared" si="218"/>
        <v>5.2857142857142856</v>
      </c>
      <c r="K1494" s="168">
        <f t="shared" si="219"/>
        <v>5.2857142857142856</v>
      </c>
      <c r="L1494" s="168">
        <f t="shared" si="220"/>
        <v>1.075</v>
      </c>
      <c r="M1494" s="168">
        <f t="shared" si="221"/>
        <v>0</v>
      </c>
      <c r="N1494" s="241" t="s">
        <v>453</v>
      </c>
    </row>
    <row r="1495" spans="1:14" ht="15" customHeight="1">
      <c r="A1495" s="107">
        <v>1494</v>
      </c>
      <c r="B1495" s="231" t="s">
        <v>52</v>
      </c>
      <c r="C1495" s="231" t="s">
        <v>10</v>
      </c>
      <c r="D1495" s="237" t="s">
        <v>3215</v>
      </c>
      <c r="E1495" s="281">
        <v>0</v>
      </c>
      <c r="F1495" s="249">
        <v>350</v>
      </c>
      <c r="G1495" s="168">
        <f t="shared" si="215"/>
        <v>2.4000000000000004</v>
      </c>
      <c r="H1495" s="168">
        <f t="shared" si="216"/>
        <v>4.8000000000000007</v>
      </c>
      <c r="I1495" s="168">
        <f t="shared" si="217"/>
        <v>3.5999999999999996</v>
      </c>
      <c r="J1495" s="168">
        <f t="shared" si="218"/>
        <v>6</v>
      </c>
      <c r="K1495" s="168">
        <f t="shared" si="219"/>
        <v>6</v>
      </c>
      <c r="L1495" s="168">
        <f t="shared" si="220"/>
        <v>1.0874999999999999</v>
      </c>
      <c r="M1495" s="168">
        <f t="shared" si="221"/>
        <v>0</v>
      </c>
      <c r="N1495" s="241" t="s">
        <v>453</v>
      </c>
    </row>
    <row r="1496" spans="1:14" ht="15" customHeight="1">
      <c r="A1496" s="107">
        <v>1495</v>
      </c>
      <c r="B1496" s="231" t="s">
        <v>55</v>
      </c>
      <c r="C1496" s="231" t="s">
        <v>10</v>
      </c>
      <c r="D1496" s="237" t="s">
        <v>3216</v>
      </c>
      <c r="E1496" s="281">
        <v>0</v>
      </c>
      <c r="F1496" s="249">
        <v>200</v>
      </c>
      <c r="G1496" s="168">
        <f t="shared" si="215"/>
        <v>1.5428571428571429</v>
      </c>
      <c r="H1496" s="168">
        <f t="shared" si="216"/>
        <v>3.0857142857142859</v>
      </c>
      <c r="I1496" s="168">
        <f t="shared" si="217"/>
        <v>2.3142857142857141</v>
      </c>
      <c r="J1496" s="168">
        <f t="shared" si="218"/>
        <v>3.8571428571428568</v>
      </c>
      <c r="K1496" s="168">
        <f t="shared" si="219"/>
        <v>3.8571428571428568</v>
      </c>
      <c r="L1496" s="168">
        <f t="shared" si="220"/>
        <v>1.05</v>
      </c>
      <c r="M1496" s="168">
        <f t="shared" si="221"/>
        <v>0</v>
      </c>
      <c r="N1496" s="241" t="s">
        <v>453</v>
      </c>
    </row>
    <row r="1497" spans="1:14" ht="15" customHeight="1">
      <c r="A1497" s="107">
        <v>1496</v>
      </c>
      <c r="B1497" s="231" t="s">
        <v>51</v>
      </c>
      <c r="C1497" s="231" t="s">
        <v>10</v>
      </c>
      <c r="D1497" s="237" t="s">
        <v>3217</v>
      </c>
      <c r="E1497" s="281">
        <v>0</v>
      </c>
      <c r="F1497" s="249">
        <v>450</v>
      </c>
      <c r="G1497" s="168">
        <f t="shared" si="215"/>
        <v>2.9714285714285715</v>
      </c>
      <c r="H1497" s="168">
        <f t="shared" si="216"/>
        <v>5.9428571428571431</v>
      </c>
      <c r="I1497" s="168">
        <f t="shared" si="217"/>
        <v>4.4571428571428573</v>
      </c>
      <c r="J1497" s="168">
        <f t="shared" si="218"/>
        <v>7.4285714285714288</v>
      </c>
      <c r="K1497" s="168">
        <f t="shared" si="219"/>
        <v>7.4285714285714288</v>
      </c>
      <c r="L1497" s="168">
        <f t="shared" si="220"/>
        <v>1.1125</v>
      </c>
      <c r="M1497" s="168">
        <f t="shared" si="221"/>
        <v>0</v>
      </c>
      <c r="N1497" s="241" t="s">
        <v>453</v>
      </c>
    </row>
    <row r="1498" spans="1:14" ht="15" customHeight="1">
      <c r="A1498" s="107">
        <v>1497</v>
      </c>
      <c r="B1498" s="231" t="s">
        <v>52</v>
      </c>
      <c r="C1498" s="231" t="s">
        <v>10</v>
      </c>
      <c r="D1498" s="237" t="s">
        <v>3219</v>
      </c>
      <c r="E1498" s="281">
        <v>0</v>
      </c>
      <c r="F1498" s="249">
        <v>900</v>
      </c>
      <c r="G1498" s="168">
        <f t="shared" si="215"/>
        <v>5.5428571428571436</v>
      </c>
      <c r="H1498" s="168">
        <f t="shared" si="216"/>
        <v>11.085714285714287</v>
      </c>
      <c r="I1498" s="168">
        <f t="shared" si="217"/>
        <v>8.3142857142857149</v>
      </c>
      <c r="J1498" s="168">
        <f t="shared" si="218"/>
        <v>13.857142857142858</v>
      </c>
      <c r="K1498" s="168">
        <f t="shared" si="219"/>
        <v>13.857142857142858</v>
      </c>
      <c r="L1498" s="168">
        <f t="shared" si="220"/>
        <v>1.2250000000000001</v>
      </c>
      <c r="M1498" s="168">
        <f t="shared" si="221"/>
        <v>0</v>
      </c>
      <c r="N1498" s="241" t="s">
        <v>453</v>
      </c>
    </row>
    <row r="1499" spans="1:14" ht="15" customHeight="1">
      <c r="A1499" s="107">
        <v>1498</v>
      </c>
      <c r="B1499" s="231" t="s">
        <v>52</v>
      </c>
      <c r="C1499" s="231" t="s">
        <v>10</v>
      </c>
      <c r="D1499" s="237" t="s">
        <v>3220</v>
      </c>
      <c r="E1499" s="281">
        <v>0</v>
      </c>
      <c r="F1499" s="249">
        <v>1250</v>
      </c>
      <c r="G1499" s="168">
        <f t="shared" si="215"/>
        <v>7.5428571428571436</v>
      </c>
      <c r="H1499" s="168">
        <f t="shared" si="216"/>
        <v>15.085714285714287</v>
      </c>
      <c r="I1499" s="168">
        <f t="shared" si="217"/>
        <v>11.314285714285715</v>
      </c>
      <c r="J1499" s="168">
        <f t="shared" si="218"/>
        <v>18.857142857142858</v>
      </c>
      <c r="K1499" s="168">
        <f t="shared" si="219"/>
        <v>18.857142857142858</v>
      </c>
      <c r="L1499" s="168">
        <f t="shared" si="220"/>
        <v>1.3125</v>
      </c>
      <c r="M1499" s="168">
        <f t="shared" si="221"/>
        <v>0</v>
      </c>
      <c r="N1499" s="241" t="s">
        <v>453</v>
      </c>
    </row>
    <row r="1500" spans="1:14" ht="15" customHeight="1">
      <c r="A1500" s="107">
        <v>1499</v>
      </c>
      <c r="B1500" s="231" t="s">
        <v>52</v>
      </c>
      <c r="C1500" s="231" t="s">
        <v>10</v>
      </c>
      <c r="D1500" s="237" t="s">
        <v>3221</v>
      </c>
      <c r="E1500" s="281">
        <v>0</v>
      </c>
      <c r="F1500" s="249">
        <v>550</v>
      </c>
      <c r="G1500" s="168">
        <f t="shared" si="215"/>
        <v>3.5428571428571431</v>
      </c>
      <c r="H1500" s="168">
        <f t="shared" si="216"/>
        <v>7.0857142857142863</v>
      </c>
      <c r="I1500" s="168">
        <f t="shared" si="217"/>
        <v>5.3142857142857141</v>
      </c>
      <c r="J1500" s="168">
        <f t="shared" si="218"/>
        <v>8.8571428571428577</v>
      </c>
      <c r="K1500" s="168">
        <f t="shared" si="219"/>
        <v>8.8571428571428577</v>
      </c>
      <c r="L1500" s="168">
        <f t="shared" si="220"/>
        <v>1.1375</v>
      </c>
      <c r="M1500" s="168">
        <f t="shared" si="221"/>
        <v>0</v>
      </c>
      <c r="N1500" s="241" t="s">
        <v>453</v>
      </c>
    </row>
    <row r="1501" spans="1:14" ht="15" customHeight="1">
      <c r="A1501" s="107">
        <v>1500</v>
      </c>
      <c r="B1501" s="231" t="s">
        <v>52</v>
      </c>
      <c r="C1501" s="231" t="s">
        <v>10</v>
      </c>
      <c r="D1501" s="237" t="s">
        <v>3222</v>
      </c>
      <c r="E1501" s="281">
        <v>0</v>
      </c>
      <c r="F1501" s="249">
        <v>350</v>
      </c>
      <c r="G1501" s="168">
        <f t="shared" si="215"/>
        <v>2.4000000000000004</v>
      </c>
      <c r="H1501" s="168">
        <f t="shared" si="216"/>
        <v>4.8000000000000007</v>
      </c>
      <c r="I1501" s="168">
        <f t="shared" si="217"/>
        <v>3.5999999999999996</v>
      </c>
      <c r="J1501" s="168">
        <f t="shared" si="218"/>
        <v>6</v>
      </c>
      <c r="K1501" s="168">
        <f t="shared" si="219"/>
        <v>6</v>
      </c>
      <c r="L1501" s="168">
        <f t="shared" si="220"/>
        <v>1.0874999999999999</v>
      </c>
      <c r="M1501" s="168">
        <f t="shared" si="221"/>
        <v>0</v>
      </c>
      <c r="N1501" s="241" t="s">
        <v>453</v>
      </c>
    </row>
    <row r="1502" spans="1:14" ht="15" customHeight="1">
      <c r="A1502" s="107">
        <v>1501</v>
      </c>
      <c r="B1502" s="231" t="s">
        <v>52</v>
      </c>
      <c r="C1502" s="231" t="s">
        <v>10</v>
      </c>
      <c r="D1502" s="237" t="s">
        <v>3223</v>
      </c>
      <c r="E1502" s="281">
        <v>0</v>
      </c>
      <c r="F1502" s="249">
        <v>400</v>
      </c>
      <c r="G1502" s="168">
        <f t="shared" si="215"/>
        <v>2.6857142857142859</v>
      </c>
      <c r="H1502" s="168">
        <f t="shared" si="216"/>
        <v>5.3714285714285719</v>
      </c>
      <c r="I1502" s="168">
        <f t="shared" si="217"/>
        <v>4.0285714285714285</v>
      </c>
      <c r="J1502" s="168">
        <f t="shared" si="218"/>
        <v>6.7142857142857144</v>
      </c>
      <c r="K1502" s="168">
        <f t="shared" si="219"/>
        <v>6.7142857142857144</v>
      </c>
      <c r="L1502" s="168">
        <f t="shared" si="220"/>
        <v>1.1000000000000001</v>
      </c>
      <c r="M1502" s="168">
        <f t="shared" si="221"/>
        <v>0</v>
      </c>
      <c r="N1502" s="241" t="s">
        <v>453</v>
      </c>
    </row>
    <row r="1503" spans="1:14" ht="15" customHeight="1">
      <c r="A1503" s="107">
        <v>1502</v>
      </c>
      <c r="B1503" s="231" t="s">
        <v>52</v>
      </c>
      <c r="C1503" s="231" t="s">
        <v>10</v>
      </c>
      <c r="D1503" s="237" t="s">
        <v>3224</v>
      </c>
      <c r="E1503" s="281">
        <v>0</v>
      </c>
      <c r="F1503" s="249">
        <v>120</v>
      </c>
      <c r="G1503" s="168">
        <f t="shared" si="215"/>
        <v>1.0857142857142859</v>
      </c>
      <c r="H1503" s="168">
        <f t="shared" si="216"/>
        <v>2.1714285714285717</v>
      </c>
      <c r="I1503" s="168">
        <f t="shared" si="217"/>
        <v>1.6285714285714286</v>
      </c>
      <c r="J1503" s="168">
        <f t="shared" si="218"/>
        <v>2.7142857142857144</v>
      </c>
      <c r="K1503" s="168">
        <f t="shared" si="219"/>
        <v>2.7142857142857144</v>
      </c>
      <c r="L1503" s="168">
        <f t="shared" si="220"/>
        <v>1.03</v>
      </c>
      <c r="M1503" s="168">
        <f t="shared" si="221"/>
        <v>0</v>
      </c>
      <c r="N1503" s="241" t="s">
        <v>453</v>
      </c>
    </row>
    <row r="1504" spans="1:14" ht="15" customHeight="1">
      <c r="A1504" s="107">
        <v>1503</v>
      </c>
      <c r="B1504" s="231" t="s">
        <v>52</v>
      </c>
      <c r="C1504" s="231" t="s">
        <v>10</v>
      </c>
      <c r="D1504" s="237" t="s">
        <v>3225</v>
      </c>
      <c r="E1504" s="281">
        <v>0</v>
      </c>
      <c r="F1504" s="249">
        <v>500</v>
      </c>
      <c r="G1504" s="168">
        <f t="shared" si="215"/>
        <v>3.2571428571428571</v>
      </c>
      <c r="H1504" s="168">
        <f t="shared" si="216"/>
        <v>6.5142857142857142</v>
      </c>
      <c r="I1504" s="168">
        <f t="shared" si="217"/>
        <v>4.8857142857142852</v>
      </c>
      <c r="J1504" s="168">
        <f t="shared" si="218"/>
        <v>8.1428571428571423</v>
      </c>
      <c r="K1504" s="168">
        <f t="shared" si="219"/>
        <v>8.1428571428571423</v>
      </c>
      <c r="L1504" s="168">
        <f t="shared" si="220"/>
        <v>1.125</v>
      </c>
      <c r="M1504" s="168">
        <f t="shared" si="221"/>
        <v>0</v>
      </c>
      <c r="N1504" s="241" t="s">
        <v>453</v>
      </c>
    </row>
    <row r="1505" spans="1:14" ht="15" customHeight="1">
      <c r="A1505" s="107">
        <v>1504</v>
      </c>
      <c r="B1505" s="231" t="s">
        <v>52</v>
      </c>
      <c r="C1505" s="231" t="s">
        <v>10</v>
      </c>
      <c r="D1505" s="237" t="s">
        <v>3226</v>
      </c>
      <c r="E1505" s="281">
        <v>0</v>
      </c>
      <c r="F1505" s="249">
        <v>300</v>
      </c>
      <c r="G1505" s="168">
        <f t="shared" si="215"/>
        <v>2.1142857142857143</v>
      </c>
      <c r="H1505" s="168">
        <f t="shared" si="216"/>
        <v>4.2285714285714286</v>
      </c>
      <c r="I1505" s="168">
        <f t="shared" si="217"/>
        <v>3.1714285714285713</v>
      </c>
      <c r="J1505" s="168">
        <f t="shared" si="218"/>
        <v>5.2857142857142856</v>
      </c>
      <c r="K1505" s="168">
        <f t="shared" si="219"/>
        <v>5.2857142857142856</v>
      </c>
      <c r="L1505" s="168">
        <f t="shared" si="220"/>
        <v>1.075</v>
      </c>
      <c r="M1505" s="168">
        <f t="shared" si="221"/>
        <v>0</v>
      </c>
      <c r="N1505" s="241" t="s">
        <v>453</v>
      </c>
    </row>
    <row r="1506" spans="1:14" ht="15" customHeight="1">
      <c r="A1506" s="107">
        <v>1505</v>
      </c>
      <c r="B1506" s="231" t="s">
        <v>52</v>
      </c>
      <c r="C1506" s="231" t="s">
        <v>10</v>
      </c>
      <c r="D1506" s="237" t="s">
        <v>3227</v>
      </c>
      <c r="E1506" s="281">
        <v>0</v>
      </c>
      <c r="F1506" s="249">
        <v>100</v>
      </c>
      <c r="G1506" s="168">
        <f t="shared" si="215"/>
        <v>0.97142857142857153</v>
      </c>
      <c r="H1506" s="168">
        <f t="shared" si="216"/>
        <v>1.9428571428571431</v>
      </c>
      <c r="I1506" s="168">
        <f t="shared" si="217"/>
        <v>1.4571428571428573</v>
      </c>
      <c r="J1506" s="168">
        <f t="shared" si="218"/>
        <v>2.4285714285714288</v>
      </c>
      <c r="K1506" s="168">
        <f t="shared" si="219"/>
        <v>2.4285714285714288</v>
      </c>
      <c r="L1506" s="168">
        <f t="shared" si="220"/>
        <v>1.0249999999999999</v>
      </c>
      <c r="M1506" s="168">
        <f t="shared" si="221"/>
        <v>0</v>
      </c>
      <c r="N1506" s="241" t="s">
        <v>453</v>
      </c>
    </row>
    <row r="1507" spans="1:14" ht="15" customHeight="1">
      <c r="A1507" s="107">
        <v>1506</v>
      </c>
      <c r="B1507" s="231" t="s">
        <v>49</v>
      </c>
      <c r="C1507" s="231" t="s">
        <v>10</v>
      </c>
      <c r="D1507" s="237" t="s">
        <v>4582</v>
      </c>
      <c r="E1507" s="281">
        <v>0</v>
      </c>
      <c r="F1507" s="249">
        <v>500</v>
      </c>
      <c r="G1507" s="168">
        <f t="shared" si="215"/>
        <v>3.2571428571428571</v>
      </c>
      <c r="H1507" s="168">
        <f t="shared" si="216"/>
        <v>6.5142857142857142</v>
      </c>
      <c r="I1507" s="168">
        <f t="shared" si="217"/>
        <v>4.8857142857142852</v>
      </c>
      <c r="J1507" s="168">
        <f t="shared" si="218"/>
        <v>8.1428571428571423</v>
      </c>
      <c r="K1507" s="168">
        <f t="shared" si="219"/>
        <v>8.1428571428571423</v>
      </c>
      <c r="L1507" s="168">
        <f t="shared" si="220"/>
        <v>1.125</v>
      </c>
      <c r="M1507" s="168">
        <f t="shared" si="221"/>
        <v>0</v>
      </c>
      <c r="N1507" s="241" t="s">
        <v>453</v>
      </c>
    </row>
    <row r="1508" spans="1:14" ht="15" customHeight="1">
      <c r="A1508" s="107">
        <v>1507</v>
      </c>
      <c r="B1508" s="231" t="s">
        <v>52</v>
      </c>
      <c r="C1508" s="231" t="s">
        <v>10</v>
      </c>
      <c r="D1508" s="237" t="s">
        <v>3228</v>
      </c>
      <c r="E1508" s="281">
        <v>0</v>
      </c>
      <c r="F1508" s="249">
        <v>2200</v>
      </c>
      <c r="G1508" s="168">
        <f t="shared" si="215"/>
        <v>12.971428571428573</v>
      </c>
      <c r="H1508" s="168">
        <f t="shared" si="216"/>
        <v>25.942857142857147</v>
      </c>
      <c r="I1508" s="168">
        <f t="shared" si="217"/>
        <v>19.457142857142859</v>
      </c>
      <c r="J1508" s="168">
        <f t="shared" si="218"/>
        <v>32.428571428571431</v>
      </c>
      <c r="K1508" s="168">
        <f t="shared" si="219"/>
        <v>32.428571428571431</v>
      </c>
      <c r="L1508" s="168">
        <f t="shared" si="220"/>
        <v>1.55</v>
      </c>
      <c r="M1508" s="168">
        <f t="shared" si="221"/>
        <v>0</v>
      </c>
      <c r="N1508" s="241" t="s">
        <v>453</v>
      </c>
    </row>
    <row r="1509" spans="1:14" ht="15" customHeight="1">
      <c r="A1509" s="107">
        <v>1508</v>
      </c>
      <c r="B1509" s="231" t="s">
        <v>52</v>
      </c>
      <c r="C1509" s="231" t="s">
        <v>10</v>
      </c>
      <c r="D1509" s="237" t="s">
        <v>3229</v>
      </c>
      <c r="E1509" s="281">
        <v>0</v>
      </c>
      <c r="F1509" s="249">
        <v>400</v>
      </c>
      <c r="G1509" s="168">
        <f t="shared" si="215"/>
        <v>2.6857142857142859</v>
      </c>
      <c r="H1509" s="168">
        <f t="shared" si="216"/>
        <v>5.3714285714285719</v>
      </c>
      <c r="I1509" s="168">
        <f t="shared" si="217"/>
        <v>4.0285714285714285</v>
      </c>
      <c r="J1509" s="168">
        <f t="shared" si="218"/>
        <v>6.7142857142857144</v>
      </c>
      <c r="K1509" s="168">
        <f t="shared" si="219"/>
        <v>6.7142857142857144</v>
      </c>
      <c r="L1509" s="168">
        <f t="shared" si="220"/>
        <v>1.1000000000000001</v>
      </c>
      <c r="M1509" s="168">
        <f t="shared" si="221"/>
        <v>0</v>
      </c>
      <c r="N1509" s="241" t="s">
        <v>453</v>
      </c>
    </row>
    <row r="1510" spans="1:14" ht="15" customHeight="1">
      <c r="A1510" s="107">
        <v>1509</v>
      </c>
      <c r="B1510" s="231" t="s">
        <v>52</v>
      </c>
      <c r="C1510" s="231" t="s">
        <v>10</v>
      </c>
      <c r="D1510" s="237" t="s">
        <v>3230</v>
      </c>
      <c r="E1510" s="281">
        <v>0</v>
      </c>
      <c r="F1510" s="249">
        <v>1600</v>
      </c>
      <c r="G1510" s="168">
        <f t="shared" si="215"/>
        <v>9.5428571428571427</v>
      </c>
      <c r="H1510" s="168">
        <f t="shared" si="216"/>
        <v>19.085714285714285</v>
      </c>
      <c r="I1510" s="168">
        <f t="shared" si="217"/>
        <v>14.314285714285715</v>
      </c>
      <c r="J1510" s="168">
        <f t="shared" si="218"/>
        <v>23.857142857142858</v>
      </c>
      <c r="K1510" s="168">
        <f t="shared" si="219"/>
        <v>23.857142857142858</v>
      </c>
      <c r="L1510" s="168">
        <f t="shared" si="220"/>
        <v>1.4</v>
      </c>
      <c r="M1510" s="168">
        <f t="shared" si="221"/>
        <v>0</v>
      </c>
      <c r="N1510" s="241" t="s">
        <v>453</v>
      </c>
    </row>
    <row r="1511" spans="1:14" ht="15" customHeight="1">
      <c r="A1511" s="107">
        <v>1510</v>
      </c>
      <c r="B1511" s="231" t="s">
        <v>52</v>
      </c>
      <c r="C1511" s="231" t="s">
        <v>10</v>
      </c>
      <c r="D1511" s="237" t="s">
        <v>3231</v>
      </c>
      <c r="E1511" s="281">
        <v>0</v>
      </c>
      <c r="F1511" s="249">
        <v>250</v>
      </c>
      <c r="G1511" s="168">
        <f t="shared" ref="G1511:G1567" si="222">(((F1511/70)+1)*0.4)</f>
        <v>1.8285714285714285</v>
      </c>
      <c r="H1511" s="168">
        <f t="shared" ref="H1511:H1567" si="223">G1511*2</f>
        <v>3.657142857142857</v>
      </c>
      <c r="I1511" s="168">
        <f t="shared" ref="I1511:I1567" si="224">(((F1511/70)+1)*0.6)</f>
        <v>2.7428571428571424</v>
      </c>
      <c r="J1511" s="168">
        <f t="shared" ref="J1511:J1567" si="225">I1511+G1511</f>
        <v>4.5714285714285712</v>
      </c>
      <c r="K1511" s="168">
        <f t="shared" ref="K1511:K1567" si="226">J1511</f>
        <v>4.5714285714285712</v>
      </c>
      <c r="L1511" s="168">
        <f t="shared" ref="L1511:L1567" si="227">(F1511/4000)+1</f>
        <v>1.0625</v>
      </c>
      <c r="M1511" s="168">
        <f t="shared" si="221"/>
        <v>0</v>
      </c>
      <c r="N1511" s="241" t="s">
        <v>453</v>
      </c>
    </row>
    <row r="1512" spans="1:14" ht="15" customHeight="1">
      <c r="A1512" s="107">
        <v>1511</v>
      </c>
      <c r="B1512" s="231" t="s">
        <v>49</v>
      </c>
      <c r="C1512" s="231" t="s">
        <v>10</v>
      </c>
      <c r="D1512" s="237" t="s">
        <v>3232</v>
      </c>
      <c r="E1512" s="281">
        <v>0</v>
      </c>
      <c r="F1512" s="249">
        <v>1000</v>
      </c>
      <c r="G1512" s="168">
        <f t="shared" si="222"/>
        <v>6.1142857142857148</v>
      </c>
      <c r="H1512" s="168">
        <f t="shared" si="223"/>
        <v>12.22857142857143</v>
      </c>
      <c r="I1512" s="168">
        <f t="shared" si="224"/>
        <v>9.1714285714285708</v>
      </c>
      <c r="J1512" s="168">
        <f t="shared" si="225"/>
        <v>15.285714285714285</v>
      </c>
      <c r="K1512" s="168">
        <f t="shared" si="226"/>
        <v>15.285714285714285</v>
      </c>
      <c r="L1512" s="168">
        <f t="shared" si="227"/>
        <v>1.25</v>
      </c>
      <c r="M1512" s="168">
        <f t="shared" si="221"/>
        <v>0</v>
      </c>
      <c r="N1512" s="241" t="s">
        <v>453</v>
      </c>
    </row>
    <row r="1513" spans="1:14" ht="15" customHeight="1">
      <c r="A1513" s="107">
        <v>1512</v>
      </c>
      <c r="B1513" s="231" t="s">
        <v>52</v>
      </c>
      <c r="C1513" s="231" t="s">
        <v>10</v>
      </c>
      <c r="D1513" s="237" t="s">
        <v>3233</v>
      </c>
      <c r="E1513" s="281">
        <v>0</v>
      </c>
      <c r="F1513" s="249">
        <v>100</v>
      </c>
      <c r="G1513" s="168">
        <f t="shared" si="222"/>
        <v>0.97142857142857153</v>
      </c>
      <c r="H1513" s="168">
        <f t="shared" si="223"/>
        <v>1.9428571428571431</v>
      </c>
      <c r="I1513" s="168">
        <f t="shared" si="224"/>
        <v>1.4571428571428573</v>
      </c>
      <c r="J1513" s="168">
        <f t="shared" si="225"/>
        <v>2.4285714285714288</v>
      </c>
      <c r="K1513" s="168">
        <f t="shared" si="226"/>
        <v>2.4285714285714288</v>
      </c>
      <c r="L1513" s="168">
        <f t="shared" si="227"/>
        <v>1.0249999999999999</v>
      </c>
      <c r="M1513" s="168">
        <f t="shared" si="221"/>
        <v>0</v>
      </c>
      <c r="N1513" s="241" t="s">
        <v>453</v>
      </c>
    </row>
    <row r="1514" spans="1:14" ht="15" customHeight="1">
      <c r="A1514" s="107">
        <v>1513</v>
      </c>
      <c r="B1514" s="231" t="s">
        <v>52</v>
      </c>
      <c r="C1514" s="231" t="s">
        <v>10</v>
      </c>
      <c r="D1514" s="237" t="s">
        <v>3234</v>
      </c>
      <c r="E1514" s="281">
        <v>0</v>
      </c>
      <c r="F1514" s="249">
        <v>700</v>
      </c>
      <c r="G1514" s="168">
        <f t="shared" si="222"/>
        <v>4.4000000000000004</v>
      </c>
      <c r="H1514" s="168">
        <f t="shared" si="223"/>
        <v>8.8000000000000007</v>
      </c>
      <c r="I1514" s="168">
        <f t="shared" si="224"/>
        <v>6.6</v>
      </c>
      <c r="J1514" s="168">
        <f t="shared" si="225"/>
        <v>11</v>
      </c>
      <c r="K1514" s="168">
        <f t="shared" si="226"/>
        <v>11</v>
      </c>
      <c r="L1514" s="168">
        <f t="shared" si="227"/>
        <v>1.175</v>
      </c>
      <c r="M1514" s="168">
        <f t="shared" si="221"/>
        <v>0</v>
      </c>
      <c r="N1514" s="241" t="s">
        <v>453</v>
      </c>
    </row>
    <row r="1515" spans="1:14" ht="15" customHeight="1">
      <c r="A1515" s="107">
        <v>1514</v>
      </c>
      <c r="B1515" s="231" t="s">
        <v>52</v>
      </c>
      <c r="C1515" s="231" t="s">
        <v>10</v>
      </c>
      <c r="D1515" s="237" t="s">
        <v>3235</v>
      </c>
      <c r="E1515" s="281">
        <v>0</v>
      </c>
      <c r="F1515" s="249">
        <v>500</v>
      </c>
      <c r="G1515" s="168">
        <f t="shared" si="222"/>
        <v>3.2571428571428571</v>
      </c>
      <c r="H1515" s="168">
        <f t="shared" si="223"/>
        <v>6.5142857142857142</v>
      </c>
      <c r="I1515" s="168">
        <f t="shared" si="224"/>
        <v>4.8857142857142852</v>
      </c>
      <c r="J1515" s="168">
        <f t="shared" si="225"/>
        <v>8.1428571428571423</v>
      </c>
      <c r="K1515" s="168">
        <f t="shared" si="226"/>
        <v>8.1428571428571423</v>
      </c>
      <c r="L1515" s="168">
        <f t="shared" si="227"/>
        <v>1.125</v>
      </c>
      <c r="M1515" s="168">
        <f t="shared" si="221"/>
        <v>0</v>
      </c>
      <c r="N1515" s="241" t="s">
        <v>453</v>
      </c>
    </row>
    <row r="1516" spans="1:14" ht="15" customHeight="1">
      <c r="A1516" s="107">
        <v>1515</v>
      </c>
      <c r="B1516" s="231" t="s">
        <v>52</v>
      </c>
      <c r="C1516" s="231" t="s">
        <v>10</v>
      </c>
      <c r="D1516" s="237" t="s">
        <v>3236</v>
      </c>
      <c r="E1516" s="281">
        <v>0</v>
      </c>
      <c r="F1516" s="249">
        <v>100</v>
      </c>
      <c r="G1516" s="168">
        <f t="shared" si="222"/>
        <v>0.97142857142857153</v>
      </c>
      <c r="H1516" s="168">
        <f t="shared" si="223"/>
        <v>1.9428571428571431</v>
      </c>
      <c r="I1516" s="168">
        <f t="shared" si="224"/>
        <v>1.4571428571428573</v>
      </c>
      <c r="J1516" s="168">
        <f t="shared" si="225"/>
        <v>2.4285714285714288</v>
      </c>
      <c r="K1516" s="168">
        <f t="shared" si="226"/>
        <v>2.4285714285714288</v>
      </c>
      <c r="L1516" s="168">
        <f t="shared" si="227"/>
        <v>1.0249999999999999</v>
      </c>
      <c r="M1516" s="168">
        <f t="shared" si="221"/>
        <v>0</v>
      </c>
      <c r="N1516" s="241" t="s">
        <v>453</v>
      </c>
    </row>
    <row r="1517" spans="1:14" ht="15" customHeight="1">
      <c r="A1517" s="107">
        <v>1516</v>
      </c>
      <c r="B1517" s="231" t="s">
        <v>52</v>
      </c>
      <c r="C1517" s="231" t="s">
        <v>10</v>
      </c>
      <c r="D1517" s="237" t="s">
        <v>3237</v>
      </c>
      <c r="E1517" s="281">
        <v>0</v>
      </c>
      <c r="F1517" s="249">
        <v>350</v>
      </c>
      <c r="G1517" s="168">
        <f t="shared" si="222"/>
        <v>2.4000000000000004</v>
      </c>
      <c r="H1517" s="168">
        <f t="shared" si="223"/>
        <v>4.8000000000000007</v>
      </c>
      <c r="I1517" s="168">
        <f t="shared" si="224"/>
        <v>3.5999999999999996</v>
      </c>
      <c r="J1517" s="168">
        <f t="shared" si="225"/>
        <v>6</v>
      </c>
      <c r="K1517" s="168">
        <f t="shared" si="226"/>
        <v>6</v>
      </c>
      <c r="L1517" s="168">
        <f t="shared" si="227"/>
        <v>1.0874999999999999</v>
      </c>
      <c r="M1517" s="168">
        <f t="shared" si="221"/>
        <v>0</v>
      </c>
      <c r="N1517" s="241" t="s">
        <v>453</v>
      </c>
    </row>
    <row r="1518" spans="1:14" ht="15" customHeight="1">
      <c r="A1518" s="107">
        <v>1517</v>
      </c>
      <c r="B1518" s="231" t="s">
        <v>52</v>
      </c>
      <c r="C1518" s="231" t="s">
        <v>10</v>
      </c>
      <c r="D1518" s="237" t="s">
        <v>3238</v>
      </c>
      <c r="E1518" s="281">
        <v>0</v>
      </c>
      <c r="F1518" s="249">
        <v>309</v>
      </c>
      <c r="G1518" s="168">
        <f t="shared" si="222"/>
        <v>2.1657142857142859</v>
      </c>
      <c r="H1518" s="168">
        <f t="shared" si="223"/>
        <v>4.3314285714285718</v>
      </c>
      <c r="I1518" s="168">
        <f t="shared" si="224"/>
        <v>3.2485714285714287</v>
      </c>
      <c r="J1518" s="168">
        <f t="shared" si="225"/>
        <v>5.4142857142857146</v>
      </c>
      <c r="K1518" s="168">
        <f t="shared" si="226"/>
        <v>5.4142857142857146</v>
      </c>
      <c r="L1518" s="168">
        <f t="shared" si="227"/>
        <v>1.07725</v>
      </c>
      <c r="M1518" s="168">
        <f t="shared" si="221"/>
        <v>0</v>
      </c>
      <c r="N1518" s="241" t="s">
        <v>453</v>
      </c>
    </row>
    <row r="1519" spans="1:14" ht="15" customHeight="1">
      <c r="A1519" s="107">
        <v>1518</v>
      </c>
      <c r="B1519" s="231" t="s">
        <v>52</v>
      </c>
      <c r="C1519" s="231" t="s">
        <v>10</v>
      </c>
      <c r="D1519" s="237" t="s">
        <v>3239</v>
      </c>
      <c r="E1519" s="281">
        <v>0</v>
      </c>
      <c r="F1519" s="249">
        <v>100</v>
      </c>
      <c r="G1519" s="168">
        <f t="shared" si="222"/>
        <v>0.97142857142857153</v>
      </c>
      <c r="H1519" s="168">
        <f t="shared" si="223"/>
        <v>1.9428571428571431</v>
      </c>
      <c r="I1519" s="168">
        <f t="shared" si="224"/>
        <v>1.4571428571428573</v>
      </c>
      <c r="J1519" s="168">
        <f t="shared" si="225"/>
        <v>2.4285714285714288</v>
      </c>
      <c r="K1519" s="168">
        <f t="shared" si="226"/>
        <v>2.4285714285714288</v>
      </c>
      <c r="L1519" s="168">
        <f t="shared" si="227"/>
        <v>1.0249999999999999</v>
      </c>
      <c r="M1519" s="168">
        <f t="shared" si="221"/>
        <v>0</v>
      </c>
      <c r="N1519" s="241" t="s">
        <v>453</v>
      </c>
    </row>
    <row r="1520" spans="1:14" ht="15" customHeight="1">
      <c r="A1520" s="107">
        <v>1519</v>
      </c>
      <c r="B1520" s="231" t="s">
        <v>52</v>
      </c>
      <c r="C1520" s="231" t="s">
        <v>10</v>
      </c>
      <c r="D1520" s="237" t="s">
        <v>3240</v>
      </c>
      <c r="E1520" s="281">
        <v>0</v>
      </c>
      <c r="F1520" s="249">
        <v>298</v>
      </c>
      <c r="G1520" s="168">
        <f t="shared" si="222"/>
        <v>2.1028571428571428</v>
      </c>
      <c r="H1520" s="168">
        <f t="shared" si="223"/>
        <v>4.2057142857142855</v>
      </c>
      <c r="I1520" s="168">
        <f t="shared" si="224"/>
        <v>3.1542857142857144</v>
      </c>
      <c r="J1520" s="168">
        <f t="shared" si="225"/>
        <v>5.2571428571428571</v>
      </c>
      <c r="K1520" s="168">
        <f t="shared" si="226"/>
        <v>5.2571428571428571</v>
      </c>
      <c r="L1520" s="168">
        <f t="shared" si="227"/>
        <v>1.0745</v>
      </c>
      <c r="M1520" s="168">
        <f t="shared" si="221"/>
        <v>0</v>
      </c>
      <c r="N1520" s="241" t="s">
        <v>453</v>
      </c>
    </row>
    <row r="1521" spans="1:14" ht="15" customHeight="1">
      <c r="A1521" s="107">
        <v>1520</v>
      </c>
      <c r="B1521" s="231" t="s">
        <v>52</v>
      </c>
      <c r="C1521" s="231" t="s">
        <v>10</v>
      </c>
      <c r="D1521" s="237" t="s">
        <v>3241</v>
      </c>
      <c r="E1521" s="281">
        <v>0</v>
      </c>
      <c r="F1521" s="249">
        <v>200</v>
      </c>
      <c r="G1521" s="168">
        <f t="shared" si="222"/>
        <v>1.5428571428571429</v>
      </c>
      <c r="H1521" s="168">
        <f t="shared" si="223"/>
        <v>3.0857142857142859</v>
      </c>
      <c r="I1521" s="168">
        <f t="shared" si="224"/>
        <v>2.3142857142857141</v>
      </c>
      <c r="J1521" s="168">
        <f t="shared" si="225"/>
        <v>3.8571428571428568</v>
      </c>
      <c r="K1521" s="168">
        <f t="shared" si="226"/>
        <v>3.8571428571428568</v>
      </c>
      <c r="L1521" s="168">
        <f t="shared" si="227"/>
        <v>1.05</v>
      </c>
      <c r="M1521" s="168">
        <f t="shared" si="221"/>
        <v>0</v>
      </c>
      <c r="N1521" s="241" t="s">
        <v>453</v>
      </c>
    </row>
    <row r="1522" spans="1:14" ht="15" customHeight="1">
      <c r="A1522" s="107">
        <v>1521</v>
      </c>
      <c r="B1522" s="231" t="s">
        <v>52</v>
      </c>
      <c r="C1522" s="231" t="s">
        <v>10</v>
      </c>
      <c r="D1522" s="237" t="s">
        <v>3242</v>
      </c>
      <c r="E1522" s="281">
        <v>0</v>
      </c>
      <c r="F1522" s="249">
        <v>250</v>
      </c>
      <c r="G1522" s="168">
        <f t="shared" si="222"/>
        <v>1.8285714285714285</v>
      </c>
      <c r="H1522" s="168">
        <f t="shared" si="223"/>
        <v>3.657142857142857</v>
      </c>
      <c r="I1522" s="168">
        <f t="shared" si="224"/>
        <v>2.7428571428571424</v>
      </c>
      <c r="J1522" s="168">
        <f t="shared" si="225"/>
        <v>4.5714285714285712</v>
      </c>
      <c r="K1522" s="168">
        <f t="shared" si="226"/>
        <v>4.5714285714285712</v>
      </c>
      <c r="L1522" s="168">
        <f t="shared" si="227"/>
        <v>1.0625</v>
      </c>
      <c r="M1522" s="168">
        <f t="shared" si="221"/>
        <v>0</v>
      </c>
      <c r="N1522" s="241" t="s">
        <v>453</v>
      </c>
    </row>
    <row r="1523" spans="1:14" ht="15" customHeight="1">
      <c r="A1523" s="107">
        <v>1522</v>
      </c>
      <c r="B1523" s="231" t="s">
        <v>52</v>
      </c>
      <c r="C1523" s="231" t="s">
        <v>10</v>
      </c>
      <c r="D1523" s="237" t="s">
        <v>3243</v>
      </c>
      <c r="E1523" s="281">
        <v>0</v>
      </c>
      <c r="F1523" s="249">
        <v>200</v>
      </c>
      <c r="G1523" s="168">
        <f t="shared" si="222"/>
        <v>1.5428571428571429</v>
      </c>
      <c r="H1523" s="168">
        <f t="shared" si="223"/>
        <v>3.0857142857142859</v>
      </c>
      <c r="I1523" s="168">
        <f t="shared" si="224"/>
        <v>2.3142857142857141</v>
      </c>
      <c r="J1523" s="168">
        <f t="shared" si="225"/>
        <v>3.8571428571428568</v>
      </c>
      <c r="K1523" s="168">
        <f t="shared" si="226"/>
        <v>3.8571428571428568</v>
      </c>
      <c r="L1523" s="168">
        <f t="shared" si="227"/>
        <v>1.05</v>
      </c>
      <c r="M1523" s="168">
        <f t="shared" si="221"/>
        <v>0</v>
      </c>
      <c r="N1523" s="241" t="s">
        <v>453</v>
      </c>
    </row>
    <row r="1524" spans="1:14" ht="15" customHeight="1">
      <c r="A1524" s="107">
        <v>1523</v>
      </c>
      <c r="B1524" s="231" t="s">
        <v>52</v>
      </c>
      <c r="C1524" s="231" t="s">
        <v>10</v>
      </c>
      <c r="D1524" s="237" t="s">
        <v>3244</v>
      </c>
      <c r="E1524" s="281">
        <v>0</v>
      </c>
      <c r="F1524" s="249">
        <v>100</v>
      </c>
      <c r="G1524" s="168">
        <f t="shared" si="222"/>
        <v>0.97142857142857153</v>
      </c>
      <c r="H1524" s="168">
        <f t="shared" si="223"/>
        <v>1.9428571428571431</v>
      </c>
      <c r="I1524" s="168">
        <f t="shared" si="224"/>
        <v>1.4571428571428573</v>
      </c>
      <c r="J1524" s="168">
        <f t="shared" si="225"/>
        <v>2.4285714285714288</v>
      </c>
      <c r="K1524" s="168">
        <f t="shared" si="226"/>
        <v>2.4285714285714288</v>
      </c>
      <c r="L1524" s="168">
        <f t="shared" si="227"/>
        <v>1.0249999999999999</v>
      </c>
      <c r="M1524" s="168">
        <f t="shared" si="221"/>
        <v>0</v>
      </c>
      <c r="N1524" s="241" t="s">
        <v>453</v>
      </c>
    </row>
    <row r="1525" spans="1:14" ht="15" customHeight="1">
      <c r="A1525" s="107">
        <v>1524</v>
      </c>
      <c r="B1525" s="231" t="s">
        <v>52</v>
      </c>
      <c r="C1525" s="231" t="s">
        <v>10</v>
      </c>
      <c r="D1525" s="237" t="s">
        <v>3245</v>
      </c>
      <c r="E1525" s="281">
        <v>0</v>
      </c>
      <c r="F1525" s="249">
        <v>350</v>
      </c>
      <c r="G1525" s="168">
        <f t="shared" si="222"/>
        <v>2.4000000000000004</v>
      </c>
      <c r="H1525" s="168">
        <f t="shared" si="223"/>
        <v>4.8000000000000007</v>
      </c>
      <c r="I1525" s="168">
        <f t="shared" si="224"/>
        <v>3.5999999999999996</v>
      </c>
      <c r="J1525" s="168">
        <f t="shared" si="225"/>
        <v>6</v>
      </c>
      <c r="K1525" s="168">
        <f t="shared" si="226"/>
        <v>6</v>
      </c>
      <c r="L1525" s="168">
        <f t="shared" si="227"/>
        <v>1.0874999999999999</v>
      </c>
      <c r="M1525" s="168">
        <f t="shared" si="221"/>
        <v>0</v>
      </c>
      <c r="N1525" s="241" t="s">
        <v>453</v>
      </c>
    </row>
    <row r="1526" spans="1:14" ht="15" customHeight="1">
      <c r="A1526" s="107">
        <v>1525</v>
      </c>
      <c r="B1526" s="231" t="s">
        <v>52</v>
      </c>
      <c r="C1526" s="231" t="s">
        <v>10</v>
      </c>
      <c r="D1526" s="237" t="s">
        <v>3246</v>
      </c>
      <c r="E1526" s="281">
        <v>0</v>
      </c>
      <c r="F1526" s="249">
        <v>70</v>
      </c>
      <c r="G1526" s="168">
        <f t="shared" si="222"/>
        <v>0.8</v>
      </c>
      <c r="H1526" s="168">
        <f t="shared" si="223"/>
        <v>1.6</v>
      </c>
      <c r="I1526" s="168">
        <f t="shared" si="224"/>
        <v>1.2</v>
      </c>
      <c r="J1526" s="168">
        <f t="shared" si="225"/>
        <v>2</v>
      </c>
      <c r="K1526" s="168">
        <f t="shared" si="226"/>
        <v>2</v>
      </c>
      <c r="L1526" s="168">
        <f t="shared" si="227"/>
        <v>1.0175000000000001</v>
      </c>
      <c r="M1526" s="168">
        <f t="shared" si="221"/>
        <v>0</v>
      </c>
      <c r="N1526" s="241" t="s">
        <v>453</v>
      </c>
    </row>
    <row r="1527" spans="1:14" ht="15" customHeight="1">
      <c r="A1527" s="107">
        <v>1526</v>
      </c>
      <c r="B1527" s="231" t="s">
        <v>52</v>
      </c>
      <c r="C1527" s="231" t="s">
        <v>10</v>
      </c>
      <c r="D1527" s="237" t="s">
        <v>3247</v>
      </c>
      <c r="E1527" s="281">
        <v>0</v>
      </c>
      <c r="F1527" s="249">
        <v>380</v>
      </c>
      <c r="G1527" s="168">
        <f t="shared" si="222"/>
        <v>2.5714285714285716</v>
      </c>
      <c r="H1527" s="168">
        <f t="shared" si="223"/>
        <v>5.1428571428571432</v>
      </c>
      <c r="I1527" s="168">
        <f t="shared" si="224"/>
        <v>3.8571428571428572</v>
      </c>
      <c r="J1527" s="168">
        <f t="shared" si="225"/>
        <v>6.4285714285714288</v>
      </c>
      <c r="K1527" s="168">
        <f t="shared" si="226"/>
        <v>6.4285714285714288</v>
      </c>
      <c r="L1527" s="168">
        <f t="shared" si="227"/>
        <v>1.095</v>
      </c>
      <c r="M1527" s="168">
        <f t="shared" si="221"/>
        <v>0</v>
      </c>
      <c r="N1527" s="241" t="s">
        <v>453</v>
      </c>
    </row>
    <row r="1528" spans="1:14" ht="15" customHeight="1">
      <c r="A1528" s="107">
        <v>1527</v>
      </c>
      <c r="B1528" s="231" t="s">
        <v>52</v>
      </c>
      <c r="C1528" s="231" t="s">
        <v>10</v>
      </c>
      <c r="D1528" s="237" t="s">
        <v>3248</v>
      </c>
      <c r="E1528" s="281">
        <v>0</v>
      </c>
      <c r="F1528" s="249">
        <v>300</v>
      </c>
      <c r="G1528" s="168">
        <f t="shared" si="222"/>
        <v>2.1142857142857143</v>
      </c>
      <c r="H1528" s="168">
        <f t="shared" si="223"/>
        <v>4.2285714285714286</v>
      </c>
      <c r="I1528" s="168">
        <f t="shared" si="224"/>
        <v>3.1714285714285713</v>
      </c>
      <c r="J1528" s="168">
        <f t="shared" si="225"/>
        <v>5.2857142857142856</v>
      </c>
      <c r="K1528" s="168">
        <f t="shared" si="226"/>
        <v>5.2857142857142856</v>
      </c>
      <c r="L1528" s="168">
        <f t="shared" si="227"/>
        <v>1.075</v>
      </c>
      <c r="M1528" s="168">
        <f t="shared" si="221"/>
        <v>0</v>
      </c>
      <c r="N1528" s="241" t="s">
        <v>453</v>
      </c>
    </row>
    <row r="1529" spans="1:14" ht="15" customHeight="1">
      <c r="A1529" s="107">
        <v>1528</v>
      </c>
      <c r="B1529" s="231" t="s">
        <v>52</v>
      </c>
      <c r="C1529" s="231" t="s">
        <v>10</v>
      </c>
      <c r="D1529" s="237" t="s">
        <v>3249</v>
      </c>
      <c r="E1529" s="281">
        <v>0</v>
      </c>
      <c r="F1529" s="249">
        <v>75</v>
      </c>
      <c r="G1529" s="168">
        <f t="shared" si="222"/>
        <v>0.82857142857142851</v>
      </c>
      <c r="H1529" s="168">
        <f t="shared" si="223"/>
        <v>1.657142857142857</v>
      </c>
      <c r="I1529" s="168">
        <f t="shared" si="224"/>
        <v>1.2428571428571427</v>
      </c>
      <c r="J1529" s="168">
        <f t="shared" si="225"/>
        <v>2.0714285714285712</v>
      </c>
      <c r="K1529" s="168">
        <f t="shared" si="226"/>
        <v>2.0714285714285712</v>
      </c>
      <c r="L1529" s="168">
        <f t="shared" si="227"/>
        <v>1.01875</v>
      </c>
      <c r="M1529" s="168">
        <f t="shared" si="221"/>
        <v>0</v>
      </c>
      <c r="N1529" s="241" t="s">
        <v>453</v>
      </c>
    </row>
    <row r="1530" spans="1:14" ht="15" customHeight="1">
      <c r="A1530" s="107">
        <v>1529</v>
      </c>
      <c r="B1530" s="231" t="s">
        <v>52</v>
      </c>
      <c r="C1530" s="231" t="s">
        <v>10</v>
      </c>
      <c r="D1530" s="237" t="s">
        <v>3250</v>
      </c>
      <c r="E1530" s="281">
        <v>0</v>
      </c>
      <c r="F1530" s="249">
        <v>207</v>
      </c>
      <c r="G1530" s="168">
        <f t="shared" si="222"/>
        <v>1.582857142857143</v>
      </c>
      <c r="H1530" s="168">
        <f t="shared" si="223"/>
        <v>3.1657142857142859</v>
      </c>
      <c r="I1530" s="168">
        <f t="shared" si="224"/>
        <v>2.3742857142857141</v>
      </c>
      <c r="J1530" s="168">
        <f t="shared" si="225"/>
        <v>3.9571428571428573</v>
      </c>
      <c r="K1530" s="168">
        <f t="shared" si="226"/>
        <v>3.9571428571428573</v>
      </c>
      <c r="L1530" s="168">
        <f t="shared" si="227"/>
        <v>1.05175</v>
      </c>
      <c r="M1530" s="168">
        <f t="shared" si="221"/>
        <v>0</v>
      </c>
      <c r="N1530" s="241" t="s">
        <v>453</v>
      </c>
    </row>
    <row r="1531" spans="1:14" ht="15" customHeight="1">
      <c r="A1531" s="107">
        <v>1530</v>
      </c>
      <c r="B1531" s="231" t="s">
        <v>52</v>
      </c>
      <c r="C1531" s="231" t="s">
        <v>10</v>
      </c>
      <c r="D1531" s="237" t="s">
        <v>3251</v>
      </c>
      <c r="E1531" s="281">
        <v>0</v>
      </c>
      <c r="F1531" s="249">
        <v>300</v>
      </c>
      <c r="G1531" s="168">
        <f t="shared" si="222"/>
        <v>2.1142857142857143</v>
      </c>
      <c r="H1531" s="168">
        <f t="shared" si="223"/>
        <v>4.2285714285714286</v>
      </c>
      <c r="I1531" s="168">
        <f t="shared" si="224"/>
        <v>3.1714285714285713</v>
      </c>
      <c r="J1531" s="168">
        <f t="shared" si="225"/>
        <v>5.2857142857142856</v>
      </c>
      <c r="K1531" s="168">
        <f t="shared" si="226"/>
        <v>5.2857142857142856</v>
      </c>
      <c r="L1531" s="168">
        <f t="shared" si="227"/>
        <v>1.075</v>
      </c>
      <c r="M1531" s="168">
        <f t="shared" si="221"/>
        <v>0</v>
      </c>
      <c r="N1531" s="241" t="s">
        <v>453</v>
      </c>
    </row>
    <row r="1532" spans="1:14" ht="15" customHeight="1">
      <c r="A1532" s="107">
        <v>1531</v>
      </c>
      <c r="B1532" s="231" t="s">
        <v>52</v>
      </c>
      <c r="C1532" s="231" t="s">
        <v>10</v>
      </c>
      <c r="D1532" s="237" t="s">
        <v>3252</v>
      </c>
      <c r="E1532" s="281">
        <v>0</v>
      </c>
      <c r="F1532" s="249">
        <v>300</v>
      </c>
      <c r="G1532" s="168">
        <f t="shared" si="222"/>
        <v>2.1142857142857143</v>
      </c>
      <c r="H1532" s="168">
        <f t="shared" si="223"/>
        <v>4.2285714285714286</v>
      </c>
      <c r="I1532" s="168">
        <f t="shared" si="224"/>
        <v>3.1714285714285713</v>
      </c>
      <c r="J1532" s="168">
        <f t="shared" si="225"/>
        <v>5.2857142857142856</v>
      </c>
      <c r="K1532" s="168">
        <f t="shared" si="226"/>
        <v>5.2857142857142856</v>
      </c>
      <c r="L1532" s="168">
        <f t="shared" si="227"/>
        <v>1.075</v>
      </c>
      <c r="M1532" s="168">
        <f t="shared" si="221"/>
        <v>0</v>
      </c>
      <c r="N1532" s="241" t="s">
        <v>453</v>
      </c>
    </row>
    <row r="1533" spans="1:14" ht="15" customHeight="1">
      <c r="A1533" s="107">
        <v>1532</v>
      </c>
      <c r="B1533" s="231" t="s">
        <v>52</v>
      </c>
      <c r="C1533" s="231" t="s">
        <v>10</v>
      </c>
      <c r="D1533" s="237" t="s">
        <v>3253</v>
      </c>
      <c r="E1533" s="281">
        <v>0</v>
      </c>
      <c r="F1533" s="249">
        <v>300</v>
      </c>
      <c r="G1533" s="168">
        <f t="shared" si="222"/>
        <v>2.1142857142857143</v>
      </c>
      <c r="H1533" s="168">
        <f t="shared" si="223"/>
        <v>4.2285714285714286</v>
      </c>
      <c r="I1533" s="168">
        <f t="shared" si="224"/>
        <v>3.1714285714285713</v>
      </c>
      <c r="J1533" s="168">
        <f t="shared" si="225"/>
        <v>5.2857142857142856</v>
      </c>
      <c r="K1533" s="168">
        <f t="shared" si="226"/>
        <v>5.2857142857142856</v>
      </c>
      <c r="L1533" s="168">
        <f t="shared" si="227"/>
        <v>1.075</v>
      </c>
      <c r="M1533" s="168">
        <f t="shared" si="221"/>
        <v>0</v>
      </c>
      <c r="N1533" s="241" t="s">
        <v>453</v>
      </c>
    </row>
    <row r="1534" spans="1:14" ht="15" customHeight="1">
      <c r="A1534" s="107">
        <v>1533</v>
      </c>
      <c r="B1534" s="231" t="s">
        <v>52</v>
      </c>
      <c r="C1534" s="231" t="s">
        <v>10</v>
      </c>
      <c r="D1534" s="237" t="s">
        <v>3254</v>
      </c>
      <c r="E1534" s="281">
        <v>0</v>
      </c>
      <c r="F1534" s="249">
        <v>400</v>
      </c>
      <c r="G1534" s="168">
        <f t="shared" si="222"/>
        <v>2.6857142857142859</v>
      </c>
      <c r="H1534" s="168">
        <f t="shared" si="223"/>
        <v>5.3714285714285719</v>
      </c>
      <c r="I1534" s="168">
        <f t="shared" si="224"/>
        <v>4.0285714285714285</v>
      </c>
      <c r="J1534" s="168">
        <f t="shared" si="225"/>
        <v>6.7142857142857144</v>
      </c>
      <c r="K1534" s="168">
        <f t="shared" si="226"/>
        <v>6.7142857142857144</v>
      </c>
      <c r="L1534" s="168">
        <f t="shared" si="227"/>
        <v>1.1000000000000001</v>
      </c>
      <c r="M1534" s="168">
        <f t="shared" si="221"/>
        <v>0</v>
      </c>
      <c r="N1534" s="241" t="s">
        <v>453</v>
      </c>
    </row>
    <row r="1535" spans="1:14" ht="15" customHeight="1">
      <c r="A1535" s="107">
        <v>1534</v>
      </c>
      <c r="B1535" s="231" t="s">
        <v>52</v>
      </c>
      <c r="C1535" s="231" t="s">
        <v>10</v>
      </c>
      <c r="D1535" s="237" t="s">
        <v>3255</v>
      </c>
      <c r="E1535" s="281">
        <v>0</v>
      </c>
      <c r="F1535" s="249">
        <v>400</v>
      </c>
      <c r="G1535" s="168">
        <f t="shared" si="222"/>
        <v>2.6857142857142859</v>
      </c>
      <c r="H1535" s="168">
        <f t="shared" si="223"/>
        <v>5.3714285714285719</v>
      </c>
      <c r="I1535" s="168">
        <f t="shared" si="224"/>
        <v>4.0285714285714285</v>
      </c>
      <c r="J1535" s="168">
        <f t="shared" si="225"/>
        <v>6.7142857142857144</v>
      </c>
      <c r="K1535" s="168">
        <f t="shared" si="226"/>
        <v>6.7142857142857144</v>
      </c>
      <c r="L1535" s="168">
        <f t="shared" si="227"/>
        <v>1.1000000000000001</v>
      </c>
      <c r="M1535" s="168">
        <f t="shared" si="221"/>
        <v>0</v>
      </c>
      <c r="N1535" s="241" t="s">
        <v>453</v>
      </c>
    </row>
    <row r="1536" spans="1:14" ht="15" customHeight="1">
      <c r="A1536" s="107">
        <v>1535</v>
      </c>
      <c r="B1536" s="231" t="s">
        <v>52</v>
      </c>
      <c r="C1536" s="231" t="s">
        <v>10</v>
      </c>
      <c r="D1536" s="237" t="s">
        <v>3256</v>
      </c>
      <c r="E1536" s="281">
        <v>0</v>
      </c>
      <c r="F1536" s="249">
        <v>350</v>
      </c>
      <c r="G1536" s="168">
        <f t="shared" si="222"/>
        <v>2.4000000000000004</v>
      </c>
      <c r="H1536" s="168">
        <f t="shared" si="223"/>
        <v>4.8000000000000007</v>
      </c>
      <c r="I1536" s="168">
        <f t="shared" si="224"/>
        <v>3.5999999999999996</v>
      </c>
      <c r="J1536" s="168">
        <f t="shared" si="225"/>
        <v>6</v>
      </c>
      <c r="K1536" s="168">
        <f t="shared" si="226"/>
        <v>6</v>
      </c>
      <c r="L1536" s="168">
        <f t="shared" si="227"/>
        <v>1.0874999999999999</v>
      </c>
      <c r="M1536" s="168">
        <f t="shared" si="221"/>
        <v>0</v>
      </c>
      <c r="N1536" s="241" t="s">
        <v>453</v>
      </c>
    </row>
    <row r="1537" spans="1:14" ht="15" customHeight="1">
      <c r="A1537" s="107">
        <v>1536</v>
      </c>
      <c r="B1537" s="231" t="s">
        <v>52</v>
      </c>
      <c r="C1537" s="231" t="s">
        <v>10</v>
      </c>
      <c r="D1537" s="237" t="s">
        <v>3257</v>
      </c>
      <c r="E1537" s="281">
        <v>0</v>
      </c>
      <c r="F1537" s="249">
        <v>150</v>
      </c>
      <c r="G1537" s="168">
        <f t="shared" si="222"/>
        <v>1.2571428571428571</v>
      </c>
      <c r="H1537" s="168">
        <f t="shared" si="223"/>
        <v>2.5142857142857142</v>
      </c>
      <c r="I1537" s="168">
        <f t="shared" si="224"/>
        <v>1.8857142857142857</v>
      </c>
      <c r="J1537" s="168">
        <f t="shared" si="225"/>
        <v>3.1428571428571428</v>
      </c>
      <c r="K1537" s="168">
        <f t="shared" si="226"/>
        <v>3.1428571428571428</v>
      </c>
      <c r="L1537" s="168">
        <f t="shared" si="227"/>
        <v>1.0375000000000001</v>
      </c>
      <c r="M1537" s="168">
        <f t="shared" si="221"/>
        <v>0</v>
      </c>
      <c r="N1537" s="241" t="s">
        <v>453</v>
      </c>
    </row>
    <row r="1538" spans="1:14" ht="15" customHeight="1">
      <c r="A1538" s="107">
        <v>1537</v>
      </c>
      <c r="B1538" s="231" t="s">
        <v>52</v>
      </c>
      <c r="C1538" s="231" t="s">
        <v>10</v>
      </c>
      <c r="D1538" s="237" t="s">
        <v>3258</v>
      </c>
      <c r="E1538" s="281">
        <v>0</v>
      </c>
      <c r="F1538" s="249">
        <v>120</v>
      </c>
      <c r="G1538" s="168">
        <f t="shared" si="222"/>
        <v>1.0857142857142859</v>
      </c>
      <c r="H1538" s="168">
        <f t="shared" si="223"/>
        <v>2.1714285714285717</v>
      </c>
      <c r="I1538" s="168">
        <f t="shared" si="224"/>
        <v>1.6285714285714286</v>
      </c>
      <c r="J1538" s="168">
        <f t="shared" si="225"/>
        <v>2.7142857142857144</v>
      </c>
      <c r="K1538" s="168">
        <f t="shared" si="226"/>
        <v>2.7142857142857144</v>
      </c>
      <c r="L1538" s="168">
        <f t="shared" si="227"/>
        <v>1.03</v>
      </c>
      <c r="M1538" s="168">
        <f t="shared" ref="M1538:M1601" si="228">E1538/60</f>
        <v>0</v>
      </c>
      <c r="N1538" s="241" t="s">
        <v>453</v>
      </c>
    </row>
    <row r="1539" spans="1:14" ht="15" customHeight="1">
      <c r="A1539" s="107">
        <v>1538</v>
      </c>
      <c r="B1539" s="231" t="s">
        <v>52</v>
      </c>
      <c r="C1539" s="231" t="s">
        <v>10</v>
      </c>
      <c r="D1539" s="237" t="s">
        <v>3259</v>
      </c>
      <c r="E1539" s="281">
        <v>0</v>
      </c>
      <c r="F1539" s="249">
        <v>116</v>
      </c>
      <c r="G1539" s="168">
        <f t="shared" si="222"/>
        <v>1.0628571428571429</v>
      </c>
      <c r="H1539" s="168">
        <f t="shared" si="223"/>
        <v>2.1257142857142859</v>
      </c>
      <c r="I1539" s="168">
        <f t="shared" si="224"/>
        <v>1.5942857142857145</v>
      </c>
      <c r="J1539" s="168">
        <f t="shared" si="225"/>
        <v>2.6571428571428575</v>
      </c>
      <c r="K1539" s="168">
        <f t="shared" si="226"/>
        <v>2.6571428571428575</v>
      </c>
      <c r="L1539" s="168">
        <f t="shared" si="227"/>
        <v>1.0289999999999999</v>
      </c>
      <c r="M1539" s="168">
        <f t="shared" si="228"/>
        <v>0</v>
      </c>
      <c r="N1539" s="241" t="s">
        <v>453</v>
      </c>
    </row>
    <row r="1540" spans="1:14" ht="15" customHeight="1">
      <c r="A1540" s="107">
        <v>1539</v>
      </c>
      <c r="B1540" s="231" t="s">
        <v>52</v>
      </c>
      <c r="C1540" s="231" t="s">
        <v>10</v>
      </c>
      <c r="D1540" s="237" t="s">
        <v>3260</v>
      </c>
      <c r="E1540" s="281">
        <v>0</v>
      </c>
      <c r="F1540" s="249">
        <v>202</v>
      </c>
      <c r="G1540" s="168">
        <f t="shared" si="222"/>
        <v>1.5542857142857143</v>
      </c>
      <c r="H1540" s="168">
        <f t="shared" si="223"/>
        <v>3.1085714285714285</v>
      </c>
      <c r="I1540" s="168">
        <f t="shared" si="224"/>
        <v>2.3314285714285714</v>
      </c>
      <c r="J1540" s="168">
        <f t="shared" si="225"/>
        <v>3.8857142857142857</v>
      </c>
      <c r="K1540" s="168">
        <f t="shared" si="226"/>
        <v>3.8857142857142857</v>
      </c>
      <c r="L1540" s="168">
        <f t="shared" si="227"/>
        <v>1.0505</v>
      </c>
      <c r="M1540" s="168">
        <f t="shared" si="228"/>
        <v>0</v>
      </c>
      <c r="N1540" s="241" t="s">
        <v>453</v>
      </c>
    </row>
    <row r="1541" spans="1:14" ht="15" customHeight="1">
      <c r="A1541" s="107">
        <v>1540</v>
      </c>
      <c r="B1541" s="231" t="s">
        <v>55</v>
      </c>
      <c r="C1541" s="231" t="s">
        <v>10</v>
      </c>
      <c r="D1541" s="237" t="s">
        <v>3261</v>
      </c>
      <c r="E1541" s="281">
        <v>0</v>
      </c>
      <c r="F1541" s="249">
        <v>350</v>
      </c>
      <c r="G1541" s="168">
        <f t="shared" si="222"/>
        <v>2.4000000000000004</v>
      </c>
      <c r="H1541" s="168">
        <f t="shared" si="223"/>
        <v>4.8000000000000007</v>
      </c>
      <c r="I1541" s="168">
        <f t="shared" si="224"/>
        <v>3.5999999999999996</v>
      </c>
      <c r="J1541" s="168">
        <f t="shared" si="225"/>
        <v>6</v>
      </c>
      <c r="K1541" s="168">
        <f t="shared" si="226"/>
        <v>6</v>
      </c>
      <c r="L1541" s="168">
        <f t="shared" si="227"/>
        <v>1.0874999999999999</v>
      </c>
      <c r="M1541" s="168">
        <f t="shared" si="228"/>
        <v>0</v>
      </c>
      <c r="N1541" s="241" t="s">
        <v>453</v>
      </c>
    </row>
    <row r="1542" spans="1:14" ht="15" customHeight="1">
      <c r="A1542" s="107">
        <v>1541</v>
      </c>
      <c r="B1542" s="231" t="s">
        <v>52</v>
      </c>
      <c r="C1542" s="231" t="s">
        <v>10</v>
      </c>
      <c r="D1542" s="237" t="s">
        <v>3262</v>
      </c>
      <c r="E1542" s="281">
        <v>0</v>
      </c>
      <c r="F1542" s="249">
        <v>300</v>
      </c>
      <c r="G1542" s="168">
        <f t="shared" si="222"/>
        <v>2.1142857142857143</v>
      </c>
      <c r="H1542" s="168">
        <f t="shared" si="223"/>
        <v>4.2285714285714286</v>
      </c>
      <c r="I1542" s="168">
        <f t="shared" si="224"/>
        <v>3.1714285714285713</v>
      </c>
      <c r="J1542" s="168">
        <f t="shared" si="225"/>
        <v>5.2857142857142856</v>
      </c>
      <c r="K1542" s="168">
        <f t="shared" si="226"/>
        <v>5.2857142857142856</v>
      </c>
      <c r="L1542" s="168">
        <f t="shared" si="227"/>
        <v>1.075</v>
      </c>
      <c r="M1542" s="168">
        <f t="shared" si="228"/>
        <v>0</v>
      </c>
      <c r="N1542" s="241" t="s">
        <v>453</v>
      </c>
    </row>
    <row r="1543" spans="1:14" ht="15" customHeight="1">
      <c r="A1543" s="107">
        <v>1542</v>
      </c>
      <c r="B1543" s="231" t="s">
        <v>52</v>
      </c>
      <c r="C1543" s="231" t="s">
        <v>10</v>
      </c>
      <c r="D1543" s="237" t="s">
        <v>3263</v>
      </c>
      <c r="E1543" s="281">
        <v>0</v>
      </c>
      <c r="F1543" s="249">
        <v>300</v>
      </c>
      <c r="G1543" s="168">
        <f t="shared" si="222"/>
        <v>2.1142857142857143</v>
      </c>
      <c r="H1543" s="168">
        <f t="shared" si="223"/>
        <v>4.2285714285714286</v>
      </c>
      <c r="I1543" s="168">
        <f t="shared" si="224"/>
        <v>3.1714285714285713</v>
      </c>
      <c r="J1543" s="168">
        <f t="shared" si="225"/>
        <v>5.2857142857142856</v>
      </c>
      <c r="K1543" s="168">
        <f t="shared" si="226"/>
        <v>5.2857142857142856</v>
      </c>
      <c r="L1543" s="168">
        <f t="shared" si="227"/>
        <v>1.075</v>
      </c>
      <c r="M1543" s="168">
        <f t="shared" si="228"/>
        <v>0</v>
      </c>
      <c r="N1543" s="241" t="s">
        <v>453</v>
      </c>
    </row>
    <row r="1544" spans="1:14" ht="15" customHeight="1">
      <c r="A1544" s="107">
        <v>1543</v>
      </c>
      <c r="B1544" s="231" t="s">
        <v>52</v>
      </c>
      <c r="C1544" s="231" t="s">
        <v>10</v>
      </c>
      <c r="D1544" s="237" t="s">
        <v>3264</v>
      </c>
      <c r="E1544" s="281">
        <v>0</v>
      </c>
      <c r="F1544" s="249">
        <v>300</v>
      </c>
      <c r="G1544" s="168">
        <f t="shared" si="222"/>
        <v>2.1142857142857143</v>
      </c>
      <c r="H1544" s="168">
        <f t="shared" si="223"/>
        <v>4.2285714285714286</v>
      </c>
      <c r="I1544" s="168">
        <f t="shared" si="224"/>
        <v>3.1714285714285713</v>
      </c>
      <c r="J1544" s="168">
        <f t="shared" si="225"/>
        <v>5.2857142857142856</v>
      </c>
      <c r="K1544" s="168">
        <f t="shared" si="226"/>
        <v>5.2857142857142856</v>
      </c>
      <c r="L1544" s="168">
        <f t="shared" si="227"/>
        <v>1.075</v>
      </c>
      <c r="M1544" s="168">
        <f t="shared" si="228"/>
        <v>0</v>
      </c>
      <c r="N1544" s="241" t="s">
        <v>453</v>
      </c>
    </row>
    <row r="1545" spans="1:14" ht="15" customHeight="1">
      <c r="A1545" s="107">
        <v>1544</v>
      </c>
      <c r="B1545" s="231" t="s">
        <v>52</v>
      </c>
      <c r="C1545" s="231" t="s">
        <v>10</v>
      </c>
      <c r="D1545" s="237" t="s">
        <v>3265</v>
      </c>
      <c r="E1545" s="281">
        <v>0</v>
      </c>
      <c r="F1545" s="249">
        <v>64</v>
      </c>
      <c r="G1545" s="168">
        <f t="shared" si="222"/>
        <v>0.76571428571428568</v>
      </c>
      <c r="H1545" s="168">
        <f t="shared" si="223"/>
        <v>1.5314285714285714</v>
      </c>
      <c r="I1545" s="168">
        <f t="shared" si="224"/>
        <v>1.1485714285714284</v>
      </c>
      <c r="J1545" s="168">
        <f t="shared" si="225"/>
        <v>1.9142857142857141</v>
      </c>
      <c r="K1545" s="168">
        <f t="shared" si="226"/>
        <v>1.9142857142857141</v>
      </c>
      <c r="L1545" s="168">
        <f t="shared" si="227"/>
        <v>1.016</v>
      </c>
      <c r="M1545" s="168">
        <f t="shared" si="228"/>
        <v>0</v>
      </c>
      <c r="N1545" s="241" t="s">
        <v>453</v>
      </c>
    </row>
    <row r="1546" spans="1:14" ht="15" customHeight="1">
      <c r="A1546" s="107">
        <v>1545</v>
      </c>
      <c r="B1546" s="231" t="s">
        <v>52</v>
      </c>
      <c r="C1546" s="231" t="s">
        <v>10</v>
      </c>
      <c r="D1546" s="237" t="s">
        <v>3266</v>
      </c>
      <c r="E1546" s="281">
        <v>0</v>
      </c>
      <c r="F1546" s="249">
        <v>400</v>
      </c>
      <c r="G1546" s="168">
        <f t="shared" si="222"/>
        <v>2.6857142857142859</v>
      </c>
      <c r="H1546" s="168">
        <f t="shared" si="223"/>
        <v>5.3714285714285719</v>
      </c>
      <c r="I1546" s="168">
        <f t="shared" si="224"/>
        <v>4.0285714285714285</v>
      </c>
      <c r="J1546" s="168">
        <f t="shared" si="225"/>
        <v>6.7142857142857144</v>
      </c>
      <c r="K1546" s="168">
        <f t="shared" si="226"/>
        <v>6.7142857142857144</v>
      </c>
      <c r="L1546" s="168">
        <f t="shared" si="227"/>
        <v>1.1000000000000001</v>
      </c>
      <c r="M1546" s="168">
        <f t="shared" si="228"/>
        <v>0</v>
      </c>
      <c r="N1546" s="241" t="s">
        <v>453</v>
      </c>
    </row>
    <row r="1547" spans="1:14" ht="15" customHeight="1">
      <c r="A1547" s="107">
        <v>1546</v>
      </c>
      <c r="B1547" s="231" t="s">
        <v>52</v>
      </c>
      <c r="C1547" s="231" t="s">
        <v>10</v>
      </c>
      <c r="D1547" s="237" t="s">
        <v>3267</v>
      </c>
      <c r="E1547" s="281">
        <v>0</v>
      </c>
      <c r="F1547" s="249">
        <v>120</v>
      </c>
      <c r="G1547" s="168">
        <f t="shared" si="222"/>
        <v>1.0857142857142859</v>
      </c>
      <c r="H1547" s="168">
        <f t="shared" si="223"/>
        <v>2.1714285714285717</v>
      </c>
      <c r="I1547" s="168">
        <f t="shared" si="224"/>
        <v>1.6285714285714286</v>
      </c>
      <c r="J1547" s="168">
        <f t="shared" si="225"/>
        <v>2.7142857142857144</v>
      </c>
      <c r="K1547" s="168">
        <f t="shared" si="226"/>
        <v>2.7142857142857144</v>
      </c>
      <c r="L1547" s="168">
        <f t="shared" si="227"/>
        <v>1.03</v>
      </c>
      <c r="M1547" s="168">
        <f t="shared" si="228"/>
        <v>0</v>
      </c>
      <c r="N1547" s="241" t="s">
        <v>453</v>
      </c>
    </row>
    <row r="1548" spans="1:14" ht="15" customHeight="1">
      <c r="A1548" s="107">
        <v>1547</v>
      </c>
      <c r="B1548" s="231" t="s">
        <v>52</v>
      </c>
      <c r="C1548" s="231" t="s">
        <v>10</v>
      </c>
      <c r="D1548" s="237" t="s">
        <v>3268</v>
      </c>
      <c r="E1548" s="281">
        <v>0</v>
      </c>
      <c r="F1548" s="249">
        <v>350</v>
      </c>
      <c r="G1548" s="168">
        <f t="shared" si="222"/>
        <v>2.4000000000000004</v>
      </c>
      <c r="H1548" s="168">
        <f t="shared" si="223"/>
        <v>4.8000000000000007</v>
      </c>
      <c r="I1548" s="168">
        <f t="shared" si="224"/>
        <v>3.5999999999999996</v>
      </c>
      <c r="J1548" s="168">
        <f t="shared" si="225"/>
        <v>6</v>
      </c>
      <c r="K1548" s="168">
        <f t="shared" si="226"/>
        <v>6</v>
      </c>
      <c r="L1548" s="168">
        <f t="shared" si="227"/>
        <v>1.0874999999999999</v>
      </c>
      <c r="M1548" s="168">
        <f t="shared" si="228"/>
        <v>0</v>
      </c>
      <c r="N1548" s="241" t="s">
        <v>453</v>
      </c>
    </row>
    <row r="1549" spans="1:14" ht="15" customHeight="1">
      <c r="A1549" s="107">
        <v>1548</v>
      </c>
      <c r="B1549" s="231" t="s">
        <v>52</v>
      </c>
      <c r="C1549" s="231" t="s">
        <v>10</v>
      </c>
      <c r="D1549" s="237" t="s">
        <v>3269</v>
      </c>
      <c r="E1549" s="281">
        <v>0</v>
      </c>
      <c r="F1549" s="249">
        <v>650</v>
      </c>
      <c r="G1549" s="168">
        <f t="shared" si="222"/>
        <v>4.1142857142857148</v>
      </c>
      <c r="H1549" s="168">
        <f t="shared" si="223"/>
        <v>8.2285714285714295</v>
      </c>
      <c r="I1549" s="168">
        <f t="shared" si="224"/>
        <v>6.1714285714285717</v>
      </c>
      <c r="J1549" s="168">
        <f t="shared" si="225"/>
        <v>10.285714285714286</v>
      </c>
      <c r="K1549" s="168">
        <f t="shared" si="226"/>
        <v>10.285714285714286</v>
      </c>
      <c r="L1549" s="168">
        <f t="shared" si="227"/>
        <v>1.1625000000000001</v>
      </c>
      <c r="M1549" s="168">
        <f t="shared" si="228"/>
        <v>0</v>
      </c>
      <c r="N1549" s="241" t="s">
        <v>453</v>
      </c>
    </row>
    <row r="1550" spans="1:14" ht="15" customHeight="1">
      <c r="A1550" s="107">
        <v>1549</v>
      </c>
      <c r="B1550" s="231" t="s">
        <v>49</v>
      </c>
      <c r="C1550" s="231" t="s">
        <v>10</v>
      </c>
      <c r="D1550" s="237" t="s">
        <v>3270</v>
      </c>
      <c r="E1550" s="281">
        <v>0</v>
      </c>
      <c r="F1550" s="249">
        <v>300</v>
      </c>
      <c r="G1550" s="168">
        <f t="shared" si="222"/>
        <v>2.1142857142857143</v>
      </c>
      <c r="H1550" s="168">
        <f t="shared" si="223"/>
        <v>4.2285714285714286</v>
      </c>
      <c r="I1550" s="168">
        <f t="shared" si="224"/>
        <v>3.1714285714285713</v>
      </c>
      <c r="J1550" s="168">
        <f t="shared" si="225"/>
        <v>5.2857142857142856</v>
      </c>
      <c r="K1550" s="168">
        <f t="shared" si="226"/>
        <v>5.2857142857142856</v>
      </c>
      <c r="L1550" s="168">
        <f t="shared" si="227"/>
        <v>1.075</v>
      </c>
      <c r="M1550" s="168">
        <f t="shared" si="228"/>
        <v>0</v>
      </c>
      <c r="N1550" s="241" t="s">
        <v>453</v>
      </c>
    </row>
    <row r="1551" spans="1:14" ht="15" customHeight="1">
      <c r="A1551" s="107">
        <v>1550</v>
      </c>
      <c r="B1551" s="231" t="s">
        <v>59</v>
      </c>
      <c r="C1551" s="231" t="s">
        <v>11</v>
      </c>
      <c r="D1551" s="237" t="s">
        <v>3271</v>
      </c>
      <c r="E1551" s="281">
        <v>0</v>
      </c>
      <c r="F1551" s="249">
        <v>700</v>
      </c>
      <c r="G1551" s="168">
        <f t="shared" si="222"/>
        <v>4.4000000000000004</v>
      </c>
      <c r="H1551" s="168">
        <f t="shared" si="223"/>
        <v>8.8000000000000007</v>
      </c>
      <c r="I1551" s="168">
        <f t="shared" si="224"/>
        <v>6.6</v>
      </c>
      <c r="J1551" s="168">
        <f t="shared" si="225"/>
        <v>11</v>
      </c>
      <c r="K1551" s="168">
        <f t="shared" si="226"/>
        <v>11</v>
      </c>
      <c r="L1551" s="168">
        <f t="shared" si="227"/>
        <v>1.175</v>
      </c>
      <c r="M1551" s="168">
        <f t="shared" si="228"/>
        <v>0</v>
      </c>
      <c r="N1551" s="241" t="s">
        <v>453</v>
      </c>
    </row>
    <row r="1552" spans="1:14" ht="15" customHeight="1">
      <c r="A1552" s="107">
        <v>1551</v>
      </c>
      <c r="B1552" s="281" t="s">
        <v>52</v>
      </c>
      <c r="C1552" s="231" t="s">
        <v>10</v>
      </c>
      <c r="D1552" s="328" t="s">
        <v>4722</v>
      </c>
      <c r="E1552" s="281">
        <v>0</v>
      </c>
      <c r="F1552" s="249">
        <v>800</v>
      </c>
      <c r="G1552" s="168">
        <f t="shared" si="222"/>
        <v>4.9714285714285715</v>
      </c>
      <c r="H1552" s="168">
        <f t="shared" si="223"/>
        <v>9.9428571428571431</v>
      </c>
      <c r="I1552" s="168">
        <f t="shared" si="224"/>
        <v>7.4571428571428573</v>
      </c>
      <c r="J1552" s="168">
        <f t="shared" si="225"/>
        <v>12.428571428571429</v>
      </c>
      <c r="K1552" s="168">
        <f t="shared" si="226"/>
        <v>12.428571428571429</v>
      </c>
      <c r="L1552" s="168">
        <f t="shared" si="227"/>
        <v>1.2</v>
      </c>
      <c r="M1552" s="168">
        <f t="shared" si="228"/>
        <v>0</v>
      </c>
      <c r="N1552" s="241" t="s">
        <v>453</v>
      </c>
    </row>
    <row r="1553" spans="1:14" ht="15" customHeight="1">
      <c r="A1553" s="107">
        <v>1552</v>
      </c>
      <c r="B1553" s="231" t="s">
        <v>55</v>
      </c>
      <c r="C1553" s="231" t="s">
        <v>10</v>
      </c>
      <c r="D1553" s="237" t="s">
        <v>3272</v>
      </c>
      <c r="E1553" s="281">
        <v>0</v>
      </c>
      <c r="F1553" s="249">
        <v>1200</v>
      </c>
      <c r="G1553" s="168">
        <f t="shared" si="222"/>
        <v>7.2571428571428571</v>
      </c>
      <c r="H1553" s="168">
        <f t="shared" si="223"/>
        <v>14.514285714285714</v>
      </c>
      <c r="I1553" s="168">
        <f t="shared" si="224"/>
        <v>10.885714285714284</v>
      </c>
      <c r="J1553" s="168">
        <f t="shared" si="225"/>
        <v>18.142857142857142</v>
      </c>
      <c r="K1553" s="168">
        <f t="shared" si="226"/>
        <v>18.142857142857142</v>
      </c>
      <c r="L1553" s="168">
        <f t="shared" si="227"/>
        <v>1.3</v>
      </c>
      <c r="M1553" s="168">
        <f t="shared" si="228"/>
        <v>0</v>
      </c>
      <c r="N1553" s="241" t="s">
        <v>453</v>
      </c>
    </row>
    <row r="1554" spans="1:14" ht="15" customHeight="1">
      <c r="A1554" s="107">
        <v>1553</v>
      </c>
      <c r="B1554" s="231" t="s">
        <v>53</v>
      </c>
      <c r="C1554" s="231" t="s">
        <v>10</v>
      </c>
      <c r="D1554" s="237" t="s">
        <v>3273</v>
      </c>
      <c r="E1554" s="281">
        <v>0</v>
      </c>
      <c r="F1554" s="249">
        <v>1000</v>
      </c>
      <c r="G1554" s="168">
        <f t="shared" si="222"/>
        <v>6.1142857142857148</v>
      </c>
      <c r="H1554" s="168">
        <f t="shared" si="223"/>
        <v>12.22857142857143</v>
      </c>
      <c r="I1554" s="168">
        <f t="shared" si="224"/>
        <v>9.1714285714285708</v>
      </c>
      <c r="J1554" s="168">
        <f t="shared" si="225"/>
        <v>15.285714285714285</v>
      </c>
      <c r="K1554" s="168">
        <f t="shared" si="226"/>
        <v>15.285714285714285</v>
      </c>
      <c r="L1554" s="168">
        <f t="shared" si="227"/>
        <v>1.25</v>
      </c>
      <c r="M1554" s="168">
        <f t="shared" si="228"/>
        <v>0</v>
      </c>
      <c r="N1554" s="241" t="s">
        <v>453</v>
      </c>
    </row>
    <row r="1555" spans="1:14" ht="15" customHeight="1">
      <c r="A1555" s="107">
        <v>1554</v>
      </c>
      <c r="B1555" s="231" t="s">
        <v>52</v>
      </c>
      <c r="C1555" s="231" t="s">
        <v>10</v>
      </c>
      <c r="D1555" s="237" t="s">
        <v>3274</v>
      </c>
      <c r="E1555" s="281">
        <v>0</v>
      </c>
      <c r="F1555" s="249">
        <v>250</v>
      </c>
      <c r="G1555" s="168">
        <f t="shared" si="222"/>
        <v>1.8285714285714285</v>
      </c>
      <c r="H1555" s="168">
        <f t="shared" si="223"/>
        <v>3.657142857142857</v>
      </c>
      <c r="I1555" s="168">
        <f t="shared" si="224"/>
        <v>2.7428571428571424</v>
      </c>
      <c r="J1555" s="168">
        <f t="shared" si="225"/>
        <v>4.5714285714285712</v>
      </c>
      <c r="K1555" s="168">
        <f t="shared" si="226"/>
        <v>4.5714285714285712</v>
      </c>
      <c r="L1555" s="168">
        <f t="shared" si="227"/>
        <v>1.0625</v>
      </c>
      <c r="M1555" s="168">
        <f t="shared" si="228"/>
        <v>0</v>
      </c>
      <c r="N1555" s="241" t="s">
        <v>453</v>
      </c>
    </row>
    <row r="1556" spans="1:14" ht="15" customHeight="1">
      <c r="A1556" s="107">
        <v>1555</v>
      </c>
      <c r="B1556" s="231" t="s">
        <v>49</v>
      </c>
      <c r="C1556" s="231" t="s">
        <v>10</v>
      </c>
      <c r="D1556" s="237" t="s">
        <v>3275</v>
      </c>
      <c r="E1556" s="281">
        <v>0</v>
      </c>
      <c r="F1556" s="249">
        <v>350</v>
      </c>
      <c r="G1556" s="168">
        <f t="shared" si="222"/>
        <v>2.4000000000000004</v>
      </c>
      <c r="H1556" s="168">
        <f t="shared" si="223"/>
        <v>4.8000000000000007</v>
      </c>
      <c r="I1556" s="168">
        <f t="shared" si="224"/>
        <v>3.5999999999999996</v>
      </c>
      <c r="J1556" s="168">
        <f t="shared" si="225"/>
        <v>6</v>
      </c>
      <c r="K1556" s="168">
        <f t="shared" si="226"/>
        <v>6</v>
      </c>
      <c r="L1556" s="168">
        <f t="shared" si="227"/>
        <v>1.0874999999999999</v>
      </c>
      <c r="M1556" s="168">
        <f t="shared" si="228"/>
        <v>0</v>
      </c>
      <c r="N1556" s="241" t="s">
        <v>453</v>
      </c>
    </row>
    <row r="1557" spans="1:14" ht="15" customHeight="1">
      <c r="A1557" s="107">
        <v>1556</v>
      </c>
      <c r="B1557" s="231" t="s">
        <v>52</v>
      </c>
      <c r="C1557" s="231" t="s">
        <v>10</v>
      </c>
      <c r="D1557" s="237" t="s">
        <v>3277</v>
      </c>
      <c r="E1557" s="281">
        <v>0</v>
      </c>
      <c r="F1557" s="249">
        <v>350</v>
      </c>
      <c r="G1557" s="168">
        <f t="shared" si="222"/>
        <v>2.4000000000000004</v>
      </c>
      <c r="H1557" s="168">
        <f t="shared" si="223"/>
        <v>4.8000000000000007</v>
      </c>
      <c r="I1557" s="168">
        <f t="shared" si="224"/>
        <v>3.5999999999999996</v>
      </c>
      <c r="J1557" s="168">
        <f t="shared" si="225"/>
        <v>6</v>
      </c>
      <c r="K1557" s="168">
        <f t="shared" si="226"/>
        <v>6</v>
      </c>
      <c r="L1557" s="168">
        <f t="shared" si="227"/>
        <v>1.0874999999999999</v>
      </c>
      <c r="M1557" s="168">
        <f t="shared" si="228"/>
        <v>0</v>
      </c>
      <c r="N1557" s="241" t="s">
        <v>453</v>
      </c>
    </row>
    <row r="1558" spans="1:14" ht="15" customHeight="1">
      <c r="A1558" s="107">
        <v>1557</v>
      </c>
      <c r="B1558" s="231" t="s">
        <v>52</v>
      </c>
      <c r="C1558" s="231" t="s">
        <v>10</v>
      </c>
      <c r="D1558" s="237" t="s">
        <v>3278</v>
      </c>
      <c r="E1558" s="281">
        <v>300</v>
      </c>
      <c r="F1558" s="249">
        <v>600</v>
      </c>
      <c r="G1558" s="168">
        <f t="shared" si="222"/>
        <v>3.8285714285714287</v>
      </c>
      <c r="H1558" s="168">
        <f t="shared" si="223"/>
        <v>7.6571428571428575</v>
      </c>
      <c r="I1558" s="168">
        <f t="shared" si="224"/>
        <v>5.7428571428571429</v>
      </c>
      <c r="J1558" s="168">
        <f t="shared" si="225"/>
        <v>9.5714285714285712</v>
      </c>
      <c r="K1558" s="168">
        <f t="shared" si="226"/>
        <v>9.5714285714285712</v>
      </c>
      <c r="L1558" s="168">
        <f t="shared" si="227"/>
        <v>1.1499999999999999</v>
      </c>
      <c r="M1558" s="168">
        <f t="shared" si="228"/>
        <v>5</v>
      </c>
      <c r="N1558" s="241" t="s">
        <v>453</v>
      </c>
    </row>
    <row r="1559" spans="1:14" ht="15" customHeight="1">
      <c r="A1559" s="107">
        <v>1558</v>
      </c>
      <c r="B1559" s="231" t="s">
        <v>52</v>
      </c>
      <c r="C1559" s="231" t="s">
        <v>10</v>
      </c>
      <c r="D1559" s="237" t="s">
        <v>3280</v>
      </c>
      <c r="E1559" s="281">
        <v>0</v>
      </c>
      <c r="F1559" s="249">
        <v>500</v>
      </c>
      <c r="G1559" s="168">
        <f t="shared" si="222"/>
        <v>3.2571428571428571</v>
      </c>
      <c r="H1559" s="168">
        <f t="shared" si="223"/>
        <v>6.5142857142857142</v>
      </c>
      <c r="I1559" s="168">
        <f t="shared" si="224"/>
        <v>4.8857142857142852</v>
      </c>
      <c r="J1559" s="168">
        <f t="shared" si="225"/>
        <v>8.1428571428571423</v>
      </c>
      <c r="K1559" s="168">
        <f t="shared" si="226"/>
        <v>8.1428571428571423</v>
      </c>
      <c r="L1559" s="168">
        <f t="shared" si="227"/>
        <v>1.125</v>
      </c>
      <c r="M1559" s="168">
        <f t="shared" si="228"/>
        <v>0</v>
      </c>
      <c r="N1559" s="241" t="s">
        <v>453</v>
      </c>
    </row>
    <row r="1560" spans="1:14" ht="15" customHeight="1">
      <c r="A1560" s="107">
        <v>1559</v>
      </c>
      <c r="B1560" s="231" t="s">
        <v>52</v>
      </c>
      <c r="C1560" s="231" t="s">
        <v>10</v>
      </c>
      <c r="D1560" s="237" t="s">
        <v>3281</v>
      </c>
      <c r="E1560" s="281">
        <v>0</v>
      </c>
      <c r="F1560" s="249">
        <v>350</v>
      </c>
      <c r="G1560" s="168">
        <f t="shared" si="222"/>
        <v>2.4000000000000004</v>
      </c>
      <c r="H1560" s="168">
        <f t="shared" si="223"/>
        <v>4.8000000000000007</v>
      </c>
      <c r="I1560" s="168">
        <f t="shared" si="224"/>
        <v>3.5999999999999996</v>
      </c>
      <c r="J1560" s="168">
        <f t="shared" si="225"/>
        <v>6</v>
      </c>
      <c r="K1560" s="168">
        <f t="shared" si="226"/>
        <v>6</v>
      </c>
      <c r="L1560" s="168">
        <f t="shared" si="227"/>
        <v>1.0874999999999999</v>
      </c>
      <c r="M1560" s="168">
        <f t="shared" si="228"/>
        <v>0</v>
      </c>
      <c r="N1560" s="241" t="s">
        <v>453</v>
      </c>
    </row>
    <row r="1561" spans="1:14" ht="15" customHeight="1">
      <c r="A1561" s="107">
        <v>1560</v>
      </c>
      <c r="B1561" s="231" t="s">
        <v>52</v>
      </c>
      <c r="C1561" s="231" t="s">
        <v>10</v>
      </c>
      <c r="D1561" s="237" t="s">
        <v>3282</v>
      </c>
      <c r="E1561" s="281">
        <v>0</v>
      </c>
      <c r="F1561" s="249">
        <v>300</v>
      </c>
      <c r="G1561" s="168">
        <f t="shared" si="222"/>
        <v>2.1142857142857143</v>
      </c>
      <c r="H1561" s="168">
        <f t="shared" si="223"/>
        <v>4.2285714285714286</v>
      </c>
      <c r="I1561" s="168">
        <f t="shared" si="224"/>
        <v>3.1714285714285713</v>
      </c>
      <c r="J1561" s="168">
        <f t="shared" si="225"/>
        <v>5.2857142857142856</v>
      </c>
      <c r="K1561" s="168">
        <f t="shared" si="226"/>
        <v>5.2857142857142856</v>
      </c>
      <c r="L1561" s="168">
        <f t="shared" si="227"/>
        <v>1.075</v>
      </c>
      <c r="M1561" s="168">
        <f t="shared" si="228"/>
        <v>0</v>
      </c>
      <c r="N1561" s="241" t="s">
        <v>453</v>
      </c>
    </row>
    <row r="1562" spans="1:14" ht="15" customHeight="1">
      <c r="A1562" s="107">
        <v>1561</v>
      </c>
      <c r="B1562" s="231" t="s">
        <v>55</v>
      </c>
      <c r="C1562" s="231" t="s">
        <v>10</v>
      </c>
      <c r="D1562" s="237" t="s">
        <v>3283</v>
      </c>
      <c r="E1562" s="281">
        <v>0</v>
      </c>
      <c r="F1562" s="249">
        <v>650</v>
      </c>
      <c r="G1562" s="168">
        <f t="shared" si="222"/>
        <v>4.1142857142857148</v>
      </c>
      <c r="H1562" s="168">
        <f t="shared" si="223"/>
        <v>8.2285714285714295</v>
      </c>
      <c r="I1562" s="168">
        <f t="shared" si="224"/>
        <v>6.1714285714285717</v>
      </c>
      <c r="J1562" s="168">
        <f t="shared" si="225"/>
        <v>10.285714285714286</v>
      </c>
      <c r="K1562" s="168">
        <f t="shared" si="226"/>
        <v>10.285714285714286</v>
      </c>
      <c r="L1562" s="168">
        <f t="shared" si="227"/>
        <v>1.1625000000000001</v>
      </c>
      <c r="M1562" s="168">
        <f t="shared" si="228"/>
        <v>0</v>
      </c>
      <c r="N1562" s="241" t="s">
        <v>453</v>
      </c>
    </row>
    <row r="1563" spans="1:14" ht="15" customHeight="1">
      <c r="A1563" s="107">
        <v>1562</v>
      </c>
      <c r="B1563" s="231" t="s">
        <v>52</v>
      </c>
      <c r="C1563" s="231" t="s">
        <v>10</v>
      </c>
      <c r="D1563" s="237" t="s">
        <v>3284</v>
      </c>
      <c r="E1563" s="281">
        <v>0</v>
      </c>
      <c r="F1563" s="249">
        <v>650</v>
      </c>
      <c r="G1563" s="168">
        <f t="shared" si="222"/>
        <v>4.1142857142857148</v>
      </c>
      <c r="H1563" s="168">
        <f t="shared" si="223"/>
        <v>8.2285714285714295</v>
      </c>
      <c r="I1563" s="168">
        <f t="shared" si="224"/>
        <v>6.1714285714285717</v>
      </c>
      <c r="J1563" s="168">
        <f t="shared" si="225"/>
        <v>10.285714285714286</v>
      </c>
      <c r="K1563" s="168">
        <f t="shared" si="226"/>
        <v>10.285714285714286</v>
      </c>
      <c r="L1563" s="168">
        <f t="shared" si="227"/>
        <v>1.1625000000000001</v>
      </c>
      <c r="M1563" s="168">
        <f t="shared" si="228"/>
        <v>0</v>
      </c>
      <c r="N1563" s="241" t="s">
        <v>453</v>
      </c>
    </row>
    <row r="1564" spans="1:14" ht="15" customHeight="1">
      <c r="A1564" s="107">
        <v>1563</v>
      </c>
      <c r="B1564" s="231" t="s">
        <v>52</v>
      </c>
      <c r="C1564" s="231" t="s">
        <v>10</v>
      </c>
      <c r="D1564" s="237" t="s">
        <v>3285</v>
      </c>
      <c r="E1564" s="281">
        <v>0</v>
      </c>
      <c r="F1564" s="249">
        <v>750</v>
      </c>
      <c r="G1564" s="168">
        <f t="shared" si="222"/>
        <v>4.6857142857142859</v>
      </c>
      <c r="H1564" s="168">
        <f t="shared" si="223"/>
        <v>9.3714285714285719</v>
      </c>
      <c r="I1564" s="168">
        <f t="shared" si="224"/>
        <v>7.0285714285714276</v>
      </c>
      <c r="J1564" s="168">
        <f t="shared" si="225"/>
        <v>11.714285714285714</v>
      </c>
      <c r="K1564" s="168">
        <f t="shared" si="226"/>
        <v>11.714285714285714</v>
      </c>
      <c r="L1564" s="168">
        <f t="shared" si="227"/>
        <v>1.1875</v>
      </c>
      <c r="M1564" s="168">
        <f t="shared" si="228"/>
        <v>0</v>
      </c>
      <c r="N1564" s="241" t="s">
        <v>453</v>
      </c>
    </row>
    <row r="1565" spans="1:14" ht="15" customHeight="1">
      <c r="A1565" s="107">
        <v>1564</v>
      </c>
      <c r="B1565" s="231" t="s">
        <v>52</v>
      </c>
      <c r="C1565" s="231" t="s">
        <v>10</v>
      </c>
      <c r="D1565" s="237" t="s">
        <v>3286</v>
      </c>
      <c r="E1565" s="281">
        <v>0</v>
      </c>
      <c r="F1565" s="249">
        <v>3500</v>
      </c>
      <c r="G1565" s="168">
        <f t="shared" si="222"/>
        <v>20.400000000000002</v>
      </c>
      <c r="H1565" s="168">
        <f t="shared" si="223"/>
        <v>40.800000000000004</v>
      </c>
      <c r="I1565" s="168">
        <f t="shared" si="224"/>
        <v>30.599999999999998</v>
      </c>
      <c r="J1565" s="168">
        <f t="shared" si="225"/>
        <v>51</v>
      </c>
      <c r="K1565" s="168">
        <f t="shared" si="226"/>
        <v>51</v>
      </c>
      <c r="L1565" s="168">
        <f t="shared" si="227"/>
        <v>1.875</v>
      </c>
      <c r="M1565" s="168">
        <f t="shared" si="228"/>
        <v>0</v>
      </c>
      <c r="N1565" s="241" t="s">
        <v>453</v>
      </c>
    </row>
    <row r="1566" spans="1:14" ht="15" customHeight="1">
      <c r="A1566" s="107">
        <v>1565</v>
      </c>
      <c r="B1566" s="231" t="s">
        <v>52</v>
      </c>
      <c r="C1566" s="231" t="s">
        <v>10</v>
      </c>
      <c r="D1566" s="237" t="s">
        <v>3287</v>
      </c>
      <c r="E1566" s="281">
        <v>350</v>
      </c>
      <c r="F1566" s="249">
        <v>4350</v>
      </c>
      <c r="G1566" s="168">
        <f t="shared" si="222"/>
        <v>25.25714285714286</v>
      </c>
      <c r="H1566" s="168">
        <f t="shared" si="223"/>
        <v>50.51428571428572</v>
      </c>
      <c r="I1566" s="168">
        <f t="shared" si="224"/>
        <v>37.885714285714286</v>
      </c>
      <c r="J1566" s="168">
        <f t="shared" si="225"/>
        <v>63.142857142857146</v>
      </c>
      <c r="K1566" s="168">
        <f t="shared" si="226"/>
        <v>63.142857142857146</v>
      </c>
      <c r="L1566" s="168">
        <f t="shared" si="227"/>
        <v>2.0874999999999999</v>
      </c>
      <c r="M1566" s="168">
        <f t="shared" si="228"/>
        <v>5.833333333333333</v>
      </c>
      <c r="N1566" s="241" t="s">
        <v>453</v>
      </c>
    </row>
    <row r="1567" spans="1:14" ht="15" customHeight="1">
      <c r="A1567" s="107">
        <v>1566</v>
      </c>
      <c r="B1567" s="231" t="s">
        <v>52</v>
      </c>
      <c r="C1567" s="231" t="s">
        <v>10</v>
      </c>
      <c r="D1567" s="237" t="s">
        <v>3288</v>
      </c>
      <c r="E1567" s="281">
        <v>0</v>
      </c>
      <c r="F1567" s="249">
        <v>2000</v>
      </c>
      <c r="G1567" s="168">
        <f t="shared" si="222"/>
        <v>11.828571428571429</v>
      </c>
      <c r="H1567" s="168">
        <f t="shared" si="223"/>
        <v>23.657142857142858</v>
      </c>
      <c r="I1567" s="168">
        <f t="shared" si="224"/>
        <v>17.742857142857144</v>
      </c>
      <c r="J1567" s="168">
        <f t="shared" si="225"/>
        <v>29.571428571428573</v>
      </c>
      <c r="K1567" s="168">
        <f t="shared" si="226"/>
        <v>29.571428571428573</v>
      </c>
      <c r="L1567" s="168">
        <f t="shared" si="227"/>
        <v>1.5</v>
      </c>
      <c r="M1567" s="168">
        <f t="shared" si="228"/>
        <v>0</v>
      </c>
      <c r="N1567" s="241" t="s">
        <v>453</v>
      </c>
    </row>
    <row r="1568" spans="1:14" ht="15" customHeight="1">
      <c r="A1568" s="107">
        <v>1567</v>
      </c>
      <c r="B1568" s="231" t="s">
        <v>59</v>
      </c>
      <c r="C1568" s="231" t="s">
        <v>11</v>
      </c>
      <c r="D1568" s="237" t="s">
        <v>3289</v>
      </c>
      <c r="E1568" s="281">
        <v>0</v>
      </c>
      <c r="F1568" s="249">
        <v>650</v>
      </c>
      <c r="G1568" s="168">
        <f t="shared" ref="G1568:G1584" si="229">(((F1568/70)+1)*0.4)</f>
        <v>4.1142857142857148</v>
      </c>
      <c r="H1568" s="168">
        <f t="shared" ref="H1568:H1584" si="230">G1568*2</f>
        <v>8.2285714285714295</v>
      </c>
      <c r="I1568" s="168">
        <f t="shared" ref="I1568:I1584" si="231">(((F1568/70)+1)*0.6)</f>
        <v>6.1714285714285717</v>
      </c>
      <c r="J1568" s="168">
        <f t="shared" ref="J1568:J1584" si="232">I1568+G1568</f>
        <v>10.285714285714286</v>
      </c>
      <c r="K1568" s="168">
        <f t="shared" ref="K1568:K1584" si="233">J1568</f>
        <v>10.285714285714286</v>
      </c>
      <c r="L1568" s="168">
        <f t="shared" ref="L1568:L1584" si="234">(F1568/4000)+1</f>
        <v>1.1625000000000001</v>
      </c>
      <c r="M1568" s="168">
        <f t="shared" si="228"/>
        <v>0</v>
      </c>
      <c r="N1568" s="241" t="s">
        <v>453</v>
      </c>
    </row>
    <row r="1569" spans="1:14" ht="15" customHeight="1">
      <c r="A1569" s="107">
        <v>1568</v>
      </c>
      <c r="B1569" s="231" t="s">
        <v>61</v>
      </c>
      <c r="C1569" s="231" t="s">
        <v>11</v>
      </c>
      <c r="D1569" s="237" t="s">
        <v>3290</v>
      </c>
      <c r="E1569" s="281">
        <v>0</v>
      </c>
      <c r="F1569" s="249">
        <v>1170</v>
      </c>
      <c r="G1569" s="168">
        <f t="shared" si="229"/>
        <v>7.0857142857142863</v>
      </c>
      <c r="H1569" s="168">
        <f t="shared" si="230"/>
        <v>14.171428571428573</v>
      </c>
      <c r="I1569" s="168">
        <f t="shared" si="231"/>
        <v>10.628571428571428</v>
      </c>
      <c r="J1569" s="168">
        <f t="shared" si="232"/>
        <v>17.714285714285715</v>
      </c>
      <c r="K1569" s="168">
        <f t="shared" si="233"/>
        <v>17.714285714285715</v>
      </c>
      <c r="L1569" s="168">
        <f t="shared" si="234"/>
        <v>1.2925</v>
      </c>
      <c r="M1569" s="168">
        <f t="shared" si="228"/>
        <v>0</v>
      </c>
      <c r="N1569" s="241" t="s">
        <v>453</v>
      </c>
    </row>
    <row r="1570" spans="1:14" ht="15" customHeight="1">
      <c r="A1570" s="107">
        <v>1569</v>
      </c>
      <c r="B1570" s="281" t="s">
        <v>55</v>
      </c>
      <c r="C1570" s="231" t="s">
        <v>10</v>
      </c>
      <c r="D1570" s="237" t="s">
        <v>3291</v>
      </c>
      <c r="E1570" s="281">
        <v>0</v>
      </c>
      <c r="F1570" s="249">
        <v>650</v>
      </c>
      <c r="G1570" s="168">
        <f t="shared" si="229"/>
        <v>4.1142857142857148</v>
      </c>
      <c r="H1570" s="168">
        <f t="shared" si="230"/>
        <v>8.2285714285714295</v>
      </c>
      <c r="I1570" s="168">
        <f t="shared" si="231"/>
        <v>6.1714285714285717</v>
      </c>
      <c r="J1570" s="168">
        <f t="shared" si="232"/>
        <v>10.285714285714286</v>
      </c>
      <c r="K1570" s="168">
        <f t="shared" si="233"/>
        <v>10.285714285714286</v>
      </c>
      <c r="L1570" s="168">
        <f t="shared" si="234"/>
        <v>1.1625000000000001</v>
      </c>
      <c r="M1570" s="168">
        <f t="shared" si="228"/>
        <v>0</v>
      </c>
      <c r="N1570" s="241" t="s">
        <v>453</v>
      </c>
    </row>
    <row r="1571" spans="1:14" ht="15" customHeight="1">
      <c r="A1571" s="107">
        <v>1570</v>
      </c>
      <c r="B1571" s="231" t="s">
        <v>49</v>
      </c>
      <c r="C1571" s="231" t="s">
        <v>10</v>
      </c>
      <c r="D1571" s="237" t="s">
        <v>3292</v>
      </c>
      <c r="E1571" s="249">
        <v>366</v>
      </c>
      <c r="F1571" s="249">
        <v>0</v>
      </c>
      <c r="G1571" s="168">
        <f t="shared" si="229"/>
        <v>0.4</v>
      </c>
      <c r="H1571" s="168">
        <f t="shared" si="230"/>
        <v>0.8</v>
      </c>
      <c r="I1571" s="168">
        <f t="shared" si="231"/>
        <v>0.6</v>
      </c>
      <c r="J1571" s="168">
        <f t="shared" si="232"/>
        <v>1</v>
      </c>
      <c r="K1571" s="168">
        <f t="shared" si="233"/>
        <v>1</v>
      </c>
      <c r="L1571" s="168">
        <f t="shared" si="234"/>
        <v>1</v>
      </c>
      <c r="M1571" s="168">
        <f t="shared" si="228"/>
        <v>6.1</v>
      </c>
      <c r="N1571" s="241" t="s">
        <v>453</v>
      </c>
    </row>
    <row r="1572" spans="1:14" ht="15" customHeight="1">
      <c r="A1572" s="107">
        <v>1571</v>
      </c>
      <c r="B1572" s="281" t="s">
        <v>55</v>
      </c>
      <c r="C1572" s="231" t="s">
        <v>10</v>
      </c>
      <c r="D1572" s="237" t="s">
        <v>3293</v>
      </c>
      <c r="E1572" s="281">
        <v>0</v>
      </c>
      <c r="F1572" s="249">
        <v>1300</v>
      </c>
      <c r="G1572" s="168">
        <f t="shared" si="229"/>
        <v>7.8285714285714292</v>
      </c>
      <c r="H1572" s="168">
        <f t="shared" si="230"/>
        <v>15.657142857142858</v>
      </c>
      <c r="I1572" s="168">
        <f t="shared" si="231"/>
        <v>11.742857142857144</v>
      </c>
      <c r="J1572" s="168">
        <f t="shared" si="232"/>
        <v>19.571428571428573</v>
      </c>
      <c r="K1572" s="168">
        <f t="shared" si="233"/>
        <v>19.571428571428573</v>
      </c>
      <c r="L1572" s="168">
        <f t="shared" si="234"/>
        <v>1.325</v>
      </c>
      <c r="M1572" s="168">
        <f t="shared" si="228"/>
        <v>0</v>
      </c>
      <c r="N1572" s="241" t="s">
        <v>453</v>
      </c>
    </row>
    <row r="1573" spans="1:14" ht="15" customHeight="1">
      <c r="A1573" s="107">
        <v>1572</v>
      </c>
      <c r="B1573" s="231" t="s">
        <v>52</v>
      </c>
      <c r="C1573" s="231" t="s">
        <v>10</v>
      </c>
      <c r="D1573" s="237" t="s">
        <v>3294</v>
      </c>
      <c r="E1573" s="281">
        <v>0</v>
      </c>
      <c r="F1573" s="249">
        <v>1350</v>
      </c>
      <c r="G1573" s="168">
        <f t="shared" si="229"/>
        <v>8.1142857142857139</v>
      </c>
      <c r="H1573" s="168">
        <f t="shared" si="230"/>
        <v>16.228571428571428</v>
      </c>
      <c r="I1573" s="168">
        <f t="shared" si="231"/>
        <v>12.171428571428571</v>
      </c>
      <c r="J1573" s="168">
        <f t="shared" si="232"/>
        <v>20.285714285714285</v>
      </c>
      <c r="K1573" s="168">
        <f t="shared" si="233"/>
        <v>20.285714285714285</v>
      </c>
      <c r="L1573" s="168">
        <f t="shared" si="234"/>
        <v>1.3374999999999999</v>
      </c>
      <c r="M1573" s="168">
        <f t="shared" si="228"/>
        <v>0</v>
      </c>
      <c r="N1573" s="241" t="s">
        <v>453</v>
      </c>
    </row>
    <row r="1574" spans="1:14" ht="15" customHeight="1">
      <c r="A1574" s="107">
        <v>1573</v>
      </c>
      <c r="B1574" s="231" t="s">
        <v>52</v>
      </c>
      <c r="C1574" s="231" t="s">
        <v>10</v>
      </c>
      <c r="D1574" s="237" t="s">
        <v>3295</v>
      </c>
      <c r="E1574" s="281">
        <v>0</v>
      </c>
      <c r="F1574" s="249">
        <v>808</v>
      </c>
      <c r="G1574" s="168">
        <f t="shared" si="229"/>
        <v>5.0171428571428578</v>
      </c>
      <c r="H1574" s="168">
        <f t="shared" si="230"/>
        <v>10.034285714285716</v>
      </c>
      <c r="I1574" s="168">
        <f t="shared" si="231"/>
        <v>7.5257142857142849</v>
      </c>
      <c r="J1574" s="168">
        <f t="shared" si="232"/>
        <v>12.542857142857143</v>
      </c>
      <c r="K1574" s="168">
        <f t="shared" si="233"/>
        <v>12.542857142857143</v>
      </c>
      <c r="L1574" s="168">
        <f t="shared" si="234"/>
        <v>1.202</v>
      </c>
      <c r="M1574" s="168">
        <f t="shared" si="228"/>
        <v>0</v>
      </c>
      <c r="N1574" s="241" t="s">
        <v>453</v>
      </c>
    </row>
    <row r="1575" spans="1:14" ht="15" customHeight="1">
      <c r="A1575" s="107">
        <v>1574</v>
      </c>
      <c r="B1575" s="231" t="s">
        <v>52</v>
      </c>
      <c r="C1575" s="231" t="s">
        <v>10</v>
      </c>
      <c r="D1575" s="237" t="s">
        <v>3296</v>
      </c>
      <c r="E1575" s="281">
        <v>0</v>
      </c>
      <c r="F1575" s="249">
        <v>2950</v>
      </c>
      <c r="G1575" s="168">
        <f t="shared" si="229"/>
        <v>17.25714285714286</v>
      </c>
      <c r="H1575" s="168">
        <f t="shared" si="230"/>
        <v>34.51428571428572</v>
      </c>
      <c r="I1575" s="168">
        <f t="shared" si="231"/>
        <v>25.885714285714286</v>
      </c>
      <c r="J1575" s="168">
        <f t="shared" si="232"/>
        <v>43.142857142857146</v>
      </c>
      <c r="K1575" s="168">
        <f t="shared" si="233"/>
        <v>43.142857142857146</v>
      </c>
      <c r="L1575" s="168">
        <f t="shared" si="234"/>
        <v>1.7375</v>
      </c>
      <c r="M1575" s="168">
        <f t="shared" si="228"/>
        <v>0</v>
      </c>
      <c r="N1575" s="241" t="s">
        <v>453</v>
      </c>
    </row>
    <row r="1576" spans="1:14" ht="15" customHeight="1">
      <c r="A1576" s="107">
        <v>1575</v>
      </c>
      <c r="B1576" s="231" t="s">
        <v>52</v>
      </c>
      <c r="C1576" s="231" t="s">
        <v>10</v>
      </c>
      <c r="D1576" s="237" t="s">
        <v>3297</v>
      </c>
      <c r="E1576" s="281">
        <v>0</v>
      </c>
      <c r="F1576" s="249">
        <v>900</v>
      </c>
      <c r="G1576" s="168">
        <f t="shared" si="229"/>
        <v>5.5428571428571436</v>
      </c>
      <c r="H1576" s="168">
        <f t="shared" si="230"/>
        <v>11.085714285714287</v>
      </c>
      <c r="I1576" s="168">
        <f t="shared" si="231"/>
        <v>8.3142857142857149</v>
      </c>
      <c r="J1576" s="168">
        <f t="shared" si="232"/>
        <v>13.857142857142858</v>
      </c>
      <c r="K1576" s="168">
        <f t="shared" si="233"/>
        <v>13.857142857142858</v>
      </c>
      <c r="L1576" s="168">
        <f t="shared" si="234"/>
        <v>1.2250000000000001</v>
      </c>
      <c r="M1576" s="168">
        <f t="shared" si="228"/>
        <v>0</v>
      </c>
      <c r="N1576" s="241" t="s">
        <v>453</v>
      </c>
    </row>
    <row r="1577" spans="1:14" ht="15" customHeight="1">
      <c r="A1577" s="107">
        <v>1576</v>
      </c>
      <c r="B1577" s="231" t="s">
        <v>52</v>
      </c>
      <c r="C1577" s="231" t="s">
        <v>10</v>
      </c>
      <c r="D1577" s="237" t="s">
        <v>3298</v>
      </c>
      <c r="E1577" s="281">
        <v>0</v>
      </c>
      <c r="F1577" s="249">
        <v>250</v>
      </c>
      <c r="G1577" s="168">
        <f t="shared" si="229"/>
        <v>1.8285714285714285</v>
      </c>
      <c r="H1577" s="168">
        <f t="shared" si="230"/>
        <v>3.657142857142857</v>
      </c>
      <c r="I1577" s="168">
        <f t="shared" si="231"/>
        <v>2.7428571428571424</v>
      </c>
      <c r="J1577" s="168">
        <f t="shared" si="232"/>
        <v>4.5714285714285712</v>
      </c>
      <c r="K1577" s="168">
        <f t="shared" si="233"/>
        <v>4.5714285714285712</v>
      </c>
      <c r="L1577" s="168">
        <f t="shared" si="234"/>
        <v>1.0625</v>
      </c>
      <c r="M1577" s="168">
        <f t="shared" si="228"/>
        <v>0</v>
      </c>
      <c r="N1577" s="241" t="s">
        <v>453</v>
      </c>
    </row>
    <row r="1578" spans="1:14" ht="15" customHeight="1">
      <c r="A1578" s="107">
        <v>1577</v>
      </c>
      <c r="B1578" s="231" t="s">
        <v>52</v>
      </c>
      <c r="C1578" s="231" t="s">
        <v>10</v>
      </c>
      <c r="D1578" s="237" t="s">
        <v>3299</v>
      </c>
      <c r="E1578" s="281">
        <v>0</v>
      </c>
      <c r="F1578" s="249">
        <v>1900</v>
      </c>
      <c r="G1578" s="168">
        <f t="shared" si="229"/>
        <v>11.257142857142858</v>
      </c>
      <c r="H1578" s="168">
        <f t="shared" si="230"/>
        <v>22.514285714285716</v>
      </c>
      <c r="I1578" s="168">
        <f t="shared" si="231"/>
        <v>16.885714285714286</v>
      </c>
      <c r="J1578" s="168">
        <f t="shared" si="232"/>
        <v>28.142857142857146</v>
      </c>
      <c r="K1578" s="168">
        <f t="shared" si="233"/>
        <v>28.142857142857146</v>
      </c>
      <c r="L1578" s="168">
        <f t="shared" si="234"/>
        <v>1.4750000000000001</v>
      </c>
      <c r="M1578" s="168">
        <f t="shared" si="228"/>
        <v>0</v>
      </c>
      <c r="N1578" s="241" t="s">
        <v>457</v>
      </c>
    </row>
    <row r="1579" spans="1:14" ht="15" customHeight="1">
      <c r="A1579" s="107">
        <v>1578</v>
      </c>
      <c r="B1579" s="231" t="s">
        <v>52</v>
      </c>
      <c r="C1579" s="231" t="s">
        <v>10</v>
      </c>
      <c r="D1579" s="237" t="s">
        <v>3300</v>
      </c>
      <c r="E1579" s="281">
        <v>0</v>
      </c>
      <c r="F1579" s="249">
        <v>610</v>
      </c>
      <c r="G1579" s="168">
        <f t="shared" si="229"/>
        <v>3.8857142857142857</v>
      </c>
      <c r="H1579" s="168">
        <f t="shared" si="230"/>
        <v>7.7714285714285714</v>
      </c>
      <c r="I1579" s="168">
        <f t="shared" si="231"/>
        <v>5.8285714285714283</v>
      </c>
      <c r="J1579" s="168">
        <f t="shared" si="232"/>
        <v>9.7142857142857135</v>
      </c>
      <c r="K1579" s="168">
        <f t="shared" si="233"/>
        <v>9.7142857142857135</v>
      </c>
      <c r="L1579" s="168">
        <f t="shared" si="234"/>
        <v>1.1525000000000001</v>
      </c>
      <c r="M1579" s="168">
        <f t="shared" si="228"/>
        <v>0</v>
      </c>
      <c r="N1579" s="241" t="s">
        <v>453</v>
      </c>
    </row>
    <row r="1580" spans="1:14" ht="15" customHeight="1">
      <c r="A1580" s="107">
        <v>1579</v>
      </c>
      <c r="B1580" s="231" t="s">
        <v>52</v>
      </c>
      <c r="C1580" s="231" t="s">
        <v>10</v>
      </c>
      <c r="D1580" s="237" t="s">
        <v>3302</v>
      </c>
      <c r="E1580" s="281">
        <v>0</v>
      </c>
      <c r="F1580" s="249">
        <v>462</v>
      </c>
      <c r="G1580" s="168">
        <f t="shared" si="229"/>
        <v>3.04</v>
      </c>
      <c r="H1580" s="168">
        <f t="shared" si="230"/>
        <v>6.08</v>
      </c>
      <c r="I1580" s="168">
        <f t="shared" si="231"/>
        <v>4.5599999999999996</v>
      </c>
      <c r="J1580" s="168">
        <f t="shared" si="232"/>
        <v>7.6</v>
      </c>
      <c r="K1580" s="168">
        <f t="shared" si="233"/>
        <v>7.6</v>
      </c>
      <c r="L1580" s="168">
        <f t="shared" si="234"/>
        <v>1.1154999999999999</v>
      </c>
      <c r="M1580" s="168">
        <f t="shared" si="228"/>
        <v>0</v>
      </c>
      <c r="N1580" s="241" t="s">
        <v>453</v>
      </c>
    </row>
    <row r="1581" spans="1:14" ht="15" customHeight="1">
      <c r="A1581" s="107">
        <v>1580</v>
      </c>
      <c r="B1581" s="231" t="s">
        <v>52</v>
      </c>
      <c r="C1581" s="231" t="s">
        <v>10</v>
      </c>
      <c r="D1581" s="237" t="s">
        <v>3303</v>
      </c>
      <c r="E1581" s="281">
        <v>0</v>
      </c>
      <c r="F1581" s="249">
        <v>700</v>
      </c>
      <c r="G1581" s="168">
        <f t="shared" si="229"/>
        <v>4.4000000000000004</v>
      </c>
      <c r="H1581" s="168">
        <f t="shared" si="230"/>
        <v>8.8000000000000007</v>
      </c>
      <c r="I1581" s="168">
        <f t="shared" si="231"/>
        <v>6.6</v>
      </c>
      <c r="J1581" s="168">
        <f t="shared" si="232"/>
        <v>11</v>
      </c>
      <c r="K1581" s="168">
        <f t="shared" si="233"/>
        <v>11</v>
      </c>
      <c r="L1581" s="168">
        <f t="shared" si="234"/>
        <v>1.175</v>
      </c>
      <c r="M1581" s="168">
        <f t="shared" si="228"/>
        <v>0</v>
      </c>
      <c r="N1581" s="241" t="s">
        <v>453</v>
      </c>
    </row>
    <row r="1582" spans="1:14" ht="15" customHeight="1">
      <c r="A1582" s="107">
        <v>1581</v>
      </c>
      <c r="B1582" s="231" t="s">
        <v>52</v>
      </c>
      <c r="C1582" s="231" t="s">
        <v>10</v>
      </c>
      <c r="D1582" s="237" t="s">
        <v>3304</v>
      </c>
      <c r="E1582" s="281">
        <v>0</v>
      </c>
      <c r="F1582" s="249">
        <v>200</v>
      </c>
      <c r="G1582" s="168">
        <f t="shared" si="229"/>
        <v>1.5428571428571429</v>
      </c>
      <c r="H1582" s="168">
        <f t="shared" si="230"/>
        <v>3.0857142857142859</v>
      </c>
      <c r="I1582" s="168">
        <f t="shared" si="231"/>
        <v>2.3142857142857141</v>
      </c>
      <c r="J1582" s="168">
        <f t="shared" si="232"/>
        <v>3.8571428571428568</v>
      </c>
      <c r="K1582" s="168">
        <f t="shared" si="233"/>
        <v>3.8571428571428568</v>
      </c>
      <c r="L1582" s="168">
        <f t="shared" si="234"/>
        <v>1.05</v>
      </c>
      <c r="M1582" s="168">
        <f t="shared" si="228"/>
        <v>0</v>
      </c>
      <c r="N1582" s="241" t="s">
        <v>453</v>
      </c>
    </row>
    <row r="1583" spans="1:14" ht="15" customHeight="1">
      <c r="A1583" s="107">
        <v>1582</v>
      </c>
      <c r="B1583" s="231" t="s">
        <v>52</v>
      </c>
      <c r="C1583" s="231" t="s">
        <v>10</v>
      </c>
      <c r="D1583" s="237" t="s">
        <v>3305</v>
      </c>
      <c r="E1583" s="281">
        <v>0</v>
      </c>
      <c r="F1583" s="249">
        <v>350</v>
      </c>
      <c r="G1583" s="168">
        <f t="shared" si="229"/>
        <v>2.4000000000000004</v>
      </c>
      <c r="H1583" s="168">
        <f t="shared" si="230"/>
        <v>4.8000000000000007</v>
      </c>
      <c r="I1583" s="168">
        <f t="shared" si="231"/>
        <v>3.5999999999999996</v>
      </c>
      <c r="J1583" s="168">
        <f t="shared" si="232"/>
        <v>6</v>
      </c>
      <c r="K1583" s="168">
        <f t="shared" si="233"/>
        <v>6</v>
      </c>
      <c r="L1583" s="168">
        <f t="shared" si="234"/>
        <v>1.0874999999999999</v>
      </c>
      <c r="M1583" s="168">
        <f t="shared" si="228"/>
        <v>0</v>
      </c>
      <c r="N1583" s="241" t="s">
        <v>453</v>
      </c>
    </row>
    <row r="1584" spans="1:14" ht="15" customHeight="1">
      <c r="A1584" s="107">
        <v>1583</v>
      </c>
      <c r="B1584" s="231" t="s">
        <v>52</v>
      </c>
      <c r="C1584" s="231" t="s">
        <v>10</v>
      </c>
      <c r="D1584" s="237" t="s">
        <v>3306</v>
      </c>
      <c r="E1584" s="281">
        <v>0</v>
      </c>
      <c r="F1584" s="249">
        <v>150</v>
      </c>
      <c r="G1584" s="168">
        <f t="shared" si="229"/>
        <v>1.2571428571428571</v>
      </c>
      <c r="H1584" s="168">
        <f t="shared" si="230"/>
        <v>2.5142857142857142</v>
      </c>
      <c r="I1584" s="168">
        <f t="shared" si="231"/>
        <v>1.8857142857142857</v>
      </c>
      <c r="J1584" s="168">
        <f t="shared" si="232"/>
        <v>3.1428571428571428</v>
      </c>
      <c r="K1584" s="168">
        <f t="shared" si="233"/>
        <v>3.1428571428571428</v>
      </c>
      <c r="L1584" s="168">
        <f t="shared" si="234"/>
        <v>1.0375000000000001</v>
      </c>
      <c r="M1584" s="168">
        <f t="shared" si="228"/>
        <v>0</v>
      </c>
      <c r="N1584" s="241" t="s">
        <v>453</v>
      </c>
    </row>
    <row r="1585" spans="1:14" ht="15" customHeight="1">
      <c r="A1585" s="107">
        <v>1584</v>
      </c>
      <c r="B1585" s="231" t="s">
        <v>52</v>
      </c>
      <c r="C1585" s="231" t="s">
        <v>10</v>
      </c>
      <c r="D1585" s="237" t="s">
        <v>3307</v>
      </c>
      <c r="E1585" s="281">
        <v>0</v>
      </c>
      <c r="F1585" s="249">
        <v>150</v>
      </c>
      <c r="G1585" s="168">
        <f t="shared" ref="G1585:G1648" si="235">(((F1585/70)+1)*0.4)</f>
        <v>1.2571428571428571</v>
      </c>
      <c r="H1585" s="168">
        <f t="shared" ref="H1585:H1648" si="236">G1585*2</f>
        <v>2.5142857142857142</v>
      </c>
      <c r="I1585" s="168">
        <f t="shared" ref="I1585:I1648" si="237">(((F1585/70)+1)*0.6)</f>
        <v>1.8857142857142857</v>
      </c>
      <c r="J1585" s="168">
        <f t="shared" ref="J1585:J1648" si="238">I1585+G1585</f>
        <v>3.1428571428571428</v>
      </c>
      <c r="K1585" s="168">
        <f t="shared" ref="K1585:K1648" si="239">J1585</f>
        <v>3.1428571428571428</v>
      </c>
      <c r="L1585" s="168">
        <f t="shared" ref="L1585:L1648" si="240">(F1585/4000)+1</f>
        <v>1.0375000000000001</v>
      </c>
      <c r="M1585" s="168">
        <f t="shared" si="228"/>
        <v>0</v>
      </c>
      <c r="N1585" s="241" t="s">
        <v>453</v>
      </c>
    </row>
    <row r="1586" spans="1:14" ht="15" customHeight="1">
      <c r="A1586" s="107">
        <v>1585</v>
      </c>
      <c r="B1586" s="231" t="s">
        <v>52</v>
      </c>
      <c r="C1586" s="231" t="s">
        <v>10</v>
      </c>
      <c r="D1586" s="237" t="s">
        <v>3308</v>
      </c>
      <c r="E1586" s="281">
        <v>0</v>
      </c>
      <c r="F1586" s="249">
        <v>800</v>
      </c>
      <c r="G1586" s="168">
        <f t="shared" si="235"/>
        <v>4.9714285714285715</v>
      </c>
      <c r="H1586" s="168">
        <f t="shared" si="236"/>
        <v>9.9428571428571431</v>
      </c>
      <c r="I1586" s="168">
        <f t="shared" si="237"/>
        <v>7.4571428571428573</v>
      </c>
      <c r="J1586" s="168">
        <f t="shared" si="238"/>
        <v>12.428571428571429</v>
      </c>
      <c r="K1586" s="168">
        <f t="shared" si="239"/>
        <v>12.428571428571429</v>
      </c>
      <c r="L1586" s="168">
        <f t="shared" si="240"/>
        <v>1.2</v>
      </c>
      <c r="M1586" s="168">
        <f t="shared" si="228"/>
        <v>0</v>
      </c>
      <c r="N1586" s="241" t="s">
        <v>453</v>
      </c>
    </row>
    <row r="1587" spans="1:14" ht="15" customHeight="1">
      <c r="A1587" s="107">
        <v>1586</v>
      </c>
      <c r="B1587" s="231" t="s">
        <v>52</v>
      </c>
      <c r="C1587" s="231" t="s">
        <v>10</v>
      </c>
      <c r="D1587" s="237" t="s">
        <v>3309</v>
      </c>
      <c r="E1587" s="281">
        <v>0</v>
      </c>
      <c r="F1587" s="249">
        <v>150</v>
      </c>
      <c r="G1587" s="168">
        <f t="shared" si="235"/>
        <v>1.2571428571428571</v>
      </c>
      <c r="H1587" s="168">
        <f t="shared" si="236"/>
        <v>2.5142857142857142</v>
      </c>
      <c r="I1587" s="168">
        <f t="shared" si="237"/>
        <v>1.8857142857142857</v>
      </c>
      <c r="J1587" s="168">
        <f t="shared" si="238"/>
        <v>3.1428571428571428</v>
      </c>
      <c r="K1587" s="168">
        <f t="shared" si="239"/>
        <v>3.1428571428571428</v>
      </c>
      <c r="L1587" s="168">
        <f t="shared" si="240"/>
        <v>1.0375000000000001</v>
      </c>
      <c r="M1587" s="168">
        <f t="shared" si="228"/>
        <v>0</v>
      </c>
      <c r="N1587" s="241" t="s">
        <v>453</v>
      </c>
    </row>
    <row r="1588" spans="1:14" ht="15" customHeight="1">
      <c r="A1588" s="107">
        <v>1587</v>
      </c>
      <c r="B1588" s="231" t="s">
        <v>52</v>
      </c>
      <c r="C1588" s="231" t="s">
        <v>10</v>
      </c>
      <c r="D1588" s="237" t="s">
        <v>3310</v>
      </c>
      <c r="E1588" s="281">
        <v>0</v>
      </c>
      <c r="F1588" s="249">
        <v>650</v>
      </c>
      <c r="G1588" s="168">
        <f t="shared" si="235"/>
        <v>4.1142857142857148</v>
      </c>
      <c r="H1588" s="168">
        <f t="shared" si="236"/>
        <v>8.2285714285714295</v>
      </c>
      <c r="I1588" s="168">
        <f t="shared" si="237"/>
        <v>6.1714285714285717</v>
      </c>
      <c r="J1588" s="168">
        <f t="shared" si="238"/>
        <v>10.285714285714286</v>
      </c>
      <c r="K1588" s="168">
        <f t="shared" si="239"/>
        <v>10.285714285714286</v>
      </c>
      <c r="L1588" s="168">
        <f t="shared" si="240"/>
        <v>1.1625000000000001</v>
      </c>
      <c r="M1588" s="168">
        <f t="shared" si="228"/>
        <v>0</v>
      </c>
      <c r="N1588" s="241" t="s">
        <v>457</v>
      </c>
    </row>
    <row r="1589" spans="1:14" ht="15" customHeight="1">
      <c r="A1589" s="107">
        <v>1588</v>
      </c>
      <c r="B1589" s="231" t="s">
        <v>52</v>
      </c>
      <c r="C1589" s="231" t="s">
        <v>10</v>
      </c>
      <c r="D1589" s="237" t="s">
        <v>3311</v>
      </c>
      <c r="E1589" s="281">
        <v>0</v>
      </c>
      <c r="F1589" s="249">
        <v>46</v>
      </c>
      <c r="G1589" s="168">
        <f t="shared" si="235"/>
        <v>0.66285714285714281</v>
      </c>
      <c r="H1589" s="168">
        <f t="shared" si="236"/>
        <v>1.3257142857142856</v>
      </c>
      <c r="I1589" s="168">
        <f t="shared" si="237"/>
        <v>0.99428571428571422</v>
      </c>
      <c r="J1589" s="168">
        <f t="shared" si="238"/>
        <v>1.657142857142857</v>
      </c>
      <c r="K1589" s="168">
        <f t="shared" si="239"/>
        <v>1.657142857142857</v>
      </c>
      <c r="L1589" s="168">
        <f t="shared" si="240"/>
        <v>1.0115000000000001</v>
      </c>
      <c r="M1589" s="168">
        <f t="shared" si="228"/>
        <v>0</v>
      </c>
      <c r="N1589" s="241" t="s">
        <v>453</v>
      </c>
    </row>
    <row r="1590" spans="1:14" ht="15" customHeight="1">
      <c r="A1590" s="107">
        <v>1589</v>
      </c>
      <c r="B1590" s="231" t="s">
        <v>52</v>
      </c>
      <c r="C1590" s="231" t="s">
        <v>10</v>
      </c>
      <c r="D1590" s="237" t="s">
        <v>3313</v>
      </c>
      <c r="E1590" s="281">
        <v>0</v>
      </c>
      <c r="F1590" s="249">
        <v>423</v>
      </c>
      <c r="G1590" s="168">
        <f t="shared" si="235"/>
        <v>2.8171428571428572</v>
      </c>
      <c r="H1590" s="168">
        <f t="shared" si="236"/>
        <v>5.6342857142857143</v>
      </c>
      <c r="I1590" s="168">
        <f t="shared" si="237"/>
        <v>4.2257142857142851</v>
      </c>
      <c r="J1590" s="168">
        <f t="shared" si="238"/>
        <v>7.0428571428571427</v>
      </c>
      <c r="K1590" s="168">
        <f t="shared" si="239"/>
        <v>7.0428571428571427</v>
      </c>
      <c r="L1590" s="168">
        <f t="shared" si="240"/>
        <v>1.10575</v>
      </c>
      <c r="M1590" s="168">
        <f t="shared" si="228"/>
        <v>0</v>
      </c>
      <c r="N1590" s="241" t="s">
        <v>453</v>
      </c>
    </row>
    <row r="1591" spans="1:14" ht="15" customHeight="1">
      <c r="A1591" s="107">
        <v>1590</v>
      </c>
      <c r="B1591" s="231" t="s">
        <v>52</v>
      </c>
      <c r="C1591" s="231" t="s">
        <v>10</v>
      </c>
      <c r="D1591" s="237" t="s">
        <v>3314</v>
      </c>
      <c r="E1591" s="281">
        <v>0</v>
      </c>
      <c r="F1591" s="249">
        <v>450</v>
      </c>
      <c r="G1591" s="168">
        <f t="shared" si="235"/>
        <v>2.9714285714285715</v>
      </c>
      <c r="H1591" s="168">
        <f t="shared" si="236"/>
        <v>5.9428571428571431</v>
      </c>
      <c r="I1591" s="168">
        <f t="shared" si="237"/>
        <v>4.4571428571428573</v>
      </c>
      <c r="J1591" s="168">
        <f t="shared" si="238"/>
        <v>7.4285714285714288</v>
      </c>
      <c r="K1591" s="168">
        <f t="shared" si="239"/>
        <v>7.4285714285714288</v>
      </c>
      <c r="L1591" s="168">
        <f t="shared" si="240"/>
        <v>1.1125</v>
      </c>
      <c r="M1591" s="168">
        <f t="shared" si="228"/>
        <v>0</v>
      </c>
      <c r="N1591" s="241" t="s">
        <v>453</v>
      </c>
    </row>
    <row r="1592" spans="1:14" ht="15" customHeight="1">
      <c r="A1592" s="107">
        <v>1591</v>
      </c>
      <c r="B1592" s="231" t="s">
        <v>52</v>
      </c>
      <c r="C1592" s="231" t="s">
        <v>10</v>
      </c>
      <c r="D1592" s="237" t="s">
        <v>3315</v>
      </c>
      <c r="E1592" s="281">
        <v>0</v>
      </c>
      <c r="F1592" s="249">
        <v>355</v>
      </c>
      <c r="G1592" s="168">
        <f t="shared" si="235"/>
        <v>2.4285714285714288</v>
      </c>
      <c r="H1592" s="168">
        <f t="shared" si="236"/>
        <v>4.8571428571428577</v>
      </c>
      <c r="I1592" s="168">
        <f t="shared" si="237"/>
        <v>3.6428571428571423</v>
      </c>
      <c r="J1592" s="168">
        <f t="shared" si="238"/>
        <v>6.0714285714285712</v>
      </c>
      <c r="K1592" s="168">
        <f t="shared" si="239"/>
        <v>6.0714285714285712</v>
      </c>
      <c r="L1592" s="168">
        <f t="shared" si="240"/>
        <v>1.0887500000000001</v>
      </c>
      <c r="M1592" s="168">
        <f t="shared" si="228"/>
        <v>0</v>
      </c>
      <c r="N1592" s="241" t="s">
        <v>453</v>
      </c>
    </row>
    <row r="1593" spans="1:14" ht="15" customHeight="1">
      <c r="A1593" s="107">
        <v>1592</v>
      </c>
      <c r="B1593" s="231" t="s">
        <v>52</v>
      </c>
      <c r="C1593" s="231" t="s">
        <v>10</v>
      </c>
      <c r="D1593" s="237" t="s">
        <v>3316</v>
      </c>
      <c r="E1593" s="281">
        <v>0</v>
      </c>
      <c r="F1593" s="249">
        <v>355</v>
      </c>
      <c r="G1593" s="168">
        <f t="shared" si="235"/>
        <v>2.4285714285714288</v>
      </c>
      <c r="H1593" s="168">
        <f t="shared" si="236"/>
        <v>4.8571428571428577</v>
      </c>
      <c r="I1593" s="168">
        <f t="shared" si="237"/>
        <v>3.6428571428571423</v>
      </c>
      <c r="J1593" s="168">
        <f t="shared" si="238"/>
        <v>6.0714285714285712</v>
      </c>
      <c r="K1593" s="168">
        <f t="shared" si="239"/>
        <v>6.0714285714285712</v>
      </c>
      <c r="L1593" s="168">
        <f t="shared" si="240"/>
        <v>1.0887500000000001</v>
      </c>
      <c r="M1593" s="168">
        <f t="shared" si="228"/>
        <v>0</v>
      </c>
      <c r="N1593" s="241" t="s">
        <v>453</v>
      </c>
    </row>
    <row r="1594" spans="1:14" ht="15" customHeight="1">
      <c r="A1594" s="107">
        <v>1593</v>
      </c>
      <c r="B1594" s="231" t="s">
        <v>52</v>
      </c>
      <c r="C1594" s="231" t="s">
        <v>10</v>
      </c>
      <c r="D1594" s="237" t="s">
        <v>3317</v>
      </c>
      <c r="E1594" s="281">
        <v>0</v>
      </c>
      <c r="F1594" s="249">
        <v>403</v>
      </c>
      <c r="G1594" s="168">
        <f t="shared" si="235"/>
        <v>2.7028571428571428</v>
      </c>
      <c r="H1594" s="168">
        <f t="shared" si="236"/>
        <v>5.4057142857142857</v>
      </c>
      <c r="I1594" s="168">
        <f t="shared" si="237"/>
        <v>4.0542857142857143</v>
      </c>
      <c r="J1594" s="168">
        <f t="shared" si="238"/>
        <v>6.7571428571428571</v>
      </c>
      <c r="K1594" s="168">
        <f t="shared" si="239"/>
        <v>6.7571428571428571</v>
      </c>
      <c r="L1594" s="168">
        <f t="shared" si="240"/>
        <v>1.1007500000000001</v>
      </c>
      <c r="M1594" s="168">
        <f t="shared" si="228"/>
        <v>0</v>
      </c>
      <c r="N1594" s="241" t="s">
        <v>453</v>
      </c>
    </row>
    <row r="1595" spans="1:14" ht="15" customHeight="1">
      <c r="A1595" s="107">
        <v>1594</v>
      </c>
      <c r="B1595" s="231" t="s">
        <v>52</v>
      </c>
      <c r="C1595" s="231" t="s">
        <v>10</v>
      </c>
      <c r="D1595" s="237" t="s">
        <v>3318</v>
      </c>
      <c r="E1595" s="281">
        <v>0</v>
      </c>
      <c r="F1595" s="249">
        <v>700</v>
      </c>
      <c r="G1595" s="168">
        <f t="shared" si="235"/>
        <v>4.4000000000000004</v>
      </c>
      <c r="H1595" s="168">
        <f t="shared" si="236"/>
        <v>8.8000000000000007</v>
      </c>
      <c r="I1595" s="168">
        <f t="shared" si="237"/>
        <v>6.6</v>
      </c>
      <c r="J1595" s="168">
        <f t="shared" si="238"/>
        <v>11</v>
      </c>
      <c r="K1595" s="168">
        <f t="shared" si="239"/>
        <v>11</v>
      </c>
      <c r="L1595" s="168">
        <f t="shared" si="240"/>
        <v>1.175</v>
      </c>
      <c r="M1595" s="168">
        <f t="shared" si="228"/>
        <v>0</v>
      </c>
      <c r="N1595" s="241" t="s">
        <v>453</v>
      </c>
    </row>
    <row r="1596" spans="1:14" ht="15" customHeight="1">
      <c r="A1596" s="107">
        <v>1595</v>
      </c>
      <c r="B1596" s="231" t="s">
        <v>52</v>
      </c>
      <c r="C1596" s="231" t="s">
        <v>10</v>
      </c>
      <c r="D1596" s="237" t="s">
        <v>3319</v>
      </c>
      <c r="E1596" s="281">
        <v>0</v>
      </c>
      <c r="F1596" s="249">
        <v>67</v>
      </c>
      <c r="G1596" s="168">
        <f t="shared" si="235"/>
        <v>0.78285714285714292</v>
      </c>
      <c r="H1596" s="168">
        <f t="shared" si="236"/>
        <v>1.5657142857142858</v>
      </c>
      <c r="I1596" s="168">
        <f t="shared" si="237"/>
        <v>1.1742857142857144</v>
      </c>
      <c r="J1596" s="168">
        <f t="shared" si="238"/>
        <v>1.9571428571428573</v>
      </c>
      <c r="K1596" s="168">
        <f t="shared" si="239"/>
        <v>1.9571428571428573</v>
      </c>
      <c r="L1596" s="168">
        <f t="shared" si="240"/>
        <v>1.01675</v>
      </c>
      <c r="M1596" s="168">
        <f t="shared" si="228"/>
        <v>0</v>
      </c>
      <c r="N1596" s="241" t="s">
        <v>453</v>
      </c>
    </row>
    <row r="1597" spans="1:14" ht="15" customHeight="1">
      <c r="A1597" s="107">
        <v>1596</v>
      </c>
      <c r="B1597" s="231" t="s">
        <v>52</v>
      </c>
      <c r="C1597" s="231" t="s">
        <v>10</v>
      </c>
      <c r="D1597" s="237" t="s">
        <v>3320</v>
      </c>
      <c r="E1597" s="281">
        <v>0</v>
      </c>
      <c r="F1597" s="249">
        <v>300</v>
      </c>
      <c r="G1597" s="168">
        <f t="shared" si="235"/>
        <v>2.1142857142857143</v>
      </c>
      <c r="H1597" s="168">
        <f t="shared" si="236"/>
        <v>4.2285714285714286</v>
      </c>
      <c r="I1597" s="168">
        <f t="shared" si="237"/>
        <v>3.1714285714285713</v>
      </c>
      <c r="J1597" s="168">
        <f t="shared" si="238"/>
        <v>5.2857142857142856</v>
      </c>
      <c r="K1597" s="168">
        <f t="shared" si="239"/>
        <v>5.2857142857142856</v>
      </c>
      <c r="L1597" s="168">
        <f t="shared" si="240"/>
        <v>1.075</v>
      </c>
      <c r="M1597" s="168">
        <f t="shared" si="228"/>
        <v>0</v>
      </c>
      <c r="N1597" s="241" t="s">
        <v>453</v>
      </c>
    </row>
    <row r="1598" spans="1:14" ht="15" customHeight="1">
      <c r="A1598" s="107">
        <v>1597</v>
      </c>
      <c r="B1598" s="231" t="s">
        <v>52</v>
      </c>
      <c r="C1598" s="231" t="s">
        <v>10</v>
      </c>
      <c r="D1598" s="237" t="s">
        <v>3321</v>
      </c>
      <c r="E1598" s="281">
        <v>0</v>
      </c>
      <c r="F1598" s="249">
        <v>90</v>
      </c>
      <c r="G1598" s="168">
        <f t="shared" si="235"/>
        <v>0.91428571428571426</v>
      </c>
      <c r="H1598" s="168">
        <f t="shared" si="236"/>
        <v>1.8285714285714285</v>
      </c>
      <c r="I1598" s="168">
        <f t="shared" si="237"/>
        <v>1.3714285714285712</v>
      </c>
      <c r="J1598" s="168">
        <f t="shared" si="238"/>
        <v>2.2857142857142856</v>
      </c>
      <c r="K1598" s="168">
        <f t="shared" si="239"/>
        <v>2.2857142857142856</v>
      </c>
      <c r="L1598" s="168">
        <f t="shared" si="240"/>
        <v>1.0225</v>
      </c>
      <c r="M1598" s="168">
        <f t="shared" si="228"/>
        <v>0</v>
      </c>
      <c r="N1598" s="241" t="s">
        <v>453</v>
      </c>
    </row>
    <row r="1599" spans="1:14" ht="15" customHeight="1">
      <c r="A1599" s="107">
        <v>1598</v>
      </c>
      <c r="B1599" s="231" t="s">
        <v>52</v>
      </c>
      <c r="C1599" s="231" t="s">
        <v>10</v>
      </c>
      <c r="D1599" s="237" t="s">
        <v>3322</v>
      </c>
      <c r="E1599" s="281">
        <v>0</v>
      </c>
      <c r="F1599" s="249">
        <v>340</v>
      </c>
      <c r="G1599" s="168">
        <f t="shared" si="235"/>
        <v>2.342857142857143</v>
      </c>
      <c r="H1599" s="168">
        <f t="shared" si="236"/>
        <v>4.6857142857142859</v>
      </c>
      <c r="I1599" s="168">
        <f t="shared" si="237"/>
        <v>3.5142857142857138</v>
      </c>
      <c r="J1599" s="168">
        <f t="shared" si="238"/>
        <v>5.8571428571428568</v>
      </c>
      <c r="K1599" s="168">
        <f t="shared" si="239"/>
        <v>5.8571428571428568</v>
      </c>
      <c r="L1599" s="168">
        <f t="shared" si="240"/>
        <v>1.085</v>
      </c>
      <c r="M1599" s="168">
        <f t="shared" si="228"/>
        <v>0</v>
      </c>
      <c r="N1599" s="241" t="s">
        <v>453</v>
      </c>
    </row>
    <row r="1600" spans="1:14" ht="15" customHeight="1">
      <c r="A1600" s="107">
        <v>1599</v>
      </c>
      <c r="B1600" s="231" t="s">
        <v>52</v>
      </c>
      <c r="C1600" s="231" t="s">
        <v>10</v>
      </c>
      <c r="D1600" s="237" t="s">
        <v>3323</v>
      </c>
      <c r="E1600" s="281">
        <v>0</v>
      </c>
      <c r="F1600" s="249">
        <v>650</v>
      </c>
      <c r="G1600" s="168">
        <f t="shared" si="235"/>
        <v>4.1142857142857148</v>
      </c>
      <c r="H1600" s="168">
        <f t="shared" si="236"/>
        <v>8.2285714285714295</v>
      </c>
      <c r="I1600" s="168">
        <f t="shared" si="237"/>
        <v>6.1714285714285717</v>
      </c>
      <c r="J1600" s="168">
        <f t="shared" si="238"/>
        <v>10.285714285714286</v>
      </c>
      <c r="K1600" s="168">
        <f t="shared" si="239"/>
        <v>10.285714285714286</v>
      </c>
      <c r="L1600" s="168">
        <f t="shared" si="240"/>
        <v>1.1625000000000001</v>
      </c>
      <c r="M1600" s="168">
        <f t="shared" si="228"/>
        <v>0</v>
      </c>
      <c r="N1600" s="241" t="s">
        <v>457</v>
      </c>
    </row>
    <row r="1601" spans="1:14" ht="15" customHeight="1">
      <c r="A1601" s="107">
        <v>1600</v>
      </c>
      <c r="B1601" s="231" t="s">
        <v>49</v>
      </c>
      <c r="C1601" s="231" t="s">
        <v>10</v>
      </c>
      <c r="D1601" s="237" t="s">
        <v>3324</v>
      </c>
      <c r="E1601" s="281">
        <v>0</v>
      </c>
      <c r="F1601" s="249">
        <v>150</v>
      </c>
      <c r="G1601" s="168">
        <f t="shared" si="235"/>
        <v>1.2571428571428571</v>
      </c>
      <c r="H1601" s="168">
        <f t="shared" si="236"/>
        <v>2.5142857142857142</v>
      </c>
      <c r="I1601" s="168">
        <f t="shared" si="237"/>
        <v>1.8857142857142857</v>
      </c>
      <c r="J1601" s="168">
        <f t="shared" si="238"/>
        <v>3.1428571428571428</v>
      </c>
      <c r="K1601" s="168">
        <f t="shared" si="239"/>
        <v>3.1428571428571428</v>
      </c>
      <c r="L1601" s="168">
        <f t="shared" si="240"/>
        <v>1.0375000000000001</v>
      </c>
      <c r="M1601" s="168">
        <f t="shared" si="228"/>
        <v>0</v>
      </c>
      <c r="N1601" s="241" t="s">
        <v>453</v>
      </c>
    </row>
    <row r="1602" spans="1:14" ht="15" customHeight="1">
      <c r="A1602" s="107">
        <v>1601</v>
      </c>
      <c r="B1602" s="231" t="s">
        <v>52</v>
      </c>
      <c r="C1602" s="231" t="s">
        <v>10</v>
      </c>
      <c r="D1602" s="328" t="s">
        <v>4720</v>
      </c>
      <c r="E1602" s="281">
        <v>350</v>
      </c>
      <c r="F1602" s="249">
        <v>0</v>
      </c>
      <c r="G1602" s="168">
        <f t="shared" si="235"/>
        <v>0.4</v>
      </c>
      <c r="H1602" s="168">
        <f t="shared" si="236"/>
        <v>0.8</v>
      </c>
      <c r="I1602" s="168">
        <f t="shared" si="237"/>
        <v>0.6</v>
      </c>
      <c r="J1602" s="168">
        <f t="shared" si="238"/>
        <v>1</v>
      </c>
      <c r="K1602" s="168">
        <f t="shared" si="239"/>
        <v>1</v>
      </c>
      <c r="L1602" s="168">
        <f t="shared" si="240"/>
        <v>1</v>
      </c>
      <c r="M1602" s="168">
        <f t="shared" ref="M1602:M1665" si="241">E1602/60</f>
        <v>5.833333333333333</v>
      </c>
      <c r="N1602" s="241" t="s">
        <v>453</v>
      </c>
    </row>
    <row r="1603" spans="1:14" ht="15" customHeight="1">
      <c r="A1603" s="107">
        <v>1602</v>
      </c>
      <c r="B1603" s="231" t="s">
        <v>52</v>
      </c>
      <c r="C1603" s="231" t="s">
        <v>10</v>
      </c>
      <c r="D1603" s="237" t="s">
        <v>3325</v>
      </c>
      <c r="E1603" s="281">
        <v>0</v>
      </c>
      <c r="F1603" s="249">
        <v>500</v>
      </c>
      <c r="G1603" s="168">
        <f t="shared" si="235"/>
        <v>3.2571428571428571</v>
      </c>
      <c r="H1603" s="168">
        <f t="shared" si="236"/>
        <v>6.5142857142857142</v>
      </c>
      <c r="I1603" s="168">
        <f t="shared" si="237"/>
        <v>4.8857142857142852</v>
      </c>
      <c r="J1603" s="168">
        <f t="shared" si="238"/>
        <v>8.1428571428571423</v>
      </c>
      <c r="K1603" s="168">
        <f t="shared" si="239"/>
        <v>8.1428571428571423</v>
      </c>
      <c r="L1603" s="168">
        <f t="shared" si="240"/>
        <v>1.125</v>
      </c>
      <c r="M1603" s="168">
        <f t="shared" si="241"/>
        <v>0</v>
      </c>
      <c r="N1603" s="241" t="s">
        <v>453</v>
      </c>
    </row>
    <row r="1604" spans="1:14" ht="15" customHeight="1">
      <c r="A1604" s="107">
        <v>1603</v>
      </c>
      <c r="B1604" s="231" t="s">
        <v>52</v>
      </c>
      <c r="C1604" s="231" t="s">
        <v>10</v>
      </c>
      <c r="D1604" s="237" t="s">
        <v>3326</v>
      </c>
      <c r="E1604" s="281">
        <v>0</v>
      </c>
      <c r="F1604" s="249">
        <v>600</v>
      </c>
      <c r="G1604" s="168">
        <f t="shared" si="235"/>
        <v>3.8285714285714287</v>
      </c>
      <c r="H1604" s="168">
        <f t="shared" si="236"/>
        <v>7.6571428571428575</v>
      </c>
      <c r="I1604" s="168">
        <f t="shared" si="237"/>
        <v>5.7428571428571429</v>
      </c>
      <c r="J1604" s="168">
        <f t="shared" si="238"/>
        <v>9.5714285714285712</v>
      </c>
      <c r="K1604" s="168">
        <f t="shared" si="239"/>
        <v>9.5714285714285712</v>
      </c>
      <c r="L1604" s="168">
        <f t="shared" si="240"/>
        <v>1.1499999999999999</v>
      </c>
      <c r="M1604" s="168">
        <f t="shared" si="241"/>
        <v>0</v>
      </c>
      <c r="N1604" s="241" t="s">
        <v>453</v>
      </c>
    </row>
    <row r="1605" spans="1:14" ht="15" customHeight="1">
      <c r="A1605" s="107">
        <v>1604</v>
      </c>
      <c r="B1605" s="231" t="s">
        <v>61</v>
      </c>
      <c r="C1605" s="231" t="s">
        <v>11</v>
      </c>
      <c r="D1605" s="237" t="s">
        <v>3327</v>
      </c>
      <c r="E1605" s="281">
        <v>0</v>
      </c>
      <c r="F1605" s="249">
        <v>2000</v>
      </c>
      <c r="G1605" s="168">
        <f t="shared" si="235"/>
        <v>11.828571428571429</v>
      </c>
      <c r="H1605" s="168">
        <f t="shared" si="236"/>
        <v>23.657142857142858</v>
      </c>
      <c r="I1605" s="168">
        <f t="shared" si="237"/>
        <v>17.742857142857144</v>
      </c>
      <c r="J1605" s="168">
        <f t="shared" si="238"/>
        <v>29.571428571428573</v>
      </c>
      <c r="K1605" s="168">
        <f t="shared" si="239"/>
        <v>29.571428571428573</v>
      </c>
      <c r="L1605" s="168">
        <f t="shared" si="240"/>
        <v>1.5</v>
      </c>
      <c r="M1605" s="168">
        <f t="shared" si="241"/>
        <v>0</v>
      </c>
      <c r="N1605" s="241" t="s">
        <v>453</v>
      </c>
    </row>
    <row r="1606" spans="1:14" ht="15" customHeight="1">
      <c r="A1606" s="107">
        <v>1605</v>
      </c>
      <c r="B1606" s="231" t="s">
        <v>52</v>
      </c>
      <c r="C1606" s="231" t="s">
        <v>10</v>
      </c>
      <c r="D1606" s="237" t="s">
        <v>3329</v>
      </c>
      <c r="E1606" s="281">
        <v>0</v>
      </c>
      <c r="F1606" s="249">
        <v>500</v>
      </c>
      <c r="G1606" s="168">
        <f t="shared" si="235"/>
        <v>3.2571428571428571</v>
      </c>
      <c r="H1606" s="168">
        <f t="shared" si="236"/>
        <v>6.5142857142857142</v>
      </c>
      <c r="I1606" s="168">
        <f t="shared" si="237"/>
        <v>4.8857142857142852</v>
      </c>
      <c r="J1606" s="168">
        <f t="shared" si="238"/>
        <v>8.1428571428571423</v>
      </c>
      <c r="K1606" s="168">
        <f t="shared" si="239"/>
        <v>8.1428571428571423</v>
      </c>
      <c r="L1606" s="168">
        <f t="shared" si="240"/>
        <v>1.125</v>
      </c>
      <c r="M1606" s="168">
        <f t="shared" si="241"/>
        <v>0</v>
      </c>
      <c r="N1606" s="241" t="s">
        <v>453</v>
      </c>
    </row>
    <row r="1607" spans="1:14" ht="15" customHeight="1">
      <c r="A1607" s="107">
        <v>1606</v>
      </c>
      <c r="B1607" s="231" t="s">
        <v>52</v>
      </c>
      <c r="C1607" s="231" t="s">
        <v>10</v>
      </c>
      <c r="D1607" s="237" t="s">
        <v>3331</v>
      </c>
      <c r="E1607" s="281">
        <v>0</v>
      </c>
      <c r="F1607" s="249">
        <v>2000</v>
      </c>
      <c r="G1607" s="168">
        <f t="shared" si="235"/>
        <v>11.828571428571429</v>
      </c>
      <c r="H1607" s="168">
        <f t="shared" si="236"/>
        <v>23.657142857142858</v>
      </c>
      <c r="I1607" s="168">
        <f t="shared" si="237"/>
        <v>17.742857142857144</v>
      </c>
      <c r="J1607" s="168">
        <f t="shared" si="238"/>
        <v>29.571428571428573</v>
      </c>
      <c r="K1607" s="168">
        <f t="shared" si="239"/>
        <v>29.571428571428573</v>
      </c>
      <c r="L1607" s="168">
        <f t="shared" si="240"/>
        <v>1.5</v>
      </c>
      <c r="M1607" s="168">
        <f t="shared" si="241"/>
        <v>0</v>
      </c>
      <c r="N1607" s="241" t="s">
        <v>453</v>
      </c>
    </row>
    <row r="1608" spans="1:14" ht="15" customHeight="1">
      <c r="A1608" s="107">
        <v>1607</v>
      </c>
      <c r="B1608" s="231" t="s">
        <v>52</v>
      </c>
      <c r="C1608" s="231" t="s">
        <v>10</v>
      </c>
      <c r="D1608" s="237" t="s">
        <v>3332</v>
      </c>
      <c r="E1608" s="281">
        <v>0</v>
      </c>
      <c r="F1608" s="249">
        <v>1900</v>
      </c>
      <c r="G1608" s="168">
        <f t="shared" si="235"/>
        <v>11.257142857142858</v>
      </c>
      <c r="H1608" s="168">
        <f t="shared" si="236"/>
        <v>22.514285714285716</v>
      </c>
      <c r="I1608" s="168">
        <f t="shared" si="237"/>
        <v>16.885714285714286</v>
      </c>
      <c r="J1608" s="168">
        <f t="shared" si="238"/>
        <v>28.142857142857146</v>
      </c>
      <c r="K1608" s="168">
        <f t="shared" si="239"/>
        <v>28.142857142857146</v>
      </c>
      <c r="L1608" s="168">
        <f t="shared" si="240"/>
        <v>1.4750000000000001</v>
      </c>
      <c r="M1608" s="168">
        <f t="shared" si="241"/>
        <v>0</v>
      </c>
      <c r="N1608" s="241" t="s">
        <v>453</v>
      </c>
    </row>
    <row r="1609" spans="1:14" ht="15" customHeight="1">
      <c r="A1609" s="107">
        <v>1608</v>
      </c>
      <c r="B1609" s="231" t="s">
        <v>52</v>
      </c>
      <c r="C1609" s="231" t="s">
        <v>10</v>
      </c>
      <c r="D1609" s="237" t="s">
        <v>3333</v>
      </c>
      <c r="E1609" s="281">
        <v>0</v>
      </c>
      <c r="F1609" s="249">
        <v>300</v>
      </c>
      <c r="G1609" s="168">
        <f t="shared" si="235"/>
        <v>2.1142857142857143</v>
      </c>
      <c r="H1609" s="168">
        <f t="shared" si="236"/>
        <v>4.2285714285714286</v>
      </c>
      <c r="I1609" s="168">
        <f t="shared" si="237"/>
        <v>3.1714285714285713</v>
      </c>
      <c r="J1609" s="168">
        <f t="shared" si="238"/>
        <v>5.2857142857142856</v>
      </c>
      <c r="K1609" s="168">
        <f t="shared" si="239"/>
        <v>5.2857142857142856</v>
      </c>
      <c r="L1609" s="168">
        <f t="shared" si="240"/>
        <v>1.075</v>
      </c>
      <c r="M1609" s="168">
        <f t="shared" si="241"/>
        <v>0</v>
      </c>
      <c r="N1609" s="241" t="s">
        <v>453</v>
      </c>
    </row>
    <row r="1610" spans="1:14" ht="15" customHeight="1">
      <c r="A1610" s="107">
        <v>1609</v>
      </c>
      <c r="B1610" s="231" t="s">
        <v>52</v>
      </c>
      <c r="C1610" s="231" t="s">
        <v>10</v>
      </c>
      <c r="D1610" s="237" t="s">
        <v>3334</v>
      </c>
      <c r="E1610" s="281">
        <v>0</v>
      </c>
      <c r="F1610" s="249">
        <v>607</v>
      </c>
      <c r="G1610" s="168">
        <f t="shared" si="235"/>
        <v>3.8685714285714283</v>
      </c>
      <c r="H1610" s="168">
        <f t="shared" si="236"/>
        <v>7.7371428571428567</v>
      </c>
      <c r="I1610" s="168">
        <f t="shared" si="237"/>
        <v>5.8028571428571425</v>
      </c>
      <c r="J1610" s="168">
        <f t="shared" si="238"/>
        <v>9.6714285714285708</v>
      </c>
      <c r="K1610" s="168">
        <f t="shared" si="239"/>
        <v>9.6714285714285708</v>
      </c>
      <c r="L1610" s="168">
        <f t="shared" si="240"/>
        <v>1.1517500000000001</v>
      </c>
      <c r="M1610" s="168">
        <f t="shared" si="241"/>
        <v>0</v>
      </c>
      <c r="N1610" s="241" t="s">
        <v>453</v>
      </c>
    </row>
    <row r="1611" spans="1:14" ht="15" customHeight="1">
      <c r="A1611" s="107">
        <v>1610</v>
      </c>
      <c r="B1611" s="231" t="s">
        <v>52</v>
      </c>
      <c r="C1611" s="231" t="s">
        <v>10</v>
      </c>
      <c r="D1611" s="237" t="s">
        <v>3335</v>
      </c>
      <c r="E1611" s="281">
        <v>0</v>
      </c>
      <c r="F1611" s="249">
        <v>150</v>
      </c>
      <c r="G1611" s="168">
        <f t="shared" si="235"/>
        <v>1.2571428571428571</v>
      </c>
      <c r="H1611" s="168">
        <f t="shared" si="236"/>
        <v>2.5142857142857142</v>
      </c>
      <c r="I1611" s="168">
        <f t="shared" si="237"/>
        <v>1.8857142857142857</v>
      </c>
      <c r="J1611" s="168">
        <f t="shared" si="238"/>
        <v>3.1428571428571428</v>
      </c>
      <c r="K1611" s="168">
        <f t="shared" si="239"/>
        <v>3.1428571428571428</v>
      </c>
      <c r="L1611" s="168">
        <f t="shared" si="240"/>
        <v>1.0375000000000001</v>
      </c>
      <c r="M1611" s="168">
        <f t="shared" si="241"/>
        <v>0</v>
      </c>
      <c r="N1611" s="241" t="s">
        <v>453</v>
      </c>
    </row>
    <row r="1612" spans="1:14" ht="15" customHeight="1">
      <c r="A1612" s="107">
        <v>1611</v>
      </c>
      <c r="B1612" s="231" t="s">
        <v>52</v>
      </c>
      <c r="C1612" s="231" t="s">
        <v>10</v>
      </c>
      <c r="D1612" s="237" t="s">
        <v>3336</v>
      </c>
      <c r="E1612" s="281">
        <v>0</v>
      </c>
      <c r="F1612" s="249">
        <v>120</v>
      </c>
      <c r="G1612" s="168">
        <f t="shared" si="235"/>
        <v>1.0857142857142859</v>
      </c>
      <c r="H1612" s="168">
        <f t="shared" si="236"/>
        <v>2.1714285714285717</v>
      </c>
      <c r="I1612" s="168">
        <f t="shared" si="237"/>
        <v>1.6285714285714286</v>
      </c>
      <c r="J1612" s="168">
        <f t="shared" si="238"/>
        <v>2.7142857142857144</v>
      </c>
      <c r="K1612" s="168">
        <f t="shared" si="239"/>
        <v>2.7142857142857144</v>
      </c>
      <c r="L1612" s="168">
        <f t="shared" si="240"/>
        <v>1.03</v>
      </c>
      <c r="M1612" s="168">
        <f t="shared" si="241"/>
        <v>0</v>
      </c>
      <c r="N1612" s="241" t="s">
        <v>453</v>
      </c>
    </row>
    <row r="1613" spans="1:14" ht="15" customHeight="1">
      <c r="A1613" s="107">
        <v>1612</v>
      </c>
      <c r="B1613" s="231" t="s">
        <v>52</v>
      </c>
      <c r="C1613" s="231" t="s">
        <v>10</v>
      </c>
      <c r="D1613" s="237" t="s">
        <v>3337</v>
      </c>
      <c r="E1613" s="281">
        <v>250</v>
      </c>
      <c r="F1613" s="249">
        <v>0</v>
      </c>
      <c r="G1613" s="168">
        <f t="shared" si="235"/>
        <v>0.4</v>
      </c>
      <c r="H1613" s="168">
        <f t="shared" si="236"/>
        <v>0.8</v>
      </c>
      <c r="I1613" s="168">
        <f t="shared" si="237"/>
        <v>0.6</v>
      </c>
      <c r="J1613" s="168">
        <f t="shared" si="238"/>
        <v>1</v>
      </c>
      <c r="K1613" s="168">
        <f t="shared" si="239"/>
        <v>1</v>
      </c>
      <c r="L1613" s="168">
        <f t="shared" si="240"/>
        <v>1</v>
      </c>
      <c r="M1613" s="168">
        <f t="shared" si="241"/>
        <v>4.166666666666667</v>
      </c>
      <c r="N1613" s="241" t="s">
        <v>453</v>
      </c>
    </row>
    <row r="1614" spans="1:14" ht="15" customHeight="1">
      <c r="A1614" s="107">
        <v>1613</v>
      </c>
      <c r="B1614" s="231" t="s">
        <v>52</v>
      </c>
      <c r="C1614" s="231" t="s">
        <v>10</v>
      </c>
      <c r="D1614" s="237" t="s">
        <v>3339</v>
      </c>
      <c r="E1614" s="281">
        <v>225</v>
      </c>
      <c r="F1614" s="249">
        <v>0</v>
      </c>
      <c r="G1614" s="168">
        <f t="shared" si="235"/>
        <v>0.4</v>
      </c>
      <c r="H1614" s="168">
        <f t="shared" si="236"/>
        <v>0.8</v>
      </c>
      <c r="I1614" s="168">
        <f t="shared" si="237"/>
        <v>0.6</v>
      </c>
      <c r="J1614" s="168">
        <f t="shared" si="238"/>
        <v>1</v>
      </c>
      <c r="K1614" s="168">
        <f t="shared" si="239"/>
        <v>1</v>
      </c>
      <c r="L1614" s="168">
        <f t="shared" si="240"/>
        <v>1</v>
      </c>
      <c r="M1614" s="168">
        <f t="shared" si="241"/>
        <v>3.75</v>
      </c>
      <c r="N1614" s="241" t="s">
        <v>453</v>
      </c>
    </row>
    <row r="1615" spans="1:14" ht="15" customHeight="1">
      <c r="A1615" s="107">
        <v>1614</v>
      </c>
      <c r="B1615" s="231" t="s">
        <v>52</v>
      </c>
      <c r="C1615" s="231" t="s">
        <v>10</v>
      </c>
      <c r="D1615" s="237" t="s">
        <v>3340</v>
      </c>
      <c r="E1615" s="281">
        <v>100</v>
      </c>
      <c r="F1615" s="249">
        <v>0</v>
      </c>
      <c r="G1615" s="168">
        <f t="shared" si="235"/>
        <v>0.4</v>
      </c>
      <c r="H1615" s="168">
        <f t="shared" si="236"/>
        <v>0.8</v>
      </c>
      <c r="I1615" s="168">
        <f t="shared" si="237"/>
        <v>0.6</v>
      </c>
      <c r="J1615" s="168">
        <f t="shared" si="238"/>
        <v>1</v>
      </c>
      <c r="K1615" s="168">
        <f t="shared" si="239"/>
        <v>1</v>
      </c>
      <c r="L1615" s="168">
        <f t="shared" si="240"/>
        <v>1</v>
      </c>
      <c r="M1615" s="168">
        <f t="shared" si="241"/>
        <v>1.6666666666666667</v>
      </c>
      <c r="N1615" s="241" t="s">
        <v>453</v>
      </c>
    </row>
    <row r="1616" spans="1:14" ht="15" customHeight="1">
      <c r="A1616" s="107">
        <v>1615</v>
      </c>
      <c r="B1616" s="231" t="s">
        <v>52</v>
      </c>
      <c r="C1616" s="231" t="s">
        <v>10</v>
      </c>
      <c r="D1616" s="328" t="s">
        <v>3341</v>
      </c>
      <c r="E1616" s="281">
        <v>413</v>
      </c>
      <c r="F1616" s="249">
        <v>0</v>
      </c>
      <c r="G1616" s="168">
        <f t="shared" si="235"/>
        <v>0.4</v>
      </c>
      <c r="H1616" s="168">
        <f t="shared" si="236"/>
        <v>0.8</v>
      </c>
      <c r="I1616" s="168">
        <f t="shared" si="237"/>
        <v>0.6</v>
      </c>
      <c r="J1616" s="168">
        <f t="shared" si="238"/>
        <v>1</v>
      </c>
      <c r="K1616" s="168">
        <f t="shared" si="239"/>
        <v>1</v>
      </c>
      <c r="L1616" s="168">
        <f t="shared" si="240"/>
        <v>1</v>
      </c>
      <c r="M1616" s="168">
        <f t="shared" si="241"/>
        <v>6.8833333333333337</v>
      </c>
      <c r="N1616" s="241" t="s">
        <v>453</v>
      </c>
    </row>
    <row r="1617" spans="1:14" ht="15" customHeight="1">
      <c r="A1617" s="107">
        <v>1616</v>
      </c>
      <c r="B1617" s="231" t="s">
        <v>52</v>
      </c>
      <c r="C1617" s="231" t="s">
        <v>10</v>
      </c>
      <c r="D1617" s="237" t="s">
        <v>3342</v>
      </c>
      <c r="E1617" s="281">
        <v>137</v>
      </c>
      <c r="F1617" s="249">
        <v>0</v>
      </c>
      <c r="G1617" s="168">
        <f t="shared" si="235"/>
        <v>0.4</v>
      </c>
      <c r="H1617" s="168">
        <f t="shared" si="236"/>
        <v>0.8</v>
      </c>
      <c r="I1617" s="168">
        <f t="shared" si="237"/>
        <v>0.6</v>
      </c>
      <c r="J1617" s="168">
        <f t="shared" si="238"/>
        <v>1</v>
      </c>
      <c r="K1617" s="168">
        <f t="shared" si="239"/>
        <v>1</v>
      </c>
      <c r="L1617" s="168">
        <f t="shared" si="240"/>
        <v>1</v>
      </c>
      <c r="M1617" s="168">
        <f t="shared" si="241"/>
        <v>2.2833333333333332</v>
      </c>
      <c r="N1617" s="241" t="s">
        <v>453</v>
      </c>
    </row>
    <row r="1618" spans="1:14" ht="15" customHeight="1">
      <c r="A1618" s="107">
        <v>1617</v>
      </c>
      <c r="B1618" s="231" t="s">
        <v>52</v>
      </c>
      <c r="C1618" s="231" t="s">
        <v>10</v>
      </c>
      <c r="D1618" s="237" t="s">
        <v>3343</v>
      </c>
      <c r="E1618" s="281">
        <v>150</v>
      </c>
      <c r="F1618" s="249">
        <v>0</v>
      </c>
      <c r="G1618" s="168">
        <f t="shared" si="235"/>
        <v>0.4</v>
      </c>
      <c r="H1618" s="168">
        <f t="shared" si="236"/>
        <v>0.8</v>
      </c>
      <c r="I1618" s="168">
        <f t="shared" si="237"/>
        <v>0.6</v>
      </c>
      <c r="J1618" s="168">
        <f t="shared" si="238"/>
        <v>1</v>
      </c>
      <c r="K1618" s="168">
        <f t="shared" si="239"/>
        <v>1</v>
      </c>
      <c r="L1618" s="168">
        <f t="shared" si="240"/>
        <v>1</v>
      </c>
      <c r="M1618" s="168">
        <f t="shared" si="241"/>
        <v>2.5</v>
      </c>
      <c r="N1618" s="241" t="s">
        <v>453</v>
      </c>
    </row>
    <row r="1619" spans="1:14" ht="15" customHeight="1">
      <c r="A1619" s="107">
        <v>1618</v>
      </c>
      <c r="B1619" s="231" t="s">
        <v>52</v>
      </c>
      <c r="C1619" s="231" t="s">
        <v>10</v>
      </c>
      <c r="D1619" s="237" t="s">
        <v>3344</v>
      </c>
      <c r="E1619" s="281">
        <v>120</v>
      </c>
      <c r="F1619" s="249">
        <v>0</v>
      </c>
      <c r="G1619" s="168">
        <f t="shared" si="235"/>
        <v>0.4</v>
      </c>
      <c r="H1619" s="168">
        <f t="shared" si="236"/>
        <v>0.8</v>
      </c>
      <c r="I1619" s="168">
        <f t="shared" si="237"/>
        <v>0.6</v>
      </c>
      <c r="J1619" s="168">
        <f t="shared" si="238"/>
        <v>1</v>
      </c>
      <c r="K1619" s="168">
        <f t="shared" si="239"/>
        <v>1</v>
      </c>
      <c r="L1619" s="168">
        <f t="shared" si="240"/>
        <v>1</v>
      </c>
      <c r="M1619" s="168">
        <f t="shared" si="241"/>
        <v>2</v>
      </c>
      <c r="N1619" s="241" t="s">
        <v>453</v>
      </c>
    </row>
    <row r="1620" spans="1:14" ht="15" customHeight="1">
      <c r="A1620" s="107">
        <v>1619</v>
      </c>
      <c r="B1620" s="231" t="s">
        <v>52</v>
      </c>
      <c r="C1620" s="231" t="s">
        <v>10</v>
      </c>
      <c r="D1620" s="328" t="s">
        <v>4719</v>
      </c>
      <c r="E1620" s="281">
        <v>0</v>
      </c>
      <c r="F1620" s="249">
        <v>1800</v>
      </c>
      <c r="G1620" s="168">
        <f t="shared" si="235"/>
        <v>10.685714285714287</v>
      </c>
      <c r="H1620" s="168">
        <f t="shared" si="236"/>
        <v>21.371428571428574</v>
      </c>
      <c r="I1620" s="168">
        <f t="shared" si="237"/>
        <v>16.028571428571428</v>
      </c>
      <c r="J1620" s="168">
        <f t="shared" si="238"/>
        <v>26.714285714285715</v>
      </c>
      <c r="K1620" s="168">
        <f t="shared" si="239"/>
        <v>26.714285714285715</v>
      </c>
      <c r="L1620" s="168">
        <f t="shared" si="240"/>
        <v>1.45</v>
      </c>
      <c r="M1620" s="168">
        <f t="shared" si="241"/>
        <v>0</v>
      </c>
      <c r="N1620" s="241" t="s">
        <v>453</v>
      </c>
    </row>
    <row r="1621" spans="1:14" ht="15" customHeight="1">
      <c r="A1621" s="107">
        <v>1620</v>
      </c>
      <c r="B1621" s="231" t="s">
        <v>52</v>
      </c>
      <c r="C1621" s="231" t="s">
        <v>10</v>
      </c>
      <c r="D1621" s="328" t="s">
        <v>3345</v>
      </c>
      <c r="E1621" s="281">
        <v>0</v>
      </c>
      <c r="F1621" s="249">
        <v>4300</v>
      </c>
      <c r="G1621" s="168">
        <f t="shared" si="235"/>
        <v>24.971428571428575</v>
      </c>
      <c r="H1621" s="168">
        <f t="shared" si="236"/>
        <v>49.94285714285715</v>
      </c>
      <c r="I1621" s="168">
        <f t="shared" si="237"/>
        <v>37.457142857142856</v>
      </c>
      <c r="J1621" s="168">
        <f t="shared" si="238"/>
        <v>62.428571428571431</v>
      </c>
      <c r="K1621" s="168">
        <f t="shared" si="239"/>
        <v>62.428571428571431</v>
      </c>
      <c r="L1621" s="168">
        <f t="shared" si="240"/>
        <v>2.0750000000000002</v>
      </c>
      <c r="M1621" s="168">
        <f t="shared" si="241"/>
        <v>0</v>
      </c>
      <c r="N1621" s="241" t="s">
        <v>453</v>
      </c>
    </row>
    <row r="1622" spans="1:14" ht="15" customHeight="1">
      <c r="A1622" s="107">
        <v>1621</v>
      </c>
      <c r="B1622" s="231" t="s">
        <v>52</v>
      </c>
      <c r="C1622" s="231" t="s">
        <v>10</v>
      </c>
      <c r="D1622" s="237" t="s">
        <v>3346</v>
      </c>
      <c r="E1622" s="281">
        <v>0</v>
      </c>
      <c r="F1622" s="249">
        <v>1200</v>
      </c>
      <c r="G1622" s="168">
        <f t="shared" si="235"/>
        <v>7.2571428571428571</v>
      </c>
      <c r="H1622" s="168">
        <f t="shared" si="236"/>
        <v>14.514285714285714</v>
      </c>
      <c r="I1622" s="168">
        <f t="shared" si="237"/>
        <v>10.885714285714284</v>
      </c>
      <c r="J1622" s="168">
        <f t="shared" si="238"/>
        <v>18.142857142857142</v>
      </c>
      <c r="K1622" s="168">
        <f t="shared" si="239"/>
        <v>18.142857142857142</v>
      </c>
      <c r="L1622" s="168">
        <f t="shared" si="240"/>
        <v>1.3</v>
      </c>
      <c r="M1622" s="168">
        <f t="shared" si="241"/>
        <v>0</v>
      </c>
      <c r="N1622" s="241" t="s">
        <v>453</v>
      </c>
    </row>
    <row r="1623" spans="1:14" ht="15" customHeight="1">
      <c r="A1623" s="107">
        <v>1622</v>
      </c>
      <c r="B1623" s="231" t="s">
        <v>52</v>
      </c>
      <c r="C1623" s="231" t="s">
        <v>10</v>
      </c>
      <c r="D1623" s="237" t="s">
        <v>3347</v>
      </c>
      <c r="E1623" s="281">
        <v>0</v>
      </c>
      <c r="F1623" s="249">
        <v>600</v>
      </c>
      <c r="G1623" s="168">
        <f t="shared" si="235"/>
        <v>3.8285714285714287</v>
      </c>
      <c r="H1623" s="168">
        <f t="shared" si="236"/>
        <v>7.6571428571428575</v>
      </c>
      <c r="I1623" s="168">
        <f t="shared" si="237"/>
        <v>5.7428571428571429</v>
      </c>
      <c r="J1623" s="168">
        <f t="shared" si="238"/>
        <v>9.5714285714285712</v>
      </c>
      <c r="K1623" s="168">
        <f t="shared" si="239"/>
        <v>9.5714285714285712</v>
      </c>
      <c r="L1623" s="168">
        <f t="shared" si="240"/>
        <v>1.1499999999999999</v>
      </c>
      <c r="M1623" s="168">
        <f t="shared" si="241"/>
        <v>0</v>
      </c>
      <c r="N1623" s="241" t="s">
        <v>453</v>
      </c>
    </row>
    <row r="1624" spans="1:14" ht="15" customHeight="1">
      <c r="A1624" s="107">
        <v>1623</v>
      </c>
      <c r="B1624" s="231" t="s">
        <v>52</v>
      </c>
      <c r="C1624" s="231" t="s">
        <v>10</v>
      </c>
      <c r="D1624" s="237" t="s">
        <v>3348</v>
      </c>
      <c r="E1624" s="281">
        <v>0</v>
      </c>
      <c r="F1624" s="249">
        <v>250</v>
      </c>
      <c r="G1624" s="168">
        <f t="shared" si="235"/>
        <v>1.8285714285714285</v>
      </c>
      <c r="H1624" s="168">
        <f t="shared" si="236"/>
        <v>3.657142857142857</v>
      </c>
      <c r="I1624" s="168">
        <f t="shared" si="237"/>
        <v>2.7428571428571424</v>
      </c>
      <c r="J1624" s="168">
        <f t="shared" si="238"/>
        <v>4.5714285714285712</v>
      </c>
      <c r="K1624" s="168">
        <f t="shared" si="239"/>
        <v>4.5714285714285712</v>
      </c>
      <c r="L1624" s="168">
        <f t="shared" si="240"/>
        <v>1.0625</v>
      </c>
      <c r="M1624" s="168">
        <f t="shared" si="241"/>
        <v>0</v>
      </c>
      <c r="N1624" s="241" t="s">
        <v>453</v>
      </c>
    </row>
    <row r="1625" spans="1:14" ht="15" customHeight="1">
      <c r="A1625" s="107">
        <v>1624</v>
      </c>
      <c r="B1625" s="231" t="s">
        <v>52</v>
      </c>
      <c r="C1625" s="231" t="s">
        <v>10</v>
      </c>
      <c r="D1625" s="237" t="s">
        <v>4704</v>
      </c>
      <c r="E1625" s="281">
        <v>0</v>
      </c>
      <c r="F1625" s="249">
        <v>350</v>
      </c>
      <c r="G1625" s="168">
        <f t="shared" si="235"/>
        <v>2.4000000000000004</v>
      </c>
      <c r="H1625" s="168">
        <f t="shared" si="236"/>
        <v>4.8000000000000007</v>
      </c>
      <c r="I1625" s="168">
        <f t="shared" si="237"/>
        <v>3.5999999999999996</v>
      </c>
      <c r="J1625" s="168">
        <f t="shared" si="238"/>
        <v>6</v>
      </c>
      <c r="K1625" s="168">
        <f t="shared" si="239"/>
        <v>6</v>
      </c>
      <c r="L1625" s="168">
        <f t="shared" si="240"/>
        <v>1.0874999999999999</v>
      </c>
      <c r="M1625" s="168">
        <f t="shared" si="241"/>
        <v>0</v>
      </c>
      <c r="N1625" s="241" t="s">
        <v>453</v>
      </c>
    </row>
    <row r="1626" spans="1:14" ht="15" customHeight="1">
      <c r="A1626" s="107">
        <v>1625</v>
      </c>
      <c r="B1626" s="231" t="s">
        <v>52</v>
      </c>
      <c r="C1626" s="231" t="s">
        <v>10</v>
      </c>
      <c r="D1626" s="237" t="s">
        <v>3349</v>
      </c>
      <c r="E1626" s="281">
        <v>0</v>
      </c>
      <c r="F1626" s="249">
        <v>400</v>
      </c>
      <c r="G1626" s="168">
        <f t="shared" si="235"/>
        <v>2.6857142857142859</v>
      </c>
      <c r="H1626" s="168">
        <f t="shared" si="236"/>
        <v>5.3714285714285719</v>
      </c>
      <c r="I1626" s="168">
        <f t="shared" si="237"/>
        <v>4.0285714285714285</v>
      </c>
      <c r="J1626" s="168">
        <f t="shared" si="238"/>
        <v>6.7142857142857144</v>
      </c>
      <c r="K1626" s="168">
        <f t="shared" si="239"/>
        <v>6.7142857142857144</v>
      </c>
      <c r="L1626" s="168">
        <f t="shared" si="240"/>
        <v>1.1000000000000001</v>
      </c>
      <c r="M1626" s="168">
        <f t="shared" si="241"/>
        <v>0</v>
      </c>
      <c r="N1626" s="241" t="s">
        <v>453</v>
      </c>
    </row>
    <row r="1627" spans="1:14" ht="15" customHeight="1">
      <c r="A1627" s="107">
        <v>1626</v>
      </c>
      <c r="B1627" s="231" t="s">
        <v>61</v>
      </c>
      <c r="C1627" s="231" t="s">
        <v>11</v>
      </c>
      <c r="D1627" s="237" t="s">
        <v>3350</v>
      </c>
      <c r="E1627" s="281">
        <v>0</v>
      </c>
      <c r="F1627" s="249">
        <v>348</v>
      </c>
      <c r="G1627" s="168">
        <f t="shared" si="235"/>
        <v>2.3885714285714288</v>
      </c>
      <c r="H1627" s="168">
        <f t="shared" si="236"/>
        <v>4.7771428571428576</v>
      </c>
      <c r="I1627" s="168">
        <f t="shared" si="237"/>
        <v>3.5828571428571427</v>
      </c>
      <c r="J1627" s="168">
        <f t="shared" si="238"/>
        <v>5.9714285714285715</v>
      </c>
      <c r="K1627" s="168">
        <f t="shared" si="239"/>
        <v>5.9714285714285715</v>
      </c>
      <c r="L1627" s="168">
        <f t="shared" si="240"/>
        <v>1.087</v>
      </c>
      <c r="M1627" s="168">
        <f t="shared" si="241"/>
        <v>0</v>
      </c>
      <c r="N1627" s="241" t="s">
        <v>453</v>
      </c>
    </row>
    <row r="1628" spans="1:14" ht="15" customHeight="1">
      <c r="A1628" s="107">
        <v>1627</v>
      </c>
      <c r="B1628" s="281" t="s">
        <v>50</v>
      </c>
      <c r="C1628" s="231" t="s">
        <v>10</v>
      </c>
      <c r="D1628" s="237" t="s">
        <v>4557</v>
      </c>
      <c r="E1628" s="281">
        <v>0</v>
      </c>
      <c r="F1628" s="249">
        <v>1200</v>
      </c>
      <c r="G1628" s="168">
        <f t="shared" si="235"/>
        <v>7.2571428571428571</v>
      </c>
      <c r="H1628" s="168">
        <f t="shared" si="236"/>
        <v>14.514285714285714</v>
      </c>
      <c r="I1628" s="168">
        <f t="shared" si="237"/>
        <v>10.885714285714284</v>
      </c>
      <c r="J1628" s="168">
        <f t="shared" si="238"/>
        <v>18.142857142857142</v>
      </c>
      <c r="K1628" s="168">
        <f t="shared" si="239"/>
        <v>18.142857142857142</v>
      </c>
      <c r="L1628" s="168">
        <f t="shared" si="240"/>
        <v>1.3</v>
      </c>
      <c r="M1628" s="168">
        <f t="shared" si="241"/>
        <v>0</v>
      </c>
      <c r="N1628" s="241" t="s">
        <v>453</v>
      </c>
    </row>
    <row r="1629" spans="1:14" ht="15" customHeight="1">
      <c r="A1629" s="107">
        <v>1628</v>
      </c>
      <c r="B1629" s="231" t="s">
        <v>59</v>
      </c>
      <c r="C1629" s="231" t="s">
        <v>11</v>
      </c>
      <c r="D1629" s="237" t="s">
        <v>3351</v>
      </c>
      <c r="E1629" s="281">
        <v>0</v>
      </c>
      <c r="F1629" s="249">
        <v>650</v>
      </c>
      <c r="G1629" s="168">
        <f t="shared" si="235"/>
        <v>4.1142857142857148</v>
      </c>
      <c r="H1629" s="168">
        <f t="shared" si="236"/>
        <v>8.2285714285714295</v>
      </c>
      <c r="I1629" s="168">
        <f t="shared" si="237"/>
        <v>6.1714285714285717</v>
      </c>
      <c r="J1629" s="168">
        <f t="shared" si="238"/>
        <v>10.285714285714286</v>
      </c>
      <c r="K1629" s="168">
        <f t="shared" si="239"/>
        <v>10.285714285714286</v>
      </c>
      <c r="L1629" s="168">
        <f t="shared" si="240"/>
        <v>1.1625000000000001</v>
      </c>
      <c r="M1629" s="168">
        <f t="shared" si="241"/>
        <v>0</v>
      </c>
      <c r="N1629" s="241" t="s">
        <v>453</v>
      </c>
    </row>
    <row r="1630" spans="1:14" ht="15" customHeight="1">
      <c r="A1630" s="107">
        <v>1629</v>
      </c>
      <c r="B1630" s="231" t="s">
        <v>50</v>
      </c>
      <c r="C1630" s="231" t="s">
        <v>10</v>
      </c>
      <c r="D1630" s="237" t="s">
        <v>3352</v>
      </c>
      <c r="E1630" s="281">
        <v>0</v>
      </c>
      <c r="F1630" s="249">
        <v>1000</v>
      </c>
      <c r="G1630" s="168">
        <f t="shared" si="235"/>
        <v>6.1142857142857148</v>
      </c>
      <c r="H1630" s="168">
        <f t="shared" si="236"/>
        <v>12.22857142857143</v>
      </c>
      <c r="I1630" s="168">
        <f t="shared" si="237"/>
        <v>9.1714285714285708</v>
      </c>
      <c r="J1630" s="168">
        <f t="shared" si="238"/>
        <v>15.285714285714285</v>
      </c>
      <c r="K1630" s="168">
        <f t="shared" si="239"/>
        <v>15.285714285714285</v>
      </c>
      <c r="L1630" s="168">
        <f t="shared" si="240"/>
        <v>1.25</v>
      </c>
      <c r="M1630" s="168">
        <f t="shared" si="241"/>
        <v>0</v>
      </c>
      <c r="N1630" s="241" t="s">
        <v>453</v>
      </c>
    </row>
    <row r="1631" spans="1:14" ht="15" customHeight="1">
      <c r="A1631" s="107">
        <v>1630</v>
      </c>
      <c r="B1631" s="231" t="s">
        <v>52</v>
      </c>
      <c r="C1631" s="231" t="s">
        <v>10</v>
      </c>
      <c r="D1631" s="237" t="s">
        <v>3354</v>
      </c>
      <c r="E1631" s="281">
        <v>0</v>
      </c>
      <c r="F1631" s="249">
        <v>135</v>
      </c>
      <c r="G1631" s="168">
        <f t="shared" si="235"/>
        <v>1.1714285714285715</v>
      </c>
      <c r="H1631" s="168">
        <f t="shared" si="236"/>
        <v>2.342857142857143</v>
      </c>
      <c r="I1631" s="168">
        <f t="shared" si="237"/>
        <v>1.7571428571428573</v>
      </c>
      <c r="J1631" s="168">
        <f t="shared" si="238"/>
        <v>2.9285714285714288</v>
      </c>
      <c r="K1631" s="168">
        <f t="shared" si="239"/>
        <v>2.9285714285714288</v>
      </c>
      <c r="L1631" s="168">
        <f t="shared" si="240"/>
        <v>1.0337499999999999</v>
      </c>
      <c r="M1631" s="168">
        <f t="shared" si="241"/>
        <v>0</v>
      </c>
      <c r="N1631" s="241" t="s">
        <v>453</v>
      </c>
    </row>
    <row r="1632" spans="1:14" ht="15" customHeight="1">
      <c r="A1632" s="107">
        <v>1631</v>
      </c>
      <c r="B1632" s="231" t="s">
        <v>52</v>
      </c>
      <c r="C1632" s="231" t="s">
        <v>10</v>
      </c>
      <c r="D1632" s="237" t="s">
        <v>3355</v>
      </c>
      <c r="E1632" s="281">
        <v>0</v>
      </c>
      <c r="F1632" s="249">
        <v>300</v>
      </c>
      <c r="G1632" s="168">
        <f t="shared" si="235"/>
        <v>2.1142857142857143</v>
      </c>
      <c r="H1632" s="168">
        <f t="shared" si="236"/>
        <v>4.2285714285714286</v>
      </c>
      <c r="I1632" s="168">
        <f t="shared" si="237"/>
        <v>3.1714285714285713</v>
      </c>
      <c r="J1632" s="168">
        <f t="shared" si="238"/>
        <v>5.2857142857142856</v>
      </c>
      <c r="K1632" s="168">
        <f t="shared" si="239"/>
        <v>5.2857142857142856</v>
      </c>
      <c r="L1632" s="168">
        <f t="shared" si="240"/>
        <v>1.075</v>
      </c>
      <c r="M1632" s="168">
        <f t="shared" si="241"/>
        <v>0</v>
      </c>
      <c r="N1632" s="241" t="s">
        <v>453</v>
      </c>
    </row>
    <row r="1633" spans="1:14" ht="15" customHeight="1">
      <c r="A1633" s="107">
        <v>1632</v>
      </c>
      <c r="B1633" s="231" t="s">
        <v>52</v>
      </c>
      <c r="C1633" s="231" t="s">
        <v>10</v>
      </c>
      <c r="D1633" s="237" t="s">
        <v>3356</v>
      </c>
      <c r="E1633" s="281">
        <v>0</v>
      </c>
      <c r="F1633" s="249">
        <v>350</v>
      </c>
      <c r="G1633" s="168">
        <f t="shared" si="235"/>
        <v>2.4000000000000004</v>
      </c>
      <c r="H1633" s="168">
        <f t="shared" si="236"/>
        <v>4.8000000000000007</v>
      </c>
      <c r="I1633" s="168">
        <f t="shared" si="237"/>
        <v>3.5999999999999996</v>
      </c>
      <c r="J1633" s="168">
        <f t="shared" si="238"/>
        <v>6</v>
      </c>
      <c r="K1633" s="168">
        <f t="shared" si="239"/>
        <v>6</v>
      </c>
      <c r="L1633" s="168">
        <f t="shared" si="240"/>
        <v>1.0874999999999999</v>
      </c>
      <c r="M1633" s="168">
        <f t="shared" si="241"/>
        <v>0</v>
      </c>
      <c r="N1633" s="241" t="s">
        <v>457</v>
      </c>
    </row>
    <row r="1634" spans="1:14" ht="15" customHeight="1">
      <c r="A1634" s="107">
        <v>1633</v>
      </c>
      <c r="B1634" s="231" t="s">
        <v>52</v>
      </c>
      <c r="C1634" s="231" t="s">
        <v>10</v>
      </c>
      <c r="D1634" s="237" t="s">
        <v>3358</v>
      </c>
      <c r="E1634" s="281">
        <v>0</v>
      </c>
      <c r="F1634" s="249">
        <v>300</v>
      </c>
      <c r="G1634" s="168">
        <f t="shared" si="235"/>
        <v>2.1142857142857143</v>
      </c>
      <c r="H1634" s="168">
        <f t="shared" si="236"/>
        <v>4.2285714285714286</v>
      </c>
      <c r="I1634" s="168">
        <f t="shared" si="237"/>
        <v>3.1714285714285713</v>
      </c>
      <c r="J1634" s="168">
        <f t="shared" si="238"/>
        <v>5.2857142857142856</v>
      </c>
      <c r="K1634" s="168">
        <f t="shared" si="239"/>
        <v>5.2857142857142856</v>
      </c>
      <c r="L1634" s="168">
        <f t="shared" si="240"/>
        <v>1.075</v>
      </c>
      <c r="M1634" s="168">
        <f t="shared" si="241"/>
        <v>0</v>
      </c>
      <c r="N1634" s="241" t="s">
        <v>453</v>
      </c>
    </row>
    <row r="1635" spans="1:14" ht="15" customHeight="1">
      <c r="A1635" s="107">
        <v>1634</v>
      </c>
      <c r="B1635" s="231" t="s">
        <v>52</v>
      </c>
      <c r="C1635" s="231" t="s">
        <v>10</v>
      </c>
      <c r="D1635" s="237" t="s">
        <v>3359</v>
      </c>
      <c r="E1635" s="281">
        <v>150</v>
      </c>
      <c r="F1635" s="249">
        <v>0</v>
      </c>
      <c r="G1635" s="168">
        <f t="shared" si="235"/>
        <v>0.4</v>
      </c>
      <c r="H1635" s="168">
        <f t="shared" si="236"/>
        <v>0.8</v>
      </c>
      <c r="I1635" s="168">
        <f t="shared" si="237"/>
        <v>0.6</v>
      </c>
      <c r="J1635" s="168">
        <f t="shared" si="238"/>
        <v>1</v>
      </c>
      <c r="K1635" s="168">
        <f t="shared" si="239"/>
        <v>1</v>
      </c>
      <c r="L1635" s="168">
        <f t="shared" si="240"/>
        <v>1</v>
      </c>
      <c r="M1635" s="168">
        <f t="shared" si="241"/>
        <v>2.5</v>
      </c>
      <c r="N1635" s="241" t="s">
        <v>453</v>
      </c>
    </row>
    <row r="1636" spans="1:14" ht="15" customHeight="1">
      <c r="A1636" s="107">
        <v>1635</v>
      </c>
      <c r="B1636" s="231" t="s">
        <v>52</v>
      </c>
      <c r="C1636" s="231" t="s">
        <v>10</v>
      </c>
      <c r="D1636" s="237" t="s">
        <v>3361</v>
      </c>
      <c r="E1636" s="281">
        <v>0</v>
      </c>
      <c r="F1636" s="249">
        <v>400</v>
      </c>
      <c r="G1636" s="168">
        <f t="shared" si="235"/>
        <v>2.6857142857142859</v>
      </c>
      <c r="H1636" s="168">
        <f t="shared" si="236"/>
        <v>5.3714285714285719</v>
      </c>
      <c r="I1636" s="168">
        <f t="shared" si="237"/>
        <v>4.0285714285714285</v>
      </c>
      <c r="J1636" s="168">
        <f t="shared" si="238"/>
        <v>6.7142857142857144</v>
      </c>
      <c r="K1636" s="168">
        <f t="shared" si="239"/>
        <v>6.7142857142857144</v>
      </c>
      <c r="L1636" s="168">
        <f t="shared" si="240"/>
        <v>1.1000000000000001</v>
      </c>
      <c r="M1636" s="168">
        <f t="shared" si="241"/>
        <v>0</v>
      </c>
      <c r="N1636" s="241" t="s">
        <v>453</v>
      </c>
    </row>
    <row r="1637" spans="1:14" ht="15" customHeight="1">
      <c r="A1637" s="107">
        <v>1636</v>
      </c>
      <c r="B1637" s="231" t="s">
        <v>52</v>
      </c>
      <c r="C1637" s="231" t="s">
        <v>10</v>
      </c>
      <c r="D1637" s="237" t="s">
        <v>3362</v>
      </c>
      <c r="E1637" s="281">
        <v>0</v>
      </c>
      <c r="F1637" s="249">
        <v>750</v>
      </c>
      <c r="G1637" s="168">
        <f t="shared" si="235"/>
        <v>4.6857142857142859</v>
      </c>
      <c r="H1637" s="168">
        <f t="shared" si="236"/>
        <v>9.3714285714285719</v>
      </c>
      <c r="I1637" s="168">
        <f t="shared" si="237"/>
        <v>7.0285714285714276</v>
      </c>
      <c r="J1637" s="168">
        <f t="shared" si="238"/>
        <v>11.714285714285714</v>
      </c>
      <c r="K1637" s="168">
        <f t="shared" si="239"/>
        <v>11.714285714285714</v>
      </c>
      <c r="L1637" s="168">
        <f t="shared" si="240"/>
        <v>1.1875</v>
      </c>
      <c r="M1637" s="168">
        <f t="shared" si="241"/>
        <v>0</v>
      </c>
      <c r="N1637" s="241" t="s">
        <v>453</v>
      </c>
    </row>
    <row r="1638" spans="1:14" ht="15" customHeight="1">
      <c r="A1638" s="107">
        <v>1637</v>
      </c>
      <c r="B1638" s="231" t="s">
        <v>52</v>
      </c>
      <c r="C1638" s="231" t="s">
        <v>10</v>
      </c>
      <c r="D1638" s="237" t="s">
        <v>3364</v>
      </c>
      <c r="E1638" s="281">
        <v>50</v>
      </c>
      <c r="F1638" s="249">
        <v>0</v>
      </c>
      <c r="G1638" s="168">
        <f t="shared" si="235"/>
        <v>0.4</v>
      </c>
      <c r="H1638" s="168">
        <f t="shared" si="236"/>
        <v>0.8</v>
      </c>
      <c r="I1638" s="168">
        <f t="shared" si="237"/>
        <v>0.6</v>
      </c>
      <c r="J1638" s="168">
        <f t="shared" si="238"/>
        <v>1</v>
      </c>
      <c r="K1638" s="168">
        <f t="shared" si="239"/>
        <v>1</v>
      </c>
      <c r="L1638" s="168">
        <f t="shared" si="240"/>
        <v>1</v>
      </c>
      <c r="M1638" s="168">
        <f t="shared" si="241"/>
        <v>0.83333333333333337</v>
      </c>
      <c r="N1638" s="241" t="s">
        <v>453</v>
      </c>
    </row>
    <row r="1639" spans="1:14" ht="15" customHeight="1">
      <c r="A1639" s="107">
        <v>1638</v>
      </c>
      <c r="B1639" s="231" t="s">
        <v>52</v>
      </c>
      <c r="C1639" s="231" t="s">
        <v>10</v>
      </c>
      <c r="D1639" s="237" t="s">
        <v>3365</v>
      </c>
      <c r="E1639" s="281">
        <v>0</v>
      </c>
      <c r="F1639" s="249">
        <v>1000</v>
      </c>
      <c r="G1639" s="168">
        <f t="shared" si="235"/>
        <v>6.1142857142857148</v>
      </c>
      <c r="H1639" s="168">
        <f t="shared" si="236"/>
        <v>12.22857142857143</v>
      </c>
      <c r="I1639" s="168">
        <f t="shared" si="237"/>
        <v>9.1714285714285708</v>
      </c>
      <c r="J1639" s="168">
        <f t="shared" si="238"/>
        <v>15.285714285714285</v>
      </c>
      <c r="K1639" s="168">
        <f t="shared" si="239"/>
        <v>15.285714285714285</v>
      </c>
      <c r="L1639" s="168">
        <f t="shared" si="240"/>
        <v>1.25</v>
      </c>
      <c r="M1639" s="168">
        <f t="shared" si="241"/>
        <v>0</v>
      </c>
      <c r="N1639" s="241" t="s">
        <v>453</v>
      </c>
    </row>
    <row r="1640" spans="1:14" ht="15" customHeight="1">
      <c r="A1640" s="107">
        <v>1639</v>
      </c>
      <c r="B1640" s="231" t="s">
        <v>52</v>
      </c>
      <c r="C1640" s="231" t="s">
        <v>10</v>
      </c>
      <c r="D1640" s="237" t="s">
        <v>3367</v>
      </c>
      <c r="E1640" s="281">
        <v>450</v>
      </c>
      <c r="F1640" s="249">
        <v>0</v>
      </c>
      <c r="G1640" s="168">
        <f t="shared" si="235"/>
        <v>0.4</v>
      </c>
      <c r="H1640" s="168">
        <f t="shared" si="236"/>
        <v>0.8</v>
      </c>
      <c r="I1640" s="168">
        <f t="shared" si="237"/>
        <v>0.6</v>
      </c>
      <c r="J1640" s="168">
        <f t="shared" si="238"/>
        <v>1</v>
      </c>
      <c r="K1640" s="168">
        <f t="shared" si="239"/>
        <v>1</v>
      </c>
      <c r="L1640" s="168">
        <f t="shared" si="240"/>
        <v>1</v>
      </c>
      <c r="M1640" s="168">
        <f t="shared" si="241"/>
        <v>7.5</v>
      </c>
      <c r="N1640" s="241" t="s">
        <v>453</v>
      </c>
    </row>
    <row r="1641" spans="1:14" ht="15" customHeight="1">
      <c r="A1641" s="107">
        <v>1640</v>
      </c>
      <c r="B1641" s="231" t="s">
        <v>52</v>
      </c>
      <c r="C1641" s="231" t="s">
        <v>10</v>
      </c>
      <c r="D1641" s="237" t="s">
        <v>3368</v>
      </c>
      <c r="E1641" s="281">
        <v>0</v>
      </c>
      <c r="F1641" s="249">
        <v>1500</v>
      </c>
      <c r="G1641" s="168">
        <f t="shared" si="235"/>
        <v>8.9714285714285715</v>
      </c>
      <c r="H1641" s="168">
        <f t="shared" si="236"/>
        <v>17.942857142857143</v>
      </c>
      <c r="I1641" s="168">
        <f t="shared" si="237"/>
        <v>13.457142857142856</v>
      </c>
      <c r="J1641" s="168">
        <f t="shared" si="238"/>
        <v>22.428571428571427</v>
      </c>
      <c r="K1641" s="168">
        <f t="shared" si="239"/>
        <v>22.428571428571427</v>
      </c>
      <c r="L1641" s="168">
        <f t="shared" si="240"/>
        <v>1.375</v>
      </c>
      <c r="M1641" s="168">
        <f t="shared" si="241"/>
        <v>0</v>
      </c>
      <c r="N1641" s="241" t="s">
        <v>453</v>
      </c>
    </row>
    <row r="1642" spans="1:14" ht="15" customHeight="1">
      <c r="A1642" s="107">
        <v>1641</v>
      </c>
      <c r="B1642" s="231" t="s">
        <v>52</v>
      </c>
      <c r="C1642" s="231" t="s">
        <v>10</v>
      </c>
      <c r="D1642" s="237" t="s">
        <v>3369</v>
      </c>
      <c r="E1642" s="281">
        <v>0</v>
      </c>
      <c r="F1642" s="249">
        <v>250</v>
      </c>
      <c r="G1642" s="168">
        <f t="shared" si="235"/>
        <v>1.8285714285714285</v>
      </c>
      <c r="H1642" s="168">
        <f t="shared" si="236"/>
        <v>3.657142857142857</v>
      </c>
      <c r="I1642" s="168">
        <f t="shared" si="237"/>
        <v>2.7428571428571424</v>
      </c>
      <c r="J1642" s="168">
        <f t="shared" si="238"/>
        <v>4.5714285714285712</v>
      </c>
      <c r="K1642" s="168">
        <f t="shared" si="239"/>
        <v>4.5714285714285712</v>
      </c>
      <c r="L1642" s="168">
        <f t="shared" si="240"/>
        <v>1.0625</v>
      </c>
      <c r="M1642" s="168">
        <f t="shared" si="241"/>
        <v>0</v>
      </c>
      <c r="N1642" s="241" t="s">
        <v>453</v>
      </c>
    </row>
    <row r="1643" spans="1:14" ht="15" customHeight="1">
      <c r="A1643" s="107">
        <v>1642</v>
      </c>
      <c r="B1643" s="231" t="s">
        <v>52</v>
      </c>
      <c r="C1643" s="231" t="s">
        <v>10</v>
      </c>
      <c r="D1643" s="237" t="s">
        <v>3370</v>
      </c>
      <c r="E1643" s="281">
        <v>0</v>
      </c>
      <c r="F1643" s="249">
        <v>946</v>
      </c>
      <c r="G1643" s="168">
        <f t="shared" si="235"/>
        <v>5.805714285714286</v>
      </c>
      <c r="H1643" s="168">
        <f t="shared" si="236"/>
        <v>11.611428571428572</v>
      </c>
      <c r="I1643" s="168">
        <f t="shared" si="237"/>
        <v>8.7085714285714282</v>
      </c>
      <c r="J1643" s="168">
        <f t="shared" si="238"/>
        <v>14.514285714285714</v>
      </c>
      <c r="K1643" s="168">
        <f t="shared" si="239"/>
        <v>14.514285714285714</v>
      </c>
      <c r="L1643" s="168">
        <f t="shared" si="240"/>
        <v>1.2364999999999999</v>
      </c>
      <c r="M1643" s="168">
        <f t="shared" si="241"/>
        <v>0</v>
      </c>
      <c r="N1643" s="241" t="s">
        <v>453</v>
      </c>
    </row>
    <row r="1644" spans="1:14" ht="15" customHeight="1">
      <c r="A1644" s="107">
        <v>1643</v>
      </c>
      <c r="B1644" s="231" t="s">
        <v>52</v>
      </c>
      <c r="C1644" s="231" t="s">
        <v>10</v>
      </c>
      <c r="D1644" s="237" t="s">
        <v>3371</v>
      </c>
      <c r="E1644" s="281">
        <v>0</v>
      </c>
      <c r="F1644" s="249">
        <v>600</v>
      </c>
      <c r="G1644" s="168">
        <f t="shared" si="235"/>
        <v>3.8285714285714287</v>
      </c>
      <c r="H1644" s="168">
        <f t="shared" si="236"/>
        <v>7.6571428571428575</v>
      </c>
      <c r="I1644" s="168">
        <f t="shared" si="237"/>
        <v>5.7428571428571429</v>
      </c>
      <c r="J1644" s="168">
        <f t="shared" si="238"/>
        <v>9.5714285714285712</v>
      </c>
      <c r="K1644" s="168">
        <f t="shared" si="239"/>
        <v>9.5714285714285712</v>
      </c>
      <c r="L1644" s="168">
        <f t="shared" si="240"/>
        <v>1.1499999999999999</v>
      </c>
      <c r="M1644" s="168">
        <f t="shared" si="241"/>
        <v>0</v>
      </c>
      <c r="N1644" s="241" t="s">
        <v>453</v>
      </c>
    </row>
    <row r="1645" spans="1:14" ht="15" customHeight="1">
      <c r="A1645" s="107">
        <v>1644</v>
      </c>
      <c r="B1645" s="231" t="s">
        <v>52</v>
      </c>
      <c r="C1645" s="231" t="s">
        <v>10</v>
      </c>
      <c r="D1645" s="237" t="s">
        <v>3372</v>
      </c>
      <c r="E1645" s="281">
        <v>0</v>
      </c>
      <c r="F1645" s="249">
        <v>200</v>
      </c>
      <c r="G1645" s="168">
        <f t="shared" si="235"/>
        <v>1.5428571428571429</v>
      </c>
      <c r="H1645" s="168">
        <f t="shared" si="236"/>
        <v>3.0857142857142859</v>
      </c>
      <c r="I1645" s="168">
        <f t="shared" si="237"/>
        <v>2.3142857142857141</v>
      </c>
      <c r="J1645" s="168">
        <f t="shared" si="238"/>
        <v>3.8571428571428568</v>
      </c>
      <c r="K1645" s="168">
        <f t="shared" si="239"/>
        <v>3.8571428571428568</v>
      </c>
      <c r="L1645" s="168">
        <f t="shared" si="240"/>
        <v>1.05</v>
      </c>
      <c r="M1645" s="168">
        <f t="shared" si="241"/>
        <v>0</v>
      </c>
      <c r="N1645" s="241" t="s">
        <v>453</v>
      </c>
    </row>
    <row r="1646" spans="1:14" ht="15" customHeight="1">
      <c r="A1646" s="107">
        <v>1645</v>
      </c>
      <c r="B1646" s="231" t="s">
        <v>52</v>
      </c>
      <c r="C1646" s="231" t="s">
        <v>10</v>
      </c>
      <c r="D1646" s="237" t="s">
        <v>3373</v>
      </c>
      <c r="E1646" s="281">
        <v>0</v>
      </c>
      <c r="F1646" s="249">
        <v>300</v>
      </c>
      <c r="G1646" s="168">
        <f t="shared" si="235"/>
        <v>2.1142857142857143</v>
      </c>
      <c r="H1646" s="168">
        <f t="shared" si="236"/>
        <v>4.2285714285714286</v>
      </c>
      <c r="I1646" s="168">
        <f t="shared" si="237"/>
        <v>3.1714285714285713</v>
      </c>
      <c r="J1646" s="168">
        <f t="shared" si="238"/>
        <v>5.2857142857142856</v>
      </c>
      <c r="K1646" s="168">
        <f t="shared" si="239"/>
        <v>5.2857142857142856</v>
      </c>
      <c r="L1646" s="168">
        <f t="shared" si="240"/>
        <v>1.075</v>
      </c>
      <c r="M1646" s="168">
        <f t="shared" si="241"/>
        <v>0</v>
      </c>
      <c r="N1646" s="241" t="s">
        <v>453</v>
      </c>
    </row>
    <row r="1647" spans="1:14" ht="15" customHeight="1">
      <c r="A1647" s="107">
        <v>1646</v>
      </c>
      <c r="B1647" s="231" t="s">
        <v>52</v>
      </c>
      <c r="C1647" s="231" t="s">
        <v>10</v>
      </c>
      <c r="D1647" s="237" t="s">
        <v>3374</v>
      </c>
      <c r="E1647" s="281">
        <v>0</v>
      </c>
      <c r="F1647" s="249">
        <v>610</v>
      </c>
      <c r="G1647" s="168">
        <f t="shared" si="235"/>
        <v>3.8857142857142857</v>
      </c>
      <c r="H1647" s="168">
        <f t="shared" si="236"/>
        <v>7.7714285714285714</v>
      </c>
      <c r="I1647" s="168">
        <f t="shared" si="237"/>
        <v>5.8285714285714283</v>
      </c>
      <c r="J1647" s="168">
        <f t="shared" si="238"/>
        <v>9.7142857142857135</v>
      </c>
      <c r="K1647" s="168">
        <f t="shared" si="239"/>
        <v>9.7142857142857135</v>
      </c>
      <c r="L1647" s="168">
        <f t="shared" si="240"/>
        <v>1.1525000000000001</v>
      </c>
      <c r="M1647" s="168">
        <f t="shared" si="241"/>
        <v>0</v>
      </c>
      <c r="N1647" s="241" t="s">
        <v>453</v>
      </c>
    </row>
    <row r="1648" spans="1:14" ht="15" customHeight="1">
      <c r="A1648" s="107">
        <v>1647</v>
      </c>
      <c r="B1648" s="231" t="s">
        <v>52</v>
      </c>
      <c r="C1648" s="231" t="s">
        <v>10</v>
      </c>
      <c r="D1648" s="237" t="s">
        <v>3375</v>
      </c>
      <c r="E1648" s="281">
        <v>250</v>
      </c>
      <c r="F1648" s="249">
        <v>0</v>
      </c>
      <c r="G1648" s="168">
        <f t="shared" si="235"/>
        <v>0.4</v>
      </c>
      <c r="H1648" s="168">
        <f t="shared" si="236"/>
        <v>0.8</v>
      </c>
      <c r="I1648" s="168">
        <f t="shared" si="237"/>
        <v>0.6</v>
      </c>
      <c r="J1648" s="168">
        <f t="shared" si="238"/>
        <v>1</v>
      </c>
      <c r="K1648" s="168">
        <f t="shared" si="239"/>
        <v>1</v>
      </c>
      <c r="L1648" s="168">
        <f t="shared" si="240"/>
        <v>1</v>
      </c>
      <c r="M1648" s="168">
        <f t="shared" si="241"/>
        <v>4.166666666666667</v>
      </c>
      <c r="N1648" s="241" t="s">
        <v>453</v>
      </c>
    </row>
    <row r="1649" spans="1:14" ht="15" customHeight="1">
      <c r="A1649" s="107">
        <v>1648</v>
      </c>
      <c r="B1649" s="231" t="s">
        <v>52</v>
      </c>
      <c r="C1649" s="231" t="s">
        <v>10</v>
      </c>
      <c r="D1649" s="237" t="s">
        <v>3376</v>
      </c>
      <c r="E1649" s="281">
        <v>10</v>
      </c>
      <c r="F1649" s="249">
        <v>0</v>
      </c>
      <c r="G1649" s="168">
        <f t="shared" ref="G1649:G1709" si="242">(((F1649/70)+1)*0.4)</f>
        <v>0.4</v>
      </c>
      <c r="H1649" s="168">
        <f t="shared" ref="H1649:H1709" si="243">G1649*2</f>
        <v>0.8</v>
      </c>
      <c r="I1649" s="168">
        <f t="shared" ref="I1649:I1709" si="244">(((F1649/70)+1)*0.6)</f>
        <v>0.6</v>
      </c>
      <c r="J1649" s="168">
        <f t="shared" ref="J1649:J1709" si="245">I1649+G1649</f>
        <v>1</v>
      </c>
      <c r="K1649" s="168">
        <f t="shared" ref="K1649:K1709" si="246">J1649</f>
        <v>1</v>
      </c>
      <c r="L1649" s="168">
        <f t="shared" ref="L1649:L1709" si="247">(F1649/4000)+1</f>
        <v>1</v>
      </c>
      <c r="M1649" s="168">
        <f t="shared" si="241"/>
        <v>0.16666666666666666</v>
      </c>
      <c r="N1649" s="241" t="s">
        <v>453</v>
      </c>
    </row>
    <row r="1650" spans="1:14" ht="15" customHeight="1">
      <c r="A1650" s="107">
        <v>1649</v>
      </c>
      <c r="B1650" s="231" t="s">
        <v>52</v>
      </c>
      <c r="C1650" s="231" t="s">
        <v>10</v>
      </c>
      <c r="D1650" s="237" t="s">
        <v>3377</v>
      </c>
      <c r="E1650" s="281">
        <v>0</v>
      </c>
      <c r="F1650" s="249">
        <v>600</v>
      </c>
      <c r="G1650" s="168">
        <f t="shared" si="242"/>
        <v>3.8285714285714287</v>
      </c>
      <c r="H1650" s="168">
        <f t="shared" si="243"/>
        <v>7.6571428571428575</v>
      </c>
      <c r="I1650" s="168">
        <f t="shared" si="244"/>
        <v>5.7428571428571429</v>
      </c>
      <c r="J1650" s="168">
        <f t="shared" si="245"/>
        <v>9.5714285714285712</v>
      </c>
      <c r="K1650" s="168">
        <f t="shared" si="246"/>
        <v>9.5714285714285712</v>
      </c>
      <c r="L1650" s="168">
        <f t="shared" si="247"/>
        <v>1.1499999999999999</v>
      </c>
      <c r="M1650" s="168">
        <f t="shared" si="241"/>
        <v>0</v>
      </c>
      <c r="N1650" s="241" t="s">
        <v>453</v>
      </c>
    </row>
    <row r="1651" spans="1:14" ht="15" customHeight="1">
      <c r="A1651" s="107">
        <v>1650</v>
      </c>
      <c r="B1651" s="231" t="s">
        <v>52</v>
      </c>
      <c r="C1651" s="231" t="s">
        <v>10</v>
      </c>
      <c r="D1651" s="237" t="s">
        <v>3378</v>
      </c>
      <c r="E1651" s="281">
        <v>131</v>
      </c>
      <c r="F1651" s="249">
        <v>0</v>
      </c>
      <c r="G1651" s="168">
        <f t="shared" si="242"/>
        <v>0.4</v>
      </c>
      <c r="H1651" s="168">
        <f t="shared" si="243"/>
        <v>0.8</v>
      </c>
      <c r="I1651" s="168">
        <f t="shared" si="244"/>
        <v>0.6</v>
      </c>
      <c r="J1651" s="168">
        <f t="shared" si="245"/>
        <v>1</v>
      </c>
      <c r="K1651" s="168">
        <f t="shared" si="246"/>
        <v>1</v>
      </c>
      <c r="L1651" s="168">
        <f t="shared" si="247"/>
        <v>1</v>
      </c>
      <c r="M1651" s="168">
        <f t="shared" si="241"/>
        <v>2.1833333333333331</v>
      </c>
      <c r="N1651" s="241" t="s">
        <v>453</v>
      </c>
    </row>
    <row r="1652" spans="1:14" ht="15" customHeight="1">
      <c r="A1652" s="107">
        <v>1651</v>
      </c>
      <c r="B1652" s="231" t="s">
        <v>52</v>
      </c>
      <c r="C1652" s="231" t="s">
        <v>10</v>
      </c>
      <c r="D1652" s="237" t="s">
        <v>3379</v>
      </c>
      <c r="E1652" s="281">
        <v>400</v>
      </c>
      <c r="F1652" s="249">
        <v>0</v>
      </c>
      <c r="G1652" s="168">
        <f t="shared" si="242"/>
        <v>0.4</v>
      </c>
      <c r="H1652" s="168">
        <f t="shared" si="243"/>
        <v>0.8</v>
      </c>
      <c r="I1652" s="168">
        <f t="shared" si="244"/>
        <v>0.6</v>
      </c>
      <c r="J1652" s="168">
        <f t="shared" si="245"/>
        <v>1</v>
      </c>
      <c r="K1652" s="168">
        <f t="shared" si="246"/>
        <v>1</v>
      </c>
      <c r="L1652" s="168">
        <f t="shared" si="247"/>
        <v>1</v>
      </c>
      <c r="M1652" s="168">
        <f t="shared" si="241"/>
        <v>6.666666666666667</v>
      </c>
      <c r="N1652" s="241" t="s">
        <v>453</v>
      </c>
    </row>
    <row r="1653" spans="1:14" ht="15" customHeight="1">
      <c r="A1653" s="107">
        <v>1652</v>
      </c>
      <c r="B1653" s="231" t="s">
        <v>52</v>
      </c>
      <c r="C1653" s="231" t="s">
        <v>10</v>
      </c>
      <c r="D1653" s="237" t="s">
        <v>4567</v>
      </c>
      <c r="E1653" s="249">
        <v>250</v>
      </c>
      <c r="F1653" s="249">
        <v>0</v>
      </c>
      <c r="G1653" s="168">
        <f t="shared" si="242"/>
        <v>0.4</v>
      </c>
      <c r="H1653" s="168">
        <f t="shared" si="243"/>
        <v>0.8</v>
      </c>
      <c r="I1653" s="168">
        <f t="shared" si="244"/>
        <v>0.6</v>
      </c>
      <c r="J1653" s="168">
        <f t="shared" si="245"/>
        <v>1</v>
      </c>
      <c r="K1653" s="168">
        <f t="shared" si="246"/>
        <v>1</v>
      </c>
      <c r="L1653" s="168">
        <f t="shared" si="247"/>
        <v>1</v>
      </c>
      <c r="M1653" s="168">
        <f t="shared" si="241"/>
        <v>4.166666666666667</v>
      </c>
      <c r="N1653" s="241" t="s">
        <v>453</v>
      </c>
    </row>
    <row r="1654" spans="1:14" ht="15" customHeight="1">
      <c r="A1654" s="107">
        <v>1653</v>
      </c>
      <c r="B1654" s="231" t="s">
        <v>52</v>
      </c>
      <c r="C1654" s="231" t="s">
        <v>10</v>
      </c>
      <c r="D1654" s="237" t="s">
        <v>3380</v>
      </c>
      <c r="E1654" s="249">
        <v>120</v>
      </c>
      <c r="F1654" s="249">
        <v>0</v>
      </c>
      <c r="G1654" s="168">
        <f t="shared" si="242"/>
        <v>0.4</v>
      </c>
      <c r="H1654" s="168">
        <f t="shared" si="243"/>
        <v>0.8</v>
      </c>
      <c r="I1654" s="168">
        <f t="shared" si="244"/>
        <v>0.6</v>
      </c>
      <c r="J1654" s="168">
        <f t="shared" si="245"/>
        <v>1</v>
      </c>
      <c r="K1654" s="168">
        <f t="shared" si="246"/>
        <v>1</v>
      </c>
      <c r="L1654" s="168">
        <f t="shared" si="247"/>
        <v>1</v>
      </c>
      <c r="M1654" s="168">
        <f t="shared" si="241"/>
        <v>2</v>
      </c>
      <c r="N1654" s="241" t="s">
        <v>457</v>
      </c>
    </row>
    <row r="1655" spans="1:14" ht="15" customHeight="1">
      <c r="A1655" s="107">
        <v>1654</v>
      </c>
      <c r="B1655" s="231" t="s">
        <v>52</v>
      </c>
      <c r="C1655" s="231" t="s">
        <v>10</v>
      </c>
      <c r="D1655" s="237" t="s">
        <v>3381</v>
      </c>
      <c r="E1655" s="249">
        <v>100</v>
      </c>
      <c r="F1655" s="249">
        <v>0</v>
      </c>
      <c r="G1655" s="168">
        <f t="shared" si="242"/>
        <v>0.4</v>
      </c>
      <c r="H1655" s="168">
        <f t="shared" si="243"/>
        <v>0.8</v>
      </c>
      <c r="I1655" s="168">
        <f t="shared" si="244"/>
        <v>0.6</v>
      </c>
      <c r="J1655" s="168">
        <f t="shared" si="245"/>
        <v>1</v>
      </c>
      <c r="K1655" s="168">
        <f t="shared" si="246"/>
        <v>1</v>
      </c>
      <c r="L1655" s="168">
        <f t="shared" si="247"/>
        <v>1</v>
      </c>
      <c r="M1655" s="168">
        <f t="shared" si="241"/>
        <v>1.6666666666666667</v>
      </c>
      <c r="N1655" s="241" t="s">
        <v>453</v>
      </c>
    </row>
    <row r="1656" spans="1:14" ht="15" customHeight="1">
      <c r="A1656" s="107">
        <v>1655</v>
      </c>
      <c r="B1656" s="231" t="s">
        <v>52</v>
      </c>
      <c r="C1656" s="231" t="s">
        <v>10</v>
      </c>
      <c r="D1656" s="237" t="s">
        <v>3382</v>
      </c>
      <c r="E1656" s="249">
        <v>180</v>
      </c>
      <c r="F1656" s="249">
        <v>0</v>
      </c>
      <c r="G1656" s="168">
        <f t="shared" si="242"/>
        <v>0.4</v>
      </c>
      <c r="H1656" s="168">
        <f t="shared" si="243"/>
        <v>0.8</v>
      </c>
      <c r="I1656" s="168">
        <f t="shared" si="244"/>
        <v>0.6</v>
      </c>
      <c r="J1656" s="168">
        <f t="shared" si="245"/>
        <v>1</v>
      </c>
      <c r="K1656" s="168">
        <f t="shared" si="246"/>
        <v>1</v>
      </c>
      <c r="L1656" s="168">
        <f t="shared" si="247"/>
        <v>1</v>
      </c>
      <c r="M1656" s="168">
        <f t="shared" si="241"/>
        <v>3</v>
      </c>
      <c r="N1656" s="241" t="s">
        <v>453</v>
      </c>
    </row>
    <row r="1657" spans="1:14" ht="15" customHeight="1">
      <c r="A1657" s="107">
        <v>1656</v>
      </c>
      <c r="B1657" s="231" t="s">
        <v>53</v>
      </c>
      <c r="C1657" s="231" t="s">
        <v>10</v>
      </c>
      <c r="D1657" s="237" t="s">
        <v>3383</v>
      </c>
      <c r="E1657" s="281">
        <v>100</v>
      </c>
      <c r="F1657" s="249">
        <v>0</v>
      </c>
      <c r="G1657" s="168">
        <f t="shared" si="242"/>
        <v>0.4</v>
      </c>
      <c r="H1657" s="168">
        <f t="shared" si="243"/>
        <v>0.8</v>
      </c>
      <c r="I1657" s="168">
        <f t="shared" si="244"/>
        <v>0.6</v>
      </c>
      <c r="J1657" s="168">
        <f t="shared" si="245"/>
        <v>1</v>
      </c>
      <c r="K1657" s="168">
        <f t="shared" si="246"/>
        <v>1</v>
      </c>
      <c r="L1657" s="168">
        <f t="shared" si="247"/>
        <v>1</v>
      </c>
      <c r="M1657" s="168">
        <f t="shared" si="241"/>
        <v>1.6666666666666667</v>
      </c>
      <c r="N1657" s="241" t="s">
        <v>453</v>
      </c>
    </row>
    <row r="1658" spans="1:14" ht="15" customHeight="1">
      <c r="A1658" s="107">
        <v>1657</v>
      </c>
      <c r="B1658" s="231" t="s">
        <v>52</v>
      </c>
      <c r="C1658" s="231" t="s">
        <v>10</v>
      </c>
      <c r="D1658" s="237" t="s">
        <v>3384</v>
      </c>
      <c r="E1658" s="281">
        <v>0</v>
      </c>
      <c r="F1658" s="249">
        <v>300</v>
      </c>
      <c r="G1658" s="168">
        <f t="shared" si="242"/>
        <v>2.1142857142857143</v>
      </c>
      <c r="H1658" s="168">
        <f t="shared" si="243"/>
        <v>4.2285714285714286</v>
      </c>
      <c r="I1658" s="168">
        <f t="shared" si="244"/>
        <v>3.1714285714285713</v>
      </c>
      <c r="J1658" s="168">
        <f t="shared" si="245"/>
        <v>5.2857142857142856</v>
      </c>
      <c r="K1658" s="168">
        <f t="shared" si="246"/>
        <v>5.2857142857142856</v>
      </c>
      <c r="L1658" s="168">
        <f t="shared" si="247"/>
        <v>1.075</v>
      </c>
      <c r="M1658" s="168">
        <f t="shared" si="241"/>
        <v>0</v>
      </c>
      <c r="N1658" s="241" t="s">
        <v>453</v>
      </c>
    </row>
    <row r="1659" spans="1:14" ht="15" customHeight="1">
      <c r="A1659" s="107">
        <v>1658</v>
      </c>
      <c r="B1659" s="231" t="s">
        <v>52</v>
      </c>
      <c r="C1659" s="231" t="s">
        <v>10</v>
      </c>
      <c r="D1659" s="237" t="s">
        <v>3385</v>
      </c>
      <c r="E1659" s="281">
        <v>0</v>
      </c>
      <c r="F1659" s="249">
        <v>2000</v>
      </c>
      <c r="G1659" s="168">
        <f t="shared" si="242"/>
        <v>11.828571428571429</v>
      </c>
      <c r="H1659" s="168">
        <f t="shared" si="243"/>
        <v>23.657142857142858</v>
      </c>
      <c r="I1659" s="168">
        <f t="shared" si="244"/>
        <v>17.742857142857144</v>
      </c>
      <c r="J1659" s="168">
        <f t="shared" si="245"/>
        <v>29.571428571428573</v>
      </c>
      <c r="K1659" s="168">
        <f t="shared" si="246"/>
        <v>29.571428571428573</v>
      </c>
      <c r="L1659" s="168">
        <f t="shared" si="247"/>
        <v>1.5</v>
      </c>
      <c r="M1659" s="168">
        <f t="shared" si="241"/>
        <v>0</v>
      </c>
      <c r="N1659" s="241" t="s">
        <v>453</v>
      </c>
    </row>
    <row r="1660" spans="1:14" ht="15" customHeight="1">
      <c r="A1660" s="107">
        <v>1659</v>
      </c>
      <c r="B1660" s="231" t="s">
        <v>52</v>
      </c>
      <c r="C1660" s="231" t="s">
        <v>10</v>
      </c>
      <c r="D1660" s="237" t="s">
        <v>3386</v>
      </c>
      <c r="E1660" s="281">
        <v>150</v>
      </c>
      <c r="F1660" s="249">
        <v>0</v>
      </c>
      <c r="G1660" s="168">
        <f t="shared" si="242"/>
        <v>0.4</v>
      </c>
      <c r="H1660" s="168">
        <f t="shared" si="243"/>
        <v>0.8</v>
      </c>
      <c r="I1660" s="168">
        <f t="shared" si="244"/>
        <v>0.6</v>
      </c>
      <c r="J1660" s="168">
        <f t="shared" si="245"/>
        <v>1</v>
      </c>
      <c r="K1660" s="168">
        <f t="shared" si="246"/>
        <v>1</v>
      </c>
      <c r="L1660" s="168">
        <f t="shared" si="247"/>
        <v>1</v>
      </c>
      <c r="M1660" s="168">
        <f t="shared" si="241"/>
        <v>2.5</v>
      </c>
      <c r="N1660" s="241" t="s">
        <v>453</v>
      </c>
    </row>
    <row r="1661" spans="1:14" ht="15" customHeight="1">
      <c r="A1661" s="107">
        <v>1660</v>
      </c>
      <c r="B1661" s="231" t="s">
        <v>52</v>
      </c>
      <c r="C1661" s="231" t="s">
        <v>10</v>
      </c>
      <c r="D1661" s="237" t="s">
        <v>3387</v>
      </c>
      <c r="E1661" s="281">
        <v>0</v>
      </c>
      <c r="F1661" s="249">
        <v>500</v>
      </c>
      <c r="G1661" s="168">
        <f t="shared" si="242"/>
        <v>3.2571428571428571</v>
      </c>
      <c r="H1661" s="168">
        <f t="shared" si="243"/>
        <v>6.5142857142857142</v>
      </c>
      <c r="I1661" s="168">
        <f t="shared" si="244"/>
        <v>4.8857142857142852</v>
      </c>
      <c r="J1661" s="168">
        <f t="shared" si="245"/>
        <v>8.1428571428571423</v>
      </c>
      <c r="K1661" s="168">
        <f t="shared" si="246"/>
        <v>8.1428571428571423</v>
      </c>
      <c r="L1661" s="168">
        <f t="shared" si="247"/>
        <v>1.125</v>
      </c>
      <c r="M1661" s="168">
        <f t="shared" si="241"/>
        <v>0</v>
      </c>
      <c r="N1661" s="241" t="s">
        <v>457</v>
      </c>
    </row>
    <row r="1662" spans="1:14" ht="15" customHeight="1">
      <c r="A1662" s="107">
        <v>1661</v>
      </c>
      <c r="B1662" s="231" t="s">
        <v>52</v>
      </c>
      <c r="C1662" s="231" t="s">
        <v>10</v>
      </c>
      <c r="D1662" s="237" t="s">
        <v>3388</v>
      </c>
      <c r="E1662" s="281">
        <v>250</v>
      </c>
      <c r="F1662" s="249">
        <v>0</v>
      </c>
      <c r="G1662" s="168">
        <f t="shared" si="242"/>
        <v>0.4</v>
      </c>
      <c r="H1662" s="168">
        <f t="shared" si="243"/>
        <v>0.8</v>
      </c>
      <c r="I1662" s="168">
        <f t="shared" si="244"/>
        <v>0.6</v>
      </c>
      <c r="J1662" s="168">
        <f t="shared" si="245"/>
        <v>1</v>
      </c>
      <c r="K1662" s="168">
        <f t="shared" si="246"/>
        <v>1</v>
      </c>
      <c r="L1662" s="168">
        <f t="shared" si="247"/>
        <v>1</v>
      </c>
      <c r="M1662" s="168">
        <f t="shared" si="241"/>
        <v>4.166666666666667</v>
      </c>
      <c r="N1662" s="241" t="s">
        <v>453</v>
      </c>
    </row>
    <row r="1663" spans="1:14" ht="15" customHeight="1">
      <c r="A1663" s="107">
        <v>1662</v>
      </c>
      <c r="B1663" s="231" t="s">
        <v>52</v>
      </c>
      <c r="C1663" s="231" t="s">
        <v>10</v>
      </c>
      <c r="D1663" s="237" t="s">
        <v>3389</v>
      </c>
      <c r="E1663" s="281">
        <v>0</v>
      </c>
      <c r="F1663" s="249">
        <v>100</v>
      </c>
      <c r="G1663" s="168">
        <f t="shared" si="242"/>
        <v>0.97142857142857153</v>
      </c>
      <c r="H1663" s="168">
        <f t="shared" si="243"/>
        <v>1.9428571428571431</v>
      </c>
      <c r="I1663" s="168">
        <f t="shared" si="244"/>
        <v>1.4571428571428573</v>
      </c>
      <c r="J1663" s="168">
        <f t="shared" si="245"/>
        <v>2.4285714285714288</v>
      </c>
      <c r="K1663" s="168">
        <f t="shared" si="246"/>
        <v>2.4285714285714288</v>
      </c>
      <c r="L1663" s="168">
        <f t="shared" si="247"/>
        <v>1.0249999999999999</v>
      </c>
      <c r="M1663" s="168">
        <f t="shared" si="241"/>
        <v>0</v>
      </c>
      <c r="N1663" s="241" t="s">
        <v>453</v>
      </c>
    </row>
    <row r="1664" spans="1:14" ht="15" customHeight="1">
      <c r="A1664" s="107">
        <v>1663</v>
      </c>
      <c r="B1664" s="231" t="s">
        <v>52</v>
      </c>
      <c r="C1664" s="231" t="s">
        <v>10</v>
      </c>
      <c r="D1664" s="237" t="s">
        <v>3391</v>
      </c>
      <c r="E1664" s="281">
        <v>0</v>
      </c>
      <c r="F1664" s="249">
        <v>350</v>
      </c>
      <c r="G1664" s="168">
        <f t="shared" si="242"/>
        <v>2.4000000000000004</v>
      </c>
      <c r="H1664" s="168">
        <f t="shared" si="243"/>
        <v>4.8000000000000007</v>
      </c>
      <c r="I1664" s="168">
        <f t="shared" si="244"/>
        <v>3.5999999999999996</v>
      </c>
      <c r="J1664" s="168">
        <f t="shared" si="245"/>
        <v>6</v>
      </c>
      <c r="K1664" s="168">
        <f t="shared" si="246"/>
        <v>6</v>
      </c>
      <c r="L1664" s="168">
        <f t="shared" si="247"/>
        <v>1.0874999999999999</v>
      </c>
      <c r="M1664" s="168">
        <f t="shared" si="241"/>
        <v>0</v>
      </c>
      <c r="N1664" s="241" t="s">
        <v>453</v>
      </c>
    </row>
    <row r="1665" spans="1:14" ht="15" customHeight="1">
      <c r="A1665" s="107">
        <v>1664</v>
      </c>
      <c r="B1665" s="231" t="s">
        <v>52</v>
      </c>
      <c r="C1665" s="231" t="s">
        <v>10</v>
      </c>
      <c r="D1665" s="237" t="s">
        <v>3393</v>
      </c>
      <c r="E1665" s="281">
        <v>0</v>
      </c>
      <c r="F1665" s="249">
        <v>300</v>
      </c>
      <c r="G1665" s="168">
        <f t="shared" si="242"/>
        <v>2.1142857142857143</v>
      </c>
      <c r="H1665" s="168">
        <f t="shared" si="243"/>
        <v>4.2285714285714286</v>
      </c>
      <c r="I1665" s="168">
        <f t="shared" si="244"/>
        <v>3.1714285714285713</v>
      </c>
      <c r="J1665" s="168">
        <f t="shared" si="245"/>
        <v>5.2857142857142856</v>
      </c>
      <c r="K1665" s="168">
        <f t="shared" si="246"/>
        <v>5.2857142857142856</v>
      </c>
      <c r="L1665" s="168">
        <f t="shared" si="247"/>
        <v>1.075</v>
      </c>
      <c r="M1665" s="168">
        <f t="shared" si="241"/>
        <v>0</v>
      </c>
      <c r="N1665" s="241" t="s">
        <v>453</v>
      </c>
    </row>
    <row r="1666" spans="1:14" ht="15" customHeight="1">
      <c r="A1666" s="107">
        <v>1665</v>
      </c>
      <c r="B1666" s="231" t="s">
        <v>52</v>
      </c>
      <c r="C1666" s="231" t="s">
        <v>10</v>
      </c>
      <c r="D1666" s="237" t="s">
        <v>3395</v>
      </c>
      <c r="E1666" s="249">
        <v>300</v>
      </c>
      <c r="F1666" s="249">
        <v>0</v>
      </c>
      <c r="G1666" s="168">
        <f t="shared" si="242"/>
        <v>0.4</v>
      </c>
      <c r="H1666" s="168">
        <f t="shared" si="243"/>
        <v>0.8</v>
      </c>
      <c r="I1666" s="168">
        <f t="shared" si="244"/>
        <v>0.6</v>
      </c>
      <c r="J1666" s="168">
        <f t="shared" si="245"/>
        <v>1</v>
      </c>
      <c r="K1666" s="168">
        <f t="shared" si="246"/>
        <v>1</v>
      </c>
      <c r="L1666" s="168">
        <f t="shared" si="247"/>
        <v>1</v>
      </c>
      <c r="M1666" s="168">
        <f t="shared" ref="M1666:M1729" si="248">E1666/60</f>
        <v>5</v>
      </c>
      <c r="N1666" s="241" t="s">
        <v>453</v>
      </c>
    </row>
    <row r="1667" spans="1:14" ht="15" customHeight="1">
      <c r="A1667" s="107">
        <v>1666</v>
      </c>
      <c r="B1667" s="231" t="s">
        <v>52</v>
      </c>
      <c r="C1667" s="231" t="s">
        <v>10</v>
      </c>
      <c r="D1667" s="237" t="s">
        <v>3396</v>
      </c>
      <c r="E1667" s="249">
        <v>350</v>
      </c>
      <c r="F1667" s="249">
        <v>0</v>
      </c>
      <c r="G1667" s="168">
        <f t="shared" si="242"/>
        <v>0.4</v>
      </c>
      <c r="H1667" s="168">
        <f t="shared" si="243"/>
        <v>0.8</v>
      </c>
      <c r="I1667" s="168">
        <f t="shared" si="244"/>
        <v>0.6</v>
      </c>
      <c r="J1667" s="168">
        <f t="shared" si="245"/>
        <v>1</v>
      </c>
      <c r="K1667" s="168">
        <f t="shared" si="246"/>
        <v>1</v>
      </c>
      <c r="L1667" s="168">
        <f t="shared" si="247"/>
        <v>1</v>
      </c>
      <c r="M1667" s="168">
        <f t="shared" si="248"/>
        <v>5.833333333333333</v>
      </c>
      <c r="N1667" s="241" t="s">
        <v>453</v>
      </c>
    </row>
    <row r="1668" spans="1:14" ht="15" customHeight="1">
      <c r="A1668" s="107">
        <v>1667</v>
      </c>
      <c r="B1668" s="231" t="s">
        <v>52</v>
      </c>
      <c r="C1668" s="231" t="s">
        <v>10</v>
      </c>
      <c r="D1668" s="237" t="s">
        <v>3397</v>
      </c>
      <c r="E1668" s="249">
        <v>300</v>
      </c>
      <c r="F1668" s="249">
        <v>0</v>
      </c>
      <c r="G1668" s="168">
        <f t="shared" si="242"/>
        <v>0.4</v>
      </c>
      <c r="H1668" s="168">
        <f t="shared" si="243"/>
        <v>0.8</v>
      </c>
      <c r="I1668" s="168">
        <f t="shared" si="244"/>
        <v>0.6</v>
      </c>
      <c r="J1668" s="168">
        <f t="shared" si="245"/>
        <v>1</v>
      </c>
      <c r="K1668" s="168">
        <f t="shared" si="246"/>
        <v>1</v>
      </c>
      <c r="L1668" s="168">
        <f t="shared" si="247"/>
        <v>1</v>
      </c>
      <c r="M1668" s="168">
        <f t="shared" si="248"/>
        <v>5</v>
      </c>
      <c r="N1668" s="241" t="s">
        <v>453</v>
      </c>
    </row>
    <row r="1669" spans="1:14" ht="15" customHeight="1">
      <c r="A1669" s="107">
        <v>1668</v>
      </c>
      <c r="B1669" s="231" t="s">
        <v>52</v>
      </c>
      <c r="C1669" s="231" t="s">
        <v>10</v>
      </c>
      <c r="D1669" s="237" t="s">
        <v>3398</v>
      </c>
      <c r="E1669" s="249">
        <v>300</v>
      </c>
      <c r="F1669" s="249">
        <v>0</v>
      </c>
      <c r="G1669" s="168">
        <f t="shared" si="242"/>
        <v>0.4</v>
      </c>
      <c r="H1669" s="168">
        <f t="shared" si="243"/>
        <v>0.8</v>
      </c>
      <c r="I1669" s="168">
        <f t="shared" si="244"/>
        <v>0.6</v>
      </c>
      <c r="J1669" s="168">
        <f t="shared" si="245"/>
        <v>1</v>
      </c>
      <c r="K1669" s="168">
        <f t="shared" si="246"/>
        <v>1</v>
      </c>
      <c r="L1669" s="168">
        <f t="shared" si="247"/>
        <v>1</v>
      </c>
      <c r="M1669" s="168">
        <f t="shared" si="248"/>
        <v>5</v>
      </c>
      <c r="N1669" s="241" t="s">
        <v>453</v>
      </c>
    </row>
    <row r="1670" spans="1:14" ht="15" customHeight="1">
      <c r="A1670" s="107">
        <v>1669</v>
      </c>
      <c r="B1670" s="231" t="s">
        <v>52</v>
      </c>
      <c r="C1670" s="231" t="s">
        <v>10</v>
      </c>
      <c r="D1670" s="237" t="s">
        <v>3399</v>
      </c>
      <c r="E1670" s="249">
        <v>300</v>
      </c>
      <c r="F1670" s="249">
        <v>0</v>
      </c>
      <c r="G1670" s="168">
        <f t="shared" si="242"/>
        <v>0.4</v>
      </c>
      <c r="H1670" s="168">
        <f t="shared" si="243"/>
        <v>0.8</v>
      </c>
      <c r="I1670" s="168">
        <f t="shared" si="244"/>
        <v>0.6</v>
      </c>
      <c r="J1670" s="168">
        <f t="shared" si="245"/>
        <v>1</v>
      </c>
      <c r="K1670" s="168">
        <f t="shared" si="246"/>
        <v>1</v>
      </c>
      <c r="L1670" s="168">
        <f t="shared" si="247"/>
        <v>1</v>
      </c>
      <c r="M1670" s="168">
        <f t="shared" si="248"/>
        <v>5</v>
      </c>
      <c r="N1670" s="241" t="s">
        <v>453</v>
      </c>
    </row>
    <row r="1671" spans="1:14" ht="15" customHeight="1">
      <c r="A1671" s="107">
        <v>1670</v>
      </c>
      <c r="B1671" s="231" t="s">
        <v>52</v>
      </c>
      <c r="C1671" s="231" t="s">
        <v>10</v>
      </c>
      <c r="D1671" s="237" t="s">
        <v>3400</v>
      </c>
      <c r="E1671" s="249">
        <v>300</v>
      </c>
      <c r="F1671" s="249">
        <v>0</v>
      </c>
      <c r="G1671" s="168">
        <f t="shared" si="242"/>
        <v>0.4</v>
      </c>
      <c r="H1671" s="168">
        <f t="shared" si="243"/>
        <v>0.8</v>
      </c>
      <c r="I1671" s="168">
        <f t="shared" si="244"/>
        <v>0.6</v>
      </c>
      <c r="J1671" s="168">
        <f t="shared" si="245"/>
        <v>1</v>
      </c>
      <c r="K1671" s="168">
        <f t="shared" si="246"/>
        <v>1</v>
      </c>
      <c r="L1671" s="168">
        <f t="shared" si="247"/>
        <v>1</v>
      </c>
      <c r="M1671" s="168">
        <f t="shared" si="248"/>
        <v>5</v>
      </c>
      <c r="N1671" s="241" t="s">
        <v>453</v>
      </c>
    </row>
    <row r="1672" spans="1:14" ht="15" customHeight="1">
      <c r="A1672" s="107">
        <v>1671</v>
      </c>
      <c r="B1672" s="242" t="s">
        <v>52</v>
      </c>
      <c r="C1672" s="243" t="s">
        <v>10</v>
      </c>
      <c r="D1672" s="237" t="s">
        <v>3401</v>
      </c>
      <c r="E1672" s="249">
        <v>250</v>
      </c>
      <c r="F1672" s="249">
        <v>0</v>
      </c>
      <c r="G1672" s="168">
        <f t="shared" si="242"/>
        <v>0.4</v>
      </c>
      <c r="H1672" s="168">
        <f t="shared" si="243"/>
        <v>0.8</v>
      </c>
      <c r="I1672" s="168">
        <f t="shared" si="244"/>
        <v>0.6</v>
      </c>
      <c r="J1672" s="168">
        <f t="shared" si="245"/>
        <v>1</v>
      </c>
      <c r="K1672" s="168">
        <f t="shared" si="246"/>
        <v>1</v>
      </c>
      <c r="L1672" s="168">
        <f t="shared" si="247"/>
        <v>1</v>
      </c>
      <c r="M1672" s="168">
        <f t="shared" si="248"/>
        <v>4.166666666666667</v>
      </c>
      <c r="N1672" s="241" t="s">
        <v>453</v>
      </c>
    </row>
    <row r="1673" spans="1:14" ht="15" customHeight="1">
      <c r="A1673" s="107">
        <v>1672</v>
      </c>
      <c r="B1673" s="242" t="s">
        <v>52</v>
      </c>
      <c r="C1673" s="243" t="s">
        <v>10</v>
      </c>
      <c r="D1673" s="237" t="s">
        <v>3402</v>
      </c>
      <c r="E1673" s="281">
        <v>0</v>
      </c>
      <c r="F1673" s="249">
        <v>5100</v>
      </c>
      <c r="G1673" s="168">
        <f t="shared" si="242"/>
        <v>29.542857142857144</v>
      </c>
      <c r="H1673" s="168">
        <f t="shared" si="243"/>
        <v>59.085714285714289</v>
      </c>
      <c r="I1673" s="168">
        <f t="shared" si="244"/>
        <v>44.314285714285717</v>
      </c>
      <c r="J1673" s="168">
        <f t="shared" si="245"/>
        <v>73.857142857142861</v>
      </c>
      <c r="K1673" s="168">
        <f t="shared" si="246"/>
        <v>73.857142857142861</v>
      </c>
      <c r="L1673" s="168">
        <f t="shared" si="247"/>
        <v>2.2749999999999999</v>
      </c>
      <c r="M1673" s="168">
        <f t="shared" si="248"/>
        <v>0</v>
      </c>
      <c r="N1673" s="241" t="s">
        <v>453</v>
      </c>
    </row>
    <row r="1674" spans="1:14" ht="15" customHeight="1">
      <c r="A1674" s="107">
        <v>1673</v>
      </c>
      <c r="B1674" s="242" t="s">
        <v>52</v>
      </c>
      <c r="C1674" s="243" t="s">
        <v>10</v>
      </c>
      <c r="D1674" s="237" t="s">
        <v>3403</v>
      </c>
      <c r="E1674" s="281">
        <v>350</v>
      </c>
      <c r="F1674" s="249">
        <v>0</v>
      </c>
      <c r="G1674" s="168">
        <f t="shared" si="242"/>
        <v>0.4</v>
      </c>
      <c r="H1674" s="168">
        <f t="shared" si="243"/>
        <v>0.8</v>
      </c>
      <c r="I1674" s="168">
        <f t="shared" si="244"/>
        <v>0.6</v>
      </c>
      <c r="J1674" s="168">
        <f t="shared" si="245"/>
        <v>1</v>
      </c>
      <c r="K1674" s="168">
        <f t="shared" si="246"/>
        <v>1</v>
      </c>
      <c r="L1674" s="168">
        <f t="shared" si="247"/>
        <v>1</v>
      </c>
      <c r="M1674" s="168">
        <f t="shared" si="248"/>
        <v>5.833333333333333</v>
      </c>
      <c r="N1674" s="241" t="s">
        <v>453</v>
      </c>
    </row>
    <row r="1675" spans="1:14" ht="15" customHeight="1">
      <c r="A1675" s="107">
        <v>1674</v>
      </c>
      <c r="B1675" s="242" t="s">
        <v>52</v>
      </c>
      <c r="C1675" s="243" t="s">
        <v>10</v>
      </c>
      <c r="D1675" s="237" t="s">
        <v>3404</v>
      </c>
      <c r="E1675" s="281">
        <v>0</v>
      </c>
      <c r="F1675" s="249">
        <v>800</v>
      </c>
      <c r="G1675" s="168">
        <f t="shared" si="242"/>
        <v>4.9714285714285715</v>
      </c>
      <c r="H1675" s="168">
        <f t="shared" si="243"/>
        <v>9.9428571428571431</v>
      </c>
      <c r="I1675" s="168">
        <f t="shared" si="244"/>
        <v>7.4571428571428573</v>
      </c>
      <c r="J1675" s="168">
        <f t="shared" si="245"/>
        <v>12.428571428571429</v>
      </c>
      <c r="K1675" s="168">
        <f t="shared" si="246"/>
        <v>12.428571428571429</v>
      </c>
      <c r="L1675" s="168">
        <f t="shared" si="247"/>
        <v>1.2</v>
      </c>
      <c r="M1675" s="168">
        <f t="shared" si="248"/>
        <v>0</v>
      </c>
      <c r="N1675" s="241" t="s">
        <v>453</v>
      </c>
    </row>
    <row r="1676" spans="1:14" ht="15" customHeight="1">
      <c r="A1676" s="107">
        <v>1675</v>
      </c>
      <c r="B1676" s="242" t="s">
        <v>52</v>
      </c>
      <c r="C1676" s="243" t="s">
        <v>10</v>
      </c>
      <c r="D1676" s="237" t="s">
        <v>3405</v>
      </c>
      <c r="E1676" s="281">
        <v>300</v>
      </c>
      <c r="F1676" s="249">
        <v>0</v>
      </c>
      <c r="G1676" s="168">
        <f t="shared" si="242"/>
        <v>0.4</v>
      </c>
      <c r="H1676" s="168">
        <f t="shared" si="243"/>
        <v>0.8</v>
      </c>
      <c r="I1676" s="168">
        <f t="shared" si="244"/>
        <v>0.6</v>
      </c>
      <c r="J1676" s="168">
        <f t="shared" si="245"/>
        <v>1</v>
      </c>
      <c r="K1676" s="168">
        <f t="shared" si="246"/>
        <v>1</v>
      </c>
      <c r="L1676" s="168">
        <f t="shared" si="247"/>
        <v>1</v>
      </c>
      <c r="M1676" s="168">
        <f t="shared" si="248"/>
        <v>5</v>
      </c>
      <c r="N1676" s="241" t="s">
        <v>453</v>
      </c>
    </row>
    <row r="1677" spans="1:14" ht="15" customHeight="1">
      <c r="A1677" s="107">
        <v>1676</v>
      </c>
      <c r="B1677" s="242" t="s">
        <v>53</v>
      </c>
      <c r="C1677" s="243" t="s">
        <v>10</v>
      </c>
      <c r="D1677" s="237" t="s">
        <v>3406</v>
      </c>
      <c r="E1677" s="281">
        <v>0</v>
      </c>
      <c r="F1677" s="249">
        <v>945</v>
      </c>
      <c r="G1677" s="168">
        <f t="shared" si="242"/>
        <v>5.8000000000000007</v>
      </c>
      <c r="H1677" s="168">
        <f t="shared" si="243"/>
        <v>11.600000000000001</v>
      </c>
      <c r="I1677" s="168">
        <f t="shared" si="244"/>
        <v>8.6999999999999993</v>
      </c>
      <c r="J1677" s="168">
        <f t="shared" si="245"/>
        <v>14.5</v>
      </c>
      <c r="K1677" s="168">
        <f t="shared" si="246"/>
        <v>14.5</v>
      </c>
      <c r="L1677" s="168">
        <f t="shared" si="247"/>
        <v>1.2362500000000001</v>
      </c>
      <c r="M1677" s="168">
        <f t="shared" si="248"/>
        <v>0</v>
      </c>
      <c r="N1677" s="241" t="s">
        <v>453</v>
      </c>
    </row>
    <row r="1678" spans="1:14" ht="15" customHeight="1">
      <c r="A1678" s="107">
        <v>1677</v>
      </c>
      <c r="B1678" s="242" t="s">
        <v>52</v>
      </c>
      <c r="C1678" s="243" t="s">
        <v>10</v>
      </c>
      <c r="D1678" s="237" t="s">
        <v>3408</v>
      </c>
      <c r="E1678" s="281">
        <v>0</v>
      </c>
      <c r="F1678" s="249">
        <v>300</v>
      </c>
      <c r="G1678" s="168">
        <f t="shared" si="242"/>
        <v>2.1142857142857143</v>
      </c>
      <c r="H1678" s="168">
        <f t="shared" si="243"/>
        <v>4.2285714285714286</v>
      </c>
      <c r="I1678" s="168">
        <f t="shared" si="244"/>
        <v>3.1714285714285713</v>
      </c>
      <c r="J1678" s="168">
        <f t="shared" si="245"/>
        <v>5.2857142857142856</v>
      </c>
      <c r="K1678" s="168">
        <f t="shared" si="246"/>
        <v>5.2857142857142856</v>
      </c>
      <c r="L1678" s="168">
        <f t="shared" si="247"/>
        <v>1.075</v>
      </c>
      <c r="M1678" s="168">
        <f t="shared" si="248"/>
        <v>0</v>
      </c>
      <c r="N1678" s="241" t="s">
        <v>453</v>
      </c>
    </row>
    <row r="1679" spans="1:14" ht="15" customHeight="1">
      <c r="A1679" s="107">
        <v>1678</v>
      </c>
      <c r="B1679" s="242" t="s">
        <v>55</v>
      </c>
      <c r="C1679" s="243" t="s">
        <v>10</v>
      </c>
      <c r="D1679" s="237" t="s">
        <v>3410</v>
      </c>
      <c r="E1679" s="281">
        <v>0</v>
      </c>
      <c r="F1679" s="249">
        <v>1000</v>
      </c>
      <c r="G1679" s="168">
        <f t="shared" si="242"/>
        <v>6.1142857142857148</v>
      </c>
      <c r="H1679" s="168">
        <f t="shared" si="243"/>
        <v>12.22857142857143</v>
      </c>
      <c r="I1679" s="168">
        <f t="shared" si="244"/>
        <v>9.1714285714285708</v>
      </c>
      <c r="J1679" s="168">
        <f t="shared" si="245"/>
        <v>15.285714285714285</v>
      </c>
      <c r="K1679" s="168">
        <f t="shared" si="246"/>
        <v>15.285714285714285</v>
      </c>
      <c r="L1679" s="168">
        <f t="shared" si="247"/>
        <v>1.25</v>
      </c>
      <c r="M1679" s="168">
        <f t="shared" si="248"/>
        <v>0</v>
      </c>
      <c r="N1679" s="241" t="s">
        <v>453</v>
      </c>
    </row>
    <row r="1680" spans="1:14" ht="15" customHeight="1">
      <c r="A1680" s="107">
        <v>1679</v>
      </c>
      <c r="B1680" s="242" t="s">
        <v>52</v>
      </c>
      <c r="C1680" s="243" t="s">
        <v>10</v>
      </c>
      <c r="D1680" s="237" t="s">
        <v>3412</v>
      </c>
      <c r="E1680" s="281">
        <v>0</v>
      </c>
      <c r="F1680" s="249">
        <v>400</v>
      </c>
      <c r="G1680" s="168">
        <f t="shared" si="242"/>
        <v>2.6857142857142859</v>
      </c>
      <c r="H1680" s="168">
        <f t="shared" si="243"/>
        <v>5.3714285714285719</v>
      </c>
      <c r="I1680" s="168">
        <f t="shared" si="244"/>
        <v>4.0285714285714285</v>
      </c>
      <c r="J1680" s="168">
        <f t="shared" si="245"/>
        <v>6.7142857142857144</v>
      </c>
      <c r="K1680" s="168">
        <f t="shared" si="246"/>
        <v>6.7142857142857144</v>
      </c>
      <c r="L1680" s="168">
        <f t="shared" si="247"/>
        <v>1.1000000000000001</v>
      </c>
      <c r="M1680" s="168">
        <f t="shared" si="248"/>
        <v>0</v>
      </c>
      <c r="N1680" s="241" t="s">
        <v>453</v>
      </c>
    </row>
    <row r="1681" spans="1:14" ht="15" customHeight="1">
      <c r="A1681" s="107">
        <v>1680</v>
      </c>
      <c r="B1681" s="242" t="s">
        <v>52</v>
      </c>
      <c r="C1681" s="243" t="s">
        <v>10</v>
      </c>
      <c r="D1681" s="237" t="s">
        <v>3413</v>
      </c>
      <c r="E1681" s="281">
        <v>0</v>
      </c>
      <c r="F1681" s="249">
        <v>450</v>
      </c>
      <c r="G1681" s="168">
        <f t="shared" si="242"/>
        <v>2.9714285714285715</v>
      </c>
      <c r="H1681" s="168">
        <f t="shared" si="243"/>
        <v>5.9428571428571431</v>
      </c>
      <c r="I1681" s="168">
        <f t="shared" si="244"/>
        <v>4.4571428571428573</v>
      </c>
      <c r="J1681" s="168">
        <f t="shared" si="245"/>
        <v>7.4285714285714288</v>
      </c>
      <c r="K1681" s="168">
        <f t="shared" si="246"/>
        <v>7.4285714285714288</v>
      </c>
      <c r="L1681" s="168">
        <f t="shared" si="247"/>
        <v>1.1125</v>
      </c>
      <c r="M1681" s="168">
        <f t="shared" si="248"/>
        <v>0</v>
      </c>
      <c r="N1681" s="241" t="s">
        <v>453</v>
      </c>
    </row>
    <row r="1682" spans="1:14" ht="15" customHeight="1">
      <c r="A1682" s="107">
        <v>1681</v>
      </c>
      <c r="B1682" s="242" t="s">
        <v>53</v>
      </c>
      <c r="C1682" s="243" t="s">
        <v>10</v>
      </c>
      <c r="D1682" s="237" t="s">
        <v>3414</v>
      </c>
      <c r="E1682" s="281">
        <v>0</v>
      </c>
      <c r="F1682" s="249">
        <v>350</v>
      </c>
      <c r="G1682" s="168">
        <f t="shared" si="242"/>
        <v>2.4000000000000004</v>
      </c>
      <c r="H1682" s="168">
        <f t="shared" si="243"/>
        <v>4.8000000000000007</v>
      </c>
      <c r="I1682" s="168">
        <f t="shared" si="244"/>
        <v>3.5999999999999996</v>
      </c>
      <c r="J1682" s="168">
        <f t="shared" si="245"/>
        <v>6</v>
      </c>
      <c r="K1682" s="168">
        <f t="shared" si="246"/>
        <v>6</v>
      </c>
      <c r="L1682" s="168">
        <f t="shared" si="247"/>
        <v>1.0874999999999999</v>
      </c>
      <c r="M1682" s="168">
        <f t="shared" si="248"/>
        <v>0</v>
      </c>
      <c r="N1682" s="241" t="s">
        <v>453</v>
      </c>
    </row>
    <row r="1683" spans="1:14" ht="15" customHeight="1">
      <c r="A1683" s="107">
        <v>1682</v>
      </c>
      <c r="B1683" s="242" t="s">
        <v>52</v>
      </c>
      <c r="C1683" s="243" t="s">
        <v>10</v>
      </c>
      <c r="D1683" s="237" t="s">
        <v>3415</v>
      </c>
      <c r="E1683" s="281">
        <v>0</v>
      </c>
      <c r="F1683" s="249">
        <v>1200</v>
      </c>
      <c r="G1683" s="168">
        <f t="shared" si="242"/>
        <v>7.2571428571428571</v>
      </c>
      <c r="H1683" s="168">
        <f t="shared" si="243"/>
        <v>14.514285714285714</v>
      </c>
      <c r="I1683" s="168">
        <f t="shared" si="244"/>
        <v>10.885714285714284</v>
      </c>
      <c r="J1683" s="168">
        <f t="shared" si="245"/>
        <v>18.142857142857142</v>
      </c>
      <c r="K1683" s="168">
        <f t="shared" si="246"/>
        <v>18.142857142857142</v>
      </c>
      <c r="L1683" s="168">
        <f t="shared" si="247"/>
        <v>1.3</v>
      </c>
      <c r="M1683" s="168">
        <f t="shared" si="248"/>
        <v>0</v>
      </c>
      <c r="N1683" s="241" t="s">
        <v>453</v>
      </c>
    </row>
    <row r="1684" spans="1:14" ht="15" customHeight="1">
      <c r="A1684" s="107">
        <v>1683</v>
      </c>
      <c r="B1684" s="242" t="s">
        <v>53</v>
      </c>
      <c r="C1684" s="243" t="s">
        <v>10</v>
      </c>
      <c r="D1684" s="237" t="s">
        <v>4714</v>
      </c>
      <c r="E1684" s="281">
        <v>0</v>
      </c>
      <c r="F1684" s="249">
        <v>350</v>
      </c>
      <c r="G1684" s="168">
        <f t="shared" si="242"/>
        <v>2.4000000000000004</v>
      </c>
      <c r="H1684" s="168">
        <f t="shared" si="243"/>
        <v>4.8000000000000007</v>
      </c>
      <c r="I1684" s="168">
        <f t="shared" si="244"/>
        <v>3.5999999999999996</v>
      </c>
      <c r="J1684" s="168">
        <f t="shared" si="245"/>
        <v>6</v>
      </c>
      <c r="K1684" s="168">
        <f t="shared" si="246"/>
        <v>6</v>
      </c>
      <c r="L1684" s="168">
        <f t="shared" si="247"/>
        <v>1.0874999999999999</v>
      </c>
      <c r="M1684" s="168">
        <f t="shared" si="248"/>
        <v>0</v>
      </c>
      <c r="N1684" s="241" t="s">
        <v>453</v>
      </c>
    </row>
    <row r="1685" spans="1:14" ht="15" customHeight="1">
      <c r="A1685" s="107">
        <v>1684</v>
      </c>
      <c r="B1685" s="242" t="s">
        <v>52</v>
      </c>
      <c r="C1685" s="243" t="s">
        <v>10</v>
      </c>
      <c r="D1685" s="237" t="s">
        <v>3418</v>
      </c>
      <c r="E1685" s="281">
        <v>0</v>
      </c>
      <c r="F1685" s="249">
        <v>400</v>
      </c>
      <c r="G1685" s="168">
        <f t="shared" si="242"/>
        <v>2.6857142857142859</v>
      </c>
      <c r="H1685" s="168">
        <f t="shared" si="243"/>
        <v>5.3714285714285719</v>
      </c>
      <c r="I1685" s="168">
        <f t="shared" si="244"/>
        <v>4.0285714285714285</v>
      </c>
      <c r="J1685" s="168">
        <f t="shared" si="245"/>
        <v>6.7142857142857144</v>
      </c>
      <c r="K1685" s="168">
        <f t="shared" si="246"/>
        <v>6.7142857142857144</v>
      </c>
      <c r="L1685" s="168">
        <f t="shared" si="247"/>
        <v>1.1000000000000001</v>
      </c>
      <c r="M1685" s="168">
        <f t="shared" si="248"/>
        <v>0</v>
      </c>
      <c r="N1685" s="241" t="s">
        <v>453</v>
      </c>
    </row>
    <row r="1686" spans="1:14" ht="15" customHeight="1">
      <c r="A1686" s="107">
        <v>1685</v>
      </c>
      <c r="B1686" s="242" t="s">
        <v>52</v>
      </c>
      <c r="C1686" s="243" t="s">
        <v>10</v>
      </c>
      <c r="D1686" s="237" t="s">
        <v>3419</v>
      </c>
      <c r="E1686" s="281">
        <v>0</v>
      </c>
      <c r="F1686" s="249">
        <v>650</v>
      </c>
      <c r="G1686" s="168">
        <f t="shared" si="242"/>
        <v>4.1142857142857148</v>
      </c>
      <c r="H1686" s="168">
        <f t="shared" si="243"/>
        <v>8.2285714285714295</v>
      </c>
      <c r="I1686" s="168">
        <f t="shared" si="244"/>
        <v>6.1714285714285717</v>
      </c>
      <c r="J1686" s="168">
        <f t="shared" si="245"/>
        <v>10.285714285714286</v>
      </c>
      <c r="K1686" s="168">
        <f t="shared" si="246"/>
        <v>10.285714285714286</v>
      </c>
      <c r="L1686" s="168">
        <f t="shared" si="247"/>
        <v>1.1625000000000001</v>
      </c>
      <c r="M1686" s="168">
        <f t="shared" si="248"/>
        <v>0</v>
      </c>
      <c r="N1686" s="241" t="s">
        <v>453</v>
      </c>
    </row>
    <row r="1687" spans="1:14" ht="15" customHeight="1">
      <c r="A1687" s="107">
        <v>1686</v>
      </c>
      <c r="B1687" s="242" t="s">
        <v>52</v>
      </c>
      <c r="C1687" s="243" t="s">
        <v>10</v>
      </c>
      <c r="D1687" s="237" t="s">
        <v>3420</v>
      </c>
      <c r="E1687" s="249">
        <v>300</v>
      </c>
      <c r="F1687" s="249">
        <v>0</v>
      </c>
      <c r="G1687" s="168">
        <f t="shared" si="242"/>
        <v>0.4</v>
      </c>
      <c r="H1687" s="168">
        <f t="shared" si="243"/>
        <v>0.8</v>
      </c>
      <c r="I1687" s="168">
        <f t="shared" si="244"/>
        <v>0.6</v>
      </c>
      <c r="J1687" s="168">
        <f t="shared" si="245"/>
        <v>1</v>
      </c>
      <c r="K1687" s="168">
        <f t="shared" si="246"/>
        <v>1</v>
      </c>
      <c r="L1687" s="168">
        <f t="shared" si="247"/>
        <v>1</v>
      </c>
      <c r="M1687" s="168">
        <f t="shared" si="248"/>
        <v>5</v>
      </c>
      <c r="N1687" s="241" t="s">
        <v>453</v>
      </c>
    </row>
    <row r="1688" spans="1:14" ht="15" customHeight="1">
      <c r="A1688" s="107">
        <v>1687</v>
      </c>
      <c r="B1688" s="242" t="s">
        <v>52</v>
      </c>
      <c r="C1688" s="243" t="s">
        <v>10</v>
      </c>
      <c r="D1688" s="237" t="s">
        <v>3422</v>
      </c>
      <c r="E1688" s="249">
        <v>100</v>
      </c>
      <c r="F1688" s="249">
        <v>0</v>
      </c>
      <c r="G1688" s="168">
        <f t="shared" si="242"/>
        <v>0.4</v>
      </c>
      <c r="H1688" s="168">
        <f t="shared" si="243"/>
        <v>0.8</v>
      </c>
      <c r="I1688" s="168">
        <f t="shared" si="244"/>
        <v>0.6</v>
      </c>
      <c r="J1688" s="168">
        <f t="shared" si="245"/>
        <v>1</v>
      </c>
      <c r="K1688" s="168">
        <f t="shared" si="246"/>
        <v>1</v>
      </c>
      <c r="L1688" s="168">
        <f t="shared" si="247"/>
        <v>1</v>
      </c>
      <c r="M1688" s="168">
        <f t="shared" si="248"/>
        <v>1.6666666666666667</v>
      </c>
      <c r="N1688" s="241" t="s">
        <v>453</v>
      </c>
    </row>
    <row r="1689" spans="1:14" ht="15" customHeight="1">
      <c r="A1689" s="107">
        <v>1688</v>
      </c>
      <c r="B1689" s="242" t="s">
        <v>52</v>
      </c>
      <c r="C1689" s="243" t="s">
        <v>10</v>
      </c>
      <c r="D1689" s="237" t="s">
        <v>3423</v>
      </c>
      <c r="E1689" s="249">
        <v>100</v>
      </c>
      <c r="F1689" s="249">
        <v>0</v>
      </c>
      <c r="G1689" s="168">
        <f t="shared" si="242"/>
        <v>0.4</v>
      </c>
      <c r="H1689" s="168">
        <f t="shared" si="243"/>
        <v>0.8</v>
      </c>
      <c r="I1689" s="168">
        <f t="shared" si="244"/>
        <v>0.6</v>
      </c>
      <c r="J1689" s="168">
        <f t="shared" si="245"/>
        <v>1</v>
      </c>
      <c r="K1689" s="168">
        <f t="shared" si="246"/>
        <v>1</v>
      </c>
      <c r="L1689" s="168">
        <f t="shared" si="247"/>
        <v>1</v>
      </c>
      <c r="M1689" s="168">
        <f t="shared" si="248"/>
        <v>1.6666666666666667</v>
      </c>
      <c r="N1689" s="241" t="s">
        <v>453</v>
      </c>
    </row>
    <row r="1690" spans="1:14" ht="15" customHeight="1">
      <c r="A1690" s="107">
        <v>1689</v>
      </c>
      <c r="B1690" s="242" t="s">
        <v>52</v>
      </c>
      <c r="C1690" s="243" t="s">
        <v>10</v>
      </c>
      <c r="D1690" s="237" t="s">
        <v>3425</v>
      </c>
      <c r="E1690" s="249">
        <v>150</v>
      </c>
      <c r="F1690" s="249">
        <v>0</v>
      </c>
      <c r="G1690" s="168">
        <f t="shared" si="242"/>
        <v>0.4</v>
      </c>
      <c r="H1690" s="168">
        <f t="shared" si="243"/>
        <v>0.8</v>
      </c>
      <c r="I1690" s="168">
        <f t="shared" si="244"/>
        <v>0.6</v>
      </c>
      <c r="J1690" s="168">
        <f t="shared" si="245"/>
        <v>1</v>
      </c>
      <c r="K1690" s="168">
        <f t="shared" si="246"/>
        <v>1</v>
      </c>
      <c r="L1690" s="168">
        <f t="shared" si="247"/>
        <v>1</v>
      </c>
      <c r="M1690" s="168">
        <f t="shared" si="248"/>
        <v>2.5</v>
      </c>
      <c r="N1690" s="241" t="s">
        <v>453</v>
      </c>
    </row>
    <row r="1691" spans="1:14" ht="15" customHeight="1">
      <c r="A1691" s="107">
        <v>1690</v>
      </c>
      <c r="B1691" s="242" t="s">
        <v>52</v>
      </c>
      <c r="C1691" s="243" t="s">
        <v>10</v>
      </c>
      <c r="D1691" s="237" t="s">
        <v>3426</v>
      </c>
      <c r="E1691" s="249">
        <v>150</v>
      </c>
      <c r="F1691" s="249">
        <v>0</v>
      </c>
      <c r="G1691" s="168">
        <f t="shared" si="242"/>
        <v>0.4</v>
      </c>
      <c r="H1691" s="168">
        <f t="shared" si="243"/>
        <v>0.8</v>
      </c>
      <c r="I1691" s="168">
        <f t="shared" si="244"/>
        <v>0.6</v>
      </c>
      <c r="J1691" s="168">
        <f t="shared" si="245"/>
        <v>1</v>
      </c>
      <c r="K1691" s="168">
        <f t="shared" si="246"/>
        <v>1</v>
      </c>
      <c r="L1691" s="168">
        <f t="shared" si="247"/>
        <v>1</v>
      </c>
      <c r="M1691" s="168">
        <f t="shared" si="248"/>
        <v>2.5</v>
      </c>
      <c r="N1691" s="241" t="s">
        <v>453</v>
      </c>
    </row>
    <row r="1692" spans="1:14" ht="15" customHeight="1">
      <c r="A1692" s="107">
        <v>1691</v>
      </c>
      <c r="B1692" s="242" t="s">
        <v>52</v>
      </c>
      <c r="C1692" s="243" t="s">
        <v>10</v>
      </c>
      <c r="D1692" s="237" t="s">
        <v>3427</v>
      </c>
      <c r="E1692" s="249">
        <v>200</v>
      </c>
      <c r="F1692" s="249">
        <v>0</v>
      </c>
      <c r="G1692" s="168">
        <f t="shared" si="242"/>
        <v>0.4</v>
      </c>
      <c r="H1692" s="168">
        <f t="shared" si="243"/>
        <v>0.8</v>
      </c>
      <c r="I1692" s="168">
        <f t="shared" si="244"/>
        <v>0.6</v>
      </c>
      <c r="J1692" s="168">
        <f t="shared" si="245"/>
        <v>1</v>
      </c>
      <c r="K1692" s="168">
        <f t="shared" si="246"/>
        <v>1</v>
      </c>
      <c r="L1692" s="168">
        <f t="shared" si="247"/>
        <v>1</v>
      </c>
      <c r="M1692" s="168">
        <f t="shared" si="248"/>
        <v>3.3333333333333335</v>
      </c>
      <c r="N1692" s="241" t="s">
        <v>453</v>
      </c>
    </row>
    <row r="1693" spans="1:14" ht="15" customHeight="1">
      <c r="A1693" s="107">
        <v>1692</v>
      </c>
      <c r="B1693" s="242" t="s">
        <v>52</v>
      </c>
      <c r="C1693" s="243" t="s">
        <v>10</v>
      </c>
      <c r="D1693" s="237" t="s">
        <v>3428</v>
      </c>
      <c r="E1693" s="249">
        <v>200</v>
      </c>
      <c r="F1693" s="249">
        <v>0</v>
      </c>
      <c r="G1693" s="168">
        <f t="shared" si="242"/>
        <v>0.4</v>
      </c>
      <c r="H1693" s="168">
        <f t="shared" si="243"/>
        <v>0.8</v>
      </c>
      <c r="I1693" s="168">
        <f t="shared" si="244"/>
        <v>0.6</v>
      </c>
      <c r="J1693" s="168">
        <f t="shared" si="245"/>
        <v>1</v>
      </c>
      <c r="K1693" s="168">
        <f t="shared" si="246"/>
        <v>1</v>
      </c>
      <c r="L1693" s="168">
        <f t="shared" si="247"/>
        <v>1</v>
      </c>
      <c r="M1693" s="168">
        <f t="shared" si="248"/>
        <v>3.3333333333333335</v>
      </c>
      <c r="N1693" s="241" t="s">
        <v>453</v>
      </c>
    </row>
    <row r="1694" spans="1:14" ht="15" customHeight="1">
      <c r="A1694" s="107">
        <v>1693</v>
      </c>
      <c r="B1694" s="242" t="s">
        <v>52</v>
      </c>
      <c r="C1694" s="243" t="s">
        <v>10</v>
      </c>
      <c r="D1694" s="237" t="s">
        <v>3429</v>
      </c>
      <c r="E1694" s="249">
        <v>450</v>
      </c>
      <c r="F1694" s="249">
        <v>0</v>
      </c>
      <c r="G1694" s="168">
        <f t="shared" si="242"/>
        <v>0.4</v>
      </c>
      <c r="H1694" s="168">
        <f t="shared" si="243"/>
        <v>0.8</v>
      </c>
      <c r="I1694" s="168">
        <f t="shared" si="244"/>
        <v>0.6</v>
      </c>
      <c r="J1694" s="168">
        <f t="shared" si="245"/>
        <v>1</v>
      </c>
      <c r="K1694" s="168">
        <f t="shared" si="246"/>
        <v>1</v>
      </c>
      <c r="L1694" s="168">
        <f t="shared" si="247"/>
        <v>1</v>
      </c>
      <c r="M1694" s="168">
        <f t="shared" si="248"/>
        <v>7.5</v>
      </c>
      <c r="N1694" s="241" t="s">
        <v>453</v>
      </c>
    </row>
    <row r="1695" spans="1:14" ht="15" customHeight="1">
      <c r="A1695" s="107">
        <v>1694</v>
      </c>
      <c r="B1695" s="242" t="s">
        <v>52</v>
      </c>
      <c r="C1695" s="243" t="s">
        <v>10</v>
      </c>
      <c r="D1695" s="237" t="s">
        <v>3430</v>
      </c>
      <c r="E1695" s="249">
        <v>200</v>
      </c>
      <c r="F1695" s="249">
        <v>0</v>
      </c>
      <c r="G1695" s="168">
        <f t="shared" si="242"/>
        <v>0.4</v>
      </c>
      <c r="H1695" s="168">
        <f t="shared" si="243"/>
        <v>0.8</v>
      </c>
      <c r="I1695" s="168">
        <f t="shared" si="244"/>
        <v>0.6</v>
      </c>
      <c r="J1695" s="168">
        <f t="shared" si="245"/>
        <v>1</v>
      </c>
      <c r="K1695" s="168">
        <f t="shared" si="246"/>
        <v>1</v>
      </c>
      <c r="L1695" s="168">
        <f t="shared" si="247"/>
        <v>1</v>
      </c>
      <c r="M1695" s="168">
        <f t="shared" si="248"/>
        <v>3.3333333333333335</v>
      </c>
      <c r="N1695" s="241" t="s">
        <v>453</v>
      </c>
    </row>
    <row r="1696" spans="1:14" ht="15" customHeight="1">
      <c r="A1696" s="107">
        <v>1695</v>
      </c>
      <c r="B1696" s="242" t="s">
        <v>52</v>
      </c>
      <c r="C1696" s="243" t="s">
        <v>10</v>
      </c>
      <c r="D1696" s="237" t="s">
        <v>3432</v>
      </c>
      <c r="E1696" s="249">
        <v>117</v>
      </c>
      <c r="F1696" s="249">
        <v>0</v>
      </c>
      <c r="G1696" s="168">
        <f t="shared" si="242"/>
        <v>0.4</v>
      </c>
      <c r="H1696" s="168">
        <f t="shared" si="243"/>
        <v>0.8</v>
      </c>
      <c r="I1696" s="168">
        <f t="shared" si="244"/>
        <v>0.6</v>
      </c>
      <c r="J1696" s="168">
        <f t="shared" si="245"/>
        <v>1</v>
      </c>
      <c r="K1696" s="168">
        <f t="shared" si="246"/>
        <v>1</v>
      </c>
      <c r="L1696" s="168">
        <f t="shared" si="247"/>
        <v>1</v>
      </c>
      <c r="M1696" s="168">
        <f t="shared" si="248"/>
        <v>1.95</v>
      </c>
      <c r="N1696" s="241" t="s">
        <v>453</v>
      </c>
    </row>
    <row r="1697" spans="1:14" ht="15" customHeight="1">
      <c r="A1697" s="107">
        <v>1696</v>
      </c>
      <c r="B1697" s="242" t="s">
        <v>55</v>
      </c>
      <c r="C1697" s="243" t="s">
        <v>10</v>
      </c>
      <c r="D1697" s="237" t="s">
        <v>3433</v>
      </c>
      <c r="E1697" s="281">
        <v>0</v>
      </c>
      <c r="F1697" s="249">
        <v>350</v>
      </c>
      <c r="G1697" s="168">
        <f t="shared" si="242"/>
        <v>2.4000000000000004</v>
      </c>
      <c r="H1697" s="168">
        <f t="shared" si="243"/>
        <v>4.8000000000000007</v>
      </c>
      <c r="I1697" s="168">
        <f t="shared" si="244"/>
        <v>3.5999999999999996</v>
      </c>
      <c r="J1697" s="168">
        <f t="shared" si="245"/>
        <v>6</v>
      </c>
      <c r="K1697" s="168">
        <f t="shared" si="246"/>
        <v>6</v>
      </c>
      <c r="L1697" s="168">
        <f t="shared" si="247"/>
        <v>1.0874999999999999</v>
      </c>
      <c r="M1697" s="168">
        <f t="shared" si="248"/>
        <v>0</v>
      </c>
      <c r="N1697" s="241" t="s">
        <v>453</v>
      </c>
    </row>
    <row r="1698" spans="1:14" ht="15" customHeight="1">
      <c r="A1698" s="107">
        <v>1697</v>
      </c>
      <c r="B1698" s="231" t="s">
        <v>52</v>
      </c>
      <c r="C1698" s="231" t="s">
        <v>10</v>
      </c>
      <c r="D1698" s="237" t="s">
        <v>4703</v>
      </c>
      <c r="E1698" s="249">
        <v>0</v>
      </c>
      <c r="F1698" s="249">
        <v>500</v>
      </c>
      <c r="G1698" s="168">
        <f t="shared" si="242"/>
        <v>3.2571428571428571</v>
      </c>
      <c r="H1698" s="168">
        <f t="shared" si="243"/>
        <v>6.5142857142857142</v>
      </c>
      <c r="I1698" s="168">
        <f t="shared" si="244"/>
        <v>4.8857142857142852</v>
      </c>
      <c r="J1698" s="168">
        <f t="shared" si="245"/>
        <v>8.1428571428571423</v>
      </c>
      <c r="K1698" s="168">
        <f t="shared" si="246"/>
        <v>8.1428571428571423</v>
      </c>
      <c r="L1698" s="168">
        <f t="shared" si="247"/>
        <v>1.125</v>
      </c>
      <c r="M1698" s="168">
        <f t="shared" si="248"/>
        <v>0</v>
      </c>
      <c r="N1698" s="241" t="s">
        <v>453</v>
      </c>
    </row>
    <row r="1699" spans="1:14" ht="15" customHeight="1">
      <c r="A1699" s="107">
        <v>1698</v>
      </c>
      <c r="B1699" s="231" t="s">
        <v>52</v>
      </c>
      <c r="C1699" s="231" t="s">
        <v>10</v>
      </c>
      <c r="D1699" s="237" t="s">
        <v>2044</v>
      </c>
      <c r="E1699" s="249">
        <v>0</v>
      </c>
      <c r="F1699" s="249">
        <v>0</v>
      </c>
      <c r="G1699" s="168">
        <f t="shared" si="242"/>
        <v>0.4</v>
      </c>
      <c r="H1699" s="168">
        <f t="shared" si="243"/>
        <v>0.8</v>
      </c>
      <c r="I1699" s="168">
        <f t="shared" si="244"/>
        <v>0.6</v>
      </c>
      <c r="J1699" s="168">
        <f t="shared" si="245"/>
        <v>1</v>
      </c>
      <c r="K1699" s="168">
        <f t="shared" si="246"/>
        <v>1</v>
      </c>
      <c r="L1699" s="168">
        <f t="shared" si="247"/>
        <v>1</v>
      </c>
      <c r="M1699" s="168">
        <f t="shared" si="248"/>
        <v>0</v>
      </c>
      <c r="N1699" s="90" t="s">
        <v>453</v>
      </c>
    </row>
    <row r="1700" spans="1:14" ht="15" customHeight="1">
      <c r="A1700" s="107">
        <v>1699</v>
      </c>
      <c r="B1700" s="231" t="s">
        <v>52</v>
      </c>
      <c r="C1700" s="231" t="s">
        <v>10</v>
      </c>
      <c r="D1700" s="237" t="s">
        <v>3434</v>
      </c>
      <c r="E1700" s="249">
        <v>250</v>
      </c>
      <c r="F1700" s="249">
        <v>0</v>
      </c>
      <c r="G1700" s="168">
        <f t="shared" si="242"/>
        <v>0.4</v>
      </c>
      <c r="H1700" s="168">
        <f t="shared" si="243"/>
        <v>0.8</v>
      </c>
      <c r="I1700" s="168">
        <f t="shared" si="244"/>
        <v>0.6</v>
      </c>
      <c r="J1700" s="168">
        <f t="shared" si="245"/>
        <v>1</v>
      </c>
      <c r="K1700" s="168">
        <f t="shared" si="246"/>
        <v>1</v>
      </c>
      <c r="L1700" s="168">
        <f t="shared" si="247"/>
        <v>1</v>
      </c>
      <c r="M1700" s="168">
        <f t="shared" si="248"/>
        <v>4.166666666666667</v>
      </c>
      <c r="N1700" s="241" t="s">
        <v>453</v>
      </c>
    </row>
    <row r="1701" spans="1:14" ht="15" customHeight="1">
      <c r="A1701" s="107">
        <v>1700</v>
      </c>
      <c r="B1701" s="231" t="s">
        <v>52</v>
      </c>
      <c r="C1701" s="231" t="s">
        <v>10</v>
      </c>
      <c r="D1701" s="237" t="s">
        <v>3436</v>
      </c>
      <c r="E1701" s="249">
        <v>600</v>
      </c>
      <c r="F1701" s="249">
        <v>0</v>
      </c>
      <c r="G1701" s="168">
        <f t="shared" si="242"/>
        <v>0.4</v>
      </c>
      <c r="H1701" s="168">
        <f t="shared" si="243"/>
        <v>0.8</v>
      </c>
      <c r="I1701" s="168">
        <f t="shared" si="244"/>
        <v>0.6</v>
      </c>
      <c r="J1701" s="168">
        <f t="shared" si="245"/>
        <v>1</v>
      </c>
      <c r="K1701" s="168">
        <f t="shared" si="246"/>
        <v>1</v>
      </c>
      <c r="L1701" s="168">
        <f t="shared" si="247"/>
        <v>1</v>
      </c>
      <c r="M1701" s="168">
        <f t="shared" si="248"/>
        <v>10</v>
      </c>
      <c r="N1701" s="241" t="s">
        <v>453</v>
      </c>
    </row>
    <row r="1702" spans="1:14" ht="15" customHeight="1">
      <c r="A1702" s="107">
        <v>1701</v>
      </c>
      <c r="B1702" s="231" t="s">
        <v>52</v>
      </c>
      <c r="C1702" s="231" t="s">
        <v>10</v>
      </c>
      <c r="D1702" s="237" t="s">
        <v>3438</v>
      </c>
      <c r="E1702" s="249">
        <v>70</v>
      </c>
      <c r="F1702" s="249">
        <v>0</v>
      </c>
      <c r="G1702" s="168">
        <f t="shared" si="242"/>
        <v>0.4</v>
      </c>
      <c r="H1702" s="168">
        <f t="shared" si="243"/>
        <v>0.8</v>
      </c>
      <c r="I1702" s="168">
        <f t="shared" si="244"/>
        <v>0.6</v>
      </c>
      <c r="J1702" s="168">
        <f t="shared" si="245"/>
        <v>1</v>
      </c>
      <c r="K1702" s="168">
        <f t="shared" si="246"/>
        <v>1</v>
      </c>
      <c r="L1702" s="168">
        <f t="shared" si="247"/>
        <v>1</v>
      </c>
      <c r="M1702" s="168">
        <f t="shared" si="248"/>
        <v>1.1666666666666667</v>
      </c>
      <c r="N1702" s="241" t="s">
        <v>453</v>
      </c>
    </row>
    <row r="1703" spans="1:14" ht="15" customHeight="1">
      <c r="A1703" s="107">
        <v>1702</v>
      </c>
      <c r="B1703" s="231" t="s">
        <v>52</v>
      </c>
      <c r="C1703" s="231" t="s">
        <v>10</v>
      </c>
      <c r="D1703" s="237" t="s">
        <v>3440</v>
      </c>
      <c r="E1703" s="249">
        <v>380</v>
      </c>
      <c r="F1703" s="249">
        <v>0</v>
      </c>
      <c r="G1703" s="168">
        <f t="shared" si="242"/>
        <v>0.4</v>
      </c>
      <c r="H1703" s="168">
        <f t="shared" si="243"/>
        <v>0.8</v>
      </c>
      <c r="I1703" s="168">
        <f t="shared" si="244"/>
        <v>0.6</v>
      </c>
      <c r="J1703" s="168">
        <f t="shared" si="245"/>
        <v>1</v>
      </c>
      <c r="K1703" s="168">
        <f t="shared" si="246"/>
        <v>1</v>
      </c>
      <c r="L1703" s="168">
        <f t="shared" si="247"/>
        <v>1</v>
      </c>
      <c r="M1703" s="168">
        <f t="shared" si="248"/>
        <v>6.333333333333333</v>
      </c>
      <c r="N1703" s="241" t="s">
        <v>453</v>
      </c>
    </row>
    <row r="1704" spans="1:14" ht="15" customHeight="1">
      <c r="A1704" s="107">
        <v>1703</v>
      </c>
      <c r="B1704" s="231" t="s">
        <v>52</v>
      </c>
      <c r="C1704" s="231" t="s">
        <v>10</v>
      </c>
      <c r="D1704" s="237" t="s">
        <v>3441</v>
      </c>
      <c r="E1704" s="249">
        <v>213</v>
      </c>
      <c r="F1704" s="249">
        <v>0</v>
      </c>
      <c r="G1704" s="168">
        <f t="shared" si="242"/>
        <v>0.4</v>
      </c>
      <c r="H1704" s="168">
        <f t="shared" si="243"/>
        <v>0.8</v>
      </c>
      <c r="I1704" s="168">
        <f t="shared" si="244"/>
        <v>0.6</v>
      </c>
      <c r="J1704" s="168">
        <f t="shared" si="245"/>
        <v>1</v>
      </c>
      <c r="K1704" s="168">
        <f t="shared" si="246"/>
        <v>1</v>
      </c>
      <c r="L1704" s="168">
        <f t="shared" si="247"/>
        <v>1</v>
      </c>
      <c r="M1704" s="168">
        <f t="shared" si="248"/>
        <v>3.55</v>
      </c>
      <c r="N1704" s="241" t="s">
        <v>453</v>
      </c>
    </row>
    <row r="1705" spans="1:14" ht="15" customHeight="1">
      <c r="A1705" s="107">
        <v>1704</v>
      </c>
      <c r="B1705" s="231" t="s">
        <v>52</v>
      </c>
      <c r="C1705" s="231" t="s">
        <v>10</v>
      </c>
      <c r="D1705" s="237" t="s">
        <v>3442</v>
      </c>
      <c r="E1705" s="249">
        <v>508</v>
      </c>
      <c r="F1705" s="249">
        <v>0</v>
      </c>
      <c r="G1705" s="168">
        <f t="shared" si="242"/>
        <v>0.4</v>
      </c>
      <c r="H1705" s="168">
        <f t="shared" si="243"/>
        <v>0.8</v>
      </c>
      <c r="I1705" s="168">
        <f t="shared" si="244"/>
        <v>0.6</v>
      </c>
      <c r="J1705" s="168">
        <f t="shared" si="245"/>
        <v>1</v>
      </c>
      <c r="K1705" s="168">
        <f t="shared" si="246"/>
        <v>1</v>
      </c>
      <c r="L1705" s="168">
        <f t="shared" si="247"/>
        <v>1</v>
      </c>
      <c r="M1705" s="168">
        <f t="shared" si="248"/>
        <v>8.4666666666666668</v>
      </c>
      <c r="N1705" s="241" t="s">
        <v>453</v>
      </c>
    </row>
    <row r="1706" spans="1:14" ht="15" customHeight="1">
      <c r="A1706" s="107">
        <v>1705</v>
      </c>
      <c r="B1706" s="231" t="s">
        <v>52</v>
      </c>
      <c r="C1706" s="231" t="s">
        <v>10</v>
      </c>
      <c r="D1706" s="237" t="s">
        <v>3443</v>
      </c>
      <c r="E1706" s="249">
        <v>50</v>
      </c>
      <c r="F1706" s="249">
        <v>0</v>
      </c>
      <c r="G1706" s="168">
        <f t="shared" si="242"/>
        <v>0.4</v>
      </c>
      <c r="H1706" s="168">
        <f t="shared" si="243"/>
        <v>0.8</v>
      </c>
      <c r="I1706" s="168">
        <f t="shared" si="244"/>
        <v>0.6</v>
      </c>
      <c r="J1706" s="168">
        <f t="shared" si="245"/>
        <v>1</v>
      </c>
      <c r="K1706" s="168">
        <f t="shared" si="246"/>
        <v>1</v>
      </c>
      <c r="L1706" s="168">
        <f t="shared" si="247"/>
        <v>1</v>
      </c>
      <c r="M1706" s="168">
        <f t="shared" si="248"/>
        <v>0.83333333333333337</v>
      </c>
      <c r="N1706" s="241" t="s">
        <v>453</v>
      </c>
    </row>
    <row r="1707" spans="1:14" ht="15" customHeight="1">
      <c r="A1707" s="107">
        <v>1706</v>
      </c>
      <c r="B1707" s="231" t="s">
        <v>52</v>
      </c>
      <c r="C1707" s="231" t="s">
        <v>10</v>
      </c>
      <c r="D1707" s="237" t="s">
        <v>3444</v>
      </c>
      <c r="E1707" s="249">
        <v>50</v>
      </c>
      <c r="F1707" s="249">
        <v>0</v>
      </c>
      <c r="G1707" s="168">
        <f t="shared" si="242"/>
        <v>0.4</v>
      </c>
      <c r="H1707" s="168">
        <f t="shared" si="243"/>
        <v>0.8</v>
      </c>
      <c r="I1707" s="168">
        <f t="shared" si="244"/>
        <v>0.6</v>
      </c>
      <c r="J1707" s="168">
        <f t="shared" si="245"/>
        <v>1</v>
      </c>
      <c r="K1707" s="168">
        <f t="shared" si="246"/>
        <v>1</v>
      </c>
      <c r="L1707" s="168">
        <f t="shared" si="247"/>
        <v>1</v>
      </c>
      <c r="M1707" s="168">
        <f t="shared" si="248"/>
        <v>0.83333333333333337</v>
      </c>
      <c r="N1707" s="241" t="s">
        <v>453</v>
      </c>
    </row>
    <row r="1708" spans="1:14" ht="15" customHeight="1">
      <c r="A1708" s="107">
        <v>1707</v>
      </c>
      <c r="B1708" s="231" t="s">
        <v>52</v>
      </c>
      <c r="C1708" s="231" t="s">
        <v>10</v>
      </c>
      <c r="D1708" s="237" t="s">
        <v>3445</v>
      </c>
      <c r="E1708" s="249">
        <v>350</v>
      </c>
      <c r="F1708" s="249">
        <v>0</v>
      </c>
      <c r="G1708" s="168">
        <f t="shared" si="242"/>
        <v>0.4</v>
      </c>
      <c r="H1708" s="168">
        <f t="shared" si="243"/>
        <v>0.8</v>
      </c>
      <c r="I1708" s="168">
        <f t="shared" si="244"/>
        <v>0.6</v>
      </c>
      <c r="J1708" s="168">
        <f t="shared" si="245"/>
        <v>1</v>
      </c>
      <c r="K1708" s="168">
        <f t="shared" si="246"/>
        <v>1</v>
      </c>
      <c r="L1708" s="168">
        <f t="shared" si="247"/>
        <v>1</v>
      </c>
      <c r="M1708" s="168">
        <f t="shared" si="248"/>
        <v>5.833333333333333</v>
      </c>
      <c r="N1708" s="241" t="s">
        <v>453</v>
      </c>
    </row>
    <row r="1709" spans="1:14" ht="15" customHeight="1">
      <c r="A1709" s="107">
        <v>1708</v>
      </c>
      <c r="B1709" s="231" t="s">
        <v>52</v>
      </c>
      <c r="C1709" s="231" t="s">
        <v>10</v>
      </c>
      <c r="D1709" s="237" t="s">
        <v>3447</v>
      </c>
      <c r="E1709" s="249">
        <v>350</v>
      </c>
      <c r="F1709" s="249">
        <v>0</v>
      </c>
      <c r="G1709" s="168">
        <f t="shared" si="242"/>
        <v>0.4</v>
      </c>
      <c r="H1709" s="168">
        <f t="shared" si="243"/>
        <v>0.8</v>
      </c>
      <c r="I1709" s="168">
        <f t="shared" si="244"/>
        <v>0.6</v>
      </c>
      <c r="J1709" s="168">
        <f t="shared" si="245"/>
        <v>1</v>
      </c>
      <c r="K1709" s="168">
        <f t="shared" si="246"/>
        <v>1</v>
      </c>
      <c r="L1709" s="168">
        <f t="shared" si="247"/>
        <v>1</v>
      </c>
      <c r="M1709" s="168">
        <f t="shared" si="248"/>
        <v>5.833333333333333</v>
      </c>
      <c r="N1709" s="241" t="s">
        <v>453</v>
      </c>
    </row>
    <row r="1710" spans="1:14" ht="15" customHeight="1">
      <c r="A1710" s="107">
        <v>1709</v>
      </c>
      <c r="B1710" s="231" t="s">
        <v>52</v>
      </c>
      <c r="C1710" s="231" t="s">
        <v>10</v>
      </c>
      <c r="D1710" s="237" t="s">
        <v>3449</v>
      </c>
      <c r="E1710" s="249">
        <v>300</v>
      </c>
      <c r="F1710" s="249">
        <v>0</v>
      </c>
      <c r="G1710" s="168">
        <f t="shared" ref="G1710:G1735" si="249">(((F1710/70)+1)*0.4)</f>
        <v>0.4</v>
      </c>
      <c r="H1710" s="168">
        <f t="shared" ref="H1710:H1735" si="250">G1710*2</f>
        <v>0.8</v>
      </c>
      <c r="I1710" s="168">
        <f t="shared" ref="I1710:I1735" si="251">(((F1710/70)+1)*0.6)</f>
        <v>0.6</v>
      </c>
      <c r="J1710" s="168">
        <f t="shared" ref="J1710:J1735" si="252">I1710+G1710</f>
        <v>1</v>
      </c>
      <c r="K1710" s="168">
        <f t="shared" ref="K1710:K1735" si="253">J1710</f>
        <v>1</v>
      </c>
      <c r="L1710" s="168">
        <f t="shared" ref="L1710:L1735" si="254">(F1710/4000)+1</f>
        <v>1</v>
      </c>
      <c r="M1710" s="168">
        <f t="shared" si="248"/>
        <v>5</v>
      </c>
      <c r="N1710" s="241" t="s">
        <v>453</v>
      </c>
    </row>
    <row r="1711" spans="1:14" ht="15" customHeight="1">
      <c r="A1711" s="107">
        <v>1710</v>
      </c>
      <c r="B1711" s="231" t="s">
        <v>52</v>
      </c>
      <c r="C1711" s="231" t="s">
        <v>10</v>
      </c>
      <c r="D1711" s="237" t="s">
        <v>3450</v>
      </c>
      <c r="E1711" s="249">
        <v>300</v>
      </c>
      <c r="F1711" s="249">
        <v>0</v>
      </c>
      <c r="G1711" s="168">
        <f t="shared" si="249"/>
        <v>0.4</v>
      </c>
      <c r="H1711" s="168">
        <f t="shared" si="250"/>
        <v>0.8</v>
      </c>
      <c r="I1711" s="168">
        <f t="shared" si="251"/>
        <v>0.6</v>
      </c>
      <c r="J1711" s="168">
        <f t="shared" si="252"/>
        <v>1</v>
      </c>
      <c r="K1711" s="168">
        <f t="shared" si="253"/>
        <v>1</v>
      </c>
      <c r="L1711" s="168">
        <f t="shared" si="254"/>
        <v>1</v>
      </c>
      <c r="M1711" s="168">
        <f t="shared" si="248"/>
        <v>5</v>
      </c>
      <c r="N1711" s="241" t="s">
        <v>453</v>
      </c>
    </row>
    <row r="1712" spans="1:14" ht="15" customHeight="1">
      <c r="A1712" s="107">
        <v>1711</v>
      </c>
      <c r="B1712" s="231" t="s">
        <v>52</v>
      </c>
      <c r="C1712" s="231" t="s">
        <v>10</v>
      </c>
      <c r="D1712" s="237" t="s">
        <v>3451</v>
      </c>
      <c r="E1712" s="249">
        <v>300</v>
      </c>
      <c r="F1712" s="249">
        <v>0</v>
      </c>
      <c r="G1712" s="168">
        <f t="shared" si="249"/>
        <v>0.4</v>
      </c>
      <c r="H1712" s="168">
        <f t="shared" si="250"/>
        <v>0.8</v>
      </c>
      <c r="I1712" s="168">
        <f t="shared" si="251"/>
        <v>0.6</v>
      </c>
      <c r="J1712" s="168">
        <f t="shared" si="252"/>
        <v>1</v>
      </c>
      <c r="K1712" s="168">
        <f t="shared" si="253"/>
        <v>1</v>
      </c>
      <c r="L1712" s="168">
        <f t="shared" si="254"/>
        <v>1</v>
      </c>
      <c r="M1712" s="168">
        <f t="shared" si="248"/>
        <v>5</v>
      </c>
      <c r="N1712" s="241" t="s">
        <v>453</v>
      </c>
    </row>
    <row r="1713" spans="1:14" ht="15" customHeight="1">
      <c r="A1713" s="107">
        <v>1712</v>
      </c>
      <c r="B1713" s="231" t="s">
        <v>52</v>
      </c>
      <c r="C1713" s="231" t="s">
        <v>10</v>
      </c>
      <c r="D1713" s="237" t="s">
        <v>3452</v>
      </c>
      <c r="E1713" s="249">
        <v>300</v>
      </c>
      <c r="F1713" s="249">
        <v>0</v>
      </c>
      <c r="G1713" s="168">
        <f t="shared" si="249"/>
        <v>0.4</v>
      </c>
      <c r="H1713" s="168">
        <f t="shared" si="250"/>
        <v>0.8</v>
      </c>
      <c r="I1713" s="168">
        <f t="shared" si="251"/>
        <v>0.6</v>
      </c>
      <c r="J1713" s="168">
        <f t="shared" si="252"/>
        <v>1</v>
      </c>
      <c r="K1713" s="168">
        <f t="shared" si="253"/>
        <v>1</v>
      </c>
      <c r="L1713" s="168">
        <f t="shared" si="254"/>
        <v>1</v>
      </c>
      <c r="M1713" s="168">
        <f t="shared" si="248"/>
        <v>5</v>
      </c>
      <c r="N1713" s="241" t="s">
        <v>453</v>
      </c>
    </row>
    <row r="1714" spans="1:14" ht="15" customHeight="1">
      <c r="A1714" s="107">
        <v>1713</v>
      </c>
      <c r="B1714" s="231" t="s">
        <v>52</v>
      </c>
      <c r="C1714" s="231" t="s">
        <v>10</v>
      </c>
      <c r="D1714" s="237" t="s">
        <v>3453</v>
      </c>
      <c r="E1714" s="249">
        <v>26</v>
      </c>
      <c r="F1714" s="249">
        <v>0</v>
      </c>
      <c r="G1714" s="168">
        <f t="shared" si="249"/>
        <v>0.4</v>
      </c>
      <c r="H1714" s="168">
        <f t="shared" si="250"/>
        <v>0.8</v>
      </c>
      <c r="I1714" s="168">
        <f t="shared" si="251"/>
        <v>0.6</v>
      </c>
      <c r="J1714" s="168">
        <f t="shared" si="252"/>
        <v>1</v>
      </c>
      <c r="K1714" s="168">
        <f t="shared" si="253"/>
        <v>1</v>
      </c>
      <c r="L1714" s="168">
        <f t="shared" si="254"/>
        <v>1</v>
      </c>
      <c r="M1714" s="168">
        <f t="shared" si="248"/>
        <v>0.43333333333333335</v>
      </c>
      <c r="N1714" s="241" t="s">
        <v>453</v>
      </c>
    </row>
    <row r="1715" spans="1:14" ht="15" customHeight="1">
      <c r="A1715" s="107">
        <v>1714</v>
      </c>
      <c r="B1715" s="231" t="s">
        <v>52</v>
      </c>
      <c r="C1715" s="231" t="s">
        <v>10</v>
      </c>
      <c r="D1715" s="237" t="s">
        <v>3454</v>
      </c>
      <c r="E1715" s="249">
        <v>29</v>
      </c>
      <c r="F1715" s="249">
        <v>0</v>
      </c>
      <c r="G1715" s="168">
        <f t="shared" si="249"/>
        <v>0.4</v>
      </c>
      <c r="H1715" s="168">
        <f t="shared" si="250"/>
        <v>0.8</v>
      </c>
      <c r="I1715" s="168">
        <f t="shared" si="251"/>
        <v>0.6</v>
      </c>
      <c r="J1715" s="168">
        <f t="shared" si="252"/>
        <v>1</v>
      </c>
      <c r="K1715" s="168">
        <f t="shared" si="253"/>
        <v>1</v>
      </c>
      <c r="L1715" s="168">
        <f t="shared" si="254"/>
        <v>1</v>
      </c>
      <c r="M1715" s="168">
        <f t="shared" si="248"/>
        <v>0.48333333333333334</v>
      </c>
      <c r="N1715" s="241" t="s">
        <v>453</v>
      </c>
    </row>
    <row r="1716" spans="1:14" ht="15" customHeight="1">
      <c r="A1716" s="107">
        <v>1715</v>
      </c>
      <c r="B1716" s="231" t="s">
        <v>52</v>
      </c>
      <c r="C1716" s="231" t="s">
        <v>10</v>
      </c>
      <c r="D1716" s="237" t="s">
        <v>3455</v>
      </c>
      <c r="E1716" s="249">
        <v>191</v>
      </c>
      <c r="F1716" s="249">
        <v>0</v>
      </c>
      <c r="G1716" s="168">
        <f t="shared" si="249"/>
        <v>0.4</v>
      </c>
      <c r="H1716" s="168">
        <f t="shared" si="250"/>
        <v>0.8</v>
      </c>
      <c r="I1716" s="168">
        <f t="shared" si="251"/>
        <v>0.6</v>
      </c>
      <c r="J1716" s="168">
        <f t="shared" si="252"/>
        <v>1</v>
      </c>
      <c r="K1716" s="168">
        <f t="shared" si="253"/>
        <v>1</v>
      </c>
      <c r="L1716" s="168">
        <f t="shared" si="254"/>
        <v>1</v>
      </c>
      <c r="M1716" s="168">
        <f t="shared" si="248"/>
        <v>3.1833333333333331</v>
      </c>
      <c r="N1716" s="241" t="s">
        <v>453</v>
      </c>
    </row>
    <row r="1717" spans="1:14" ht="15" customHeight="1">
      <c r="A1717" s="107">
        <v>1716</v>
      </c>
      <c r="B1717" s="231" t="s">
        <v>52</v>
      </c>
      <c r="C1717" s="231" t="s">
        <v>10</v>
      </c>
      <c r="D1717" s="237" t="s">
        <v>3456</v>
      </c>
      <c r="E1717" s="249">
        <v>17</v>
      </c>
      <c r="F1717" s="249">
        <v>0</v>
      </c>
      <c r="G1717" s="168">
        <f t="shared" si="249"/>
        <v>0.4</v>
      </c>
      <c r="H1717" s="168">
        <f t="shared" si="250"/>
        <v>0.8</v>
      </c>
      <c r="I1717" s="168">
        <f t="shared" si="251"/>
        <v>0.6</v>
      </c>
      <c r="J1717" s="168">
        <f t="shared" si="252"/>
        <v>1</v>
      </c>
      <c r="K1717" s="168">
        <f t="shared" si="253"/>
        <v>1</v>
      </c>
      <c r="L1717" s="168">
        <f t="shared" si="254"/>
        <v>1</v>
      </c>
      <c r="M1717" s="168">
        <f t="shared" si="248"/>
        <v>0.28333333333333333</v>
      </c>
      <c r="N1717" s="241" t="s">
        <v>453</v>
      </c>
    </row>
    <row r="1718" spans="1:14" ht="15" customHeight="1">
      <c r="A1718" s="107">
        <v>1717</v>
      </c>
      <c r="B1718" s="231" t="s">
        <v>52</v>
      </c>
      <c r="C1718" s="231" t="s">
        <v>10</v>
      </c>
      <c r="D1718" s="237" t="s">
        <v>3457</v>
      </c>
      <c r="E1718" s="249">
        <v>0</v>
      </c>
      <c r="F1718" s="249">
        <v>3100</v>
      </c>
      <c r="G1718" s="168">
        <f t="shared" si="249"/>
        <v>18.114285714285714</v>
      </c>
      <c r="H1718" s="168">
        <f t="shared" si="250"/>
        <v>36.228571428571428</v>
      </c>
      <c r="I1718" s="168">
        <f t="shared" si="251"/>
        <v>27.171428571428571</v>
      </c>
      <c r="J1718" s="168">
        <f t="shared" si="252"/>
        <v>45.285714285714285</v>
      </c>
      <c r="K1718" s="168">
        <f t="shared" si="253"/>
        <v>45.285714285714285</v>
      </c>
      <c r="L1718" s="168">
        <f t="shared" si="254"/>
        <v>1.7749999999999999</v>
      </c>
      <c r="M1718" s="168">
        <f t="shared" si="248"/>
        <v>0</v>
      </c>
      <c r="N1718" s="241" t="s">
        <v>453</v>
      </c>
    </row>
    <row r="1719" spans="1:14" ht="15" customHeight="1">
      <c r="A1719" s="107">
        <v>1718</v>
      </c>
      <c r="B1719" s="231" t="s">
        <v>52</v>
      </c>
      <c r="C1719" s="231" t="s">
        <v>10</v>
      </c>
      <c r="D1719" s="237" t="s">
        <v>3459</v>
      </c>
      <c r="E1719" s="249">
        <v>380</v>
      </c>
      <c r="F1719" s="249">
        <v>0</v>
      </c>
      <c r="G1719" s="168">
        <f t="shared" si="249"/>
        <v>0.4</v>
      </c>
      <c r="H1719" s="168">
        <f t="shared" si="250"/>
        <v>0.8</v>
      </c>
      <c r="I1719" s="168">
        <f t="shared" si="251"/>
        <v>0.6</v>
      </c>
      <c r="J1719" s="168">
        <f t="shared" si="252"/>
        <v>1</v>
      </c>
      <c r="K1719" s="168">
        <f t="shared" si="253"/>
        <v>1</v>
      </c>
      <c r="L1719" s="168">
        <f t="shared" si="254"/>
        <v>1</v>
      </c>
      <c r="M1719" s="168">
        <f t="shared" si="248"/>
        <v>6.333333333333333</v>
      </c>
      <c r="N1719" s="241" t="s">
        <v>453</v>
      </c>
    </row>
    <row r="1720" spans="1:14" ht="15" customHeight="1">
      <c r="A1720" s="107">
        <v>1719</v>
      </c>
      <c r="B1720" s="231" t="s">
        <v>52</v>
      </c>
      <c r="C1720" s="231" t="s">
        <v>10</v>
      </c>
      <c r="D1720" s="237" t="s">
        <v>3460</v>
      </c>
      <c r="E1720" s="249">
        <v>200</v>
      </c>
      <c r="F1720" s="249">
        <v>0</v>
      </c>
      <c r="G1720" s="168">
        <f t="shared" si="249"/>
        <v>0.4</v>
      </c>
      <c r="H1720" s="168">
        <f t="shared" si="250"/>
        <v>0.8</v>
      </c>
      <c r="I1720" s="168">
        <f t="shared" si="251"/>
        <v>0.6</v>
      </c>
      <c r="J1720" s="168">
        <f t="shared" si="252"/>
        <v>1</v>
      </c>
      <c r="K1720" s="168">
        <f t="shared" si="253"/>
        <v>1</v>
      </c>
      <c r="L1720" s="168">
        <f t="shared" si="254"/>
        <v>1</v>
      </c>
      <c r="M1720" s="168">
        <f t="shared" si="248"/>
        <v>3.3333333333333335</v>
      </c>
      <c r="N1720" s="241" t="s">
        <v>453</v>
      </c>
    </row>
    <row r="1721" spans="1:14" ht="15" customHeight="1">
      <c r="A1721" s="107">
        <v>1720</v>
      </c>
      <c r="B1721" s="231" t="s">
        <v>52</v>
      </c>
      <c r="C1721" s="231" t="s">
        <v>10</v>
      </c>
      <c r="D1721" s="237" t="s">
        <v>3461</v>
      </c>
      <c r="E1721" s="249">
        <v>200</v>
      </c>
      <c r="F1721" s="249">
        <v>0</v>
      </c>
      <c r="G1721" s="168">
        <f t="shared" si="249"/>
        <v>0.4</v>
      </c>
      <c r="H1721" s="168">
        <f t="shared" si="250"/>
        <v>0.8</v>
      </c>
      <c r="I1721" s="168">
        <f t="shared" si="251"/>
        <v>0.6</v>
      </c>
      <c r="J1721" s="168">
        <f t="shared" si="252"/>
        <v>1</v>
      </c>
      <c r="K1721" s="168">
        <f t="shared" si="253"/>
        <v>1</v>
      </c>
      <c r="L1721" s="168">
        <f t="shared" si="254"/>
        <v>1</v>
      </c>
      <c r="M1721" s="168">
        <f t="shared" si="248"/>
        <v>3.3333333333333335</v>
      </c>
      <c r="N1721" s="241" t="s">
        <v>453</v>
      </c>
    </row>
    <row r="1722" spans="1:14" ht="15" customHeight="1">
      <c r="A1722" s="107">
        <v>1721</v>
      </c>
      <c r="B1722" s="231" t="s">
        <v>52</v>
      </c>
      <c r="C1722" s="231" t="s">
        <v>10</v>
      </c>
      <c r="D1722" s="237" t="s">
        <v>3462</v>
      </c>
      <c r="E1722" s="249">
        <v>217</v>
      </c>
      <c r="F1722" s="249">
        <v>0</v>
      </c>
      <c r="G1722" s="168">
        <f t="shared" si="249"/>
        <v>0.4</v>
      </c>
      <c r="H1722" s="168">
        <f t="shared" si="250"/>
        <v>0.8</v>
      </c>
      <c r="I1722" s="168">
        <f t="shared" si="251"/>
        <v>0.6</v>
      </c>
      <c r="J1722" s="168">
        <f t="shared" si="252"/>
        <v>1</v>
      </c>
      <c r="K1722" s="168">
        <f t="shared" si="253"/>
        <v>1</v>
      </c>
      <c r="L1722" s="168">
        <f t="shared" si="254"/>
        <v>1</v>
      </c>
      <c r="M1722" s="168">
        <f t="shared" si="248"/>
        <v>3.6166666666666667</v>
      </c>
      <c r="N1722" s="241" t="s">
        <v>453</v>
      </c>
    </row>
    <row r="1723" spans="1:14" ht="15" customHeight="1">
      <c r="A1723" s="107">
        <v>1722</v>
      </c>
      <c r="B1723" s="231" t="s">
        <v>52</v>
      </c>
      <c r="C1723" s="231" t="s">
        <v>10</v>
      </c>
      <c r="D1723" s="237" t="s">
        <v>3464</v>
      </c>
      <c r="E1723" s="249">
        <v>0</v>
      </c>
      <c r="F1723" s="249">
        <v>530</v>
      </c>
      <c r="G1723" s="168">
        <f t="shared" si="249"/>
        <v>3.4285714285714288</v>
      </c>
      <c r="H1723" s="168">
        <f t="shared" si="250"/>
        <v>6.8571428571428577</v>
      </c>
      <c r="I1723" s="168">
        <f t="shared" si="251"/>
        <v>5.1428571428571423</v>
      </c>
      <c r="J1723" s="168">
        <f t="shared" si="252"/>
        <v>8.5714285714285712</v>
      </c>
      <c r="K1723" s="168">
        <f t="shared" si="253"/>
        <v>8.5714285714285712</v>
      </c>
      <c r="L1723" s="168">
        <f t="shared" si="254"/>
        <v>1.1325000000000001</v>
      </c>
      <c r="M1723" s="168">
        <f t="shared" si="248"/>
        <v>0</v>
      </c>
      <c r="N1723" s="241" t="s">
        <v>453</v>
      </c>
    </row>
    <row r="1724" spans="1:14" ht="15" customHeight="1">
      <c r="A1724" s="107">
        <v>1723</v>
      </c>
      <c r="B1724" s="231" t="s">
        <v>52</v>
      </c>
      <c r="C1724" s="231" t="s">
        <v>10</v>
      </c>
      <c r="D1724" s="237" t="s">
        <v>3465</v>
      </c>
      <c r="E1724" s="249">
        <v>200</v>
      </c>
      <c r="F1724" s="249">
        <v>0</v>
      </c>
      <c r="G1724" s="168">
        <f t="shared" si="249"/>
        <v>0.4</v>
      </c>
      <c r="H1724" s="168">
        <f t="shared" si="250"/>
        <v>0.8</v>
      </c>
      <c r="I1724" s="168">
        <f t="shared" si="251"/>
        <v>0.6</v>
      </c>
      <c r="J1724" s="168">
        <f t="shared" si="252"/>
        <v>1</v>
      </c>
      <c r="K1724" s="168">
        <f t="shared" si="253"/>
        <v>1</v>
      </c>
      <c r="L1724" s="168">
        <f t="shared" si="254"/>
        <v>1</v>
      </c>
      <c r="M1724" s="168">
        <f t="shared" si="248"/>
        <v>3.3333333333333335</v>
      </c>
      <c r="N1724" s="241" t="s">
        <v>453</v>
      </c>
    </row>
    <row r="1725" spans="1:14" ht="15" customHeight="1">
      <c r="A1725" s="107">
        <v>1724</v>
      </c>
      <c r="B1725" s="231" t="s">
        <v>52</v>
      </c>
      <c r="C1725" s="231" t="s">
        <v>10</v>
      </c>
      <c r="D1725" s="237" t="s">
        <v>3466</v>
      </c>
      <c r="E1725" s="249">
        <v>250</v>
      </c>
      <c r="F1725" s="249">
        <v>0</v>
      </c>
      <c r="G1725" s="168">
        <f t="shared" si="249"/>
        <v>0.4</v>
      </c>
      <c r="H1725" s="168">
        <f t="shared" si="250"/>
        <v>0.8</v>
      </c>
      <c r="I1725" s="168">
        <f t="shared" si="251"/>
        <v>0.6</v>
      </c>
      <c r="J1725" s="168">
        <f t="shared" si="252"/>
        <v>1</v>
      </c>
      <c r="K1725" s="168">
        <f t="shared" si="253"/>
        <v>1</v>
      </c>
      <c r="L1725" s="168">
        <f t="shared" si="254"/>
        <v>1</v>
      </c>
      <c r="M1725" s="168">
        <f t="shared" si="248"/>
        <v>4.166666666666667</v>
      </c>
      <c r="N1725" s="241" t="s">
        <v>453</v>
      </c>
    </row>
    <row r="1726" spans="1:14" ht="15" customHeight="1">
      <c r="A1726" s="107">
        <v>1725</v>
      </c>
      <c r="B1726" s="231" t="s">
        <v>55</v>
      </c>
      <c r="C1726" s="231" t="s">
        <v>10</v>
      </c>
      <c r="D1726" s="237" t="s">
        <v>3467</v>
      </c>
      <c r="E1726" s="249">
        <v>0</v>
      </c>
      <c r="F1726" s="249">
        <v>600</v>
      </c>
      <c r="G1726" s="168">
        <f t="shared" si="249"/>
        <v>3.8285714285714287</v>
      </c>
      <c r="H1726" s="168">
        <f t="shared" si="250"/>
        <v>7.6571428571428575</v>
      </c>
      <c r="I1726" s="168">
        <f t="shared" si="251"/>
        <v>5.7428571428571429</v>
      </c>
      <c r="J1726" s="168">
        <f t="shared" si="252"/>
        <v>9.5714285714285712</v>
      </c>
      <c r="K1726" s="168">
        <f t="shared" si="253"/>
        <v>9.5714285714285712</v>
      </c>
      <c r="L1726" s="168">
        <f t="shared" si="254"/>
        <v>1.1499999999999999</v>
      </c>
      <c r="M1726" s="168">
        <f t="shared" si="248"/>
        <v>0</v>
      </c>
      <c r="N1726" s="241" t="s">
        <v>453</v>
      </c>
    </row>
    <row r="1727" spans="1:14" ht="15" customHeight="1">
      <c r="A1727" s="107">
        <v>1726</v>
      </c>
      <c r="B1727" s="231" t="s">
        <v>52</v>
      </c>
      <c r="C1727" s="231" t="s">
        <v>10</v>
      </c>
      <c r="D1727" s="237" t="s">
        <v>3468</v>
      </c>
      <c r="E1727" s="249">
        <v>0</v>
      </c>
      <c r="F1727" s="249">
        <v>350</v>
      </c>
      <c r="G1727" s="168">
        <f t="shared" si="249"/>
        <v>2.4000000000000004</v>
      </c>
      <c r="H1727" s="168">
        <f t="shared" si="250"/>
        <v>4.8000000000000007</v>
      </c>
      <c r="I1727" s="168">
        <f t="shared" si="251"/>
        <v>3.5999999999999996</v>
      </c>
      <c r="J1727" s="168">
        <f t="shared" si="252"/>
        <v>6</v>
      </c>
      <c r="K1727" s="168">
        <f t="shared" si="253"/>
        <v>6</v>
      </c>
      <c r="L1727" s="168">
        <f t="shared" si="254"/>
        <v>1.0874999999999999</v>
      </c>
      <c r="M1727" s="168">
        <f t="shared" si="248"/>
        <v>0</v>
      </c>
      <c r="N1727" s="241" t="s">
        <v>453</v>
      </c>
    </row>
    <row r="1728" spans="1:14" ht="15" customHeight="1">
      <c r="A1728" s="107">
        <v>1727</v>
      </c>
      <c r="B1728" s="231" t="s">
        <v>52</v>
      </c>
      <c r="C1728" s="231" t="s">
        <v>10</v>
      </c>
      <c r="D1728" s="237" t="s">
        <v>3469</v>
      </c>
      <c r="E1728" s="249">
        <v>0</v>
      </c>
      <c r="F1728" s="249">
        <v>350</v>
      </c>
      <c r="G1728" s="168">
        <f t="shared" si="249"/>
        <v>2.4000000000000004</v>
      </c>
      <c r="H1728" s="168">
        <f t="shared" si="250"/>
        <v>4.8000000000000007</v>
      </c>
      <c r="I1728" s="168">
        <f t="shared" si="251"/>
        <v>3.5999999999999996</v>
      </c>
      <c r="J1728" s="168">
        <f t="shared" si="252"/>
        <v>6</v>
      </c>
      <c r="K1728" s="168">
        <f t="shared" si="253"/>
        <v>6</v>
      </c>
      <c r="L1728" s="168">
        <f t="shared" si="254"/>
        <v>1.0874999999999999</v>
      </c>
      <c r="M1728" s="168">
        <f t="shared" si="248"/>
        <v>0</v>
      </c>
      <c r="N1728" s="241" t="s">
        <v>453</v>
      </c>
    </row>
    <row r="1729" spans="1:15" ht="15" customHeight="1">
      <c r="A1729" s="107">
        <v>1728</v>
      </c>
      <c r="B1729" s="231" t="s">
        <v>52</v>
      </c>
      <c r="C1729" s="231" t="s">
        <v>10</v>
      </c>
      <c r="D1729" s="237" t="s">
        <v>3470</v>
      </c>
      <c r="E1729" s="249">
        <v>0</v>
      </c>
      <c r="F1729" s="249">
        <v>350</v>
      </c>
      <c r="G1729" s="168">
        <f t="shared" si="249"/>
        <v>2.4000000000000004</v>
      </c>
      <c r="H1729" s="168">
        <f t="shared" si="250"/>
        <v>4.8000000000000007</v>
      </c>
      <c r="I1729" s="168">
        <f t="shared" si="251"/>
        <v>3.5999999999999996</v>
      </c>
      <c r="J1729" s="168">
        <f t="shared" si="252"/>
        <v>6</v>
      </c>
      <c r="K1729" s="168">
        <f t="shared" si="253"/>
        <v>6</v>
      </c>
      <c r="L1729" s="168">
        <f t="shared" si="254"/>
        <v>1.0874999999999999</v>
      </c>
      <c r="M1729" s="168">
        <f t="shared" si="248"/>
        <v>0</v>
      </c>
      <c r="N1729" s="241" t="s">
        <v>453</v>
      </c>
    </row>
    <row r="1730" spans="1:15" ht="15" customHeight="1">
      <c r="A1730" s="107">
        <v>1729</v>
      </c>
      <c r="B1730" s="231" t="s">
        <v>52</v>
      </c>
      <c r="C1730" s="231" t="s">
        <v>10</v>
      </c>
      <c r="D1730" s="237" t="s">
        <v>3472</v>
      </c>
      <c r="E1730" s="249">
        <v>0</v>
      </c>
      <c r="F1730" s="249">
        <v>652</v>
      </c>
      <c r="G1730" s="168">
        <f t="shared" si="249"/>
        <v>4.1257142857142863</v>
      </c>
      <c r="H1730" s="168">
        <f t="shared" si="250"/>
        <v>8.2514285714285727</v>
      </c>
      <c r="I1730" s="168">
        <f t="shared" si="251"/>
        <v>6.1885714285714286</v>
      </c>
      <c r="J1730" s="168">
        <f t="shared" si="252"/>
        <v>10.314285714285715</v>
      </c>
      <c r="K1730" s="168">
        <f t="shared" si="253"/>
        <v>10.314285714285715</v>
      </c>
      <c r="L1730" s="168">
        <f t="shared" si="254"/>
        <v>1.163</v>
      </c>
      <c r="M1730" s="168">
        <f t="shared" ref="M1730:M1735" si="255">E1730/60</f>
        <v>0</v>
      </c>
      <c r="N1730" s="241" t="s">
        <v>453</v>
      </c>
    </row>
    <row r="1731" spans="1:15" ht="15" customHeight="1">
      <c r="A1731" s="107">
        <v>1730</v>
      </c>
      <c r="B1731" s="231" t="s">
        <v>53</v>
      </c>
      <c r="C1731" s="231" t="s">
        <v>10</v>
      </c>
      <c r="D1731" s="237" t="s">
        <v>3473</v>
      </c>
      <c r="E1731" s="249">
        <v>0</v>
      </c>
      <c r="F1731" s="249">
        <v>697</v>
      </c>
      <c r="G1731" s="168">
        <f t="shared" si="249"/>
        <v>4.3828571428571435</v>
      </c>
      <c r="H1731" s="168">
        <f t="shared" si="250"/>
        <v>8.7657142857142869</v>
      </c>
      <c r="I1731" s="168">
        <f t="shared" si="251"/>
        <v>6.5742857142857138</v>
      </c>
      <c r="J1731" s="168">
        <f t="shared" si="252"/>
        <v>10.957142857142857</v>
      </c>
      <c r="K1731" s="168">
        <f t="shared" si="253"/>
        <v>10.957142857142857</v>
      </c>
      <c r="L1731" s="168">
        <f t="shared" si="254"/>
        <v>1.17425</v>
      </c>
      <c r="M1731" s="168">
        <f t="shared" si="255"/>
        <v>0</v>
      </c>
      <c r="N1731" s="241" t="s">
        <v>453</v>
      </c>
    </row>
    <row r="1732" spans="1:15" ht="15" customHeight="1">
      <c r="A1732" s="107">
        <v>1731</v>
      </c>
      <c r="B1732" s="231" t="s">
        <v>53</v>
      </c>
      <c r="C1732" s="231" t="s">
        <v>10</v>
      </c>
      <c r="D1732" s="237" t="s">
        <v>3474</v>
      </c>
      <c r="E1732" s="249">
        <v>0</v>
      </c>
      <c r="F1732" s="249">
        <v>0</v>
      </c>
      <c r="G1732" s="168">
        <f t="shared" si="249"/>
        <v>0.4</v>
      </c>
      <c r="H1732" s="168">
        <f t="shared" si="250"/>
        <v>0.8</v>
      </c>
      <c r="I1732" s="168">
        <f t="shared" si="251"/>
        <v>0.6</v>
      </c>
      <c r="J1732" s="168">
        <f t="shared" si="252"/>
        <v>1</v>
      </c>
      <c r="K1732" s="168">
        <f t="shared" si="253"/>
        <v>1</v>
      </c>
      <c r="L1732" s="168">
        <f t="shared" si="254"/>
        <v>1</v>
      </c>
      <c r="M1732" s="168">
        <f t="shared" si="255"/>
        <v>0</v>
      </c>
      <c r="N1732" s="241" t="s">
        <v>453</v>
      </c>
    </row>
    <row r="1733" spans="1:15" ht="15" customHeight="1">
      <c r="A1733" s="107">
        <v>1732</v>
      </c>
      <c r="B1733" s="231" t="s">
        <v>52</v>
      </c>
      <c r="C1733" s="231" t="s">
        <v>10</v>
      </c>
      <c r="D1733" s="237" t="s">
        <v>3475</v>
      </c>
      <c r="E1733" s="249">
        <v>0</v>
      </c>
      <c r="F1733" s="249">
        <v>0</v>
      </c>
      <c r="G1733" s="168">
        <f t="shared" si="249"/>
        <v>0.4</v>
      </c>
      <c r="H1733" s="168">
        <f t="shared" si="250"/>
        <v>0.8</v>
      </c>
      <c r="I1733" s="168">
        <f t="shared" si="251"/>
        <v>0.6</v>
      </c>
      <c r="J1733" s="168">
        <f t="shared" si="252"/>
        <v>1</v>
      </c>
      <c r="K1733" s="168">
        <f t="shared" si="253"/>
        <v>1</v>
      </c>
      <c r="L1733" s="168">
        <f t="shared" si="254"/>
        <v>1</v>
      </c>
      <c r="M1733" s="168">
        <f t="shared" si="255"/>
        <v>0</v>
      </c>
      <c r="N1733" s="241" t="s">
        <v>453</v>
      </c>
    </row>
    <row r="1734" spans="1:15" ht="15" customHeight="1">
      <c r="A1734" s="107">
        <v>1733</v>
      </c>
      <c r="B1734" s="231" t="s">
        <v>52</v>
      </c>
      <c r="C1734" s="231" t="s">
        <v>10</v>
      </c>
      <c r="D1734" s="237" t="s">
        <v>3476</v>
      </c>
      <c r="E1734" s="249">
        <v>0</v>
      </c>
      <c r="F1734" s="249">
        <v>0</v>
      </c>
      <c r="G1734" s="168">
        <f t="shared" si="249"/>
        <v>0.4</v>
      </c>
      <c r="H1734" s="168">
        <f t="shared" si="250"/>
        <v>0.8</v>
      </c>
      <c r="I1734" s="168">
        <f t="shared" si="251"/>
        <v>0.6</v>
      </c>
      <c r="J1734" s="168">
        <f t="shared" si="252"/>
        <v>1</v>
      </c>
      <c r="K1734" s="168">
        <f t="shared" si="253"/>
        <v>1</v>
      </c>
      <c r="L1734" s="168">
        <f t="shared" si="254"/>
        <v>1</v>
      </c>
      <c r="M1734" s="168">
        <f t="shared" si="255"/>
        <v>0</v>
      </c>
      <c r="N1734" s="241" t="s">
        <v>453</v>
      </c>
    </row>
    <row r="1735" spans="1:15" ht="15" customHeight="1">
      <c r="A1735" s="107">
        <v>1734</v>
      </c>
      <c r="B1735" s="231" t="s">
        <v>52</v>
      </c>
      <c r="C1735" s="231" t="s">
        <v>10</v>
      </c>
      <c r="D1735" s="237" t="s">
        <v>4354</v>
      </c>
      <c r="E1735" s="249">
        <v>0</v>
      </c>
      <c r="F1735" s="249">
        <v>3000</v>
      </c>
      <c r="G1735" s="168">
        <f t="shared" si="249"/>
        <v>17.542857142857141</v>
      </c>
      <c r="H1735" s="168">
        <f t="shared" si="250"/>
        <v>35.085714285714282</v>
      </c>
      <c r="I1735" s="168">
        <f t="shared" si="251"/>
        <v>26.314285714285713</v>
      </c>
      <c r="J1735" s="168">
        <f t="shared" si="252"/>
        <v>43.857142857142854</v>
      </c>
      <c r="K1735" s="168">
        <f t="shared" si="253"/>
        <v>43.857142857142854</v>
      </c>
      <c r="L1735" s="168">
        <f t="shared" si="254"/>
        <v>1.75</v>
      </c>
      <c r="M1735" s="168">
        <f t="shared" si="255"/>
        <v>0</v>
      </c>
      <c r="N1735" s="241" t="s">
        <v>453</v>
      </c>
    </row>
    <row r="1736" spans="1:15" ht="15" customHeight="1">
      <c r="A1736" s="58">
        <v>1735</v>
      </c>
      <c r="B1736" s="231" t="s">
        <v>52</v>
      </c>
      <c r="C1736" s="231" t="s">
        <v>10</v>
      </c>
      <c r="D1736" s="237" t="s">
        <v>3478</v>
      </c>
      <c r="E1736" s="249">
        <v>76</v>
      </c>
      <c r="F1736" s="249">
        <v>0</v>
      </c>
      <c r="G1736" s="168">
        <f t="shared" ref="G1736:G1799" si="256">(((F1736/70)+1)*0.4)</f>
        <v>0.4</v>
      </c>
      <c r="H1736" s="168">
        <f t="shared" ref="H1736:H1799" si="257">G1736*2</f>
        <v>0.8</v>
      </c>
      <c r="I1736" s="168">
        <f t="shared" ref="I1736:I1799" si="258">(((F1736/70)+1)*0.6)</f>
        <v>0.6</v>
      </c>
      <c r="J1736" s="168">
        <f t="shared" ref="J1736:J1799" si="259">I1736+G1736</f>
        <v>1</v>
      </c>
      <c r="K1736" s="168">
        <f t="shared" ref="K1736:K1799" si="260">J1736</f>
        <v>1</v>
      </c>
      <c r="L1736" s="168">
        <f t="shared" ref="L1736:L1799" si="261">(F1736/4000)+1</f>
        <v>1</v>
      </c>
      <c r="M1736" s="168">
        <f>E1736/60</f>
        <v>1.2666666666666666</v>
      </c>
      <c r="N1736" s="241" t="s">
        <v>453</v>
      </c>
      <c r="O1736" s="286">
        <v>45662</v>
      </c>
    </row>
    <row r="1737" spans="1:15" ht="15" customHeight="1">
      <c r="A1737" s="58">
        <v>1736</v>
      </c>
      <c r="B1737" s="231" t="s">
        <v>52</v>
      </c>
      <c r="C1737" s="231" t="s">
        <v>10</v>
      </c>
      <c r="D1737" s="237" t="s">
        <v>3479</v>
      </c>
      <c r="E1737" s="249">
        <v>300</v>
      </c>
      <c r="F1737" s="249">
        <v>0</v>
      </c>
      <c r="G1737" s="168">
        <f t="shared" si="256"/>
        <v>0.4</v>
      </c>
      <c r="H1737" s="168">
        <f t="shared" si="257"/>
        <v>0.8</v>
      </c>
      <c r="I1737" s="168">
        <f t="shared" si="258"/>
        <v>0.6</v>
      </c>
      <c r="J1737" s="168">
        <f t="shared" si="259"/>
        <v>1</v>
      </c>
      <c r="K1737" s="168">
        <f t="shared" si="260"/>
        <v>1</v>
      </c>
      <c r="L1737" s="168">
        <f t="shared" si="261"/>
        <v>1</v>
      </c>
      <c r="M1737" s="168">
        <f t="shared" ref="M1737:M1800" si="262">E1737/60</f>
        <v>5</v>
      </c>
      <c r="N1737" s="241" t="s">
        <v>453</v>
      </c>
      <c r="O1737" s="286">
        <v>45659</v>
      </c>
    </row>
    <row r="1738" spans="1:15" ht="15" customHeight="1">
      <c r="A1738" s="58">
        <v>1737</v>
      </c>
      <c r="B1738" s="231" t="s">
        <v>52</v>
      </c>
      <c r="C1738" s="231" t="s">
        <v>10</v>
      </c>
      <c r="D1738" s="237" t="s">
        <v>3480</v>
      </c>
      <c r="E1738" s="249">
        <v>300</v>
      </c>
      <c r="F1738" s="249">
        <v>0</v>
      </c>
      <c r="G1738" s="168">
        <f t="shared" si="256"/>
        <v>0.4</v>
      </c>
      <c r="H1738" s="168">
        <f t="shared" si="257"/>
        <v>0.8</v>
      </c>
      <c r="I1738" s="168">
        <f t="shared" si="258"/>
        <v>0.6</v>
      </c>
      <c r="J1738" s="168">
        <f t="shared" si="259"/>
        <v>1</v>
      </c>
      <c r="K1738" s="168">
        <f t="shared" si="260"/>
        <v>1</v>
      </c>
      <c r="L1738" s="168">
        <f t="shared" si="261"/>
        <v>1</v>
      </c>
      <c r="M1738" s="168">
        <f t="shared" si="262"/>
        <v>5</v>
      </c>
      <c r="N1738" s="241" t="s">
        <v>453</v>
      </c>
      <c r="O1738" s="286">
        <v>45659</v>
      </c>
    </row>
    <row r="1739" spans="1:15" ht="15" customHeight="1">
      <c r="A1739" s="58">
        <v>1738</v>
      </c>
      <c r="B1739" s="231" t="s">
        <v>52</v>
      </c>
      <c r="C1739" s="231" t="s">
        <v>10</v>
      </c>
      <c r="D1739" s="237" t="s">
        <v>3481</v>
      </c>
      <c r="E1739" s="249">
        <v>300</v>
      </c>
      <c r="F1739" s="249">
        <v>0</v>
      </c>
      <c r="G1739" s="168">
        <f t="shared" si="256"/>
        <v>0.4</v>
      </c>
      <c r="H1739" s="168">
        <f t="shared" si="257"/>
        <v>0.8</v>
      </c>
      <c r="I1739" s="168">
        <f t="shared" si="258"/>
        <v>0.6</v>
      </c>
      <c r="J1739" s="168">
        <f t="shared" si="259"/>
        <v>1</v>
      </c>
      <c r="K1739" s="168">
        <f t="shared" si="260"/>
        <v>1</v>
      </c>
      <c r="L1739" s="168">
        <f t="shared" si="261"/>
        <v>1</v>
      </c>
      <c r="M1739" s="168">
        <f t="shared" si="262"/>
        <v>5</v>
      </c>
      <c r="N1739" s="241" t="s">
        <v>453</v>
      </c>
      <c r="O1739" s="286">
        <v>45661</v>
      </c>
    </row>
    <row r="1740" spans="1:15" ht="15" customHeight="1">
      <c r="A1740" s="58">
        <v>1739</v>
      </c>
      <c r="B1740" s="231" t="s">
        <v>52</v>
      </c>
      <c r="C1740" s="231" t="s">
        <v>10</v>
      </c>
      <c r="D1740" s="237" t="s">
        <v>3482</v>
      </c>
      <c r="E1740" s="249">
        <v>350</v>
      </c>
      <c r="F1740" s="249">
        <v>0</v>
      </c>
      <c r="G1740" s="168">
        <f t="shared" si="256"/>
        <v>0.4</v>
      </c>
      <c r="H1740" s="168">
        <f t="shared" si="257"/>
        <v>0.8</v>
      </c>
      <c r="I1740" s="168">
        <f t="shared" si="258"/>
        <v>0.6</v>
      </c>
      <c r="J1740" s="168">
        <f t="shared" si="259"/>
        <v>1</v>
      </c>
      <c r="K1740" s="168">
        <f t="shared" si="260"/>
        <v>1</v>
      </c>
      <c r="L1740" s="168">
        <f t="shared" si="261"/>
        <v>1</v>
      </c>
      <c r="M1740" s="168">
        <f t="shared" si="262"/>
        <v>5.833333333333333</v>
      </c>
      <c r="N1740" s="241" t="s">
        <v>453</v>
      </c>
      <c r="O1740" s="286">
        <v>45666</v>
      </c>
    </row>
    <row r="1741" spans="1:15" ht="15" customHeight="1">
      <c r="A1741" s="58">
        <v>1740</v>
      </c>
      <c r="B1741" s="231" t="s">
        <v>52</v>
      </c>
      <c r="C1741" s="231" t="s">
        <v>10</v>
      </c>
      <c r="D1741" s="237" t="s">
        <v>3484</v>
      </c>
      <c r="E1741" s="249">
        <v>100</v>
      </c>
      <c r="F1741" s="249">
        <v>800</v>
      </c>
      <c r="G1741" s="168">
        <f t="shared" si="256"/>
        <v>4.9714285714285715</v>
      </c>
      <c r="H1741" s="168">
        <f t="shared" si="257"/>
        <v>9.9428571428571431</v>
      </c>
      <c r="I1741" s="168">
        <f t="shared" si="258"/>
        <v>7.4571428571428573</v>
      </c>
      <c r="J1741" s="168">
        <f t="shared" si="259"/>
        <v>12.428571428571429</v>
      </c>
      <c r="K1741" s="168">
        <f t="shared" si="260"/>
        <v>12.428571428571429</v>
      </c>
      <c r="L1741" s="168">
        <f t="shared" si="261"/>
        <v>1.2</v>
      </c>
      <c r="M1741" s="168">
        <f t="shared" si="262"/>
        <v>1.6666666666666667</v>
      </c>
      <c r="N1741" s="241" t="s">
        <v>453</v>
      </c>
      <c r="O1741" s="286">
        <v>45667</v>
      </c>
    </row>
    <row r="1742" spans="1:15" ht="15" customHeight="1">
      <c r="A1742" s="58">
        <v>1741</v>
      </c>
      <c r="B1742" s="231" t="s">
        <v>52</v>
      </c>
      <c r="C1742" s="231" t="s">
        <v>10</v>
      </c>
      <c r="D1742" s="237" t="s">
        <v>3486</v>
      </c>
      <c r="E1742" s="249">
        <v>300</v>
      </c>
      <c r="F1742" s="249">
        <v>0</v>
      </c>
      <c r="G1742" s="168">
        <f t="shared" si="256"/>
        <v>0.4</v>
      </c>
      <c r="H1742" s="168">
        <f t="shared" si="257"/>
        <v>0.8</v>
      </c>
      <c r="I1742" s="168">
        <f t="shared" si="258"/>
        <v>0.6</v>
      </c>
      <c r="J1742" s="168">
        <f t="shared" si="259"/>
        <v>1</v>
      </c>
      <c r="K1742" s="168">
        <f t="shared" si="260"/>
        <v>1</v>
      </c>
      <c r="L1742" s="168">
        <f t="shared" si="261"/>
        <v>1</v>
      </c>
      <c r="M1742" s="168">
        <f t="shared" si="262"/>
        <v>5</v>
      </c>
      <c r="N1742" s="241" t="s">
        <v>453</v>
      </c>
      <c r="O1742" s="286">
        <v>45667</v>
      </c>
    </row>
    <row r="1743" spans="1:15" ht="15" customHeight="1">
      <c r="A1743" s="58">
        <v>1742</v>
      </c>
      <c r="B1743" s="231" t="s">
        <v>52</v>
      </c>
      <c r="C1743" s="231" t="s">
        <v>10</v>
      </c>
      <c r="D1743" s="237" t="s">
        <v>4352</v>
      </c>
      <c r="E1743" s="249">
        <v>200</v>
      </c>
      <c r="F1743" s="249">
        <v>550</v>
      </c>
      <c r="G1743" s="168">
        <f t="shared" si="256"/>
        <v>3.5428571428571431</v>
      </c>
      <c r="H1743" s="168">
        <f t="shared" si="257"/>
        <v>7.0857142857142863</v>
      </c>
      <c r="I1743" s="168">
        <f t="shared" si="258"/>
        <v>5.3142857142857141</v>
      </c>
      <c r="J1743" s="168">
        <f t="shared" si="259"/>
        <v>8.8571428571428577</v>
      </c>
      <c r="K1743" s="168">
        <f t="shared" si="260"/>
        <v>8.8571428571428577</v>
      </c>
      <c r="L1743" s="168">
        <f t="shared" si="261"/>
        <v>1.1375</v>
      </c>
      <c r="M1743" s="168">
        <f t="shared" si="262"/>
        <v>3.3333333333333335</v>
      </c>
      <c r="N1743" s="241" t="s">
        <v>453</v>
      </c>
      <c r="O1743" s="286">
        <v>45667</v>
      </c>
    </row>
    <row r="1744" spans="1:15" ht="15" customHeight="1">
      <c r="A1744" s="58">
        <v>1743</v>
      </c>
      <c r="B1744" s="231" t="s">
        <v>52</v>
      </c>
      <c r="C1744" s="231" t="s">
        <v>10</v>
      </c>
      <c r="D1744" s="237" t="s">
        <v>3489</v>
      </c>
      <c r="E1744" s="249">
        <v>300</v>
      </c>
      <c r="F1744" s="249">
        <v>0</v>
      </c>
      <c r="G1744" s="168">
        <f t="shared" si="256"/>
        <v>0.4</v>
      </c>
      <c r="H1744" s="168">
        <f t="shared" si="257"/>
        <v>0.8</v>
      </c>
      <c r="I1744" s="168">
        <f t="shared" si="258"/>
        <v>0.6</v>
      </c>
      <c r="J1744" s="168">
        <f t="shared" si="259"/>
        <v>1</v>
      </c>
      <c r="K1744" s="168">
        <f t="shared" si="260"/>
        <v>1</v>
      </c>
      <c r="L1744" s="168">
        <f t="shared" si="261"/>
        <v>1</v>
      </c>
      <c r="M1744" s="168">
        <f t="shared" si="262"/>
        <v>5</v>
      </c>
      <c r="N1744" s="241" t="s">
        <v>453</v>
      </c>
      <c r="O1744" s="286">
        <v>45667</v>
      </c>
    </row>
    <row r="1745" spans="1:15" ht="15" customHeight="1">
      <c r="A1745" s="58">
        <v>1744</v>
      </c>
      <c r="B1745" s="231" t="s">
        <v>52</v>
      </c>
      <c r="C1745" s="231" t="s">
        <v>10</v>
      </c>
      <c r="D1745" s="237" t="s">
        <v>3490</v>
      </c>
      <c r="E1745" s="249">
        <v>300</v>
      </c>
      <c r="F1745" s="249">
        <v>0</v>
      </c>
      <c r="G1745" s="168">
        <f t="shared" si="256"/>
        <v>0.4</v>
      </c>
      <c r="H1745" s="168">
        <f t="shared" si="257"/>
        <v>0.8</v>
      </c>
      <c r="I1745" s="168">
        <f t="shared" si="258"/>
        <v>0.6</v>
      </c>
      <c r="J1745" s="168">
        <f t="shared" si="259"/>
        <v>1</v>
      </c>
      <c r="K1745" s="168">
        <f t="shared" si="260"/>
        <v>1</v>
      </c>
      <c r="L1745" s="168">
        <f t="shared" si="261"/>
        <v>1</v>
      </c>
      <c r="M1745" s="168">
        <f t="shared" si="262"/>
        <v>5</v>
      </c>
      <c r="N1745" s="241" t="s">
        <v>453</v>
      </c>
      <c r="O1745" s="286">
        <v>45665</v>
      </c>
    </row>
    <row r="1746" spans="1:15" ht="15" customHeight="1">
      <c r="A1746" s="58">
        <v>1745</v>
      </c>
      <c r="B1746" s="231" t="s">
        <v>52</v>
      </c>
      <c r="C1746" s="231" t="s">
        <v>10</v>
      </c>
      <c r="D1746" s="237" t="s">
        <v>3491</v>
      </c>
      <c r="E1746" s="249">
        <v>300</v>
      </c>
      <c r="F1746" s="249">
        <v>0</v>
      </c>
      <c r="G1746" s="168">
        <f t="shared" si="256"/>
        <v>0.4</v>
      </c>
      <c r="H1746" s="168">
        <f t="shared" si="257"/>
        <v>0.8</v>
      </c>
      <c r="I1746" s="168">
        <f t="shared" si="258"/>
        <v>0.6</v>
      </c>
      <c r="J1746" s="168">
        <f t="shared" si="259"/>
        <v>1</v>
      </c>
      <c r="K1746" s="168">
        <f t="shared" si="260"/>
        <v>1</v>
      </c>
      <c r="L1746" s="168">
        <f t="shared" si="261"/>
        <v>1</v>
      </c>
      <c r="M1746" s="168">
        <f t="shared" si="262"/>
        <v>5</v>
      </c>
      <c r="N1746" s="241" t="s">
        <v>453</v>
      </c>
      <c r="O1746" s="286">
        <v>45665</v>
      </c>
    </row>
    <row r="1747" spans="1:15" ht="15" customHeight="1">
      <c r="A1747" s="58">
        <v>1746</v>
      </c>
      <c r="B1747" s="231" t="s">
        <v>53</v>
      </c>
      <c r="C1747" s="231" t="s">
        <v>10</v>
      </c>
      <c r="D1747" s="237" t="s">
        <v>3492</v>
      </c>
      <c r="E1747" s="249">
        <v>250</v>
      </c>
      <c r="F1747" s="249">
        <v>0</v>
      </c>
      <c r="G1747" s="168">
        <f t="shared" si="256"/>
        <v>0.4</v>
      </c>
      <c r="H1747" s="168">
        <f t="shared" si="257"/>
        <v>0.8</v>
      </c>
      <c r="I1747" s="168">
        <f t="shared" si="258"/>
        <v>0.6</v>
      </c>
      <c r="J1747" s="168">
        <f t="shared" si="259"/>
        <v>1</v>
      </c>
      <c r="K1747" s="168">
        <f t="shared" si="260"/>
        <v>1</v>
      </c>
      <c r="L1747" s="168">
        <f t="shared" si="261"/>
        <v>1</v>
      </c>
      <c r="M1747" s="168">
        <f t="shared" si="262"/>
        <v>4.166666666666667</v>
      </c>
      <c r="N1747" s="241" t="s">
        <v>453</v>
      </c>
      <c r="O1747" s="286">
        <v>45665</v>
      </c>
    </row>
    <row r="1748" spans="1:15" ht="15" customHeight="1">
      <c r="A1748" s="58">
        <v>1747</v>
      </c>
      <c r="B1748" s="231" t="s">
        <v>53</v>
      </c>
      <c r="C1748" s="231" t="s">
        <v>10</v>
      </c>
      <c r="D1748" s="237" t="s">
        <v>3494</v>
      </c>
      <c r="E1748" s="249">
        <v>0</v>
      </c>
      <c r="F1748" s="249">
        <v>0</v>
      </c>
      <c r="G1748" s="168">
        <f t="shared" si="256"/>
        <v>0.4</v>
      </c>
      <c r="H1748" s="168">
        <f t="shared" si="257"/>
        <v>0.8</v>
      </c>
      <c r="I1748" s="168">
        <f t="shared" si="258"/>
        <v>0.6</v>
      </c>
      <c r="J1748" s="168">
        <f t="shared" si="259"/>
        <v>1</v>
      </c>
      <c r="K1748" s="168">
        <f t="shared" si="260"/>
        <v>1</v>
      </c>
      <c r="L1748" s="168">
        <f t="shared" si="261"/>
        <v>1</v>
      </c>
      <c r="M1748" s="168">
        <f t="shared" si="262"/>
        <v>0</v>
      </c>
      <c r="N1748" s="241" t="s">
        <v>453</v>
      </c>
      <c r="O1748" s="286">
        <v>45665</v>
      </c>
    </row>
    <row r="1749" spans="1:15" ht="15" customHeight="1">
      <c r="A1749" s="58">
        <v>1748</v>
      </c>
      <c r="B1749" s="231" t="s">
        <v>49</v>
      </c>
      <c r="C1749" s="231" t="s">
        <v>10</v>
      </c>
      <c r="D1749" s="237" t="s">
        <v>3495</v>
      </c>
      <c r="E1749" s="249">
        <v>300</v>
      </c>
      <c r="F1749" s="249">
        <v>0</v>
      </c>
      <c r="G1749" s="168">
        <f t="shared" si="256"/>
        <v>0.4</v>
      </c>
      <c r="H1749" s="168">
        <f t="shared" si="257"/>
        <v>0.8</v>
      </c>
      <c r="I1749" s="168">
        <f t="shared" si="258"/>
        <v>0.6</v>
      </c>
      <c r="J1749" s="168">
        <f t="shared" si="259"/>
        <v>1</v>
      </c>
      <c r="K1749" s="168">
        <f t="shared" si="260"/>
        <v>1</v>
      </c>
      <c r="L1749" s="168">
        <f t="shared" si="261"/>
        <v>1</v>
      </c>
      <c r="M1749" s="168">
        <f t="shared" si="262"/>
        <v>5</v>
      </c>
      <c r="N1749" s="241" t="s">
        <v>453</v>
      </c>
      <c r="O1749" s="286">
        <v>45665</v>
      </c>
    </row>
    <row r="1750" spans="1:15" ht="15" customHeight="1">
      <c r="A1750" s="58">
        <v>1749</v>
      </c>
      <c r="B1750" s="231" t="s">
        <v>49</v>
      </c>
      <c r="C1750" s="231" t="s">
        <v>10</v>
      </c>
      <c r="D1750" s="237" t="s">
        <v>3497</v>
      </c>
      <c r="E1750" s="249">
        <v>308</v>
      </c>
      <c r="F1750" s="249">
        <v>0</v>
      </c>
      <c r="G1750" s="168">
        <f t="shared" si="256"/>
        <v>0.4</v>
      </c>
      <c r="H1750" s="168">
        <f t="shared" si="257"/>
        <v>0.8</v>
      </c>
      <c r="I1750" s="168">
        <f t="shared" si="258"/>
        <v>0.6</v>
      </c>
      <c r="J1750" s="168">
        <f t="shared" si="259"/>
        <v>1</v>
      </c>
      <c r="K1750" s="168">
        <f t="shared" si="260"/>
        <v>1</v>
      </c>
      <c r="L1750" s="168">
        <f t="shared" si="261"/>
        <v>1</v>
      </c>
      <c r="M1750" s="168">
        <f t="shared" si="262"/>
        <v>5.1333333333333337</v>
      </c>
      <c r="N1750" s="241" t="s">
        <v>453</v>
      </c>
      <c r="O1750" s="286">
        <v>45667</v>
      </c>
    </row>
    <row r="1751" spans="1:15" ht="15" customHeight="1">
      <c r="A1751" s="58">
        <v>1750</v>
      </c>
      <c r="B1751" s="231" t="s">
        <v>52</v>
      </c>
      <c r="C1751" s="231" t="s">
        <v>10</v>
      </c>
      <c r="D1751" s="237" t="s">
        <v>3498</v>
      </c>
      <c r="E1751" s="249">
        <v>0</v>
      </c>
      <c r="F1751" s="249">
        <v>428</v>
      </c>
      <c r="G1751" s="168">
        <f t="shared" si="256"/>
        <v>2.8457142857142856</v>
      </c>
      <c r="H1751" s="168">
        <f t="shared" si="257"/>
        <v>5.6914285714285713</v>
      </c>
      <c r="I1751" s="168">
        <f t="shared" si="258"/>
        <v>4.2685714285714278</v>
      </c>
      <c r="J1751" s="168">
        <f t="shared" si="259"/>
        <v>7.1142857142857139</v>
      </c>
      <c r="K1751" s="168">
        <f t="shared" si="260"/>
        <v>7.1142857142857139</v>
      </c>
      <c r="L1751" s="168">
        <f t="shared" si="261"/>
        <v>1.107</v>
      </c>
      <c r="M1751" s="168">
        <f t="shared" si="262"/>
        <v>0</v>
      </c>
      <c r="N1751" s="241" t="s">
        <v>453</v>
      </c>
      <c r="O1751" s="286">
        <v>45667</v>
      </c>
    </row>
    <row r="1752" spans="1:15" ht="15" customHeight="1">
      <c r="A1752" s="58">
        <v>1751</v>
      </c>
      <c r="B1752" s="231" t="s">
        <v>52</v>
      </c>
      <c r="C1752" s="231" t="s">
        <v>10</v>
      </c>
      <c r="D1752" s="237" t="s">
        <v>3499</v>
      </c>
      <c r="E1752" s="249">
        <v>250</v>
      </c>
      <c r="F1752" s="249">
        <v>0</v>
      </c>
      <c r="G1752" s="168">
        <f t="shared" si="256"/>
        <v>0.4</v>
      </c>
      <c r="H1752" s="168">
        <f t="shared" si="257"/>
        <v>0.8</v>
      </c>
      <c r="I1752" s="168">
        <f t="shared" si="258"/>
        <v>0.6</v>
      </c>
      <c r="J1752" s="168">
        <f t="shared" si="259"/>
        <v>1</v>
      </c>
      <c r="K1752" s="168">
        <f t="shared" si="260"/>
        <v>1</v>
      </c>
      <c r="L1752" s="168">
        <f t="shared" si="261"/>
        <v>1</v>
      </c>
      <c r="M1752" s="168">
        <f t="shared" si="262"/>
        <v>4.166666666666667</v>
      </c>
      <c r="N1752" s="241" t="s">
        <v>453</v>
      </c>
      <c r="O1752" s="286">
        <v>45667</v>
      </c>
    </row>
    <row r="1753" spans="1:15" ht="15" customHeight="1">
      <c r="A1753" s="58">
        <v>1752</v>
      </c>
      <c r="B1753" s="231" t="s">
        <v>52</v>
      </c>
      <c r="C1753" s="231" t="s">
        <v>10</v>
      </c>
      <c r="D1753" s="237" t="s">
        <v>4718</v>
      </c>
      <c r="E1753" s="249">
        <v>0</v>
      </c>
      <c r="F1753" s="249">
        <v>2500</v>
      </c>
      <c r="G1753" s="168">
        <f t="shared" si="256"/>
        <v>14.685714285714287</v>
      </c>
      <c r="H1753" s="168">
        <f t="shared" si="257"/>
        <v>29.371428571428574</v>
      </c>
      <c r="I1753" s="168">
        <f t="shared" si="258"/>
        <v>22.028571428571428</v>
      </c>
      <c r="J1753" s="168">
        <f t="shared" si="259"/>
        <v>36.714285714285715</v>
      </c>
      <c r="K1753" s="168">
        <f t="shared" si="260"/>
        <v>36.714285714285715</v>
      </c>
      <c r="L1753" s="168">
        <f t="shared" si="261"/>
        <v>1.625</v>
      </c>
      <c r="M1753" s="168">
        <f t="shared" si="262"/>
        <v>0</v>
      </c>
      <c r="N1753" s="241" t="s">
        <v>453</v>
      </c>
      <c r="O1753" s="286">
        <v>45667</v>
      </c>
    </row>
    <row r="1754" spans="1:15" ht="15" customHeight="1">
      <c r="A1754" s="58">
        <v>1753</v>
      </c>
      <c r="B1754" s="231" t="s">
        <v>49</v>
      </c>
      <c r="C1754" s="231" t="s">
        <v>10</v>
      </c>
      <c r="D1754" s="237" t="s">
        <v>3502</v>
      </c>
      <c r="E1754" s="249">
        <v>0</v>
      </c>
      <c r="F1754" s="249">
        <v>456</v>
      </c>
      <c r="G1754" s="168">
        <f t="shared" si="256"/>
        <v>3.0057142857142858</v>
      </c>
      <c r="H1754" s="168">
        <f t="shared" si="257"/>
        <v>6.0114285714285716</v>
      </c>
      <c r="I1754" s="168">
        <f t="shared" si="258"/>
        <v>4.508571428571428</v>
      </c>
      <c r="J1754" s="168">
        <f t="shared" si="259"/>
        <v>7.5142857142857142</v>
      </c>
      <c r="K1754" s="168">
        <f t="shared" si="260"/>
        <v>7.5142857142857142</v>
      </c>
      <c r="L1754" s="168">
        <f t="shared" si="261"/>
        <v>1.1140000000000001</v>
      </c>
      <c r="M1754" s="168">
        <f t="shared" si="262"/>
        <v>0</v>
      </c>
      <c r="N1754" s="241" t="s">
        <v>453</v>
      </c>
      <c r="O1754" s="286">
        <v>45665</v>
      </c>
    </row>
    <row r="1755" spans="1:15" ht="15" customHeight="1">
      <c r="A1755" s="58">
        <v>1754</v>
      </c>
      <c r="B1755" s="231" t="s">
        <v>52</v>
      </c>
      <c r="C1755" s="231" t="s">
        <v>10</v>
      </c>
      <c r="D1755" s="237" t="s">
        <v>3503</v>
      </c>
      <c r="E1755" s="249">
        <v>0</v>
      </c>
      <c r="F1755" s="249">
        <v>850</v>
      </c>
      <c r="G1755" s="168">
        <f t="shared" si="256"/>
        <v>5.2571428571428571</v>
      </c>
      <c r="H1755" s="168">
        <f t="shared" si="257"/>
        <v>10.514285714285714</v>
      </c>
      <c r="I1755" s="168">
        <f t="shared" si="258"/>
        <v>7.8857142857142852</v>
      </c>
      <c r="J1755" s="168">
        <f t="shared" si="259"/>
        <v>13.142857142857142</v>
      </c>
      <c r="K1755" s="168">
        <f t="shared" si="260"/>
        <v>13.142857142857142</v>
      </c>
      <c r="L1755" s="168">
        <f t="shared" si="261"/>
        <v>1.2124999999999999</v>
      </c>
      <c r="M1755" s="168">
        <f t="shared" si="262"/>
        <v>0</v>
      </c>
      <c r="N1755" s="241" t="s">
        <v>453</v>
      </c>
      <c r="O1755" s="286">
        <v>45671</v>
      </c>
    </row>
    <row r="1756" spans="1:15" ht="15" customHeight="1">
      <c r="A1756" s="58">
        <v>1755</v>
      </c>
      <c r="B1756" s="231" t="s">
        <v>52</v>
      </c>
      <c r="C1756" s="231" t="s">
        <v>10</v>
      </c>
      <c r="D1756" s="237" t="s">
        <v>3504</v>
      </c>
      <c r="E1756" s="249">
        <v>101</v>
      </c>
      <c r="F1756" s="249">
        <v>0</v>
      </c>
      <c r="G1756" s="168">
        <f t="shared" si="256"/>
        <v>0.4</v>
      </c>
      <c r="H1756" s="168">
        <f t="shared" si="257"/>
        <v>0.8</v>
      </c>
      <c r="I1756" s="168">
        <f t="shared" si="258"/>
        <v>0.6</v>
      </c>
      <c r="J1756" s="168">
        <f t="shared" si="259"/>
        <v>1</v>
      </c>
      <c r="K1756" s="168">
        <f t="shared" si="260"/>
        <v>1</v>
      </c>
      <c r="L1756" s="168">
        <f t="shared" si="261"/>
        <v>1</v>
      </c>
      <c r="M1756" s="168">
        <f t="shared" si="262"/>
        <v>1.6833333333333333</v>
      </c>
      <c r="N1756" s="241" t="s">
        <v>453</v>
      </c>
      <c r="O1756" s="286">
        <v>45672</v>
      </c>
    </row>
    <row r="1757" spans="1:15" ht="15" customHeight="1">
      <c r="A1757" s="58">
        <v>1756</v>
      </c>
      <c r="B1757" s="231" t="s">
        <v>52</v>
      </c>
      <c r="C1757" s="231" t="s">
        <v>10</v>
      </c>
      <c r="D1757" s="237" t="s">
        <v>3506</v>
      </c>
      <c r="E1757" s="249">
        <v>130</v>
      </c>
      <c r="F1757" s="249">
        <v>0</v>
      </c>
      <c r="G1757" s="168">
        <f t="shared" si="256"/>
        <v>0.4</v>
      </c>
      <c r="H1757" s="168">
        <f t="shared" si="257"/>
        <v>0.8</v>
      </c>
      <c r="I1757" s="168">
        <f t="shared" si="258"/>
        <v>0.6</v>
      </c>
      <c r="J1757" s="168">
        <f t="shared" si="259"/>
        <v>1</v>
      </c>
      <c r="K1757" s="168">
        <f t="shared" si="260"/>
        <v>1</v>
      </c>
      <c r="L1757" s="168">
        <f t="shared" si="261"/>
        <v>1</v>
      </c>
      <c r="M1757" s="168">
        <f t="shared" si="262"/>
        <v>2.1666666666666665</v>
      </c>
      <c r="N1757" s="241" t="s">
        <v>453</v>
      </c>
      <c r="O1757" s="286">
        <v>45673</v>
      </c>
    </row>
    <row r="1758" spans="1:15" ht="15" customHeight="1">
      <c r="A1758" s="58">
        <v>1757</v>
      </c>
      <c r="B1758" s="231" t="s">
        <v>52</v>
      </c>
      <c r="C1758" s="231" t="s">
        <v>10</v>
      </c>
      <c r="D1758" s="237" t="s">
        <v>3508</v>
      </c>
      <c r="E1758" s="249">
        <v>400</v>
      </c>
      <c r="F1758" s="249">
        <v>0</v>
      </c>
      <c r="G1758" s="168">
        <f t="shared" si="256"/>
        <v>0.4</v>
      </c>
      <c r="H1758" s="168">
        <f t="shared" si="257"/>
        <v>0.8</v>
      </c>
      <c r="I1758" s="168">
        <f t="shared" si="258"/>
        <v>0.6</v>
      </c>
      <c r="J1758" s="168">
        <f t="shared" si="259"/>
        <v>1</v>
      </c>
      <c r="K1758" s="168">
        <f t="shared" si="260"/>
        <v>1</v>
      </c>
      <c r="L1758" s="168">
        <f t="shared" si="261"/>
        <v>1</v>
      </c>
      <c r="M1758" s="168">
        <f t="shared" si="262"/>
        <v>6.666666666666667</v>
      </c>
      <c r="N1758" s="241" t="s">
        <v>453</v>
      </c>
      <c r="O1758" s="286">
        <v>45675</v>
      </c>
    </row>
    <row r="1759" spans="1:15" ht="15" customHeight="1">
      <c r="A1759" s="58">
        <v>1758</v>
      </c>
      <c r="B1759" s="231" t="s">
        <v>52</v>
      </c>
      <c r="C1759" s="231" t="s">
        <v>10</v>
      </c>
      <c r="D1759" s="237" t="s">
        <v>189</v>
      </c>
      <c r="E1759" s="249">
        <v>0</v>
      </c>
      <c r="F1759" s="249">
        <v>1000</v>
      </c>
      <c r="G1759" s="168">
        <f t="shared" si="256"/>
        <v>6.1142857142857148</v>
      </c>
      <c r="H1759" s="168">
        <f t="shared" si="257"/>
        <v>12.22857142857143</v>
      </c>
      <c r="I1759" s="168">
        <f t="shared" si="258"/>
        <v>9.1714285714285708</v>
      </c>
      <c r="J1759" s="168">
        <f t="shared" si="259"/>
        <v>15.285714285714285</v>
      </c>
      <c r="K1759" s="168">
        <f t="shared" si="260"/>
        <v>15.285714285714285</v>
      </c>
      <c r="L1759" s="168">
        <f t="shared" si="261"/>
        <v>1.25</v>
      </c>
      <c r="M1759" s="168">
        <f t="shared" si="262"/>
        <v>0</v>
      </c>
      <c r="N1759" s="241" t="s">
        <v>453</v>
      </c>
      <c r="O1759" s="286">
        <v>45670</v>
      </c>
    </row>
    <row r="1760" spans="1:15" ht="15" customHeight="1">
      <c r="A1760" s="58">
        <v>1759</v>
      </c>
      <c r="B1760" s="231" t="s">
        <v>52</v>
      </c>
      <c r="C1760" s="231" t="s">
        <v>10</v>
      </c>
      <c r="D1760" s="237" t="s">
        <v>3509</v>
      </c>
      <c r="E1760" s="249">
        <v>0</v>
      </c>
      <c r="F1760" s="249">
        <v>160</v>
      </c>
      <c r="G1760" s="168">
        <f t="shared" si="256"/>
        <v>1.3142857142857143</v>
      </c>
      <c r="H1760" s="168">
        <f t="shared" si="257"/>
        <v>2.6285714285714286</v>
      </c>
      <c r="I1760" s="168">
        <f t="shared" si="258"/>
        <v>1.9714285714285713</v>
      </c>
      <c r="J1760" s="168">
        <f t="shared" si="259"/>
        <v>3.2857142857142856</v>
      </c>
      <c r="K1760" s="168">
        <f t="shared" si="260"/>
        <v>3.2857142857142856</v>
      </c>
      <c r="L1760" s="168">
        <f t="shared" si="261"/>
        <v>1.04</v>
      </c>
      <c r="M1760" s="168">
        <f t="shared" si="262"/>
        <v>0</v>
      </c>
      <c r="N1760" s="241" t="s">
        <v>453</v>
      </c>
      <c r="O1760" s="286">
        <v>45671</v>
      </c>
    </row>
    <row r="1761" spans="1:15" ht="15" customHeight="1">
      <c r="A1761" s="58">
        <v>1760</v>
      </c>
      <c r="B1761" s="231" t="s">
        <v>53</v>
      </c>
      <c r="C1761" s="231" t="s">
        <v>10</v>
      </c>
      <c r="D1761" s="237" t="s">
        <v>3510</v>
      </c>
      <c r="E1761" s="249">
        <v>198</v>
      </c>
      <c r="F1761" s="249">
        <v>0</v>
      </c>
      <c r="G1761" s="168">
        <f t="shared" si="256"/>
        <v>0.4</v>
      </c>
      <c r="H1761" s="168">
        <f t="shared" si="257"/>
        <v>0.8</v>
      </c>
      <c r="I1761" s="168">
        <f t="shared" si="258"/>
        <v>0.6</v>
      </c>
      <c r="J1761" s="168">
        <f t="shared" si="259"/>
        <v>1</v>
      </c>
      <c r="K1761" s="168">
        <f t="shared" si="260"/>
        <v>1</v>
      </c>
      <c r="L1761" s="168">
        <f t="shared" si="261"/>
        <v>1</v>
      </c>
      <c r="M1761" s="168">
        <f t="shared" si="262"/>
        <v>3.3</v>
      </c>
      <c r="N1761" s="241" t="s">
        <v>453</v>
      </c>
      <c r="O1761" s="286">
        <v>45676</v>
      </c>
    </row>
    <row r="1762" spans="1:15" ht="15" customHeight="1">
      <c r="A1762" s="58">
        <v>1761</v>
      </c>
      <c r="B1762" s="231" t="s">
        <v>52</v>
      </c>
      <c r="C1762" s="231" t="s">
        <v>10</v>
      </c>
      <c r="D1762" s="237" t="s">
        <v>3511</v>
      </c>
      <c r="E1762" s="249">
        <v>0</v>
      </c>
      <c r="F1762" s="249">
        <v>109</v>
      </c>
      <c r="G1762" s="168">
        <f t="shared" si="256"/>
        <v>1.0228571428571429</v>
      </c>
      <c r="H1762" s="168">
        <f t="shared" si="257"/>
        <v>2.0457142857142858</v>
      </c>
      <c r="I1762" s="168">
        <f t="shared" si="258"/>
        <v>1.534285714285714</v>
      </c>
      <c r="J1762" s="168">
        <f t="shared" si="259"/>
        <v>2.5571428571428569</v>
      </c>
      <c r="K1762" s="168">
        <f t="shared" si="260"/>
        <v>2.5571428571428569</v>
      </c>
      <c r="L1762" s="168">
        <f t="shared" si="261"/>
        <v>1.02725</v>
      </c>
      <c r="M1762" s="168">
        <f t="shared" si="262"/>
        <v>0</v>
      </c>
      <c r="N1762" s="241" t="s">
        <v>453</v>
      </c>
      <c r="O1762" s="286">
        <v>45677</v>
      </c>
    </row>
    <row r="1763" spans="1:15" ht="15" customHeight="1">
      <c r="A1763" s="58">
        <v>1762</v>
      </c>
      <c r="B1763" s="231" t="s">
        <v>52</v>
      </c>
      <c r="C1763" s="231" t="s">
        <v>10</v>
      </c>
      <c r="D1763" s="237" t="s">
        <v>3513</v>
      </c>
      <c r="E1763" s="249">
        <v>0</v>
      </c>
      <c r="F1763" s="249">
        <v>390</v>
      </c>
      <c r="G1763" s="168">
        <f t="shared" si="256"/>
        <v>2.6285714285714286</v>
      </c>
      <c r="H1763" s="168">
        <f t="shared" si="257"/>
        <v>5.2571428571428571</v>
      </c>
      <c r="I1763" s="168">
        <f t="shared" si="258"/>
        <v>3.9428571428571426</v>
      </c>
      <c r="J1763" s="168">
        <f t="shared" si="259"/>
        <v>6.5714285714285712</v>
      </c>
      <c r="K1763" s="168">
        <f t="shared" si="260"/>
        <v>6.5714285714285712</v>
      </c>
      <c r="L1763" s="168">
        <f t="shared" si="261"/>
        <v>1.0974999999999999</v>
      </c>
      <c r="M1763" s="168">
        <f t="shared" si="262"/>
        <v>0</v>
      </c>
      <c r="N1763" s="241" t="s">
        <v>453</v>
      </c>
      <c r="O1763" s="286">
        <v>45677</v>
      </c>
    </row>
    <row r="1764" spans="1:15" ht="15" customHeight="1">
      <c r="A1764" s="58">
        <v>1763</v>
      </c>
      <c r="B1764" s="231" t="s">
        <v>50</v>
      </c>
      <c r="C1764" s="231" t="s">
        <v>10</v>
      </c>
      <c r="D1764" s="237" t="s">
        <v>3514</v>
      </c>
      <c r="E1764" s="249">
        <v>0</v>
      </c>
      <c r="F1764" s="249">
        <v>1800</v>
      </c>
      <c r="G1764" s="168">
        <f t="shared" si="256"/>
        <v>10.685714285714287</v>
      </c>
      <c r="H1764" s="168">
        <f t="shared" si="257"/>
        <v>21.371428571428574</v>
      </c>
      <c r="I1764" s="168">
        <f t="shared" si="258"/>
        <v>16.028571428571428</v>
      </c>
      <c r="J1764" s="168">
        <f t="shared" si="259"/>
        <v>26.714285714285715</v>
      </c>
      <c r="K1764" s="168">
        <f t="shared" si="260"/>
        <v>26.714285714285715</v>
      </c>
      <c r="L1764" s="168">
        <f t="shared" si="261"/>
        <v>1.45</v>
      </c>
      <c r="M1764" s="168">
        <f t="shared" si="262"/>
        <v>0</v>
      </c>
      <c r="N1764" s="241" t="s">
        <v>453</v>
      </c>
      <c r="O1764" s="286">
        <v>45679</v>
      </c>
    </row>
    <row r="1765" spans="1:15" ht="15" customHeight="1">
      <c r="A1765" s="58">
        <v>1764</v>
      </c>
      <c r="B1765" s="231" t="s">
        <v>50</v>
      </c>
      <c r="C1765" s="231" t="s">
        <v>10</v>
      </c>
      <c r="D1765" s="237" t="s">
        <v>3516</v>
      </c>
      <c r="E1765" s="249">
        <v>0</v>
      </c>
      <c r="F1765" s="249">
        <v>3400</v>
      </c>
      <c r="G1765" s="168">
        <f t="shared" si="256"/>
        <v>19.828571428571429</v>
      </c>
      <c r="H1765" s="168">
        <f t="shared" si="257"/>
        <v>39.657142857142858</v>
      </c>
      <c r="I1765" s="168">
        <f t="shared" si="258"/>
        <v>29.74285714285714</v>
      </c>
      <c r="J1765" s="168">
        <f t="shared" si="259"/>
        <v>49.571428571428569</v>
      </c>
      <c r="K1765" s="168">
        <f t="shared" si="260"/>
        <v>49.571428571428569</v>
      </c>
      <c r="L1765" s="168">
        <f t="shared" si="261"/>
        <v>1.85</v>
      </c>
      <c r="M1765" s="168">
        <f t="shared" si="262"/>
        <v>0</v>
      </c>
      <c r="N1765" s="241" t="s">
        <v>453</v>
      </c>
      <c r="O1765" s="286">
        <v>45679</v>
      </c>
    </row>
    <row r="1766" spans="1:15" ht="15" customHeight="1">
      <c r="A1766" s="58">
        <v>1765</v>
      </c>
      <c r="B1766" s="231" t="s">
        <v>53</v>
      </c>
      <c r="C1766" s="231" t="s">
        <v>10</v>
      </c>
      <c r="D1766" s="237" t="s">
        <v>3517</v>
      </c>
      <c r="E1766" s="249">
        <v>196</v>
      </c>
      <c r="F1766" s="249">
        <v>0</v>
      </c>
      <c r="G1766" s="168">
        <f t="shared" si="256"/>
        <v>0.4</v>
      </c>
      <c r="H1766" s="168">
        <f t="shared" si="257"/>
        <v>0.8</v>
      </c>
      <c r="I1766" s="168">
        <f t="shared" si="258"/>
        <v>0.6</v>
      </c>
      <c r="J1766" s="168">
        <f t="shared" si="259"/>
        <v>1</v>
      </c>
      <c r="K1766" s="168">
        <f t="shared" si="260"/>
        <v>1</v>
      </c>
      <c r="L1766" s="168">
        <f t="shared" si="261"/>
        <v>1</v>
      </c>
      <c r="M1766" s="168">
        <f t="shared" si="262"/>
        <v>3.2666666666666666</v>
      </c>
      <c r="N1766" s="241" t="s">
        <v>453</v>
      </c>
      <c r="O1766" s="286">
        <v>45680</v>
      </c>
    </row>
    <row r="1767" spans="1:15" ht="15" customHeight="1">
      <c r="A1767" s="58">
        <v>1766</v>
      </c>
      <c r="B1767" s="231" t="s">
        <v>52</v>
      </c>
      <c r="C1767" s="231" t="s">
        <v>10</v>
      </c>
      <c r="D1767" s="237" t="s">
        <v>3518</v>
      </c>
      <c r="E1767" s="249">
        <v>78</v>
      </c>
      <c r="F1767" s="249">
        <v>0</v>
      </c>
      <c r="G1767" s="168">
        <f t="shared" si="256"/>
        <v>0.4</v>
      </c>
      <c r="H1767" s="168">
        <f t="shared" si="257"/>
        <v>0.8</v>
      </c>
      <c r="I1767" s="168">
        <f t="shared" si="258"/>
        <v>0.6</v>
      </c>
      <c r="J1767" s="168">
        <f t="shared" si="259"/>
        <v>1</v>
      </c>
      <c r="K1767" s="168">
        <f t="shared" si="260"/>
        <v>1</v>
      </c>
      <c r="L1767" s="168">
        <f t="shared" si="261"/>
        <v>1</v>
      </c>
      <c r="M1767" s="168">
        <f t="shared" si="262"/>
        <v>1.3</v>
      </c>
      <c r="N1767" s="241" t="s">
        <v>453</v>
      </c>
      <c r="O1767" s="286">
        <v>45680</v>
      </c>
    </row>
    <row r="1768" spans="1:15" ht="15" customHeight="1">
      <c r="A1768" s="58">
        <v>1767</v>
      </c>
      <c r="B1768" s="231" t="s">
        <v>52</v>
      </c>
      <c r="C1768" s="231" t="s">
        <v>10</v>
      </c>
      <c r="D1768" s="237" t="s">
        <v>3519</v>
      </c>
      <c r="E1768" s="249">
        <v>79</v>
      </c>
      <c r="F1768" s="249">
        <v>160</v>
      </c>
      <c r="G1768" s="168">
        <f t="shared" si="256"/>
        <v>1.3142857142857143</v>
      </c>
      <c r="H1768" s="168">
        <f t="shared" si="257"/>
        <v>2.6285714285714286</v>
      </c>
      <c r="I1768" s="168">
        <f t="shared" si="258"/>
        <v>1.9714285714285713</v>
      </c>
      <c r="J1768" s="168">
        <f t="shared" si="259"/>
        <v>3.2857142857142856</v>
      </c>
      <c r="K1768" s="168">
        <f t="shared" si="260"/>
        <v>3.2857142857142856</v>
      </c>
      <c r="L1768" s="168">
        <f t="shared" si="261"/>
        <v>1.04</v>
      </c>
      <c r="M1768" s="168">
        <f t="shared" si="262"/>
        <v>1.3166666666666667</v>
      </c>
      <c r="N1768" s="241" t="s">
        <v>453</v>
      </c>
      <c r="O1768" s="286">
        <v>45680</v>
      </c>
    </row>
    <row r="1769" spans="1:15" ht="15" customHeight="1">
      <c r="A1769" s="58">
        <v>1768</v>
      </c>
      <c r="B1769" s="231" t="s">
        <v>52</v>
      </c>
      <c r="C1769" s="231" t="s">
        <v>10</v>
      </c>
      <c r="D1769" s="237" t="s">
        <v>3520</v>
      </c>
      <c r="E1769" s="249">
        <v>65</v>
      </c>
      <c r="F1769" s="249">
        <v>700</v>
      </c>
      <c r="G1769" s="168">
        <f t="shared" si="256"/>
        <v>4.4000000000000004</v>
      </c>
      <c r="H1769" s="168">
        <f t="shared" si="257"/>
        <v>8.8000000000000007</v>
      </c>
      <c r="I1769" s="168">
        <f t="shared" si="258"/>
        <v>6.6</v>
      </c>
      <c r="J1769" s="168">
        <f t="shared" si="259"/>
        <v>11</v>
      </c>
      <c r="K1769" s="168">
        <f t="shared" si="260"/>
        <v>11</v>
      </c>
      <c r="L1769" s="168">
        <f t="shared" si="261"/>
        <v>1.175</v>
      </c>
      <c r="M1769" s="168">
        <f t="shared" si="262"/>
        <v>1.0833333333333333</v>
      </c>
      <c r="N1769" s="241" t="s">
        <v>453</v>
      </c>
      <c r="O1769" s="286">
        <v>45680</v>
      </c>
    </row>
    <row r="1770" spans="1:15" ht="15" customHeight="1">
      <c r="A1770" s="58">
        <v>1769</v>
      </c>
      <c r="B1770" s="231" t="s">
        <v>55</v>
      </c>
      <c r="C1770" s="231" t="s">
        <v>10</v>
      </c>
      <c r="D1770" s="237" t="s">
        <v>3521</v>
      </c>
      <c r="E1770" s="249">
        <v>0</v>
      </c>
      <c r="F1770" s="249">
        <v>0</v>
      </c>
      <c r="G1770" s="168">
        <f t="shared" si="256"/>
        <v>0.4</v>
      </c>
      <c r="H1770" s="168">
        <f t="shared" si="257"/>
        <v>0.8</v>
      </c>
      <c r="I1770" s="168">
        <f t="shared" si="258"/>
        <v>0.6</v>
      </c>
      <c r="J1770" s="168">
        <f t="shared" si="259"/>
        <v>1</v>
      </c>
      <c r="K1770" s="168">
        <f t="shared" si="260"/>
        <v>1</v>
      </c>
      <c r="L1770" s="168">
        <f t="shared" si="261"/>
        <v>1</v>
      </c>
      <c r="M1770" s="168">
        <f t="shared" si="262"/>
        <v>0</v>
      </c>
      <c r="N1770" s="241" t="s">
        <v>453</v>
      </c>
      <c r="O1770" s="286">
        <v>45680</v>
      </c>
    </row>
    <row r="1771" spans="1:15" ht="15" customHeight="1">
      <c r="A1771" s="58">
        <v>1770</v>
      </c>
      <c r="B1771" s="231" t="s">
        <v>55</v>
      </c>
      <c r="C1771" s="231" t="s">
        <v>10</v>
      </c>
      <c r="D1771" s="237" t="s">
        <v>3522</v>
      </c>
      <c r="E1771" s="249">
        <v>300</v>
      </c>
      <c r="F1771" s="249">
        <v>0</v>
      </c>
      <c r="G1771" s="168">
        <f t="shared" si="256"/>
        <v>0.4</v>
      </c>
      <c r="H1771" s="168">
        <f t="shared" si="257"/>
        <v>0.8</v>
      </c>
      <c r="I1771" s="168">
        <f t="shared" si="258"/>
        <v>0.6</v>
      </c>
      <c r="J1771" s="168">
        <f t="shared" si="259"/>
        <v>1</v>
      </c>
      <c r="K1771" s="168">
        <f t="shared" si="260"/>
        <v>1</v>
      </c>
      <c r="L1771" s="168">
        <f t="shared" si="261"/>
        <v>1</v>
      </c>
      <c r="M1771" s="168">
        <f t="shared" si="262"/>
        <v>5</v>
      </c>
      <c r="N1771" s="241" t="s">
        <v>453</v>
      </c>
      <c r="O1771" s="286">
        <v>45679</v>
      </c>
    </row>
    <row r="1772" spans="1:15" ht="15" customHeight="1">
      <c r="A1772" s="58">
        <v>1771</v>
      </c>
      <c r="B1772" s="231" t="s">
        <v>52</v>
      </c>
      <c r="C1772" s="231" t="s">
        <v>10</v>
      </c>
      <c r="D1772" s="237" t="s">
        <v>3523</v>
      </c>
      <c r="E1772" s="249">
        <v>0</v>
      </c>
      <c r="F1772" s="249">
        <v>1593</v>
      </c>
      <c r="G1772" s="168">
        <f t="shared" si="256"/>
        <v>9.5028571428571436</v>
      </c>
      <c r="H1772" s="168">
        <f t="shared" si="257"/>
        <v>19.005714285714287</v>
      </c>
      <c r="I1772" s="168">
        <f t="shared" si="258"/>
        <v>14.254285714285713</v>
      </c>
      <c r="J1772" s="168">
        <f t="shared" si="259"/>
        <v>23.757142857142856</v>
      </c>
      <c r="K1772" s="168">
        <f t="shared" si="260"/>
        <v>23.757142857142856</v>
      </c>
      <c r="L1772" s="168">
        <f t="shared" si="261"/>
        <v>1.39825</v>
      </c>
      <c r="M1772" s="168">
        <f t="shared" si="262"/>
        <v>0</v>
      </c>
      <c r="N1772" s="241" t="s">
        <v>453</v>
      </c>
      <c r="O1772" s="286">
        <v>45679</v>
      </c>
    </row>
    <row r="1773" spans="1:15" ht="15" customHeight="1">
      <c r="A1773" s="58">
        <v>1772</v>
      </c>
      <c r="B1773" s="231" t="s">
        <v>52</v>
      </c>
      <c r="C1773" s="231" t="s">
        <v>10</v>
      </c>
      <c r="D1773" s="237" t="s">
        <v>3525</v>
      </c>
      <c r="E1773" s="249">
        <v>300</v>
      </c>
      <c r="F1773" s="249">
        <v>0</v>
      </c>
      <c r="G1773" s="168">
        <f t="shared" si="256"/>
        <v>0.4</v>
      </c>
      <c r="H1773" s="168">
        <f t="shared" si="257"/>
        <v>0.8</v>
      </c>
      <c r="I1773" s="168">
        <f t="shared" si="258"/>
        <v>0.6</v>
      </c>
      <c r="J1773" s="168">
        <f t="shared" si="259"/>
        <v>1</v>
      </c>
      <c r="K1773" s="168">
        <f t="shared" si="260"/>
        <v>1</v>
      </c>
      <c r="L1773" s="168">
        <f t="shared" si="261"/>
        <v>1</v>
      </c>
      <c r="M1773" s="168">
        <f t="shared" si="262"/>
        <v>5</v>
      </c>
      <c r="N1773" s="241" t="s">
        <v>453</v>
      </c>
      <c r="O1773" s="286">
        <v>45679</v>
      </c>
    </row>
    <row r="1774" spans="1:15" ht="15" customHeight="1">
      <c r="A1774" s="58">
        <v>1773</v>
      </c>
      <c r="B1774" s="231" t="s">
        <v>52</v>
      </c>
      <c r="C1774" s="231" t="s">
        <v>10</v>
      </c>
      <c r="D1774" s="237" t="s">
        <v>3526</v>
      </c>
      <c r="E1774" s="281">
        <v>300</v>
      </c>
      <c r="F1774" s="249">
        <v>0</v>
      </c>
      <c r="G1774" s="168">
        <f t="shared" si="256"/>
        <v>0.4</v>
      </c>
      <c r="H1774" s="168">
        <f t="shared" si="257"/>
        <v>0.8</v>
      </c>
      <c r="I1774" s="168">
        <f t="shared" si="258"/>
        <v>0.6</v>
      </c>
      <c r="J1774" s="168">
        <f t="shared" si="259"/>
        <v>1</v>
      </c>
      <c r="K1774" s="168">
        <f t="shared" si="260"/>
        <v>1</v>
      </c>
      <c r="L1774" s="168">
        <f t="shared" si="261"/>
        <v>1</v>
      </c>
      <c r="M1774" s="168">
        <f t="shared" si="262"/>
        <v>5</v>
      </c>
      <c r="N1774" s="241" t="s">
        <v>453</v>
      </c>
      <c r="O1774" s="286">
        <v>45679</v>
      </c>
    </row>
    <row r="1775" spans="1:15" ht="15" customHeight="1">
      <c r="A1775" s="58">
        <v>1774</v>
      </c>
      <c r="B1775" s="231" t="s">
        <v>52</v>
      </c>
      <c r="C1775" s="231" t="s">
        <v>10</v>
      </c>
      <c r="D1775" s="237" t="s">
        <v>3528</v>
      </c>
      <c r="E1775" s="281">
        <v>350</v>
      </c>
      <c r="F1775" s="249">
        <v>0</v>
      </c>
      <c r="G1775" s="168">
        <f t="shared" si="256"/>
        <v>0.4</v>
      </c>
      <c r="H1775" s="168">
        <f t="shared" si="257"/>
        <v>0.8</v>
      </c>
      <c r="I1775" s="168">
        <f t="shared" si="258"/>
        <v>0.6</v>
      </c>
      <c r="J1775" s="168">
        <f t="shared" si="259"/>
        <v>1</v>
      </c>
      <c r="K1775" s="168">
        <f t="shared" si="260"/>
        <v>1</v>
      </c>
      <c r="L1775" s="168">
        <f t="shared" si="261"/>
        <v>1</v>
      </c>
      <c r="M1775" s="168">
        <f t="shared" si="262"/>
        <v>5.833333333333333</v>
      </c>
      <c r="N1775" s="241" t="s">
        <v>453</v>
      </c>
      <c r="O1775" s="286">
        <v>45684</v>
      </c>
    </row>
    <row r="1776" spans="1:15" ht="15" customHeight="1">
      <c r="A1776" s="58">
        <v>1775</v>
      </c>
      <c r="B1776" s="231" t="s">
        <v>53</v>
      </c>
      <c r="C1776" s="231" t="s">
        <v>10</v>
      </c>
      <c r="D1776" s="237" t="s">
        <v>3529</v>
      </c>
      <c r="E1776" s="281">
        <v>20</v>
      </c>
      <c r="F1776" s="249">
        <v>513</v>
      </c>
      <c r="G1776" s="168">
        <f t="shared" si="256"/>
        <v>3.3314285714285718</v>
      </c>
      <c r="H1776" s="168">
        <f t="shared" si="257"/>
        <v>6.6628571428571437</v>
      </c>
      <c r="I1776" s="168">
        <f t="shared" si="258"/>
        <v>4.9971428571428573</v>
      </c>
      <c r="J1776" s="168">
        <f t="shared" si="259"/>
        <v>8.3285714285714292</v>
      </c>
      <c r="K1776" s="168">
        <f t="shared" si="260"/>
        <v>8.3285714285714292</v>
      </c>
      <c r="L1776" s="168">
        <f t="shared" si="261"/>
        <v>1.12825</v>
      </c>
      <c r="M1776" s="168">
        <f t="shared" si="262"/>
        <v>0.33333333333333331</v>
      </c>
      <c r="N1776" s="241" t="s">
        <v>453</v>
      </c>
      <c r="O1776" s="286">
        <v>45685</v>
      </c>
    </row>
    <row r="1777" spans="1:15" ht="15" customHeight="1">
      <c r="A1777" s="58">
        <v>1776</v>
      </c>
      <c r="B1777" s="231" t="s">
        <v>52</v>
      </c>
      <c r="C1777" s="231" t="s">
        <v>10</v>
      </c>
      <c r="D1777" s="237" t="s">
        <v>3530</v>
      </c>
      <c r="E1777" s="281">
        <v>300</v>
      </c>
      <c r="F1777" s="249">
        <v>0</v>
      </c>
      <c r="G1777" s="168">
        <f t="shared" si="256"/>
        <v>0.4</v>
      </c>
      <c r="H1777" s="168">
        <f t="shared" si="257"/>
        <v>0.8</v>
      </c>
      <c r="I1777" s="168">
        <f t="shared" si="258"/>
        <v>0.6</v>
      </c>
      <c r="J1777" s="168">
        <f t="shared" si="259"/>
        <v>1</v>
      </c>
      <c r="K1777" s="168">
        <f t="shared" si="260"/>
        <v>1</v>
      </c>
      <c r="L1777" s="168">
        <f t="shared" si="261"/>
        <v>1</v>
      </c>
      <c r="M1777" s="168">
        <f t="shared" si="262"/>
        <v>5</v>
      </c>
      <c r="N1777" s="241" t="s">
        <v>453</v>
      </c>
      <c r="O1777" s="286">
        <v>45685</v>
      </c>
    </row>
    <row r="1778" spans="1:15" ht="15" customHeight="1">
      <c r="A1778" s="58">
        <v>1777</v>
      </c>
      <c r="B1778" s="231" t="s">
        <v>52</v>
      </c>
      <c r="C1778" s="231" t="s">
        <v>10</v>
      </c>
      <c r="D1778" s="237" t="s">
        <v>3531</v>
      </c>
      <c r="E1778" s="281">
        <v>300</v>
      </c>
      <c r="F1778" s="249">
        <v>0</v>
      </c>
      <c r="G1778" s="168">
        <f t="shared" si="256"/>
        <v>0.4</v>
      </c>
      <c r="H1778" s="168">
        <f t="shared" si="257"/>
        <v>0.8</v>
      </c>
      <c r="I1778" s="168">
        <f t="shared" si="258"/>
        <v>0.6</v>
      </c>
      <c r="J1778" s="168">
        <f t="shared" si="259"/>
        <v>1</v>
      </c>
      <c r="K1778" s="168">
        <f t="shared" si="260"/>
        <v>1</v>
      </c>
      <c r="L1778" s="168">
        <f t="shared" si="261"/>
        <v>1</v>
      </c>
      <c r="M1778" s="168">
        <f t="shared" si="262"/>
        <v>5</v>
      </c>
      <c r="N1778" s="241" t="s">
        <v>453</v>
      </c>
      <c r="O1778" s="286">
        <v>45687</v>
      </c>
    </row>
    <row r="1779" spans="1:15" ht="15" customHeight="1">
      <c r="A1779" s="58">
        <v>1778</v>
      </c>
      <c r="B1779" s="231" t="s">
        <v>52</v>
      </c>
      <c r="C1779" s="231" t="s">
        <v>10</v>
      </c>
      <c r="D1779" s="237" t="s">
        <v>3532</v>
      </c>
      <c r="E1779" s="281">
        <v>250</v>
      </c>
      <c r="F1779" s="249">
        <v>0</v>
      </c>
      <c r="G1779" s="168">
        <f t="shared" si="256"/>
        <v>0.4</v>
      </c>
      <c r="H1779" s="168">
        <f t="shared" si="257"/>
        <v>0.8</v>
      </c>
      <c r="I1779" s="168">
        <f t="shared" si="258"/>
        <v>0.6</v>
      </c>
      <c r="J1779" s="168">
        <f t="shared" si="259"/>
        <v>1</v>
      </c>
      <c r="K1779" s="168">
        <f t="shared" si="260"/>
        <v>1</v>
      </c>
      <c r="L1779" s="168">
        <f t="shared" si="261"/>
        <v>1</v>
      </c>
      <c r="M1779" s="168">
        <f t="shared" si="262"/>
        <v>4.166666666666667</v>
      </c>
      <c r="N1779" s="241" t="s">
        <v>453</v>
      </c>
      <c r="O1779" s="286">
        <v>45688</v>
      </c>
    </row>
    <row r="1780" spans="1:15" ht="15" customHeight="1">
      <c r="A1780" s="58">
        <v>1779</v>
      </c>
      <c r="B1780" s="231" t="s">
        <v>53</v>
      </c>
      <c r="C1780" s="231" t="s">
        <v>10</v>
      </c>
      <c r="D1780" s="237" t="s">
        <v>3533</v>
      </c>
      <c r="E1780" s="281">
        <v>212</v>
      </c>
      <c r="F1780" s="249">
        <v>0</v>
      </c>
      <c r="G1780" s="168">
        <f t="shared" si="256"/>
        <v>0.4</v>
      </c>
      <c r="H1780" s="168">
        <f t="shared" si="257"/>
        <v>0.8</v>
      </c>
      <c r="I1780" s="168">
        <f t="shared" si="258"/>
        <v>0.6</v>
      </c>
      <c r="J1780" s="168">
        <f t="shared" si="259"/>
        <v>1</v>
      </c>
      <c r="K1780" s="168">
        <f t="shared" si="260"/>
        <v>1</v>
      </c>
      <c r="L1780" s="168">
        <f t="shared" si="261"/>
        <v>1</v>
      </c>
      <c r="M1780" s="168">
        <f t="shared" si="262"/>
        <v>3.5333333333333332</v>
      </c>
      <c r="N1780" s="241" t="s">
        <v>453</v>
      </c>
      <c r="O1780" s="286">
        <v>45688</v>
      </c>
    </row>
    <row r="1781" spans="1:15" ht="15" customHeight="1">
      <c r="A1781" s="58">
        <v>1780</v>
      </c>
      <c r="B1781" s="231" t="s">
        <v>53</v>
      </c>
      <c r="C1781" s="231" t="s">
        <v>10</v>
      </c>
      <c r="D1781" s="237" t="s">
        <v>3534</v>
      </c>
      <c r="E1781" s="281">
        <v>0</v>
      </c>
      <c r="F1781" s="249">
        <v>0</v>
      </c>
      <c r="G1781" s="168">
        <f t="shared" si="256"/>
        <v>0.4</v>
      </c>
      <c r="H1781" s="168">
        <f t="shared" si="257"/>
        <v>0.8</v>
      </c>
      <c r="I1781" s="168">
        <f t="shared" si="258"/>
        <v>0.6</v>
      </c>
      <c r="J1781" s="168">
        <f t="shared" si="259"/>
        <v>1</v>
      </c>
      <c r="K1781" s="168">
        <f t="shared" si="260"/>
        <v>1</v>
      </c>
      <c r="L1781" s="168">
        <f t="shared" si="261"/>
        <v>1</v>
      </c>
      <c r="M1781" s="168">
        <f t="shared" si="262"/>
        <v>0</v>
      </c>
      <c r="N1781" s="241" t="s">
        <v>453</v>
      </c>
      <c r="O1781" s="286">
        <v>45688</v>
      </c>
    </row>
    <row r="1782" spans="1:15" ht="15" customHeight="1">
      <c r="A1782" s="58">
        <v>1781</v>
      </c>
      <c r="B1782" s="231" t="s">
        <v>52</v>
      </c>
      <c r="C1782" s="231" t="s">
        <v>10</v>
      </c>
      <c r="D1782" s="237" t="s">
        <v>3536</v>
      </c>
      <c r="E1782" s="281">
        <v>250</v>
      </c>
      <c r="F1782" s="249">
        <v>0</v>
      </c>
      <c r="G1782" s="168">
        <f t="shared" si="256"/>
        <v>0.4</v>
      </c>
      <c r="H1782" s="168">
        <f t="shared" si="257"/>
        <v>0.8</v>
      </c>
      <c r="I1782" s="168">
        <f t="shared" si="258"/>
        <v>0.6</v>
      </c>
      <c r="J1782" s="168">
        <f t="shared" si="259"/>
        <v>1</v>
      </c>
      <c r="K1782" s="168">
        <f t="shared" si="260"/>
        <v>1</v>
      </c>
      <c r="L1782" s="168">
        <f t="shared" si="261"/>
        <v>1</v>
      </c>
      <c r="M1782" s="168">
        <f t="shared" si="262"/>
        <v>4.166666666666667</v>
      </c>
      <c r="N1782" s="241" t="s">
        <v>453</v>
      </c>
      <c r="O1782" s="286">
        <v>45684</v>
      </c>
    </row>
    <row r="1783" spans="1:15" ht="15" customHeight="1">
      <c r="A1783" s="58">
        <v>1782</v>
      </c>
      <c r="B1783" s="231" t="s">
        <v>52</v>
      </c>
      <c r="C1783" s="231" t="s">
        <v>10</v>
      </c>
      <c r="D1783" s="237" t="s">
        <v>3538</v>
      </c>
      <c r="E1783" s="281">
        <v>200</v>
      </c>
      <c r="F1783" s="249">
        <v>0</v>
      </c>
      <c r="G1783" s="168">
        <f t="shared" si="256"/>
        <v>0.4</v>
      </c>
      <c r="H1783" s="168">
        <f t="shared" si="257"/>
        <v>0.8</v>
      </c>
      <c r="I1783" s="168">
        <f t="shared" si="258"/>
        <v>0.6</v>
      </c>
      <c r="J1783" s="168">
        <f t="shared" si="259"/>
        <v>1</v>
      </c>
      <c r="K1783" s="168">
        <f t="shared" si="260"/>
        <v>1</v>
      </c>
      <c r="L1783" s="168">
        <f t="shared" si="261"/>
        <v>1</v>
      </c>
      <c r="M1783" s="168">
        <f t="shared" si="262"/>
        <v>3.3333333333333335</v>
      </c>
      <c r="N1783" s="241" t="s">
        <v>453</v>
      </c>
      <c r="O1783" s="286">
        <v>45684</v>
      </c>
    </row>
    <row r="1784" spans="1:15" ht="15" customHeight="1">
      <c r="A1784" s="58">
        <v>1783</v>
      </c>
      <c r="B1784" s="231" t="s">
        <v>52</v>
      </c>
      <c r="C1784" s="231" t="s">
        <v>10</v>
      </c>
      <c r="D1784" s="237" t="s">
        <v>3539</v>
      </c>
      <c r="E1784" s="281">
        <v>200</v>
      </c>
      <c r="F1784" s="249">
        <v>0</v>
      </c>
      <c r="G1784" s="168">
        <f t="shared" si="256"/>
        <v>0.4</v>
      </c>
      <c r="H1784" s="168">
        <f t="shared" si="257"/>
        <v>0.8</v>
      </c>
      <c r="I1784" s="168">
        <f t="shared" si="258"/>
        <v>0.6</v>
      </c>
      <c r="J1784" s="168">
        <f t="shared" si="259"/>
        <v>1</v>
      </c>
      <c r="K1784" s="168">
        <f t="shared" si="260"/>
        <v>1</v>
      </c>
      <c r="L1784" s="168">
        <f t="shared" si="261"/>
        <v>1</v>
      </c>
      <c r="M1784" s="168">
        <f t="shared" si="262"/>
        <v>3.3333333333333335</v>
      </c>
      <c r="N1784" s="241" t="s">
        <v>453</v>
      </c>
      <c r="O1784" s="286">
        <v>45686</v>
      </c>
    </row>
    <row r="1785" spans="1:15" ht="15" customHeight="1">
      <c r="A1785" s="58">
        <v>1784</v>
      </c>
      <c r="B1785" s="231" t="s">
        <v>52</v>
      </c>
      <c r="C1785" s="231" t="s">
        <v>10</v>
      </c>
      <c r="D1785" s="237" t="s">
        <v>3540</v>
      </c>
      <c r="E1785" s="281">
        <v>0</v>
      </c>
      <c r="F1785" s="249">
        <v>430</v>
      </c>
      <c r="G1785" s="168">
        <f t="shared" si="256"/>
        <v>2.8571428571428577</v>
      </c>
      <c r="H1785" s="168">
        <f t="shared" si="257"/>
        <v>5.7142857142857153</v>
      </c>
      <c r="I1785" s="168">
        <f t="shared" si="258"/>
        <v>4.2857142857142856</v>
      </c>
      <c r="J1785" s="168">
        <f t="shared" si="259"/>
        <v>7.1428571428571432</v>
      </c>
      <c r="K1785" s="168">
        <f t="shared" si="260"/>
        <v>7.1428571428571432</v>
      </c>
      <c r="L1785" s="168">
        <f t="shared" si="261"/>
        <v>1.1074999999999999</v>
      </c>
      <c r="M1785" s="168">
        <f t="shared" si="262"/>
        <v>0</v>
      </c>
      <c r="N1785" s="241" t="s">
        <v>453</v>
      </c>
      <c r="O1785" s="286">
        <v>45686</v>
      </c>
    </row>
    <row r="1786" spans="1:15" ht="15" customHeight="1">
      <c r="A1786" s="58">
        <v>1785</v>
      </c>
      <c r="B1786" s="231" t="s">
        <v>52</v>
      </c>
      <c r="C1786" s="231" t="s">
        <v>10</v>
      </c>
      <c r="D1786" s="237" t="s">
        <v>3541</v>
      </c>
      <c r="E1786" s="281">
        <v>0</v>
      </c>
      <c r="F1786" s="249">
        <v>350</v>
      </c>
      <c r="G1786" s="168">
        <f t="shared" si="256"/>
        <v>2.4000000000000004</v>
      </c>
      <c r="H1786" s="168">
        <f t="shared" si="257"/>
        <v>4.8000000000000007</v>
      </c>
      <c r="I1786" s="168">
        <f t="shared" si="258"/>
        <v>3.5999999999999996</v>
      </c>
      <c r="J1786" s="168">
        <f t="shared" si="259"/>
        <v>6</v>
      </c>
      <c r="K1786" s="168">
        <f t="shared" si="260"/>
        <v>6</v>
      </c>
      <c r="L1786" s="168">
        <f t="shared" si="261"/>
        <v>1.0874999999999999</v>
      </c>
      <c r="M1786" s="168">
        <f t="shared" si="262"/>
        <v>0</v>
      </c>
      <c r="N1786" s="241" t="s">
        <v>453</v>
      </c>
      <c r="O1786" s="286">
        <v>45686</v>
      </c>
    </row>
    <row r="1787" spans="1:15" ht="15" customHeight="1">
      <c r="A1787" s="58">
        <v>1786</v>
      </c>
      <c r="B1787" s="231" t="s">
        <v>52</v>
      </c>
      <c r="C1787" s="231" t="s">
        <v>10</v>
      </c>
      <c r="D1787" s="237" t="s">
        <v>3543</v>
      </c>
      <c r="E1787" s="281">
        <v>300</v>
      </c>
      <c r="F1787" s="249">
        <v>0</v>
      </c>
      <c r="G1787" s="168">
        <f t="shared" si="256"/>
        <v>0.4</v>
      </c>
      <c r="H1787" s="168">
        <f t="shared" si="257"/>
        <v>0.8</v>
      </c>
      <c r="I1787" s="168">
        <f t="shared" si="258"/>
        <v>0.6</v>
      </c>
      <c r="J1787" s="168">
        <f t="shared" si="259"/>
        <v>1</v>
      </c>
      <c r="K1787" s="168">
        <f t="shared" si="260"/>
        <v>1</v>
      </c>
      <c r="L1787" s="168">
        <f t="shared" si="261"/>
        <v>1</v>
      </c>
      <c r="M1787" s="168">
        <f t="shared" si="262"/>
        <v>5</v>
      </c>
      <c r="N1787" s="241" t="s">
        <v>453</v>
      </c>
      <c r="O1787" s="286">
        <v>45686</v>
      </c>
    </row>
    <row r="1788" spans="1:15" ht="15" customHeight="1">
      <c r="A1788" s="58">
        <v>1787</v>
      </c>
      <c r="B1788" s="231" t="s">
        <v>52</v>
      </c>
      <c r="C1788" s="231" t="s">
        <v>10</v>
      </c>
      <c r="D1788" s="237" t="s">
        <v>3544</v>
      </c>
      <c r="E1788" s="281">
        <v>350</v>
      </c>
      <c r="F1788" s="249">
        <v>0</v>
      </c>
      <c r="G1788" s="168">
        <f t="shared" si="256"/>
        <v>0.4</v>
      </c>
      <c r="H1788" s="168">
        <f t="shared" si="257"/>
        <v>0.8</v>
      </c>
      <c r="I1788" s="168">
        <f t="shared" si="258"/>
        <v>0.6</v>
      </c>
      <c r="J1788" s="168">
        <f t="shared" si="259"/>
        <v>1</v>
      </c>
      <c r="K1788" s="168">
        <f t="shared" si="260"/>
        <v>1</v>
      </c>
      <c r="L1788" s="168">
        <f t="shared" si="261"/>
        <v>1</v>
      </c>
      <c r="M1788" s="168">
        <f t="shared" si="262"/>
        <v>5.833333333333333</v>
      </c>
      <c r="N1788" s="241" t="s">
        <v>453</v>
      </c>
      <c r="O1788" s="286">
        <v>45686</v>
      </c>
    </row>
    <row r="1789" spans="1:15" ht="15" customHeight="1">
      <c r="A1789" s="58">
        <v>1788</v>
      </c>
      <c r="B1789" s="231" t="s">
        <v>52</v>
      </c>
      <c r="C1789" s="231" t="s">
        <v>10</v>
      </c>
      <c r="D1789" s="237" t="s">
        <v>3545</v>
      </c>
      <c r="E1789" s="281">
        <v>0</v>
      </c>
      <c r="F1789" s="249">
        <v>600</v>
      </c>
      <c r="G1789" s="168">
        <f t="shared" si="256"/>
        <v>3.8285714285714287</v>
      </c>
      <c r="H1789" s="168">
        <f t="shared" si="257"/>
        <v>7.6571428571428575</v>
      </c>
      <c r="I1789" s="168">
        <f t="shared" si="258"/>
        <v>5.7428571428571429</v>
      </c>
      <c r="J1789" s="168">
        <f t="shared" si="259"/>
        <v>9.5714285714285712</v>
      </c>
      <c r="K1789" s="168">
        <f t="shared" si="260"/>
        <v>9.5714285714285712</v>
      </c>
      <c r="L1789" s="168">
        <f t="shared" si="261"/>
        <v>1.1499999999999999</v>
      </c>
      <c r="M1789" s="168">
        <f t="shared" si="262"/>
        <v>0</v>
      </c>
      <c r="N1789" s="241" t="s">
        <v>453</v>
      </c>
      <c r="O1789" s="286">
        <v>45687</v>
      </c>
    </row>
    <row r="1790" spans="1:15" ht="15" customHeight="1">
      <c r="A1790" s="58">
        <v>1789</v>
      </c>
      <c r="B1790" s="231" t="s">
        <v>55</v>
      </c>
      <c r="C1790" s="231" t="s">
        <v>10</v>
      </c>
      <c r="D1790" s="237" t="s">
        <v>3546</v>
      </c>
      <c r="E1790" s="281">
        <v>0</v>
      </c>
      <c r="F1790" s="249">
        <v>500</v>
      </c>
      <c r="G1790" s="168">
        <f t="shared" si="256"/>
        <v>3.2571428571428571</v>
      </c>
      <c r="H1790" s="168">
        <f t="shared" si="257"/>
        <v>6.5142857142857142</v>
      </c>
      <c r="I1790" s="168">
        <f t="shared" si="258"/>
        <v>4.8857142857142852</v>
      </c>
      <c r="J1790" s="168">
        <f t="shared" si="259"/>
        <v>8.1428571428571423</v>
      </c>
      <c r="K1790" s="168">
        <f t="shared" si="260"/>
        <v>8.1428571428571423</v>
      </c>
      <c r="L1790" s="168">
        <f t="shared" si="261"/>
        <v>1.125</v>
      </c>
      <c r="M1790" s="168">
        <f t="shared" si="262"/>
        <v>0</v>
      </c>
      <c r="N1790" s="241" t="s">
        <v>453</v>
      </c>
      <c r="O1790" s="286">
        <v>45688</v>
      </c>
    </row>
    <row r="1791" spans="1:15" ht="15" customHeight="1">
      <c r="A1791" s="58">
        <v>1790</v>
      </c>
      <c r="B1791" s="231" t="s">
        <v>52</v>
      </c>
      <c r="C1791" s="231" t="s">
        <v>10</v>
      </c>
      <c r="D1791" s="237" t="s">
        <v>3547</v>
      </c>
      <c r="E1791" s="281">
        <v>400</v>
      </c>
      <c r="F1791" s="249">
        <v>0</v>
      </c>
      <c r="G1791" s="168">
        <f t="shared" si="256"/>
        <v>0.4</v>
      </c>
      <c r="H1791" s="168">
        <f t="shared" si="257"/>
        <v>0.8</v>
      </c>
      <c r="I1791" s="168">
        <f t="shared" si="258"/>
        <v>0.6</v>
      </c>
      <c r="J1791" s="168">
        <f t="shared" si="259"/>
        <v>1</v>
      </c>
      <c r="K1791" s="168">
        <f t="shared" si="260"/>
        <v>1</v>
      </c>
      <c r="L1791" s="168">
        <f t="shared" si="261"/>
        <v>1</v>
      </c>
      <c r="M1791" s="168">
        <f t="shared" si="262"/>
        <v>6.666666666666667</v>
      </c>
      <c r="N1791" s="241" t="s">
        <v>453</v>
      </c>
      <c r="O1791" s="286">
        <v>45693</v>
      </c>
    </row>
    <row r="1792" spans="1:15" ht="15" customHeight="1">
      <c r="A1792" s="58">
        <v>1791</v>
      </c>
      <c r="B1792" s="231" t="s">
        <v>52</v>
      </c>
      <c r="C1792" s="231" t="s">
        <v>10</v>
      </c>
      <c r="D1792" s="237" t="s">
        <v>3548</v>
      </c>
      <c r="E1792" s="249">
        <v>0</v>
      </c>
      <c r="F1792" s="249">
        <v>660</v>
      </c>
      <c r="G1792" s="168">
        <f t="shared" si="256"/>
        <v>4.1714285714285717</v>
      </c>
      <c r="H1792" s="168">
        <f t="shared" si="257"/>
        <v>8.3428571428571434</v>
      </c>
      <c r="I1792" s="168">
        <f t="shared" si="258"/>
        <v>6.2571428571428571</v>
      </c>
      <c r="J1792" s="168">
        <f t="shared" si="259"/>
        <v>10.428571428571429</v>
      </c>
      <c r="K1792" s="168">
        <f t="shared" si="260"/>
        <v>10.428571428571429</v>
      </c>
      <c r="L1792" s="168">
        <f t="shared" si="261"/>
        <v>1.165</v>
      </c>
      <c r="M1792" s="168">
        <f t="shared" si="262"/>
        <v>0</v>
      </c>
      <c r="N1792" s="241" t="s">
        <v>453</v>
      </c>
      <c r="O1792" s="286">
        <v>45695</v>
      </c>
    </row>
    <row r="1793" spans="1:15" ht="15" customHeight="1">
      <c r="A1793" s="58">
        <v>1792</v>
      </c>
      <c r="B1793" s="231" t="s">
        <v>49</v>
      </c>
      <c r="C1793" s="231" t="s">
        <v>10</v>
      </c>
      <c r="D1793" s="237" t="s">
        <v>3549</v>
      </c>
      <c r="E1793" s="249">
        <v>0</v>
      </c>
      <c r="F1793" s="249">
        <v>0</v>
      </c>
      <c r="G1793" s="168">
        <f t="shared" si="256"/>
        <v>0.4</v>
      </c>
      <c r="H1793" s="168">
        <f t="shared" si="257"/>
        <v>0.8</v>
      </c>
      <c r="I1793" s="168">
        <f t="shared" si="258"/>
        <v>0.6</v>
      </c>
      <c r="J1793" s="168">
        <f t="shared" si="259"/>
        <v>1</v>
      </c>
      <c r="K1793" s="168">
        <f t="shared" si="260"/>
        <v>1</v>
      </c>
      <c r="L1793" s="168">
        <f t="shared" si="261"/>
        <v>1</v>
      </c>
      <c r="M1793" s="168">
        <f t="shared" si="262"/>
        <v>0</v>
      </c>
      <c r="N1793" s="241" t="s">
        <v>453</v>
      </c>
      <c r="O1793" s="286">
        <v>45697</v>
      </c>
    </row>
    <row r="1794" spans="1:15" ht="15" customHeight="1">
      <c r="A1794" s="58">
        <v>1793</v>
      </c>
      <c r="B1794" s="231" t="s">
        <v>50</v>
      </c>
      <c r="C1794" s="231" t="s">
        <v>10</v>
      </c>
      <c r="D1794" s="237" t="s">
        <v>3550</v>
      </c>
      <c r="E1794" s="249">
        <v>0</v>
      </c>
      <c r="F1794" s="249">
        <v>350</v>
      </c>
      <c r="G1794" s="168">
        <f t="shared" si="256"/>
        <v>2.4000000000000004</v>
      </c>
      <c r="H1794" s="168">
        <f t="shared" si="257"/>
        <v>4.8000000000000007</v>
      </c>
      <c r="I1794" s="168">
        <f t="shared" si="258"/>
        <v>3.5999999999999996</v>
      </c>
      <c r="J1794" s="168">
        <f t="shared" si="259"/>
        <v>6</v>
      </c>
      <c r="K1794" s="168">
        <f t="shared" si="260"/>
        <v>6</v>
      </c>
      <c r="L1794" s="168">
        <f t="shared" si="261"/>
        <v>1.0874999999999999</v>
      </c>
      <c r="M1794" s="168">
        <f t="shared" si="262"/>
        <v>0</v>
      </c>
      <c r="N1794" s="241" t="s">
        <v>453</v>
      </c>
      <c r="O1794" s="286">
        <v>45691</v>
      </c>
    </row>
    <row r="1795" spans="1:15" ht="15" customHeight="1">
      <c r="A1795" s="58">
        <v>1794</v>
      </c>
      <c r="B1795" s="231" t="s">
        <v>50</v>
      </c>
      <c r="C1795" s="231" t="s">
        <v>10</v>
      </c>
      <c r="D1795" s="237" t="s">
        <v>3552</v>
      </c>
      <c r="E1795" s="249">
        <v>0</v>
      </c>
      <c r="F1795" s="249">
        <v>500</v>
      </c>
      <c r="G1795" s="168">
        <f t="shared" si="256"/>
        <v>3.2571428571428571</v>
      </c>
      <c r="H1795" s="168">
        <f t="shared" si="257"/>
        <v>6.5142857142857142</v>
      </c>
      <c r="I1795" s="168">
        <f t="shared" si="258"/>
        <v>4.8857142857142852</v>
      </c>
      <c r="J1795" s="168">
        <f t="shared" si="259"/>
        <v>8.1428571428571423</v>
      </c>
      <c r="K1795" s="168">
        <f t="shared" si="260"/>
        <v>8.1428571428571423</v>
      </c>
      <c r="L1795" s="168">
        <f t="shared" si="261"/>
        <v>1.125</v>
      </c>
      <c r="M1795" s="168">
        <f t="shared" si="262"/>
        <v>0</v>
      </c>
      <c r="N1795" s="241" t="s">
        <v>453</v>
      </c>
      <c r="O1795" s="286">
        <v>45692</v>
      </c>
    </row>
    <row r="1796" spans="1:15" ht="15" customHeight="1">
      <c r="A1796" s="58">
        <v>1795</v>
      </c>
      <c r="B1796" s="231" t="s">
        <v>55</v>
      </c>
      <c r="C1796" s="231" t="s">
        <v>10</v>
      </c>
      <c r="D1796" s="237" t="s">
        <v>3553</v>
      </c>
      <c r="E1796" s="249">
        <v>0</v>
      </c>
      <c r="F1796" s="249">
        <v>500</v>
      </c>
      <c r="G1796" s="168">
        <f t="shared" si="256"/>
        <v>3.2571428571428571</v>
      </c>
      <c r="H1796" s="168">
        <f t="shared" si="257"/>
        <v>6.5142857142857142</v>
      </c>
      <c r="I1796" s="168">
        <f t="shared" si="258"/>
        <v>4.8857142857142852</v>
      </c>
      <c r="J1796" s="168">
        <f t="shared" si="259"/>
        <v>8.1428571428571423</v>
      </c>
      <c r="K1796" s="168">
        <f t="shared" si="260"/>
        <v>8.1428571428571423</v>
      </c>
      <c r="L1796" s="168">
        <f t="shared" si="261"/>
        <v>1.125</v>
      </c>
      <c r="M1796" s="168">
        <f t="shared" si="262"/>
        <v>0</v>
      </c>
      <c r="N1796" s="241" t="s">
        <v>453</v>
      </c>
      <c r="O1796" s="286">
        <v>45693</v>
      </c>
    </row>
    <row r="1797" spans="1:15" ht="15" customHeight="1">
      <c r="A1797" s="58">
        <v>1796</v>
      </c>
      <c r="B1797" s="231" t="s">
        <v>55</v>
      </c>
      <c r="C1797" s="231" t="s">
        <v>10</v>
      </c>
      <c r="D1797" s="237" t="s">
        <v>3554</v>
      </c>
      <c r="E1797" s="249">
        <v>0</v>
      </c>
      <c r="F1797" s="249">
        <v>500</v>
      </c>
      <c r="G1797" s="168">
        <f t="shared" si="256"/>
        <v>3.2571428571428571</v>
      </c>
      <c r="H1797" s="168">
        <f t="shared" si="257"/>
        <v>6.5142857142857142</v>
      </c>
      <c r="I1797" s="168">
        <f t="shared" si="258"/>
        <v>4.8857142857142852</v>
      </c>
      <c r="J1797" s="168">
        <f t="shared" si="259"/>
        <v>8.1428571428571423</v>
      </c>
      <c r="K1797" s="168">
        <f t="shared" si="260"/>
        <v>8.1428571428571423</v>
      </c>
      <c r="L1797" s="168">
        <f t="shared" si="261"/>
        <v>1.125</v>
      </c>
      <c r="M1797" s="168">
        <f t="shared" si="262"/>
        <v>0</v>
      </c>
      <c r="N1797" s="241" t="s">
        <v>453</v>
      </c>
      <c r="O1797" s="286">
        <v>45693</v>
      </c>
    </row>
    <row r="1798" spans="1:15" ht="15" customHeight="1">
      <c r="A1798" s="58">
        <v>1797</v>
      </c>
      <c r="B1798" s="231" t="s">
        <v>52</v>
      </c>
      <c r="C1798" s="231" t="s">
        <v>10</v>
      </c>
      <c r="D1798" s="237" t="s">
        <v>3555</v>
      </c>
      <c r="E1798" s="249">
        <v>200</v>
      </c>
      <c r="F1798" s="249">
        <v>0</v>
      </c>
      <c r="G1798" s="168">
        <f t="shared" si="256"/>
        <v>0.4</v>
      </c>
      <c r="H1798" s="168">
        <f t="shared" si="257"/>
        <v>0.8</v>
      </c>
      <c r="I1798" s="168">
        <f t="shared" si="258"/>
        <v>0.6</v>
      </c>
      <c r="J1798" s="168">
        <f t="shared" si="259"/>
        <v>1</v>
      </c>
      <c r="K1798" s="168">
        <f t="shared" si="260"/>
        <v>1</v>
      </c>
      <c r="L1798" s="168">
        <f t="shared" si="261"/>
        <v>1</v>
      </c>
      <c r="M1798" s="168">
        <f t="shared" si="262"/>
        <v>3.3333333333333335</v>
      </c>
      <c r="N1798" s="241" t="s">
        <v>453</v>
      </c>
      <c r="O1798" s="286">
        <v>45693</v>
      </c>
    </row>
    <row r="1799" spans="1:15" ht="15" customHeight="1">
      <c r="A1799" s="58">
        <v>1798</v>
      </c>
      <c r="B1799" s="231" t="s">
        <v>52</v>
      </c>
      <c r="C1799" s="231" t="s">
        <v>10</v>
      </c>
      <c r="D1799" s="237" t="s">
        <v>3556</v>
      </c>
      <c r="E1799" s="249">
        <v>100</v>
      </c>
      <c r="F1799" s="249">
        <v>0</v>
      </c>
      <c r="G1799" s="168">
        <f t="shared" si="256"/>
        <v>0.4</v>
      </c>
      <c r="H1799" s="168">
        <f t="shared" si="257"/>
        <v>0.8</v>
      </c>
      <c r="I1799" s="168">
        <f t="shared" si="258"/>
        <v>0.6</v>
      </c>
      <c r="J1799" s="168">
        <f t="shared" si="259"/>
        <v>1</v>
      </c>
      <c r="K1799" s="168">
        <f t="shared" si="260"/>
        <v>1</v>
      </c>
      <c r="L1799" s="168">
        <f t="shared" si="261"/>
        <v>1</v>
      </c>
      <c r="M1799" s="168">
        <f t="shared" si="262"/>
        <v>1.6666666666666667</v>
      </c>
      <c r="N1799" s="241" t="s">
        <v>453</v>
      </c>
      <c r="O1799" s="286">
        <v>45694</v>
      </c>
    </row>
    <row r="1800" spans="1:15" ht="15" customHeight="1">
      <c r="A1800" s="58">
        <v>1799</v>
      </c>
      <c r="B1800" s="231" t="s">
        <v>52</v>
      </c>
      <c r="C1800" s="231" t="s">
        <v>10</v>
      </c>
      <c r="D1800" s="237" t="s">
        <v>3557</v>
      </c>
      <c r="E1800" s="249">
        <v>28</v>
      </c>
      <c r="F1800" s="249">
        <v>0</v>
      </c>
      <c r="G1800" s="168">
        <f t="shared" ref="G1800:G1863" si="263">(((F1800/70)+1)*0.4)</f>
        <v>0.4</v>
      </c>
      <c r="H1800" s="168">
        <f t="shared" ref="H1800:H1863" si="264">G1800*2</f>
        <v>0.8</v>
      </c>
      <c r="I1800" s="168">
        <f t="shared" ref="I1800:I1863" si="265">(((F1800/70)+1)*0.6)</f>
        <v>0.6</v>
      </c>
      <c r="J1800" s="168">
        <f t="shared" ref="J1800:J1863" si="266">I1800+G1800</f>
        <v>1</v>
      </c>
      <c r="K1800" s="168">
        <f t="shared" ref="K1800:K1863" si="267">J1800</f>
        <v>1</v>
      </c>
      <c r="L1800" s="168">
        <f t="shared" ref="L1800:L1863" si="268">(F1800/4000)+1</f>
        <v>1</v>
      </c>
      <c r="M1800" s="168">
        <f t="shared" si="262"/>
        <v>0.46666666666666667</v>
      </c>
      <c r="N1800" s="241" t="s">
        <v>453</v>
      </c>
      <c r="O1800" s="286">
        <v>45694</v>
      </c>
    </row>
    <row r="1801" spans="1:15" ht="15" customHeight="1">
      <c r="A1801" s="58">
        <v>1800</v>
      </c>
      <c r="B1801" s="231" t="s">
        <v>59</v>
      </c>
      <c r="C1801" s="231" t="s">
        <v>10</v>
      </c>
      <c r="D1801" s="237" t="s">
        <v>3558</v>
      </c>
      <c r="E1801" s="249">
        <v>0</v>
      </c>
      <c r="F1801" s="249">
        <v>66</v>
      </c>
      <c r="G1801" s="168">
        <f t="shared" si="263"/>
        <v>0.77714285714285714</v>
      </c>
      <c r="H1801" s="168">
        <f t="shared" si="264"/>
        <v>1.5542857142857143</v>
      </c>
      <c r="I1801" s="168">
        <f t="shared" si="265"/>
        <v>1.1657142857142857</v>
      </c>
      <c r="J1801" s="168">
        <f t="shared" si="266"/>
        <v>1.9428571428571428</v>
      </c>
      <c r="K1801" s="168">
        <f t="shared" si="267"/>
        <v>1.9428571428571428</v>
      </c>
      <c r="L1801" s="168">
        <f t="shared" si="268"/>
        <v>1.0165</v>
      </c>
      <c r="M1801" s="168">
        <f t="shared" ref="M1801:M1864" si="269">E1801/60</f>
        <v>0</v>
      </c>
      <c r="N1801" s="241" t="s">
        <v>453</v>
      </c>
      <c r="O1801" s="286">
        <v>45694</v>
      </c>
    </row>
    <row r="1802" spans="1:15" ht="15" customHeight="1">
      <c r="A1802" s="58">
        <v>1801</v>
      </c>
      <c r="B1802" s="231" t="s">
        <v>52</v>
      </c>
      <c r="C1802" s="231" t="s">
        <v>10</v>
      </c>
      <c r="D1802" s="237" t="s">
        <v>3559</v>
      </c>
      <c r="E1802" s="249">
        <v>0</v>
      </c>
      <c r="F1802" s="249">
        <v>497</v>
      </c>
      <c r="G1802" s="168">
        <f t="shared" si="263"/>
        <v>3.24</v>
      </c>
      <c r="H1802" s="168">
        <f t="shared" si="264"/>
        <v>6.48</v>
      </c>
      <c r="I1802" s="168">
        <f t="shared" si="265"/>
        <v>4.8599999999999994</v>
      </c>
      <c r="J1802" s="168">
        <f t="shared" si="266"/>
        <v>8.1</v>
      </c>
      <c r="K1802" s="168">
        <f t="shared" si="267"/>
        <v>8.1</v>
      </c>
      <c r="L1802" s="168">
        <f t="shared" si="268"/>
        <v>1.12425</v>
      </c>
      <c r="M1802" s="168">
        <f t="shared" si="269"/>
        <v>0</v>
      </c>
      <c r="N1802" s="241" t="s">
        <v>453</v>
      </c>
      <c r="O1802" s="286">
        <v>45694</v>
      </c>
    </row>
    <row r="1803" spans="1:15" ht="15" customHeight="1">
      <c r="A1803" s="58">
        <v>1802</v>
      </c>
      <c r="B1803" s="231" t="s">
        <v>59</v>
      </c>
      <c r="C1803" s="231" t="s">
        <v>10</v>
      </c>
      <c r="D1803" s="237" t="s">
        <v>3560</v>
      </c>
      <c r="E1803" s="249">
        <v>0</v>
      </c>
      <c r="F1803" s="249">
        <v>639</v>
      </c>
      <c r="G1803" s="168">
        <f t="shared" si="263"/>
        <v>4.0514285714285716</v>
      </c>
      <c r="H1803" s="168">
        <f t="shared" si="264"/>
        <v>8.1028571428571432</v>
      </c>
      <c r="I1803" s="168">
        <f t="shared" si="265"/>
        <v>6.0771428571428565</v>
      </c>
      <c r="J1803" s="168">
        <f t="shared" si="266"/>
        <v>10.128571428571428</v>
      </c>
      <c r="K1803" s="168">
        <f t="shared" si="267"/>
        <v>10.128571428571428</v>
      </c>
      <c r="L1803" s="168">
        <f t="shared" si="268"/>
        <v>1.1597500000000001</v>
      </c>
      <c r="M1803" s="168">
        <f t="shared" si="269"/>
        <v>0</v>
      </c>
      <c r="N1803" s="241" t="s">
        <v>453</v>
      </c>
      <c r="O1803" s="286">
        <v>45695</v>
      </c>
    </row>
    <row r="1804" spans="1:15" ht="15" customHeight="1">
      <c r="A1804" s="58">
        <v>1803</v>
      </c>
      <c r="B1804" s="231" t="s">
        <v>52</v>
      </c>
      <c r="C1804" s="231" t="s">
        <v>10</v>
      </c>
      <c r="D1804" s="237" t="s">
        <v>3561</v>
      </c>
      <c r="E1804" s="249">
        <v>0</v>
      </c>
      <c r="F1804" s="249">
        <v>109</v>
      </c>
      <c r="G1804" s="168">
        <f t="shared" si="263"/>
        <v>1.0228571428571429</v>
      </c>
      <c r="H1804" s="168">
        <f t="shared" si="264"/>
        <v>2.0457142857142858</v>
      </c>
      <c r="I1804" s="168">
        <f t="shared" si="265"/>
        <v>1.534285714285714</v>
      </c>
      <c r="J1804" s="168">
        <f t="shared" si="266"/>
        <v>2.5571428571428569</v>
      </c>
      <c r="K1804" s="168">
        <f t="shared" si="267"/>
        <v>2.5571428571428569</v>
      </c>
      <c r="L1804" s="168">
        <f t="shared" si="268"/>
        <v>1.02725</v>
      </c>
      <c r="M1804" s="168">
        <f t="shared" si="269"/>
        <v>0</v>
      </c>
      <c r="N1804" s="241" t="s">
        <v>453</v>
      </c>
      <c r="O1804" s="286">
        <v>45695</v>
      </c>
    </row>
    <row r="1805" spans="1:15" ht="15" customHeight="1">
      <c r="A1805" s="58">
        <v>1804</v>
      </c>
      <c r="B1805" s="231" t="s">
        <v>52</v>
      </c>
      <c r="C1805" s="231" t="s">
        <v>10</v>
      </c>
      <c r="D1805" s="237" t="s">
        <v>3562</v>
      </c>
      <c r="E1805" s="249">
        <v>0</v>
      </c>
      <c r="F1805" s="249">
        <v>1400</v>
      </c>
      <c r="G1805" s="168">
        <f t="shared" si="263"/>
        <v>8.4</v>
      </c>
      <c r="H1805" s="168">
        <f t="shared" si="264"/>
        <v>16.8</v>
      </c>
      <c r="I1805" s="168">
        <f t="shared" si="265"/>
        <v>12.6</v>
      </c>
      <c r="J1805" s="168">
        <f t="shared" si="266"/>
        <v>21</v>
      </c>
      <c r="K1805" s="168">
        <f t="shared" si="267"/>
        <v>21</v>
      </c>
      <c r="L1805" s="168">
        <f t="shared" si="268"/>
        <v>1.35</v>
      </c>
      <c r="M1805" s="168">
        <f t="shared" si="269"/>
        <v>0</v>
      </c>
      <c r="N1805" s="241" t="s">
        <v>453</v>
      </c>
      <c r="O1805" s="286">
        <v>45695</v>
      </c>
    </row>
    <row r="1806" spans="1:15" ht="15" customHeight="1">
      <c r="A1806" s="58">
        <v>1805</v>
      </c>
      <c r="B1806" s="231" t="s">
        <v>61</v>
      </c>
      <c r="C1806" s="231" t="s">
        <v>11</v>
      </c>
      <c r="D1806" s="237" t="s">
        <v>3563</v>
      </c>
      <c r="E1806" s="249">
        <v>0</v>
      </c>
      <c r="F1806" s="249">
        <v>1800</v>
      </c>
      <c r="G1806" s="168">
        <f t="shared" si="263"/>
        <v>10.685714285714287</v>
      </c>
      <c r="H1806" s="168">
        <f t="shared" si="264"/>
        <v>21.371428571428574</v>
      </c>
      <c r="I1806" s="168">
        <f t="shared" si="265"/>
        <v>16.028571428571428</v>
      </c>
      <c r="J1806" s="168">
        <f t="shared" si="266"/>
        <v>26.714285714285715</v>
      </c>
      <c r="K1806" s="168">
        <f t="shared" si="267"/>
        <v>26.714285714285715</v>
      </c>
      <c r="L1806" s="168">
        <f t="shared" si="268"/>
        <v>1.45</v>
      </c>
      <c r="M1806" s="168">
        <f t="shared" si="269"/>
        <v>0</v>
      </c>
      <c r="N1806" s="241" t="s">
        <v>453</v>
      </c>
      <c r="O1806" s="286">
        <v>45695</v>
      </c>
    </row>
    <row r="1807" spans="1:15" ht="15" customHeight="1">
      <c r="A1807" s="58">
        <v>1806</v>
      </c>
      <c r="B1807" s="231" t="s">
        <v>52</v>
      </c>
      <c r="C1807" s="231" t="s">
        <v>10</v>
      </c>
      <c r="D1807" s="237" t="s">
        <v>3564</v>
      </c>
      <c r="E1807" s="249">
        <v>0</v>
      </c>
      <c r="F1807" s="249">
        <v>3414</v>
      </c>
      <c r="G1807" s="168">
        <f t="shared" si="263"/>
        <v>19.908571428571431</v>
      </c>
      <c r="H1807" s="168">
        <f t="shared" si="264"/>
        <v>39.817142857142862</v>
      </c>
      <c r="I1807" s="168">
        <f t="shared" si="265"/>
        <v>29.862857142857141</v>
      </c>
      <c r="J1807" s="168">
        <f t="shared" si="266"/>
        <v>49.771428571428572</v>
      </c>
      <c r="K1807" s="168">
        <f t="shared" si="267"/>
        <v>49.771428571428572</v>
      </c>
      <c r="L1807" s="168">
        <f t="shared" si="268"/>
        <v>1.8534999999999999</v>
      </c>
      <c r="M1807" s="168">
        <f t="shared" si="269"/>
        <v>0</v>
      </c>
      <c r="N1807" s="241" t="s">
        <v>453</v>
      </c>
      <c r="O1807" s="286">
        <v>45695</v>
      </c>
    </row>
    <row r="1808" spans="1:15" ht="15" customHeight="1">
      <c r="A1808" s="58">
        <v>1807</v>
      </c>
      <c r="B1808" s="231" t="s">
        <v>52</v>
      </c>
      <c r="C1808" s="231" t="s">
        <v>10</v>
      </c>
      <c r="D1808" s="237" t="s">
        <v>3566</v>
      </c>
      <c r="E1808" s="249">
        <v>0</v>
      </c>
      <c r="F1808" s="249">
        <v>90</v>
      </c>
      <c r="G1808" s="168">
        <f t="shared" si="263"/>
        <v>0.91428571428571426</v>
      </c>
      <c r="H1808" s="168">
        <f t="shared" si="264"/>
        <v>1.8285714285714285</v>
      </c>
      <c r="I1808" s="168">
        <f t="shared" si="265"/>
        <v>1.3714285714285712</v>
      </c>
      <c r="J1808" s="168">
        <f t="shared" si="266"/>
        <v>2.2857142857142856</v>
      </c>
      <c r="K1808" s="168">
        <f t="shared" si="267"/>
        <v>2.2857142857142856</v>
      </c>
      <c r="L1808" s="168">
        <f t="shared" si="268"/>
        <v>1.0225</v>
      </c>
      <c r="M1808" s="168">
        <f t="shared" si="269"/>
        <v>0</v>
      </c>
      <c r="N1808" s="241" t="s">
        <v>453</v>
      </c>
      <c r="O1808" s="286">
        <v>45696</v>
      </c>
    </row>
    <row r="1809" spans="1:15" ht="15" customHeight="1">
      <c r="A1809" s="58">
        <v>1808</v>
      </c>
      <c r="B1809" s="231" t="s">
        <v>52</v>
      </c>
      <c r="C1809" s="231" t="s">
        <v>10</v>
      </c>
      <c r="D1809" s="237" t="s">
        <v>3567</v>
      </c>
      <c r="E1809" s="249">
        <v>180</v>
      </c>
      <c r="F1809" s="249">
        <v>0</v>
      </c>
      <c r="G1809" s="168">
        <f t="shared" si="263"/>
        <v>0.4</v>
      </c>
      <c r="H1809" s="168">
        <f t="shared" si="264"/>
        <v>0.8</v>
      </c>
      <c r="I1809" s="168">
        <f t="shared" si="265"/>
        <v>0.6</v>
      </c>
      <c r="J1809" s="168">
        <f t="shared" si="266"/>
        <v>1</v>
      </c>
      <c r="K1809" s="168">
        <f t="shared" si="267"/>
        <v>1</v>
      </c>
      <c r="L1809" s="168">
        <f t="shared" si="268"/>
        <v>1</v>
      </c>
      <c r="M1809" s="168">
        <f t="shared" si="269"/>
        <v>3</v>
      </c>
      <c r="N1809" s="241" t="s">
        <v>453</v>
      </c>
      <c r="O1809" s="286">
        <v>45705</v>
      </c>
    </row>
    <row r="1810" spans="1:15" ht="15" customHeight="1">
      <c r="A1810" s="58">
        <v>1809</v>
      </c>
      <c r="B1810" s="231" t="s">
        <v>53</v>
      </c>
      <c r="C1810" s="231" t="s">
        <v>10</v>
      </c>
      <c r="D1810" s="237" t="s">
        <v>3568</v>
      </c>
      <c r="E1810" s="249">
        <v>0</v>
      </c>
      <c r="F1810" s="249">
        <v>1400</v>
      </c>
      <c r="G1810" s="168">
        <f t="shared" si="263"/>
        <v>8.4</v>
      </c>
      <c r="H1810" s="168">
        <f t="shared" si="264"/>
        <v>16.8</v>
      </c>
      <c r="I1810" s="168">
        <f t="shared" si="265"/>
        <v>12.6</v>
      </c>
      <c r="J1810" s="168">
        <f t="shared" si="266"/>
        <v>21</v>
      </c>
      <c r="K1810" s="168">
        <f t="shared" si="267"/>
        <v>21</v>
      </c>
      <c r="L1810" s="168">
        <f t="shared" si="268"/>
        <v>1.35</v>
      </c>
      <c r="M1810" s="168">
        <f t="shared" si="269"/>
        <v>0</v>
      </c>
      <c r="N1810" s="241" t="s">
        <v>453</v>
      </c>
      <c r="O1810" s="286">
        <v>45704</v>
      </c>
    </row>
    <row r="1811" spans="1:15" ht="15" customHeight="1">
      <c r="A1811" s="58">
        <v>1810</v>
      </c>
      <c r="B1811" s="231" t="s">
        <v>52</v>
      </c>
      <c r="C1811" s="231" t="s">
        <v>10</v>
      </c>
      <c r="D1811" s="237" t="s">
        <v>3569</v>
      </c>
      <c r="E1811" s="249">
        <v>330</v>
      </c>
      <c r="F1811" s="249">
        <v>0</v>
      </c>
      <c r="G1811" s="168">
        <f t="shared" si="263"/>
        <v>0.4</v>
      </c>
      <c r="H1811" s="168">
        <f t="shared" si="264"/>
        <v>0.8</v>
      </c>
      <c r="I1811" s="168">
        <f t="shared" si="265"/>
        <v>0.6</v>
      </c>
      <c r="J1811" s="168">
        <f t="shared" si="266"/>
        <v>1</v>
      </c>
      <c r="K1811" s="168">
        <f t="shared" si="267"/>
        <v>1</v>
      </c>
      <c r="L1811" s="168">
        <f t="shared" si="268"/>
        <v>1</v>
      </c>
      <c r="M1811" s="168">
        <f t="shared" si="269"/>
        <v>5.5</v>
      </c>
      <c r="N1811" s="241" t="s">
        <v>453</v>
      </c>
      <c r="O1811" s="286">
        <v>45706</v>
      </c>
    </row>
    <row r="1812" spans="1:15" ht="15" customHeight="1">
      <c r="A1812" s="58">
        <v>1811</v>
      </c>
      <c r="B1812" s="231" t="s">
        <v>52</v>
      </c>
      <c r="C1812" s="231" t="s">
        <v>10</v>
      </c>
      <c r="D1812" s="237" t="s">
        <v>3570</v>
      </c>
      <c r="E1812" s="249">
        <v>0</v>
      </c>
      <c r="F1812" s="249">
        <v>1000</v>
      </c>
      <c r="G1812" s="168">
        <f t="shared" si="263"/>
        <v>6.1142857142857148</v>
      </c>
      <c r="H1812" s="168">
        <f t="shared" si="264"/>
        <v>12.22857142857143</v>
      </c>
      <c r="I1812" s="168">
        <f t="shared" si="265"/>
        <v>9.1714285714285708</v>
      </c>
      <c r="J1812" s="168">
        <f t="shared" si="266"/>
        <v>15.285714285714285</v>
      </c>
      <c r="K1812" s="168">
        <f t="shared" si="267"/>
        <v>15.285714285714285</v>
      </c>
      <c r="L1812" s="168">
        <f t="shared" si="268"/>
        <v>1.25</v>
      </c>
      <c r="M1812" s="168">
        <f t="shared" si="269"/>
        <v>0</v>
      </c>
      <c r="N1812" s="241" t="s">
        <v>453</v>
      </c>
      <c r="O1812" s="286">
        <v>45708</v>
      </c>
    </row>
    <row r="1813" spans="1:15" ht="15" customHeight="1">
      <c r="A1813" s="58">
        <v>1812</v>
      </c>
      <c r="B1813" s="231" t="s">
        <v>52</v>
      </c>
      <c r="C1813" s="231" t="s">
        <v>10</v>
      </c>
      <c r="D1813" s="237" t="s">
        <v>3571</v>
      </c>
      <c r="E1813" s="249">
        <v>224</v>
      </c>
      <c r="F1813" s="249">
        <v>0</v>
      </c>
      <c r="G1813" s="168">
        <f t="shared" si="263"/>
        <v>0.4</v>
      </c>
      <c r="H1813" s="168">
        <f t="shared" si="264"/>
        <v>0.8</v>
      </c>
      <c r="I1813" s="168">
        <f t="shared" si="265"/>
        <v>0.6</v>
      </c>
      <c r="J1813" s="168">
        <f t="shared" si="266"/>
        <v>1</v>
      </c>
      <c r="K1813" s="168">
        <f t="shared" si="267"/>
        <v>1</v>
      </c>
      <c r="L1813" s="168">
        <f t="shared" si="268"/>
        <v>1</v>
      </c>
      <c r="M1813" s="168">
        <f t="shared" si="269"/>
        <v>3.7333333333333334</v>
      </c>
      <c r="N1813" s="241" t="s">
        <v>453</v>
      </c>
      <c r="O1813" s="286">
        <v>45707</v>
      </c>
    </row>
    <row r="1814" spans="1:15" ht="15" customHeight="1">
      <c r="A1814" s="58">
        <v>1813</v>
      </c>
      <c r="B1814" s="231" t="s">
        <v>52</v>
      </c>
      <c r="C1814" s="231" t="s">
        <v>10</v>
      </c>
      <c r="D1814" s="237" t="s">
        <v>3572</v>
      </c>
      <c r="E1814" s="249">
        <v>300</v>
      </c>
      <c r="F1814" s="249">
        <v>0</v>
      </c>
      <c r="G1814" s="168">
        <f t="shared" si="263"/>
        <v>0.4</v>
      </c>
      <c r="H1814" s="168">
        <f t="shared" si="264"/>
        <v>0.8</v>
      </c>
      <c r="I1814" s="168">
        <f t="shared" si="265"/>
        <v>0.6</v>
      </c>
      <c r="J1814" s="168">
        <f t="shared" si="266"/>
        <v>1</v>
      </c>
      <c r="K1814" s="168">
        <f t="shared" si="267"/>
        <v>1</v>
      </c>
      <c r="L1814" s="168">
        <f t="shared" si="268"/>
        <v>1</v>
      </c>
      <c r="M1814" s="168">
        <f t="shared" si="269"/>
        <v>5</v>
      </c>
      <c r="N1814" s="241" t="s">
        <v>453</v>
      </c>
      <c r="O1814" s="286">
        <v>45705</v>
      </c>
    </row>
    <row r="1815" spans="1:15" ht="15" customHeight="1">
      <c r="A1815" s="58">
        <v>1814</v>
      </c>
      <c r="B1815" s="231" t="s">
        <v>52</v>
      </c>
      <c r="C1815" s="231" t="s">
        <v>10</v>
      </c>
      <c r="D1815" s="237" t="s">
        <v>3573</v>
      </c>
      <c r="E1815" s="249">
        <v>0</v>
      </c>
      <c r="F1815" s="249">
        <v>286</v>
      </c>
      <c r="G1815" s="168">
        <f t="shared" si="263"/>
        <v>2.0342857142857143</v>
      </c>
      <c r="H1815" s="168">
        <f t="shared" si="264"/>
        <v>4.0685714285714285</v>
      </c>
      <c r="I1815" s="168">
        <f t="shared" si="265"/>
        <v>3.0514285714285712</v>
      </c>
      <c r="J1815" s="168">
        <f t="shared" si="266"/>
        <v>5.0857142857142854</v>
      </c>
      <c r="K1815" s="168">
        <f t="shared" si="267"/>
        <v>5.0857142857142854</v>
      </c>
      <c r="L1815" s="168">
        <f t="shared" si="268"/>
        <v>1.0714999999999999</v>
      </c>
      <c r="M1815" s="168">
        <f t="shared" si="269"/>
        <v>0</v>
      </c>
      <c r="N1815" s="241" t="s">
        <v>453</v>
      </c>
      <c r="O1815" s="286">
        <v>45706</v>
      </c>
    </row>
    <row r="1816" spans="1:15" ht="15" customHeight="1">
      <c r="A1816" s="58">
        <v>1815</v>
      </c>
      <c r="B1816" s="231" t="s">
        <v>52</v>
      </c>
      <c r="C1816" s="231" t="s">
        <v>10</v>
      </c>
      <c r="D1816" s="237" t="s">
        <v>3574</v>
      </c>
      <c r="E1816" s="249">
        <v>0</v>
      </c>
      <c r="F1816" s="249">
        <v>201</v>
      </c>
      <c r="G1816" s="168">
        <f t="shared" si="263"/>
        <v>1.5485714285714287</v>
      </c>
      <c r="H1816" s="168">
        <f t="shared" si="264"/>
        <v>3.0971428571428574</v>
      </c>
      <c r="I1816" s="168">
        <f t="shared" si="265"/>
        <v>2.322857142857143</v>
      </c>
      <c r="J1816" s="168">
        <f t="shared" si="266"/>
        <v>3.8714285714285719</v>
      </c>
      <c r="K1816" s="168">
        <f t="shared" si="267"/>
        <v>3.8714285714285719</v>
      </c>
      <c r="L1816" s="168">
        <f t="shared" si="268"/>
        <v>1.0502499999999999</v>
      </c>
      <c r="M1816" s="168">
        <f t="shared" si="269"/>
        <v>0</v>
      </c>
      <c r="N1816" s="241" t="s">
        <v>453</v>
      </c>
      <c r="O1816" s="286">
        <v>45706</v>
      </c>
    </row>
    <row r="1817" spans="1:15" ht="15" customHeight="1">
      <c r="A1817" s="58">
        <v>1816</v>
      </c>
      <c r="B1817" s="231" t="s">
        <v>52</v>
      </c>
      <c r="C1817" s="231" t="s">
        <v>10</v>
      </c>
      <c r="D1817" s="237" t="s">
        <v>3576</v>
      </c>
      <c r="E1817" s="249">
        <v>101</v>
      </c>
      <c r="F1817" s="249">
        <v>265</v>
      </c>
      <c r="G1817" s="168">
        <f t="shared" si="263"/>
        <v>1.9142857142857144</v>
      </c>
      <c r="H1817" s="168">
        <f t="shared" si="264"/>
        <v>3.8285714285714287</v>
      </c>
      <c r="I1817" s="168">
        <f t="shared" si="265"/>
        <v>2.8714285714285714</v>
      </c>
      <c r="J1817" s="168">
        <f t="shared" si="266"/>
        <v>4.7857142857142856</v>
      </c>
      <c r="K1817" s="168">
        <f t="shared" si="267"/>
        <v>4.7857142857142856</v>
      </c>
      <c r="L1817" s="168">
        <f t="shared" si="268"/>
        <v>1.0662499999999999</v>
      </c>
      <c r="M1817" s="168">
        <f t="shared" si="269"/>
        <v>1.6833333333333333</v>
      </c>
      <c r="N1817" s="241" t="s">
        <v>453</v>
      </c>
      <c r="O1817" s="286">
        <v>45706</v>
      </c>
    </row>
    <row r="1818" spans="1:15" ht="15" customHeight="1">
      <c r="A1818" s="58">
        <v>1817</v>
      </c>
      <c r="B1818" s="231" t="s">
        <v>52</v>
      </c>
      <c r="C1818" s="231" t="s">
        <v>10</v>
      </c>
      <c r="D1818" s="237" t="s">
        <v>3577</v>
      </c>
      <c r="E1818" s="249">
        <v>0</v>
      </c>
      <c r="F1818" s="249">
        <v>886</v>
      </c>
      <c r="G1818" s="168">
        <f t="shared" si="263"/>
        <v>5.4628571428571426</v>
      </c>
      <c r="H1818" s="168">
        <f t="shared" si="264"/>
        <v>10.925714285714285</v>
      </c>
      <c r="I1818" s="168">
        <f t="shared" si="265"/>
        <v>8.194285714285714</v>
      </c>
      <c r="J1818" s="168">
        <f t="shared" si="266"/>
        <v>13.657142857142857</v>
      </c>
      <c r="K1818" s="168">
        <f t="shared" si="267"/>
        <v>13.657142857142857</v>
      </c>
      <c r="L1818" s="168">
        <f t="shared" si="268"/>
        <v>1.2215</v>
      </c>
      <c r="M1818" s="168">
        <f t="shared" si="269"/>
        <v>0</v>
      </c>
      <c r="N1818" s="241" t="s">
        <v>453</v>
      </c>
      <c r="O1818" s="286">
        <v>45707</v>
      </c>
    </row>
    <row r="1819" spans="1:15" ht="15" customHeight="1">
      <c r="A1819" s="58">
        <v>1818</v>
      </c>
      <c r="B1819" s="231" t="s">
        <v>53</v>
      </c>
      <c r="C1819" s="231" t="s">
        <v>10</v>
      </c>
      <c r="D1819" s="237" t="s">
        <v>3578</v>
      </c>
      <c r="E1819" s="249">
        <v>364</v>
      </c>
      <c r="F1819" s="249">
        <v>0</v>
      </c>
      <c r="G1819" s="168">
        <f t="shared" si="263"/>
        <v>0.4</v>
      </c>
      <c r="H1819" s="168">
        <f t="shared" si="264"/>
        <v>0.8</v>
      </c>
      <c r="I1819" s="168">
        <f t="shared" si="265"/>
        <v>0.6</v>
      </c>
      <c r="J1819" s="168">
        <f t="shared" si="266"/>
        <v>1</v>
      </c>
      <c r="K1819" s="168">
        <f t="shared" si="267"/>
        <v>1</v>
      </c>
      <c r="L1819" s="168">
        <f t="shared" si="268"/>
        <v>1</v>
      </c>
      <c r="M1819" s="168">
        <f t="shared" si="269"/>
        <v>6.0666666666666664</v>
      </c>
      <c r="N1819" s="241" t="s">
        <v>453</v>
      </c>
      <c r="O1819" s="286">
        <v>45707</v>
      </c>
    </row>
    <row r="1820" spans="1:15" ht="15" customHeight="1">
      <c r="A1820" s="58">
        <v>1819</v>
      </c>
      <c r="B1820" s="231" t="s">
        <v>55</v>
      </c>
      <c r="C1820" s="231" t="s">
        <v>10</v>
      </c>
      <c r="D1820" s="237" t="s">
        <v>3579</v>
      </c>
      <c r="E1820" s="249">
        <v>400</v>
      </c>
      <c r="F1820" s="249">
        <v>0</v>
      </c>
      <c r="G1820" s="168">
        <f t="shared" si="263"/>
        <v>0.4</v>
      </c>
      <c r="H1820" s="168">
        <f t="shared" si="264"/>
        <v>0.8</v>
      </c>
      <c r="I1820" s="168">
        <f t="shared" si="265"/>
        <v>0.6</v>
      </c>
      <c r="J1820" s="168">
        <f t="shared" si="266"/>
        <v>1</v>
      </c>
      <c r="K1820" s="168">
        <f t="shared" si="267"/>
        <v>1</v>
      </c>
      <c r="L1820" s="168">
        <f t="shared" si="268"/>
        <v>1</v>
      </c>
      <c r="M1820" s="168">
        <f t="shared" si="269"/>
        <v>6.666666666666667</v>
      </c>
      <c r="N1820" s="241" t="s">
        <v>453</v>
      </c>
      <c r="O1820" s="286">
        <v>45708</v>
      </c>
    </row>
    <row r="1821" spans="1:15" ht="15" customHeight="1">
      <c r="A1821" s="58">
        <v>1820</v>
      </c>
      <c r="B1821" s="231" t="s">
        <v>52</v>
      </c>
      <c r="C1821" s="231" t="s">
        <v>10</v>
      </c>
      <c r="D1821" s="237" t="s">
        <v>3580</v>
      </c>
      <c r="E1821" s="249">
        <v>0</v>
      </c>
      <c r="F1821" s="249">
        <v>142</v>
      </c>
      <c r="G1821" s="168">
        <f t="shared" si="263"/>
        <v>1.2114285714285715</v>
      </c>
      <c r="H1821" s="168">
        <f t="shared" si="264"/>
        <v>2.422857142857143</v>
      </c>
      <c r="I1821" s="168">
        <f t="shared" si="265"/>
        <v>1.8171428571428569</v>
      </c>
      <c r="J1821" s="168">
        <f t="shared" si="266"/>
        <v>3.0285714285714285</v>
      </c>
      <c r="K1821" s="168">
        <f t="shared" si="267"/>
        <v>3.0285714285714285</v>
      </c>
      <c r="L1821" s="168">
        <f t="shared" si="268"/>
        <v>1.0355000000000001</v>
      </c>
      <c r="M1821" s="168">
        <f t="shared" si="269"/>
        <v>0</v>
      </c>
      <c r="N1821" s="241" t="s">
        <v>453</v>
      </c>
      <c r="O1821" s="286">
        <v>45708</v>
      </c>
    </row>
    <row r="1822" spans="1:15" ht="15" customHeight="1">
      <c r="A1822" s="58">
        <v>1821</v>
      </c>
      <c r="B1822" s="231" t="s">
        <v>52</v>
      </c>
      <c r="C1822" s="231" t="s">
        <v>10</v>
      </c>
      <c r="D1822" s="237" t="s">
        <v>3581</v>
      </c>
      <c r="E1822" s="249">
        <v>304</v>
      </c>
      <c r="F1822" s="249">
        <v>0</v>
      </c>
      <c r="G1822" s="168">
        <f t="shared" si="263"/>
        <v>0.4</v>
      </c>
      <c r="H1822" s="168">
        <f t="shared" si="264"/>
        <v>0.8</v>
      </c>
      <c r="I1822" s="168">
        <f t="shared" si="265"/>
        <v>0.6</v>
      </c>
      <c r="J1822" s="168">
        <f t="shared" si="266"/>
        <v>1</v>
      </c>
      <c r="K1822" s="168">
        <f t="shared" si="267"/>
        <v>1</v>
      </c>
      <c r="L1822" s="168">
        <f t="shared" si="268"/>
        <v>1</v>
      </c>
      <c r="M1822" s="168">
        <f t="shared" si="269"/>
        <v>5.0666666666666664</v>
      </c>
      <c r="N1822" s="241" t="s">
        <v>453</v>
      </c>
      <c r="O1822" s="286">
        <v>45708</v>
      </c>
    </row>
    <row r="1823" spans="1:15" ht="15" customHeight="1">
      <c r="A1823" s="58">
        <v>1822</v>
      </c>
      <c r="B1823" s="231" t="s">
        <v>52</v>
      </c>
      <c r="C1823" s="231" t="s">
        <v>10</v>
      </c>
      <c r="D1823" s="237" t="s">
        <v>3582</v>
      </c>
      <c r="E1823" s="249">
        <v>0</v>
      </c>
      <c r="F1823" s="249">
        <v>235</v>
      </c>
      <c r="G1823" s="168">
        <f t="shared" si="263"/>
        <v>1.7428571428571431</v>
      </c>
      <c r="H1823" s="168">
        <f t="shared" si="264"/>
        <v>3.4857142857142862</v>
      </c>
      <c r="I1823" s="168">
        <f t="shared" si="265"/>
        <v>2.6142857142857143</v>
      </c>
      <c r="J1823" s="168">
        <f t="shared" si="266"/>
        <v>4.3571428571428577</v>
      </c>
      <c r="K1823" s="168">
        <f t="shared" si="267"/>
        <v>4.3571428571428577</v>
      </c>
      <c r="L1823" s="168">
        <f t="shared" si="268"/>
        <v>1.0587500000000001</v>
      </c>
      <c r="M1823" s="168">
        <f t="shared" si="269"/>
        <v>0</v>
      </c>
      <c r="N1823" s="241" t="s">
        <v>453</v>
      </c>
      <c r="O1823" s="286">
        <v>45708</v>
      </c>
    </row>
    <row r="1824" spans="1:15" ht="15" customHeight="1">
      <c r="A1824" s="58">
        <v>1823</v>
      </c>
      <c r="B1824" s="231" t="s">
        <v>49</v>
      </c>
      <c r="C1824" s="231" t="s">
        <v>10</v>
      </c>
      <c r="D1824" s="237" t="s">
        <v>3584</v>
      </c>
      <c r="E1824" s="249">
        <v>200</v>
      </c>
      <c r="F1824" s="249">
        <v>0</v>
      </c>
      <c r="G1824" s="168">
        <f t="shared" si="263"/>
        <v>0.4</v>
      </c>
      <c r="H1824" s="168">
        <f t="shared" si="264"/>
        <v>0.8</v>
      </c>
      <c r="I1824" s="168">
        <f t="shared" si="265"/>
        <v>0.6</v>
      </c>
      <c r="J1824" s="168">
        <f t="shared" si="266"/>
        <v>1</v>
      </c>
      <c r="K1824" s="168">
        <f t="shared" si="267"/>
        <v>1</v>
      </c>
      <c r="L1824" s="168">
        <f t="shared" si="268"/>
        <v>1</v>
      </c>
      <c r="M1824" s="168">
        <f t="shared" si="269"/>
        <v>3.3333333333333335</v>
      </c>
      <c r="N1824" s="241" t="s">
        <v>453</v>
      </c>
      <c r="O1824" s="286">
        <v>45708</v>
      </c>
    </row>
    <row r="1825" spans="1:15" ht="15" customHeight="1">
      <c r="A1825" s="58">
        <v>1824</v>
      </c>
      <c r="B1825" s="231" t="s">
        <v>52</v>
      </c>
      <c r="C1825" s="231" t="s">
        <v>10</v>
      </c>
      <c r="D1825" s="237" t="s">
        <v>3585</v>
      </c>
      <c r="E1825" s="249">
        <v>0</v>
      </c>
      <c r="F1825" s="249">
        <v>300</v>
      </c>
      <c r="G1825" s="168">
        <f t="shared" si="263"/>
        <v>2.1142857142857143</v>
      </c>
      <c r="H1825" s="168">
        <f t="shared" si="264"/>
        <v>4.2285714285714286</v>
      </c>
      <c r="I1825" s="168">
        <f t="shared" si="265"/>
        <v>3.1714285714285713</v>
      </c>
      <c r="J1825" s="168">
        <f t="shared" si="266"/>
        <v>5.2857142857142856</v>
      </c>
      <c r="K1825" s="168">
        <f t="shared" si="267"/>
        <v>5.2857142857142856</v>
      </c>
      <c r="L1825" s="168">
        <f t="shared" si="268"/>
        <v>1.075</v>
      </c>
      <c r="M1825" s="168">
        <f t="shared" si="269"/>
        <v>0</v>
      </c>
      <c r="N1825" s="241" t="s">
        <v>453</v>
      </c>
      <c r="O1825" s="286">
        <v>45709</v>
      </c>
    </row>
    <row r="1826" spans="1:15" ht="15" customHeight="1">
      <c r="A1826" s="58">
        <v>1825</v>
      </c>
      <c r="B1826" s="231" t="s">
        <v>52</v>
      </c>
      <c r="C1826" s="231" t="s">
        <v>10</v>
      </c>
      <c r="D1826" s="237" t="s">
        <v>3586</v>
      </c>
      <c r="E1826" s="249">
        <v>350</v>
      </c>
      <c r="F1826" s="249">
        <v>0</v>
      </c>
      <c r="G1826" s="168">
        <f t="shared" si="263"/>
        <v>0.4</v>
      </c>
      <c r="H1826" s="168">
        <f t="shared" si="264"/>
        <v>0.8</v>
      </c>
      <c r="I1826" s="168">
        <f t="shared" si="265"/>
        <v>0.6</v>
      </c>
      <c r="J1826" s="168">
        <f t="shared" si="266"/>
        <v>1</v>
      </c>
      <c r="K1826" s="168">
        <f t="shared" si="267"/>
        <v>1</v>
      </c>
      <c r="L1826" s="168">
        <f t="shared" si="268"/>
        <v>1</v>
      </c>
      <c r="M1826" s="168">
        <f t="shared" si="269"/>
        <v>5.833333333333333</v>
      </c>
      <c r="N1826" s="241" t="s">
        <v>453</v>
      </c>
      <c r="O1826" s="286">
        <v>45706</v>
      </c>
    </row>
    <row r="1827" spans="1:15" ht="15" customHeight="1">
      <c r="A1827" s="58">
        <v>1826</v>
      </c>
      <c r="B1827" s="231" t="s">
        <v>52</v>
      </c>
      <c r="C1827" s="231" t="s">
        <v>10</v>
      </c>
      <c r="D1827" s="237" t="s">
        <v>3587</v>
      </c>
      <c r="E1827" s="249">
        <v>400</v>
      </c>
      <c r="F1827" s="249">
        <v>0</v>
      </c>
      <c r="G1827" s="168">
        <f t="shared" si="263"/>
        <v>0.4</v>
      </c>
      <c r="H1827" s="168">
        <f t="shared" si="264"/>
        <v>0.8</v>
      </c>
      <c r="I1827" s="168">
        <f t="shared" si="265"/>
        <v>0.6</v>
      </c>
      <c r="J1827" s="168">
        <f t="shared" si="266"/>
        <v>1</v>
      </c>
      <c r="K1827" s="168">
        <f t="shared" si="267"/>
        <v>1</v>
      </c>
      <c r="L1827" s="168">
        <f t="shared" si="268"/>
        <v>1</v>
      </c>
      <c r="M1827" s="168">
        <f t="shared" si="269"/>
        <v>6.666666666666667</v>
      </c>
      <c r="N1827" s="241" t="s">
        <v>453</v>
      </c>
      <c r="O1827" s="286">
        <v>45690</v>
      </c>
    </row>
    <row r="1828" spans="1:15" ht="15" customHeight="1">
      <c r="A1828" s="58">
        <v>1827</v>
      </c>
      <c r="B1828" s="231" t="s">
        <v>52</v>
      </c>
      <c r="C1828" s="231" t="s">
        <v>10</v>
      </c>
      <c r="D1828" s="237" t="s">
        <v>3588</v>
      </c>
      <c r="E1828" s="249">
        <v>120</v>
      </c>
      <c r="F1828" s="249">
        <v>0</v>
      </c>
      <c r="G1828" s="168">
        <f t="shared" si="263"/>
        <v>0.4</v>
      </c>
      <c r="H1828" s="168">
        <f t="shared" si="264"/>
        <v>0.8</v>
      </c>
      <c r="I1828" s="168">
        <f t="shared" si="265"/>
        <v>0.6</v>
      </c>
      <c r="J1828" s="168">
        <f t="shared" si="266"/>
        <v>1</v>
      </c>
      <c r="K1828" s="168">
        <f t="shared" si="267"/>
        <v>1</v>
      </c>
      <c r="L1828" s="168">
        <f t="shared" si="268"/>
        <v>1</v>
      </c>
      <c r="M1828" s="168">
        <f t="shared" si="269"/>
        <v>2</v>
      </c>
      <c r="N1828" s="241" t="s">
        <v>453</v>
      </c>
      <c r="O1828" s="286">
        <v>45690</v>
      </c>
    </row>
    <row r="1829" spans="1:15" ht="15" customHeight="1">
      <c r="A1829" s="58">
        <v>1828</v>
      </c>
      <c r="B1829" s="231" t="s">
        <v>52</v>
      </c>
      <c r="C1829" s="231" t="s">
        <v>10</v>
      </c>
      <c r="D1829" s="237" t="s">
        <v>3589</v>
      </c>
      <c r="E1829" s="249">
        <v>450</v>
      </c>
      <c r="F1829" s="249">
        <v>0</v>
      </c>
      <c r="G1829" s="168">
        <f t="shared" si="263"/>
        <v>0.4</v>
      </c>
      <c r="H1829" s="168">
        <f t="shared" si="264"/>
        <v>0.8</v>
      </c>
      <c r="I1829" s="168">
        <f t="shared" si="265"/>
        <v>0.6</v>
      </c>
      <c r="J1829" s="168">
        <f t="shared" si="266"/>
        <v>1</v>
      </c>
      <c r="K1829" s="168">
        <f t="shared" si="267"/>
        <v>1</v>
      </c>
      <c r="L1829" s="168">
        <f t="shared" si="268"/>
        <v>1</v>
      </c>
      <c r="M1829" s="168">
        <f t="shared" si="269"/>
        <v>7.5</v>
      </c>
      <c r="N1829" s="241" t="s">
        <v>453</v>
      </c>
      <c r="O1829" s="286">
        <v>45690</v>
      </c>
    </row>
    <row r="1830" spans="1:15" ht="15" customHeight="1">
      <c r="A1830" s="58">
        <v>1829</v>
      </c>
      <c r="B1830" s="231" t="s">
        <v>52</v>
      </c>
      <c r="C1830" s="231" t="s">
        <v>10</v>
      </c>
      <c r="D1830" s="237" t="s">
        <v>3590</v>
      </c>
      <c r="E1830" s="249">
        <v>56</v>
      </c>
      <c r="F1830" s="249">
        <v>640</v>
      </c>
      <c r="G1830" s="168">
        <f t="shared" si="263"/>
        <v>4.0571428571428569</v>
      </c>
      <c r="H1830" s="168">
        <f t="shared" si="264"/>
        <v>8.1142857142857139</v>
      </c>
      <c r="I1830" s="168">
        <f t="shared" si="265"/>
        <v>6.0857142857142854</v>
      </c>
      <c r="J1830" s="168">
        <f t="shared" si="266"/>
        <v>10.142857142857142</v>
      </c>
      <c r="K1830" s="168">
        <f t="shared" si="267"/>
        <v>10.142857142857142</v>
      </c>
      <c r="L1830" s="168">
        <f t="shared" si="268"/>
        <v>1.1599999999999999</v>
      </c>
      <c r="M1830" s="168">
        <f t="shared" si="269"/>
        <v>0.93333333333333335</v>
      </c>
      <c r="N1830" s="241" t="s">
        <v>453</v>
      </c>
      <c r="O1830" s="286">
        <v>45698</v>
      </c>
    </row>
    <row r="1831" spans="1:15" ht="15" customHeight="1">
      <c r="A1831" s="58">
        <v>1830</v>
      </c>
      <c r="B1831" s="231" t="s">
        <v>52</v>
      </c>
      <c r="C1831" s="231" t="s">
        <v>10</v>
      </c>
      <c r="D1831" s="237" t="s">
        <v>3591</v>
      </c>
      <c r="E1831" s="249">
        <v>57</v>
      </c>
      <c r="F1831" s="249">
        <v>0</v>
      </c>
      <c r="G1831" s="168">
        <f t="shared" si="263"/>
        <v>0.4</v>
      </c>
      <c r="H1831" s="168">
        <f t="shared" si="264"/>
        <v>0.8</v>
      </c>
      <c r="I1831" s="168">
        <f t="shared" si="265"/>
        <v>0.6</v>
      </c>
      <c r="J1831" s="168">
        <f t="shared" si="266"/>
        <v>1</v>
      </c>
      <c r="K1831" s="168">
        <f t="shared" si="267"/>
        <v>1</v>
      </c>
      <c r="L1831" s="168">
        <f t="shared" si="268"/>
        <v>1</v>
      </c>
      <c r="M1831" s="168">
        <f t="shared" si="269"/>
        <v>0.95</v>
      </c>
      <c r="N1831" s="241" t="s">
        <v>453</v>
      </c>
      <c r="O1831" s="286">
        <v>45698</v>
      </c>
    </row>
    <row r="1832" spans="1:15" ht="15" customHeight="1">
      <c r="A1832" s="58">
        <v>1831</v>
      </c>
      <c r="B1832" s="231" t="s">
        <v>52</v>
      </c>
      <c r="C1832" s="231" t="s">
        <v>10</v>
      </c>
      <c r="D1832" s="237" t="s">
        <v>3592</v>
      </c>
      <c r="E1832" s="249">
        <v>300</v>
      </c>
      <c r="F1832" s="249">
        <v>0</v>
      </c>
      <c r="G1832" s="168">
        <f t="shared" si="263"/>
        <v>0.4</v>
      </c>
      <c r="H1832" s="168">
        <f t="shared" si="264"/>
        <v>0.8</v>
      </c>
      <c r="I1832" s="168">
        <f t="shared" si="265"/>
        <v>0.6</v>
      </c>
      <c r="J1832" s="168">
        <f t="shared" si="266"/>
        <v>1</v>
      </c>
      <c r="K1832" s="168">
        <f t="shared" si="267"/>
        <v>1</v>
      </c>
      <c r="L1832" s="168">
        <f t="shared" si="268"/>
        <v>1</v>
      </c>
      <c r="M1832" s="168">
        <f t="shared" si="269"/>
        <v>5</v>
      </c>
      <c r="N1832" s="241" t="s">
        <v>453</v>
      </c>
      <c r="O1832" s="286">
        <v>45698</v>
      </c>
    </row>
    <row r="1833" spans="1:15" ht="15" customHeight="1">
      <c r="A1833" s="58">
        <v>1832</v>
      </c>
      <c r="B1833" s="231" t="s">
        <v>51</v>
      </c>
      <c r="C1833" s="231" t="s">
        <v>10</v>
      </c>
      <c r="D1833" s="237" t="s">
        <v>3594</v>
      </c>
      <c r="E1833" s="249">
        <v>0</v>
      </c>
      <c r="F1833" s="249">
        <v>1000</v>
      </c>
      <c r="G1833" s="168">
        <f t="shared" si="263"/>
        <v>6.1142857142857148</v>
      </c>
      <c r="H1833" s="168">
        <f t="shared" si="264"/>
        <v>12.22857142857143</v>
      </c>
      <c r="I1833" s="168">
        <f t="shared" si="265"/>
        <v>9.1714285714285708</v>
      </c>
      <c r="J1833" s="168">
        <f t="shared" si="266"/>
        <v>15.285714285714285</v>
      </c>
      <c r="K1833" s="168">
        <f t="shared" si="267"/>
        <v>15.285714285714285</v>
      </c>
      <c r="L1833" s="168">
        <f t="shared" si="268"/>
        <v>1.25</v>
      </c>
      <c r="M1833" s="168">
        <f t="shared" si="269"/>
        <v>0</v>
      </c>
      <c r="N1833" s="241" t="s">
        <v>453</v>
      </c>
      <c r="O1833" s="286">
        <v>45699</v>
      </c>
    </row>
    <row r="1834" spans="1:15" ht="15" customHeight="1">
      <c r="A1834" s="58">
        <v>1833</v>
      </c>
      <c r="B1834" s="231" t="s">
        <v>51</v>
      </c>
      <c r="C1834" s="231" t="s">
        <v>10</v>
      </c>
      <c r="D1834" s="237" t="s">
        <v>3595</v>
      </c>
      <c r="E1834" s="249">
        <v>0</v>
      </c>
      <c r="F1834" s="249">
        <v>300</v>
      </c>
      <c r="G1834" s="168">
        <f t="shared" si="263"/>
        <v>2.1142857142857143</v>
      </c>
      <c r="H1834" s="168">
        <f t="shared" si="264"/>
        <v>4.2285714285714286</v>
      </c>
      <c r="I1834" s="168">
        <f t="shared" si="265"/>
        <v>3.1714285714285713</v>
      </c>
      <c r="J1834" s="168">
        <f t="shared" si="266"/>
        <v>5.2857142857142856</v>
      </c>
      <c r="K1834" s="168">
        <f t="shared" si="267"/>
        <v>5.2857142857142856</v>
      </c>
      <c r="L1834" s="168">
        <f t="shared" si="268"/>
        <v>1.075</v>
      </c>
      <c r="M1834" s="168">
        <f t="shared" si="269"/>
        <v>0</v>
      </c>
      <c r="N1834" s="241" t="s">
        <v>453</v>
      </c>
      <c r="O1834" s="286">
        <v>45700</v>
      </c>
    </row>
    <row r="1835" spans="1:15" ht="15" customHeight="1">
      <c r="A1835" s="58">
        <v>1834</v>
      </c>
      <c r="B1835" s="231" t="s">
        <v>51</v>
      </c>
      <c r="C1835" s="231" t="s">
        <v>10</v>
      </c>
      <c r="D1835" s="237" t="s">
        <v>3597</v>
      </c>
      <c r="E1835" s="249">
        <v>0</v>
      </c>
      <c r="F1835" s="249">
        <v>900</v>
      </c>
      <c r="G1835" s="168">
        <f t="shared" si="263"/>
        <v>5.5428571428571436</v>
      </c>
      <c r="H1835" s="168">
        <f t="shared" si="264"/>
        <v>11.085714285714287</v>
      </c>
      <c r="I1835" s="168">
        <f t="shared" si="265"/>
        <v>8.3142857142857149</v>
      </c>
      <c r="J1835" s="168">
        <f t="shared" si="266"/>
        <v>13.857142857142858</v>
      </c>
      <c r="K1835" s="168">
        <f t="shared" si="267"/>
        <v>13.857142857142858</v>
      </c>
      <c r="L1835" s="168">
        <f t="shared" si="268"/>
        <v>1.2250000000000001</v>
      </c>
      <c r="M1835" s="168">
        <f t="shared" si="269"/>
        <v>0</v>
      </c>
      <c r="N1835" s="241" t="s">
        <v>453</v>
      </c>
      <c r="O1835" s="286">
        <v>45700</v>
      </c>
    </row>
    <row r="1836" spans="1:15" ht="15" customHeight="1">
      <c r="A1836" s="58">
        <v>1835</v>
      </c>
      <c r="B1836" s="231" t="s">
        <v>51</v>
      </c>
      <c r="C1836" s="231" t="s">
        <v>10</v>
      </c>
      <c r="D1836" s="237" t="s">
        <v>3598</v>
      </c>
      <c r="E1836" s="249">
        <v>0</v>
      </c>
      <c r="F1836" s="249">
        <v>500</v>
      </c>
      <c r="G1836" s="168">
        <f t="shared" si="263"/>
        <v>3.2571428571428571</v>
      </c>
      <c r="H1836" s="168">
        <f t="shared" si="264"/>
        <v>6.5142857142857142</v>
      </c>
      <c r="I1836" s="168">
        <f t="shared" si="265"/>
        <v>4.8857142857142852</v>
      </c>
      <c r="J1836" s="168">
        <f t="shared" si="266"/>
        <v>8.1428571428571423</v>
      </c>
      <c r="K1836" s="168">
        <f t="shared" si="267"/>
        <v>8.1428571428571423</v>
      </c>
      <c r="L1836" s="168">
        <f t="shared" si="268"/>
        <v>1.125</v>
      </c>
      <c r="M1836" s="168">
        <f t="shared" si="269"/>
        <v>0</v>
      </c>
      <c r="N1836" s="241" t="s">
        <v>453</v>
      </c>
      <c r="O1836" s="286">
        <v>45700</v>
      </c>
    </row>
    <row r="1837" spans="1:15" ht="15" customHeight="1">
      <c r="A1837" s="58">
        <v>1836</v>
      </c>
      <c r="B1837" s="231" t="s">
        <v>51</v>
      </c>
      <c r="C1837" s="231" t="s">
        <v>10</v>
      </c>
      <c r="D1837" s="237" t="s">
        <v>3599</v>
      </c>
      <c r="E1837" s="249">
        <v>0</v>
      </c>
      <c r="F1837" s="249">
        <v>1194</v>
      </c>
      <c r="G1837" s="168">
        <f t="shared" si="263"/>
        <v>7.2228571428571433</v>
      </c>
      <c r="H1837" s="168">
        <f t="shared" si="264"/>
        <v>14.445714285714287</v>
      </c>
      <c r="I1837" s="168">
        <f t="shared" si="265"/>
        <v>10.834285714285715</v>
      </c>
      <c r="J1837" s="168">
        <f t="shared" si="266"/>
        <v>18.057142857142857</v>
      </c>
      <c r="K1837" s="168">
        <f t="shared" si="267"/>
        <v>18.057142857142857</v>
      </c>
      <c r="L1837" s="168">
        <f t="shared" si="268"/>
        <v>1.2985</v>
      </c>
      <c r="M1837" s="168">
        <f t="shared" si="269"/>
        <v>0</v>
      </c>
      <c r="N1837" s="241" t="s">
        <v>453</v>
      </c>
      <c r="O1837" s="286">
        <v>45700</v>
      </c>
    </row>
    <row r="1838" spans="1:15" ht="15" customHeight="1">
      <c r="A1838" s="58">
        <v>1837</v>
      </c>
      <c r="B1838" s="231" t="s">
        <v>52</v>
      </c>
      <c r="C1838" s="231" t="s">
        <v>10</v>
      </c>
      <c r="D1838" s="237" t="s">
        <v>3600</v>
      </c>
      <c r="E1838" s="249">
        <v>0</v>
      </c>
      <c r="F1838" s="249">
        <v>600</v>
      </c>
      <c r="G1838" s="168">
        <f t="shared" si="263"/>
        <v>3.8285714285714287</v>
      </c>
      <c r="H1838" s="168">
        <f t="shared" si="264"/>
        <v>7.6571428571428575</v>
      </c>
      <c r="I1838" s="168">
        <f t="shared" si="265"/>
        <v>5.7428571428571429</v>
      </c>
      <c r="J1838" s="168">
        <f t="shared" si="266"/>
        <v>9.5714285714285712</v>
      </c>
      <c r="K1838" s="168">
        <f t="shared" si="267"/>
        <v>9.5714285714285712</v>
      </c>
      <c r="L1838" s="168">
        <f t="shared" si="268"/>
        <v>1.1499999999999999</v>
      </c>
      <c r="M1838" s="168">
        <f t="shared" si="269"/>
        <v>0</v>
      </c>
      <c r="N1838" s="241" t="s">
        <v>453</v>
      </c>
      <c r="O1838" s="286">
        <v>45700</v>
      </c>
    </row>
    <row r="1839" spans="1:15" ht="15" customHeight="1">
      <c r="A1839" s="58">
        <v>1838</v>
      </c>
      <c r="B1839" s="231" t="s">
        <v>51</v>
      </c>
      <c r="C1839" s="231" t="s">
        <v>10</v>
      </c>
      <c r="D1839" s="237" t="s">
        <v>3602</v>
      </c>
      <c r="E1839" s="249">
        <v>0</v>
      </c>
      <c r="F1839" s="249">
        <v>1500</v>
      </c>
      <c r="G1839" s="168">
        <f t="shared" si="263"/>
        <v>8.9714285714285715</v>
      </c>
      <c r="H1839" s="168">
        <f t="shared" si="264"/>
        <v>17.942857142857143</v>
      </c>
      <c r="I1839" s="168">
        <f t="shared" si="265"/>
        <v>13.457142857142856</v>
      </c>
      <c r="J1839" s="168">
        <f t="shared" si="266"/>
        <v>22.428571428571427</v>
      </c>
      <c r="K1839" s="168">
        <f t="shared" si="267"/>
        <v>22.428571428571427</v>
      </c>
      <c r="L1839" s="168">
        <f t="shared" si="268"/>
        <v>1.375</v>
      </c>
      <c r="M1839" s="168">
        <f t="shared" si="269"/>
        <v>0</v>
      </c>
      <c r="N1839" s="241" t="s">
        <v>453</v>
      </c>
      <c r="O1839" s="286">
        <v>45700</v>
      </c>
    </row>
    <row r="1840" spans="1:15" ht="15" customHeight="1">
      <c r="A1840" s="58">
        <v>1839</v>
      </c>
      <c r="B1840" s="231" t="s">
        <v>52</v>
      </c>
      <c r="C1840" s="231" t="s">
        <v>10</v>
      </c>
      <c r="D1840" s="237" t="s">
        <v>3603</v>
      </c>
      <c r="E1840" s="249">
        <v>174</v>
      </c>
      <c r="F1840" s="249">
        <v>0</v>
      </c>
      <c r="G1840" s="168">
        <f t="shared" si="263"/>
        <v>0.4</v>
      </c>
      <c r="H1840" s="168">
        <f t="shared" si="264"/>
        <v>0.8</v>
      </c>
      <c r="I1840" s="168">
        <f t="shared" si="265"/>
        <v>0.6</v>
      </c>
      <c r="J1840" s="168">
        <f t="shared" si="266"/>
        <v>1</v>
      </c>
      <c r="K1840" s="168">
        <f t="shared" si="267"/>
        <v>1</v>
      </c>
      <c r="L1840" s="168">
        <f t="shared" si="268"/>
        <v>1</v>
      </c>
      <c r="M1840" s="168">
        <f t="shared" si="269"/>
        <v>2.9</v>
      </c>
      <c r="N1840" s="241" t="s">
        <v>453</v>
      </c>
      <c r="O1840" s="286">
        <v>45702</v>
      </c>
    </row>
    <row r="1841" spans="1:15" ht="15" customHeight="1">
      <c r="A1841" s="58">
        <v>1840</v>
      </c>
      <c r="B1841" s="231" t="s">
        <v>52</v>
      </c>
      <c r="C1841" s="231" t="s">
        <v>10</v>
      </c>
      <c r="D1841" s="237" t="s">
        <v>3604</v>
      </c>
      <c r="E1841" s="249">
        <v>0</v>
      </c>
      <c r="F1841" s="249">
        <v>300</v>
      </c>
      <c r="G1841" s="168">
        <f t="shared" si="263"/>
        <v>2.1142857142857143</v>
      </c>
      <c r="H1841" s="168">
        <f t="shared" si="264"/>
        <v>4.2285714285714286</v>
      </c>
      <c r="I1841" s="168">
        <f t="shared" si="265"/>
        <v>3.1714285714285713</v>
      </c>
      <c r="J1841" s="168">
        <f t="shared" si="266"/>
        <v>5.2857142857142856</v>
      </c>
      <c r="K1841" s="168">
        <f t="shared" si="267"/>
        <v>5.2857142857142856</v>
      </c>
      <c r="L1841" s="168">
        <f t="shared" si="268"/>
        <v>1.075</v>
      </c>
      <c r="M1841" s="168">
        <f t="shared" si="269"/>
        <v>0</v>
      </c>
      <c r="N1841" s="241" t="s">
        <v>453</v>
      </c>
      <c r="O1841" s="286">
        <v>45702</v>
      </c>
    </row>
    <row r="1842" spans="1:15" ht="15" customHeight="1">
      <c r="A1842" s="58">
        <v>1841</v>
      </c>
      <c r="B1842" s="231" t="s">
        <v>52</v>
      </c>
      <c r="C1842" s="231" t="s">
        <v>10</v>
      </c>
      <c r="D1842" s="237" t="s">
        <v>3605</v>
      </c>
      <c r="E1842" s="249">
        <v>0</v>
      </c>
      <c r="F1842" s="249">
        <v>471</v>
      </c>
      <c r="G1842" s="168">
        <f t="shared" si="263"/>
        <v>3.0914285714285716</v>
      </c>
      <c r="H1842" s="168">
        <f t="shared" si="264"/>
        <v>6.1828571428571433</v>
      </c>
      <c r="I1842" s="168">
        <f t="shared" si="265"/>
        <v>4.637142857142857</v>
      </c>
      <c r="J1842" s="168">
        <f t="shared" si="266"/>
        <v>7.7285714285714286</v>
      </c>
      <c r="K1842" s="168">
        <f t="shared" si="267"/>
        <v>7.7285714285714286</v>
      </c>
      <c r="L1842" s="168">
        <f t="shared" si="268"/>
        <v>1.11775</v>
      </c>
      <c r="M1842" s="168">
        <f t="shared" si="269"/>
        <v>0</v>
      </c>
      <c r="N1842" s="241" t="s">
        <v>453</v>
      </c>
      <c r="O1842" s="286">
        <v>45702</v>
      </c>
    </row>
    <row r="1843" spans="1:15" ht="15" customHeight="1">
      <c r="A1843" s="58">
        <v>1842</v>
      </c>
      <c r="B1843" s="231" t="s">
        <v>52</v>
      </c>
      <c r="C1843" s="231" t="s">
        <v>10</v>
      </c>
      <c r="D1843" s="237" t="s">
        <v>3606</v>
      </c>
      <c r="E1843" s="249">
        <v>0</v>
      </c>
      <c r="F1843" s="249">
        <v>600</v>
      </c>
      <c r="G1843" s="168">
        <f t="shared" si="263"/>
        <v>3.8285714285714287</v>
      </c>
      <c r="H1843" s="168">
        <f t="shared" si="264"/>
        <v>7.6571428571428575</v>
      </c>
      <c r="I1843" s="168">
        <f t="shared" si="265"/>
        <v>5.7428571428571429</v>
      </c>
      <c r="J1843" s="168">
        <f t="shared" si="266"/>
        <v>9.5714285714285712</v>
      </c>
      <c r="K1843" s="168">
        <f t="shared" si="267"/>
        <v>9.5714285714285712</v>
      </c>
      <c r="L1843" s="168">
        <f t="shared" si="268"/>
        <v>1.1499999999999999</v>
      </c>
      <c r="M1843" s="168">
        <f t="shared" si="269"/>
        <v>0</v>
      </c>
      <c r="N1843" s="241" t="s">
        <v>453</v>
      </c>
      <c r="O1843" s="286">
        <v>45702</v>
      </c>
    </row>
    <row r="1844" spans="1:15" ht="15" customHeight="1">
      <c r="A1844" s="58">
        <v>1843</v>
      </c>
      <c r="B1844" s="231" t="s">
        <v>52</v>
      </c>
      <c r="C1844" s="231" t="s">
        <v>10</v>
      </c>
      <c r="D1844" s="237" t="s">
        <v>3607</v>
      </c>
      <c r="E1844" s="249">
        <v>300</v>
      </c>
      <c r="F1844" s="249">
        <v>0</v>
      </c>
      <c r="G1844" s="168">
        <f t="shared" si="263"/>
        <v>0.4</v>
      </c>
      <c r="H1844" s="168">
        <f t="shared" si="264"/>
        <v>0.8</v>
      </c>
      <c r="I1844" s="168">
        <f t="shared" si="265"/>
        <v>0.6</v>
      </c>
      <c r="J1844" s="168">
        <f t="shared" si="266"/>
        <v>1</v>
      </c>
      <c r="K1844" s="168">
        <f t="shared" si="267"/>
        <v>1</v>
      </c>
      <c r="L1844" s="168">
        <f t="shared" si="268"/>
        <v>1</v>
      </c>
      <c r="M1844" s="168">
        <f t="shared" si="269"/>
        <v>5</v>
      </c>
      <c r="N1844" s="241" t="s">
        <v>453</v>
      </c>
      <c r="O1844" s="286">
        <v>45702</v>
      </c>
    </row>
    <row r="1845" spans="1:15" ht="15" customHeight="1">
      <c r="A1845" s="58">
        <v>1844</v>
      </c>
      <c r="B1845" s="231" t="s">
        <v>52</v>
      </c>
      <c r="C1845" s="231" t="s">
        <v>10</v>
      </c>
      <c r="D1845" s="237" t="s">
        <v>3609</v>
      </c>
      <c r="E1845" s="249">
        <v>300</v>
      </c>
      <c r="F1845" s="249">
        <v>0</v>
      </c>
      <c r="G1845" s="168">
        <f t="shared" si="263"/>
        <v>0.4</v>
      </c>
      <c r="H1845" s="168">
        <f t="shared" si="264"/>
        <v>0.8</v>
      </c>
      <c r="I1845" s="168">
        <f t="shared" si="265"/>
        <v>0.6</v>
      </c>
      <c r="J1845" s="168">
        <f t="shared" si="266"/>
        <v>1</v>
      </c>
      <c r="K1845" s="168">
        <f t="shared" si="267"/>
        <v>1</v>
      </c>
      <c r="L1845" s="168">
        <f t="shared" si="268"/>
        <v>1</v>
      </c>
      <c r="M1845" s="168">
        <f t="shared" si="269"/>
        <v>5</v>
      </c>
      <c r="N1845" s="241" t="s">
        <v>453</v>
      </c>
      <c r="O1845" s="286">
        <v>45702</v>
      </c>
    </row>
    <row r="1846" spans="1:15" ht="15" customHeight="1">
      <c r="A1846" s="58">
        <v>1845</v>
      </c>
      <c r="B1846" s="231" t="s">
        <v>52</v>
      </c>
      <c r="C1846" s="231" t="s">
        <v>10</v>
      </c>
      <c r="D1846" s="237" t="s">
        <v>3610</v>
      </c>
      <c r="E1846" s="249">
        <v>100</v>
      </c>
      <c r="F1846" s="249">
        <v>600</v>
      </c>
      <c r="G1846" s="168">
        <f t="shared" si="263"/>
        <v>3.8285714285714287</v>
      </c>
      <c r="H1846" s="168">
        <f t="shared" si="264"/>
        <v>7.6571428571428575</v>
      </c>
      <c r="I1846" s="168">
        <f t="shared" si="265"/>
        <v>5.7428571428571429</v>
      </c>
      <c r="J1846" s="168">
        <f t="shared" si="266"/>
        <v>9.5714285714285712</v>
      </c>
      <c r="K1846" s="168">
        <f t="shared" si="267"/>
        <v>9.5714285714285712</v>
      </c>
      <c r="L1846" s="168">
        <f t="shared" si="268"/>
        <v>1.1499999999999999</v>
      </c>
      <c r="M1846" s="168">
        <f t="shared" si="269"/>
        <v>1.6666666666666667</v>
      </c>
      <c r="N1846" s="241" t="s">
        <v>453</v>
      </c>
      <c r="O1846" s="286">
        <v>45700</v>
      </c>
    </row>
    <row r="1847" spans="1:15" ht="15" customHeight="1">
      <c r="A1847" s="58">
        <v>1846</v>
      </c>
      <c r="B1847" s="231" t="s">
        <v>52</v>
      </c>
      <c r="C1847" s="231" t="s">
        <v>10</v>
      </c>
      <c r="D1847" s="237" t="s">
        <v>3611</v>
      </c>
      <c r="E1847" s="249">
        <v>350</v>
      </c>
      <c r="F1847" s="249">
        <v>0</v>
      </c>
      <c r="G1847" s="168">
        <f t="shared" si="263"/>
        <v>0.4</v>
      </c>
      <c r="H1847" s="168">
        <f t="shared" si="264"/>
        <v>0.8</v>
      </c>
      <c r="I1847" s="168">
        <f t="shared" si="265"/>
        <v>0.6</v>
      </c>
      <c r="J1847" s="168">
        <f t="shared" si="266"/>
        <v>1</v>
      </c>
      <c r="K1847" s="168">
        <f t="shared" si="267"/>
        <v>1</v>
      </c>
      <c r="L1847" s="168">
        <f t="shared" si="268"/>
        <v>1</v>
      </c>
      <c r="M1847" s="168">
        <f t="shared" si="269"/>
        <v>5.833333333333333</v>
      </c>
      <c r="N1847" s="241" t="s">
        <v>453</v>
      </c>
      <c r="O1847" s="286">
        <v>45700</v>
      </c>
    </row>
    <row r="1848" spans="1:15" ht="15" customHeight="1">
      <c r="A1848" s="58">
        <v>1847</v>
      </c>
      <c r="B1848" s="231" t="s">
        <v>52</v>
      </c>
      <c r="C1848" s="231" t="s">
        <v>10</v>
      </c>
      <c r="D1848" s="237" t="s">
        <v>3612</v>
      </c>
      <c r="E1848" s="249">
        <v>70</v>
      </c>
      <c r="F1848" s="249">
        <v>201</v>
      </c>
      <c r="G1848" s="168">
        <f t="shared" si="263"/>
        <v>1.5485714285714287</v>
      </c>
      <c r="H1848" s="168">
        <f t="shared" si="264"/>
        <v>3.0971428571428574</v>
      </c>
      <c r="I1848" s="168">
        <f t="shared" si="265"/>
        <v>2.322857142857143</v>
      </c>
      <c r="J1848" s="168">
        <f t="shared" si="266"/>
        <v>3.8714285714285719</v>
      </c>
      <c r="K1848" s="168">
        <f t="shared" si="267"/>
        <v>3.8714285714285719</v>
      </c>
      <c r="L1848" s="168">
        <f t="shared" si="268"/>
        <v>1.0502499999999999</v>
      </c>
      <c r="M1848" s="168">
        <f t="shared" si="269"/>
        <v>1.1666666666666667</v>
      </c>
      <c r="N1848" s="241" t="s">
        <v>453</v>
      </c>
      <c r="O1848" s="286">
        <v>45701</v>
      </c>
    </row>
    <row r="1849" spans="1:15" ht="15" customHeight="1">
      <c r="A1849" s="58">
        <v>1848</v>
      </c>
      <c r="B1849" s="231" t="s">
        <v>52</v>
      </c>
      <c r="C1849" s="231" t="s">
        <v>10</v>
      </c>
      <c r="D1849" s="237" t="s">
        <v>3614</v>
      </c>
      <c r="E1849" s="249">
        <v>0</v>
      </c>
      <c r="F1849" s="249">
        <v>600</v>
      </c>
      <c r="G1849" s="168">
        <f t="shared" si="263"/>
        <v>3.8285714285714287</v>
      </c>
      <c r="H1849" s="168">
        <f t="shared" si="264"/>
        <v>7.6571428571428575</v>
      </c>
      <c r="I1849" s="168">
        <f t="shared" si="265"/>
        <v>5.7428571428571429</v>
      </c>
      <c r="J1849" s="168">
        <f t="shared" si="266"/>
        <v>9.5714285714285712</v>
      </c>
      <c r="K1849" s="168">
        <f t="shared" si="267"/>
        <v>9.5714285714285712</v>
      </c>
      <c r="L1849" s="168">
        <f t="shared" si="268"/>
        <v>1.1499999999999999</v>
      </c>
      <c r="M1849" s="168">
        <f t="shared" si="269"/>
        <v>0</v>
      </c>
      <c r="N1849" s="241" t="s">
        <v>453</v>
      </c>
      <c r="O1849" s="286">
        <v>45712</v>
      </c>
    </row>
    <row r="1850" spans="1:15" ht="15" customHeight="1">
      <c r="A1850" s="58">
        <v>1849</v>
      </c>
      <c r="B1850" s="231" t="s">
        <v>52</v>
      </c>
      <c r="C1850" s="231" t="s">
        <v>10</v>
      </c>
      <c r="D1850" s="237" t="s">
        <v>3616</v>
      </c>
      <c r="E1850" s="249">
        <v>0</v>
      </c>
      <c r="F1850" s="249">
        <v>0</v>
      </c>
      <c r="G1850" s="168">
        <f t="shared" si="263"/>
        <v>0.4</v>
      </c>
      <c r="H1850" s="168">
        <f t="shared" si="264"/>
        <v>0.8</v>
      </c>
      <c r="I1850" s="168">
        <f t="shared" si="265"/>
        <v>0.6</v>
      </c>
      <c r="J1850" s="168">
        <f t="shared" si="266"/>
        <v>1</v>
      </c>
      <c r="K1850" s="168">
        <f t="shared" si="267"/>
        <v>1</v>
      </c>
      <c r="L1850" s="168">
        <f t="shared" si="268"/>
        <v>1</v>
      </c>
      <c r="M1850" s="168">
        <f t="shared" si="269"/>
        <v>0</v>
      </c>
      <c r="N1850" s="241" t="s">
        <v>453</v>
      </c>
      <c r="O1850" s="286">
        <v>45712</v>
      </c>
    </row>
    <row r="1851" spans="1:15" ht="15" customHeight="1">
      <c r="A1851" s="58">
        <v>1850</v>
      </c>
      <c r="B1851" s="231" t="s">
        <v>52</v>
      </c>
      <c r="C1851" s="231" t="s">
        <v>10</v>
      </c>
      <c r="D1851" s="237" t="s">
        <v>3617</v>
      </c>
      <c r="E1851" s="249">
        <v>0</v>
      </c>
      <c r="F1851" s="249">
        <v>1000</v>
      </c>
      <c r="G1851" s="168">
        <f t="shared" si="263"/>
        <v>6.1142857142857148</v>
      </c>
      <c r="H1851" s="168">
        <f t="shared" si="264"/>
        <v>12.22857142857143</v>
      </c>
      <c r="I1851" s="168">
        <f t="shared" si="265"/>
        <v>9.1714285714285708</v>
      </c>
      <c r="J1851" s="168">
        <f t="shared" si="266"/>
        <v>15.285714285714285</v>
      </c>
      <c r="K1851" s="168">
        <f t="shared" si="267"/>
        <v>15.285714285714285</v>
      </c>
      <c r="L1851" s="168">
        <f t="shared" si="268"/>
        <v>1.25</v>
      </c>
      <c r="M1851" s="168">
        <f t="shared" si="269"/>
        <v>0</v>
      </c>
      <c r="N1851" s="241" t="s">
        <v>453</v>
      </c>
      <c r="O1851" s="286">
        <v>45712</v>
      </c>
    </row>
    <row r="1852" spans="1:15" ht="15" customHeight="1">
      <c r="A1852" s="58">
        <v>1851</v>
      </c>
      <c r="B1852" s="231" t="s">
        <v>52</v>
      </c>
      <c r="C1852" s="231" t="s">
        <v>10</v>
      </c>
      <c r="D1852" s="237" t="s">
        <v>3618</v>
      </c>
      <c r="E1852" s="249">
        <v>0</v>
      </c>
      <c r="F1852" s="249">
        <v>665</v>
      </c>
      <c r="G1852" s="168">
        <f t="shared" si="263"/>
        <v>4.2</v>
      </c>
      <c r="H1852" s="168">
        <f t="shared" si="264"/>
        <v>8.4</v>
      </c>
      <c r="I1852" s="168">
        <f t="shared" si="265"/>
        <v>6.3</v>
      </c>
      <c r="J1852" s="168">
        <f t="shared" si="266"/>
        <v>10.5</v>
      </c>
      <c r="K1852" s="168">
        <f t="shared" si="267"/>
        <v>10.5</v>
      </c>
      <c r="L1852" s="168">
        <f t="shared" si="268"/>
        <v>1.16625</v>
      </c>
      <c r="M1852" s="168">
        <f t="shared" si="269"/>
        <v>0</v>
      </c>
      <c r="N1852" s="241" t="s">
        <v>453</v>
      </c>
      <c r="O1852" s="286">
        <v>45712</v>
      </c>
    </row>
    <row r="1853" spans="1:15" ht="15" customHeight="1">
      <c r="A1853" s="58">
        <v>1852</v>
      </c>
      <c r="B1853" s="231" t="s">
        <v>49</v>
      </c>
      <c r="C1853" s="231" t="s">
        <v>10</v>
      </c>
      <c r="D1853" s="237" t="s">
        <v>3619</v>
      </c>
      <c r="E1853" s="249">
        <v>300</v>
      </c>
      <c r="F1853" s="249">
        <v>0</v>
      </c>
      <c r="G1853" s="168">
        <f t="shared" si="263"/>
        <v>0.4</v>
      </c>
      <c r="H1853" s="168">
        <f t="shared" si="264"/>
        <v>0.8</v>
      </c>
      <c r="I1853" s="168">
        <f t="shared" si="265"/>
        <v>0.6</v>
      </c>
      <c r="J1853" s="168">
        <f t="shared" si="266"/>
        <v>1</v>
      </c>
      <c r="K1853" s="168">
        <f t="shared" si="267"/>
        <v>1</v>
      </c>
      <c r="L1853" s="168">
        <f t="shared" si="268"/>
        <v>1</v>
      </c>
      <c r="M1853" s="168">
        <f t="shared" si="269"/>
        <v>5</v>
      </c>
      <c r="N1853" s="241" t="s">
        <v>453</v>
      </c>
      <c r="O1853" s="286">
        <v>45713</v>
      </c>
    </row>
    <row r="1854" spans="1:15" ht="15" customHeight="1">
      <c r="A1854" s="58">
        <v>1853</v>
      </c>
      <c r="B1854" s="231" t="s">
        <v>52</v>
      </c>
      <c r="C1854" s="231" t="s">
        <v>10</v>
      </c>
      <c r="D1854" s="237" t="s">
        <v>3621</v>
      </c>
      <c r="E1854" s="249">
        <v>0</v>
      </c>
      <c r="F1854" s="249">
        <v>790</v>
      </c>
      <c r="G1854" s="168">
        <f t="shared" si="263"/>
        <v>4.9142857142857146</v>
      </c>
      <c r="H1854" s="168">
        <f t="shared" si="264"/>
        <v>9.8285714285714292</v>
      </c>
      <c r="I1854" s="168">
        <f t="shared" si="265"/>
        <v>7.3714285714285719</v>
      </c>
      <c r="J1854" s="168">
        <f t="shared" si="266"/>
        <v>12.285714285714286</v>
      </c>
      <c r="K1854" s="168">
        <f t="shared" si="267"/>
        <v>12.285714285714286</v>
      </c>
      <c r="L1854" s="168">
        <f t="shared" si="268"/>
        <v>1.1975</v>
      </c>
      <c r="M1854" s="168">
        <f t="shared" si="269"/>
        <v>0</v>
      </c>
      <c r="N1854" s="241" t="s">
        <v>453</v>
      </c>
      <c r="O1854" s="286">
        <v>45714</v>
      </c>
    </row>
    <row r="1855" spans="1:15" ht="15" customHeight="1">
      <c r="A1855" s="58">
        <v>1854</v>
      </c>
      <c r="B1855" s="231" t="s">
        <v>52</v>
      </c>
      <c r="C1855" s="231" t="s">
        <v>10</v>
      </c>
      <c r="D1855" s="237" t="s">
        <v>3622</v>
      </c>
      <c r="E1855" s="249">
        <v>0</v>
      </c>
      <c r="F1855" s="249">
        <v>1000</v>
      </c>
      <c r="G1855" s="168">
        <f t="shared" si="263"/>
        <v>6.1142857142857148</v>
      </c>
      <c r="H1855" s="168">
        <f t="shared" si="264"/>
        <v>12.22857142857143</v>
      </c>
      <c r="I1855" s="168">
        <f t="shared" si="265"/>
        <v>9.1714285714285708</v>
      </c>
      <c r="J1855" s="168">
        <f t="shared" si="266"/>
        <v>15.285714285714285</v>
      </c>
      <c r="K1855" s="168">
        <f t="shared" si="267"/>
        <v>15.285714285714285</v>
      </c>
      <c r="L1855" s="168">
        <f t="shared" si="268"/>
        <v>1.25</v>
      </c>
      <c r="M1855" s="168">
        <f t="shared" si="269"/>
        <v>0</v>
      </c>
      <c r="N1855" s="241" t="s">
        <v>453</v>
      </c>
      <c r="O1855" s="286">
        <v>45715</v>
      </c>
    </row>
    <row r="1856" spans="1:15" ht="15" customHeight="1">
      <c r="A1856" s="58">
        <v>1855</v>
      </c>
      <c r="B1856" s="231" t="s">
        <v>52</v>
      </c>
      <c r="C1856" s="231" t="s">
        <v>10</v>
      </c>
      <c r="D1856" s="237" t="s">
        <v>3624</v>
      </c>
      <c r="E1856" s="249">
        <v>339</v>
      </c>
      <c r="F1856" s="249">
        <v>0</v>
      </c>
      <c r="G1856" s="168">
        <f t="shared" si="263"/>
        <v>0.4</v>
      </c>
      <c r="H1856" s="168">
        <f t="shared" si="264"/>
        <v>0.8</v>
      </c>
      <c r="I1856" s="168">
        <f t="shared" si="265"/>
        <v>0.6</v>
      </c>
      <c r="J1856" s="168">
        <f t="shared" si="266"/>
        <v>1</v>
      </c>
      <c r="K1856" s="168">
        <f t="shared" si="267"/>
        <v>1</v>
      </c>
      <c r="L1856" s="168">
        <f t="shared" si="268"/>
        <v>1</v>
      </c>
      <c r="M1856" s="168">
        <f t="shared" si="269"/>
        <v>5.65</v>
      </c>
      <c r="N1856" s="241" t="s">
        <v>453</v>
      </c>
      <c r="O1856" s="286">
        <v>45716</v>
      </c>
    </row>
    <row r="1857" spans="1:15" ht="15" customHeight="1">
      <c r="A1857" s="58">
        <v>1856</v>
      </c>
      <c r="B1857" s="231" t="s">
        <v>55</v>
      </c>
      <c r="C1857" s="231" t="s">
        <v>10</v>
      </c>
      <c r="D1857" s="237" t="s">
        <v>3625</v>
      </c>
      <c r="E1857" s="249">
        <v>200</v>
      </c>
      <c r="F1857" s="249">
        <v>0</v>
      </c>
      <c r="G1857" s="168">
        <f t="shared" si="263"/>
        <v>0.4</v>
      </c>
      <c r="H1857" s="168">
        <f t="shared" si="264"/>
        <v>0.8</v>
      </c>
      <c r="I1857" s="168">
        <f t="shared" si="265"/>
        <v>0.6</v>
      </c>
      <c r="J1857" s="168">
        <f t="shared" si="266"/>
        <v>1</v>
      </c>
      <c r="K1857" s="168">
        <f t="shared" si="267"/>
        <v>1</v>
      </c>
      <c r="L1857" s="168">
        <f t="shared" si="268"/>
        <v>1</v>
      </c>
      <c r="M1857" s="168">
        <f t="shared" si="269"/>
        <v>3.3333333333333335</v>
      </c>
      <c r="N1857" s="241" t="s">
        <v>453</v>
      </c>
      <c r="O1857" s="286">
        <v>45716</v>
      </c>
    </row>
    <row r="1858" spans="1:15" ht="15" customHeight="1">
      <c r="A1858" s="58">
        <v>1857</v>
      </c>
      <c r="B1858" s="231" t="s">
        <v>52</v>
      </c>
      <c r="C1858" s="231" t="s">
        <v>10</v>
      </c>
      <c r="D1858" s="237" t="s">
        <v>3626</v>
      </c>
      <c r="E1858" s="249">
        <v>97</v>
      </c>
      <c r="F1858" s="249">
        <v>0</v>
      </c>
      <c r="G1858" s="168">
        <f t="shared" si="263"/>
        <v>0.4</v>
      </c>
      <c r="H1858" s="168">
        <f t="shared" si="264"/>
        <v>0.8</v>
      </c>
      <c r="I1858" s="168">
        <f t="shared" si="265"/>
        <v>0.6</v>
      </c>
      <c r="J1858" s="168">
        <f t="shared" si="266"/>
        <v>1</v>
      </c>
      <c r="K1858" s="168">
        <f t="shared" si="267"/>
        <v>1</v>
      </c>
      <c r="L1858" s="168">
        <f t="shared" si="268"/>
        <v>1</v>
      </c>
      <c r="M1858" s="168">
        <f t="shared" si="269"/>
        <v>1.6166666666666667</v>
      </c>
      <c r="N1858" s="241" t="s">
        <v>453</v>
      </c>
      <c r="O1858" s="286">
        <v>45716</v>
      </c>
    </row>
    <row r="1859" spans="1:15" ht="15" customHeight="1">
      <c r="A1859" s="58">
        <v>1858</v>
      </c>
      <c r="B1859" s="231" t="s">
        <v>52</v>
      </c>
      <c r="C1859" s="231" t="s">
        <v>10</v>
      </c>
      <c r="D1859" s="237" t="s">
        <v>3627</v>
      </c>
      <c r="E1859" s="249">
        <v>75</v>
      </c>
      <c r="F1859" s="249">
        <v>0</v>
      </c>
      <c r="G1859" s="168">
        <f t="shared" si="263"/>
        <v>0.4</v>
      </c>
      <c r="H1859" s="168">
        <f t="shared" si="264"/>
        <v>0.8</v>
      </c>
      <c r="I1859" s="168">
        <f t="shared" si="265"/>
        <v>0.6</v>
      </c>
      <c r="J1859" s="168">
        <f t="shared" si="266"/>
        <v>1</v>
      </c>
      <c r="K1859" s="168">
        <f t="shared" si="267"/>
        <v>1</v>
      </c>
      <c r="L1859" s="168">
        <f t="shared" si="268"/>
        <v>1</v>
      </c>
      <c r="M1859" s="168">
        <f t="shared" si="269"/>
        <v>1.25</v>
      </c>
      <c r="N1859" s="241" t="s">
        <v>453</v>
      </c>
      <c r="O1859" s="286">
        <v>45716</v>
      </c>
    </row>
    <row r="1860" spans="1:15" ht="15" customHeight="1">
      <c r="A1860" s="58">
        <v>1859</v>
      </c>
      <c r="B1860" s="231" t="s">
        <v>52</v>
      </c>
      <c r="C1860" s="231" t="s">
        <v>10</v>
      </c>
      <c r="D1860" s="237" t="s">
        <v>3629</v>
      </c>
      <c r="E1860" s="249">
        <v>75</v>
      </c>
      <c r="F1860" s="249">
        <v>0</v>
      </c>
      <c r="G1860" s="168">
        <f t="shared" si="263"/>
        <v>0.4</v>
      </c>
      <c r="H1860" s="168">
        <f t="shared" si="264"/>
        <v>0.8</v>
      </c>
      <c r="I1860" s="168">
        <f t="shared" si="265"/>
        <v>0.6</v>
      </c>
      <c r="J1860" s="168">
        <f t="shared" si="266"/>
        <v>1</v>
      </c>
      <c r="K1860" s="168">
        <f t="shared" si="267"/>
        <v>1</v>
      </c>
      <c r="L1860" s="168">
        <f t="shared" si="268"/>
        <v>1</v>
      </c>
      <c r="M1860" s="168">
        <f t="shared" si="269"/>
        <v>1.25</v>
      </c>
      <c r="N1860" s="241" t="s">
        <v>453</v>
      </c>
      <c r="O1860" s="286">
        <v>45716</v>
      </c>
    </row>
    <row r="1861" spans="1:15" ht="15" customHeight="1">
      <c r="A1861" s="58">
        <v>1860</v>
      </c>
      <c r="B1861" s="231" t="s">
        <v>52</v>
      </c>
      <c r="C1861" s="231" t="s">
        <v>10</v>
      </c>
      <c r="D1861" s="304" t="s">
        <v>4361</v>
      </c>
      <c r="E1861" s="249">
        <v>0</v>
      </c>
      <c r="F1861" s="249">
        <v>400</v>
      </c>
      <c r="G1861" s="168">
        <f t="shared" si="263"/>
        <v>2.6857142857142859</v>
      </c>
      <c r="H1861" s="168">
        <f t="shared" si="264"/>
        <v>5.3714285714285719</v>
      </c>
      <c r="I1861" s="168">
        <f t="shared" si="265"/>
        <v>4.0285714285714285</v>
      </c>
      <c r="J1861" s="168">
        <f t="shared" si="266"/>
        <v>6.7142857142857144</v>
      </c>
      <c r="K1861" s="168">
        <f t="shared" si="267"/>
        <v>6.7142857142857144</v>
      </c>
      <c r="L1861" s="168">
        <f t="shared" si="268"/>
        <v>1.1000000000000001</v>
      </c>
      <c r="M1861" s="168">
        <f t="shared" si="269"/>
        <v>0</v>
      </c>
      <c r="N1861" s="241" t="s">
        <v>453</v>
      </c>
      <c r="O1861" s="286">
        <v>45714</v>
      </c>
    </row>
    <row r="1862" spans="1:15" ht="15" customHeight="1">
      <c r="A1862" s="58">
        <v>1861</v>
      </c>
      <c r="B1862" s="231" t="s">
        <v>52</v>
      </c>
      <c r="C1862" s="231" t="s">
        <v>10</v>
      </c>
      <c r="D1862" s="237" t="s">
        <v>3630</v>
      </c>
      <c r="E1862" s="249">
        <v>423</v>
      </c>
      <c r="F1862" s="249">
        <v>0</v>
      </c>
      <c r="G1862" s="168">
        <f t="shared" si="263"/>
        <v>0.4</v>
      </c>
      <c r="H1862" s="168">
        <f t="shared" si="264"/>
        <v>0.8</v>
      </c>
      <c r="I1862" s="168">
        <f t="shared" si="265"/>
        <v>0.6</v>
      </c>
      <c r="J1862" s="168">
        <f t="shared" si="266"/>
        <v>1</v>
      </c>
      <c r="K1862" s="168">
        <f t="shared" si="267"/>
        <v>1</v>
      </c>
      <c r="L1862" s="168">
        <f t="shared" si="268"/>
        <v>1</v>
      </c>
      <c r="M1862" s="168">
        <f t="shared" si="269"/>
        <v>7.05</v>
      </c>
      <c r="N1862" s="241" t="s">
        <v>453</v>
      </c>
      <c r="O1862" s="286">
        <v>45714</v>
      </c>
    </row>
    <row r="1863" spans="1:15" ht="15" customHeight="1">
      <c r="A1863" s="58">
        <v>1862</v>
      </c>
      <c r="B1863" s="231" t="s">
        <v>52</v>
      </c>
      <c r="C1863" s="231" t="s">
        <v>10</v>
      </c>
      <c r="D1863" s="237" t="s">
        <v>3631</v>
      </c>
      <c r="E1863" s="249">
        <v>450</v>
      </c>
      <c r="F1863" s="249">
        <v>0</v>
      </c>
      <c r="G1863" s="168">
        <f t="shared" si="263"/>
        <v>0.4</v>
      </c>
      <c r="H1863" s="168">
        <f t="shared" si="264"/>
        <v>0.8</v>
      </c>
      <c r="I1863" s="168">
        <f t="shared" si="265"/>
        <v>0.6</v>
      </c>
      <c r="J1863" s="168">
        <f t="shared" si="266"/>
        <v>1</v>
      </c>
      <c r="K1863" s="168">
        <f t="shared" si="267"/>
        <v>1</v>
      </c>
      <c r="L1863" s="168">
        <f t="shared" si="268"/>
        <v>1</v>
      </c>
      <c r="M1863" s="168">
        <f t="shared" si="269"/>
        <v>7.5</v>
      </c>
      <c r="N1863" s="241" t="s">
        <v>453</v>
      </c>
      <c r="O1863" s="286">
        <v>45716</v>
      </c>
    </row>
    <row r="1864" spans="1:15" ht="15" customHeight="1">
      <c r="A1864" s="58">
        <v>1863</v>
      </c>
      <c r="B1864" s="231" t="s">
        <v>51</v>
      </c>
      <c r="C1864" s="231" t="s">
        <v>10</v>
      </c>
      <c r="D1864" s="237" t="s">
        <v>3632</v>
      </c>
      <c r="E1864" s="249">
        <v>0</v>
      </c>
      <c r="F1864" s="249">
        <v>1943</v>
      </c>
      <c r="G1864" s="168">
        <f t="shared" ref="G1864:G1927" si="270">(((F1864/70)+1)*0.4)</f>
        <v>11.502857142857144</v>
      </c>
      <c r="H1864" s="168">
        <f t="shared" ref="H1864:H1927" si="271">G1864*2</f>
        <v>23.005714285714287</v>
      </c>
      <c r="I1864" s="168">
        <f t="shared" ref="I1864:I1927" si="272">(((F1864/70)+1)*0.6)</f>
        <v>17.254285714285714</v>
      </c>
      <c r="J1864" s="168">
        <f t="shared" ref="J1864:J1927" si="273">I1864+G1864</f>
        <v>28.75714285714286</v>
      </c>
      <c r="K1864" s="168">
        <f t="shared" ref="K1864:K1927" si="274">J1864</f>
        <v>28.75714285714286</v>
      </c>
      <c r="L1864" s="168">
        <f t="shared" ref="L1864:L1927" si="275">(F1864/4000)+1</f>
        <v>1.4857499999999999</v>
      </c>
      <c r="M1864" s="168">
        <f t="shared" si="269"/>
        <v>0</v>
      </c>
      <c r="N1864" s="241" t="s">
        <v>453</v>
      </c>
      <c r="O1864" s="286">
        <v>45716</v>
      </c>
    </row>
    <row r="1865" spans="1:15" ht="15" customHeight="1">
      <c r="A1865" s="58">
        <v>1864</v>
      </c>
      <c r="B1865" s="231" t="s">
        <v>52</v>
      </c>
      <c r="C1865" s="231" t="s">
        <v>10</v>
      </c>
      <c r="D1865" s="237" t="s">
        <v>3634</v>
      </c>
      <c r="E1865" s="249">
        <v>0</v>
      </c>
      <c r="F1865" s="249">
        <v>300</v>
      </c>
      <c r="G1865" s="168">
        <f t="shared" si="270"/>
        <v>2.1142857142857143</v>
      </c>
      <c r="H1865" s="168">
        <f t="shared" si="271"/>
        <v>4.2285714285714286</v>
      </c>
      <c r="I1865" s="168">
        <f t="shared" si="272"/>
        <v>3.1714285714285713</v>
      </c>
      <c r="J1865" s="168">
        <f t="shared" si="273"/>
        <v>5.2857142857142856</v>
      </c>
      <c r="K1865" s="168">
        <f t="shared" si="274"/>
        <v>5.2857142857142856</v>
      </c>
      <c r="L1865" s="168">
        <f t="shared" si="275"/>
        <v>1.075</v>
      </c>
      <c r="M1865" s="168">
        <f t="shared" ref="M1865:M1928" si="276">E1865/60</f>
        <v>0</v>
      </c>
      <c r="N1865" s="241" t="s">
        <v>453</v>
      </c>
      <c r="O1865" s="286">
        <v>45714</v>
      </c>
    </row>
    <row r="1866" spans="1:15" ht="15" customHeight="1">
      <c r="A1866" s="58">
        <v>1865</v>
      </c>
      <c r="B1866" s="231" t="s">
        <v>55</v>
      </c>
      <c r="C1866" s="231" t="s">
        <v>10</v>
      </c>
      <c r="D1866" s="237" t="s">
        <v>3636</v>
      </c>
      <c r="E1866" s="249">
        <v>0</v>
      </c>
      <c r="F1866" s="249">
        <v>1800</v>
      </c>
      <c r="G1866" s="168">
        <f t="shared" si="270"/>
        <v>10.685714285714287</v>
      </c>
      <c r="H1866" s="168">
        <f t="shared" si="271"/>
        <v>21.371428571428574</v>
      </c>
      <c r="I1866" s="168">
        <f t="shared" si="272"/>
        <v>16.028571428571428</v>
      </c>
      <c r="J1866" s="168">
        <f t="shared" si="273"/>
        <v>26.714285714285715</v>
      </c>
      <c r="K1866" s="168">
        <f t="shared" si="274"/>
        <v>26.714285714285715</v>
      </c>
      <c r="L1866" s="168">
        <f t="shared" si="275"/>
        <v>1.45</v>
      </c>
      <c r="M1866" s="168">
        <f t="shared" si="276"/>
        <v>0</v>
      </c>
      <c r="N1866" s="241" t="s">
        <v>453</v>
      </c>
      <c r="O1866" s="286">
        <v>45714</v>
      </c>
    </row>
    <row r="1867" spans="1:15" ht="15" customHeight="1">
      <c r="A1867" s="58">
        <v>1866</v>
      </c>
      <c r="B1867" s="231" t="s">
        <v>52</v>
      </c>
      <c r="C1867" s="231" t="s">
        <v>10</v>
      </c>
      <c r="D1867" s="237" t="s">
        <v>3638</v>
      </c>
      <c r="E1867" s="249">
        <v>100</v>
      </c>
      <c r="F1867" s="249">
        <v>700</v>
      </c>
      <c r="G1867" s="168">
        <f t="shared" si="270"/>
        <v>4.4000000000000004</v>
      </c>
      <c r="H1867" s="168">
        <f t="shared" si="271"/>
        <v>8.8000000000000007</v>
      </c>
      <c r="I1867" s="168">
        <f t="shared" si="272"/>
        <v>6.6</v>
      </c>
      <c r="J1867" s="168">
        <f t="shared" si="273"/>
        <v>11</v>
      </c>
      <c r="K1867" s="168">
        <f t="shared" si="274"/>
        <v>11</v>
      </c>
      <c r="L1867" s="168">
        <f t="shared" si="275"/>
        <v>1.175</v>
      </c>
      <c r="M1867" s="168">
        <f t="shared" si="276"/>
        <v>1.6666666666666667</v>
      </c>
      <c r="N1867" s="241" t="s">
        <v>453</v>
      </c>
      <c r="O1867" s="286">
        <v>45720</v>
      </c>
    </row>
    <row r="1868" spans="1:15" ht="15" customHeight="1">
      <c r="A1868" s="58">
        <v>1867</v>
      </c>
      <c r="B1868" s="231" t="s">
        <v>52</v>
      </c>
      <c r="C1868" s="231" t="s">
        <v>10</v>
      </c>
      <c r="D1868" s="237" t="s">
        <v>3640</v>
      </c>
      <c r="E1868" s="249">
        <v>102</v>
      </c>
      <c r="F1868" s="249">
        <v>896</v>
      </c>
      <c r="G1868" s="168">
        <f t="shared" si="270"/>
        <v>5.5200000000000005</v>
      </c>
      <c r="H1868" s="168">
        <f t="shared" si="271"/>
        <v>11.040000000000001</v>
      </c>
      <c r="I1868" s="168">
        <f t="shared" si="272"/>
        <v>8.2799999999999994</v>
      </c>
      <c r="J1868" s="168">
        <f t="shared" si="273"/>
        <v>13.8</v>
      </c>
      <c r="K1868" s="168">
        <f t="shared" si="274"/>
        <v>13.8</v>
      </c>
      <c r="L1868" s="168">
        <f t="shared" si="275"/>
        <v>1.224</v>
      </c>
      <c r="M1868" s="168">
        <f t="shared" si="276"/>
        <v>1.7</v>
      </c>
      <c r="N1868" s="241" t="s">
        <v>453</v>
      </c>
      <c r="O1868" s="286">
        <v>45720</v>
      </c>
    </row>
    <row r="1869" spans="1:15" ht="15" customHeight="1">
      <c r="A1869" s="58">
        <v>1868</v>
      </c>
      <c r="B1869" s="231" t="s">
        <v>52</v>
      </c>
      <c r="C1869" s="231" t="s">
        <v>10</v>
      </c>
      <c r="D1869" s="237" t="s">
        <v>3642</v>
      </c>
      <c r="E1869" s="249">
        <v>0</v>
      </c>
      <c r="F1869" s="249">
        <v>300</v>
      </c>
      <c r="G1869" s="168">
        <f t="shared" si="270"/>
        <v>2.1142857142857143</v>
      </c>
      <c r="H1869" s="168">
        <f t="shared" si="271"/>
        <v>4.2285714285714286</v>
      </c>
      <c r="I1869" s="168">
        <f t="shared" si="272"/>
        <v>3.1714285714285713</v>
      </c>
      <c r="J1869" s="168">
        <f t="shared" si="273"/>
        <v>5.2857142857142856</v>
      </c>
      <c r="K1869" s="168">
        <f t="shared" si="274"/>
        <v>5.2857142857142856</v>
      </c>
      <c r="L1869" s="168">
        <f t="shared" si="275"/>
        <v>1.075</v>
      </c>
      <c r="M1869" s="168">
        <f t="shared" si="276"/>
        <v>0</v>
      </c>
      <c r="N1869" s="241" t="s">
        <v>453</v>
      </c>
      <c r="O1869" s="286">
        <v>45720</v>
      </c>
    </row>
    <row r="1870" spans="1:15" ht="15" customHeight="1">
      <c r="A1870" s="58">
        <v>1869</v>
      </c>
      <c r="B1870" s="231" t="s">
        <v>52</v>
      </c>
      <c r="C1870" s="231" t="s">
        <v>10</v>
      </c>
      <c r="D1870" s="237" t="s">
        <v>3644</v>
      </c>
      <c r="E1870" s="249">
        <v>110</v>
      </c>
      <c r="F1870" s="249">
        <v>0</v>
      </c>
      <c r="G1870" s="168">
        <f t="shared" si="270"/>
        <v>0.4</v>
      </c>
      <c r="H1870" s="168">
        <f t="shared" si="271"/>
        <v>0.8</v>
      </c>
      <c r="I1870" s="168">
        <f t="shared" si="272"/>
        <v>0.6</v>
      </c>
      <c r="J1870" s="168">
        <f t="shared" si="273"/>
        <v>1</v>
      </c>
      <c r="K1870" s="168">
        <f t="shared" si="274"/>
        <v>1</v>
      </c>
      <c r="L1870" s="168">
        <f t="shared" si="275"/>
        <v>1</v>
      </c>
      <c r="M1870" s="168">
        <f t="shared" si="276"/>
        <v>1.8333333333333333</v>
      </c>
      <c r="N1870" s="241" t="s">
        <v>453</v>
      </c>
      <c r="O1870" s="286">
        <v>45720</v>
      </c>
    </row>
    <row r="1871" spans="1:15" ht="15" customHeight="1">
      <c r="A1871" s="58">
        <v>1870</v>
      </c>
      <c r="B1871" s="231" t="s">
        <v>52</v>
      </c>
      <c r="C1871" s="231" t="s">
        <v>10</v>
      </c>
      <c r="D1871" s="237" t="s">
        <v>3646</v>
      </c>
      <c r="E1871" s="249">
        <v>148</v>
      </c>
      <c r="F1871" s="249">
        <v>0</v>
      </c>
      <c r="G1871" s="168">
        <f t="shared" si="270"/>
        <v>0.4</v>
      </c>
      <c r="H1871" s="168">
        <f t="shared" si="271"/>
        <v>0.8</v>
      </c>
      <c r="I1871" s="168">
        <f t="shared" si="272"/>
        <v>0.6</v>
      </c>
      <c r="J1871" s="168">
        <f t="shared" si="273"/>
        <v>1</v>
      </c>
      <c r="K1871" s="168">
        <f t="shared" si="274"/>
        <v>1</v>
      </c>
      <c r="L1871" s="168">
        <f t="shared" si="275"/>
        <v>1</v>
      </c>
      <c r="M1871" s="168">
        <f t="shared" si="276"/>
        <v>2.4666666666666668</v>
      </c>
      <c r="N1871" s="241" t="s">
        <v>453</v>
      </c>
      <c r="O1871" s="286">
        <v>45720</v>
      </c>
    </row>
    <row r="1872" spans="1:15" ht="15" customHeight="1">
      <c r="A1872" s="58">
        <v>1871</v>
      </c>
      <c r="B1872" s="231" t="s">
        <v>52</v>
      </c>
      <c r="C1872" s="231" t="s">
        <v>10</v>
      </c>
      <c r="D1872" s="237" t="s">
        <v>3647</v>
      </c>
      <c r="E1872" s="249">
        <v>0</v>
      </c>
      <c r="F1872" s="249">
        <v>390</v>
      </c>
      <c r="G1872" s="168">
        <f t="shared" si="270"/>
        <v>2.6285714285714286</v>
      </c>
      <c r="H1872" s="168">
        <f t="shared" si="271"/>
        <v>5.2571428571428571</v>
      </c>
      <c r="I1872" s="168">
        <f t="shared" si="272"/>
        <v>3.9428571428571426</v>
      </c>
      <c r="J1872" s="168">
        <f t="shared" si="273"/>
        <v>6.5714285714285712</v>
      </c>
      <c r="K1872" s="168">
        <f t="shared" si="274"/>
        <v>6.5714285714285712</v>
      </c>
      <c r="L1872" s="168">
        <f t="shared" si="275"/>
        <v>1.0974999999999999</v>
      </c>
      <c r="M1872" s="168">
        <f t="shared" si="276"/>
        <v>0</v>
      </c>
      <c r="N1872" s="241" t="s">
        <v>453</v>
      </c>
      <c r="O1872" s="286">
        <v>45720</v>
      </c>
    </row>
    <row r="1873" spans="1:15" ht="15" customHeight="1">
      <c r="A1873" s="58">
        <v>1872</v>
      </c>
      <c r="B1873" s="231" t="s">
        <v>52</v>
      </c>
      <c r="C1873" s="231" t="s">
        <v>10</v>
      </c>
      <c r="D1873" s="237" t="s">
        <v>3648</v>
      </c>
      <c r="E1873" s="249">
        <v>400</v>
      </c>
      <c r="F1873" s="249">
        <v>0</v>
      </c>
      <c r="G1873" s="168">
        <f t="shared" si="270"/>
        <v>0.4</v>
      </c>
      <c r="H1873" s="168">
        <f t="shared" si="271"/>
        <v>0.8</v>
      </c>
      <c r="I1873" s="168">
        <f t="shared" si="272"/>
        <v>0.6</v>
      </c>
      <c r="J1873" s="168">
        <f t="shared" si="273"/>
        <v>1</v>
      </c>
      <c r="K1873" s="168">
        <f t="shared" si="274"/>
        <v>1</v>
      </c>
      <c r="L1873" s="168">
        <f t="shared" si="275"/>
        <v>1</v>
      </c>
      <c r="M1873" s="168">
        <f t="shared" si="276"/>
        <v>6.666666666666667</v>
      </c>
      <c r="N1873" s="241" t="s">
        <v>453</v>
      </c>
      <c r="O1873" s="286">
        <v>45720</v>
      </c>
    </row>
    <row r="1874" spans="1:15" ht="15" customHeight="1">
      <c r="A1874" s="58">
        <v>1873</v>
      </c>
      <c r="B1874" s="231" t="s">
        <v>52</v>
      </c>
      <c r="C1874" s="231" t="s">
        <v>10</v>
      </c>
      <c r="D1874" s="237" t="s">
        <v>3649</v>
      </c>
      <c r="E1874" s="249">
        <v>400</v>
      </c>
      <c r="F1874" s="249">
        <v>600</v>
      </c>
      <c r="G1874" s="168">
        <f t="shared" si="270"/>
        <v>3.8285714285714287</v>
      </c>
      <c r="H1874" s="168">
        <f t="shared" si="271"/>
        <v>7.6571428571428575</v>
      </c>
      <c r="I1874" s="168">
        <f t="shared" si="272"/>
        <v>5.7428571428571429</v>
      </c>
      <c r="J1874" s="168">
        <f t="shared" si="273"/>
        <v>9.5714285714285712</v>
      </c>
      <c r="K1874" s="168">
        <f t="shared" si="274"/>
        <v>9.5714285714285712</v>
      </c>
      <c r="L1874" s="168">
        <f t="shared" si="275"/>
        <v>1.1499999999999999</v>
      </c>
      <c r="M1874" s="168">
        <f t="shared" si="276"/>
        <v>6.666666666666667</v>
      </c>
      <c r="N1874" s="241" t="s">
        <v>453</v>
      </c>
      <c r="O1874" s="286">
        <v>45718</v>
      </c>
    </row>
    <row r="1875" spans="1:15" ht="15" customHeight="1">
      <c r="A1875" s="58">
        <v>1874</v>
      </c>
      <c r="B1875" s="231" t="s">
        <v>52</v>
      </c>
      <c r="C1875" s="231" t="s">
        <v>10</v>
      </c>
      <c r="D1875" s="237" t="s">
        <v>3650</v>
      </c>
      <c r="E1875" s="249">
        <v>0</v>
      </c>
      <c r="F1875" s="249">
        <v>400</v>
      </c>
      <c r="G1875" s="168">
        <f t="shared" si="270"/>
        <v>2.6857142857142859</v>
      </c>
      <c r="H1875" s="168">
        <f t="shared" si="271"/>
        <v>5.3714285714285719</v>
      </c>
      <c r="I1875" s="168">
        <f t="shared" si="272"/>
        <v>4.0285714285714285</v>
      </c>
      <c r="J1875" s="168">
        <f t="shared" si="273"/>
        <v>6.7142857142857144</v>
      </c>
      <c r="K1875" s="168">
        <f t="shared" si="274"/>
        <v>6.7142857142857144</v>
      </c>
      <c r="L1875" s="168">
        <f t="shared" si="275"/>
        <v>1.1000000000000001</v>
      </c>
      <c r="M1875" s="168">
        <f t="shared" si="276"/>
        <v>0</v>
      </c>
      <c r="N1875" s="241" t="s">
        <v>453</v>
      </c>
      <c r="O1875" s="286">
        <v>45721</v>
      </c>
    </row>
    <row r="1876" spans="1:15" ht="15" customHeight="1">
      <c r="A1876" s="58">
        <v>1875</v>
      </c>
      <c r="B1876" s="231" t="s">
        <v>52</v>
      </c>
      <c r="C1876" s="231" t="s">
        <v>10</v>
      </c>
      <c r="D1876" s="304" t="s">
        <v>4366</v>
      </c>
      <c r="E1876" s="249">
        <v>0</v>
      </c>
      <c r="F1876" s="249">
        <v>3983</v>
      </c>
      <c r="G1876" s="168">
        <f t="shared" si="270"/>
        <v>23.16</v>
      </c>
      <c r="H1876" s="168">
        <f t="shared" si="271"/>
        <v>46.32</v>
      </c>
      <c r="I1876" s="168">
        <f t="shared" si="272"/>
        <v>34.739999999999995</v>
      </c>
      <c r="J1876" s="168">
        <f t="shared" si="273"/>
        <v>57.899999999999991</v>
      </c>
      <c r="K1876" s="168">
        <f t="shared" si="274"/>
        <v>57.899999999999991</v>
      </c>
      <c r="L1876" s="168">
        <f t="shared" si="275"/>
        <v>1.9957500000000001</v>
      </c>
      <c r="M1876" s="168">
        <f t="shared" si="276"/>
        <v>0</v>
      </c>
      <c r="N1876" s="241" t="s">
        <v>453</v>
      </c>
      <c r="O1876" s="286">
        <v>45720</v>
      </c>
    </row>
    <row r="1877" spans="1:15" ht="15" customHeight="1">
      <c r="A1877" s="58">
        <v>1876</v>
      </c>
      <c r="B1877" s="231" t="s">
        <v>52</v>
      </c>
      <c r="C1877" s="231" t="s">
        <v>10</v>
      </c>
      <c r="D1877" s="237" t="s">
        <v>3652</v>
      </c>
      <c r="E1877" s="249">
        <v>200</v>
      </c>
      <c r="F1877" s="249">
        <v>0</v>
      </c>
      <c r="G1877" s="168">
        <f t="shared" si="270"/>
        <v>0.4</v>
      </c>
      <c r="H1877" s="168">
        <f t="shared" si="271"/>
        <v>0.8</v>
      </c>
      <c r="I1877" s="168">
        <f t="shared" si="272"/>
        <v>0.6</v>
      </c>
      <c r="J1877" s="168">
        <f t="shared" si="273"/>
        <v>1</v>
      </c>
      <c r="K1877" s="168">
        <f t="shared" si="274"/>
        <v>1</v>
      </c>
      <c r="L1877" s="168">
        <f t="shared" si="275"/>
        <v>1</v>
      </c>
      <c r="M1877" s="168">
        <f t="shared" si="276"/>
        <v>3.3333333333333335</v>
      </c>
      <c r="N1877" s="241" t="s">
        <v>453</v>
      </c>
      <c r="O1877" s="286">
        <v>45723</v>
      </c>
    </row>
    <row r="1878" spans="1:15" ht="15" customHeight="1">
      <c r="A1878" s="58">
        <v>1877</v>
      </c>
      <c r="B1878" s="231" t="s">
        <v>52</v>
      </c>
      <c r="C1878" s="231" t="s">
        <v>10</v>
      </c>
      <c r="D1878" s="237" t="s">
        <v>3653</v>
      </c>
      <c r="E1878" s="249">
        <v>250</v>
      </c>
      <c r="F1878" s="249">
        <v>0</v>
      </c>
      <c r="G1878" s="168">
        <f t="shared" si="270"/>
        <v>0.4</v>
      </c>
      <c r="H1878" s="168">
        <f t="shared" si="271"/>
        <v>0.8</v>
      </c>
      <c r="I1878" s="168">
        <f t="shared" si="272"/>
        <v>0.6</v>
      </c>
      <c r="J1878" s="168">
        <f t="shared" si="273"/>
        <v>1</v>
      </c>
      <c r="K1878" s="168">
        <f t="shared" si="274"/>
        <v>1</v>
      </c>
      <c r="L1878" s="168">
        <f t="shared" si="275"/>
        <v>1</v>
      </c>
      <c r="M1878" s="168">
        <f t="shared" si="276"/>
        <v>4.166666666666667</v>
      </c>
      <c r="N1878" s="241" t="s">
        <v>453</v>
      </c>
      <c r="O1878" s="286">
        <v>45723</v>
      </c>
    </row>
    <row r="1879" spans="1:15" ht="15" customHeight="1">
      <c r="A1879" s="58">
        <v>1878</v>
      </c>
      <c r="B1879" s="231" t="s">
        <v>52</v>
      </c>
      <c r="C1879" s="231" t="s">
        <v>10</v>
      </c>
      <c r="D1879" s="237" t="s">
        <v>3654</v>
      </c>
      <c r="E1879" s="249">
        <v>200</v>
      </c>
      <c r="F1879" s="249">
        <v>3800</v>
      </c>
      <c r="G1879" s="168">
        <f t="shared" si="270"/>
        <v>22.114285714285714</v>
      </c>
      <c r="H1879" s="168">
        <f t="shared" si="271"/>
        <v>44.228571428571428</v>
      </c>
      <c r="I1879" s="168">
        <f t="shared" si="272"/>
        <v>33.171428571428571</v>
      </c>
      <c r="J1879" s="168">
        <f t="shared" si="273"/>
        <v>55.285714285714285</v>
      </c>
      <c r="K1879" s="168">
        <f t="shared" si="274"/>
        <v>55.285714285714285</v>
      </c>
      <c r="L1879" s="168">
        <f t="shared" si="275"/>
        <v>1.95</v>
      </c>
      <c r="M1879" s="168">
        <f t="shared" si="276"/>
        <v>3.3333333333333335</v>
      </c>
      <c r="N1879" s="241" t="s">
        <v>453</v>
      </c>
      <c r="O1879" s="286">
        <v>45723</v>
      </c>
    </row>
    <row r="1880" spans="1:15" ht="15" customHeight="1">
      <c r="A1880" s="58">
        <v>1879</v>
      </c>
      <c r="B1880" s="231" t="s">
        <v>52</v>
      </c>
      <c r="C1880" s="231" t="s">
        <v>10</v>
      </c>
      <c r="D1880" s="237" t="s">
        <v>3655</v>
      </c>
      <c r="E1880" s="249">
        <v>38</v>
      </c>
      <c r="F1880" s="249">
        <v>492</v>
      </c>
      <c r="G1880" s="168">
        <f t="shared" si="270"/>
        <v>3.2114285714285717</v>
      </c>
      <c r="H1880" s="168">
        <f t="shared" si="271"/>
        <v>6.4228571428571435</v>
      </c>
      <c r="I1880" s="168">
        <f t="shared" si="272"/>
        <v>4.8171428571428567</v>
      </c>
      <c r="J1880" s="168">
        <f t="shared" si="273"/>
        <v>8.0285714285714285</v>
      </c>
      <c r="K1880" s="168">
        <f t="shared" si="274"/>
        <v>8.0285714285714285</v>
      </c>
      <c r="L1880" s="168">
        <f t="shared" si="275"/>
        <v>1.123</v>
      </c>
      <c r="M1880" s="168">
        <f t="shared" si="276"/>
        <v>0.6333333333333333</v>
      </c>
      <c r="N1880" s="241" t="s">
        <v>453</v>
      </c>
      <c r="O1880" s="286">
        <v>45721</v>
      </c>
    </row>
    <row r="1881" spans="1:15" ht="15" customHeight="1">
      <c r="A1881" s="58">
        <v>1880</v>
      </c>
      <c r="B1881" s="231" t="s">
        <v>52</v>
      </c>
      <c r="C1881" s="231" t="s">
        <v>10</v>
      </c>
      <c r="D1881" s="237" t="s">
        <v>3656</v>
      </c>
      <c r="E1881" s="249">
        <v>0</v>
      </c>
      <c r="F1881" s="249">
        <v>506</v>
      </c>
      <c r="G1881" s="168">
        <f t="shared" si="270"/>
        <v>3.2914285714285714</v>
      </c>
      <c r="H1881" s="168">
        <f t="shared" si="271"/>
        <v>6.5828571428571427</v>
      </c>
      <c r="I1881" s="168">
        <f t="shared" si="272"/>
        <v>4.9371428571428568</v>
      </c>
      <c r="J1881" s="168">
        <f t="shared" si="273"/>
        <v>8.2285714285714278</v>
      </c>
      <c r="K1881" s="168">
        <f t="shared" si="274"/>
        <v>8.2285714285714278</v>
      </c>
      <c r="L1881" s="168">
        <f t="shared" si="275"/>
        <v>1.1265000000000001</v>
      </c>
      <c r="M1881" s="168">
        <f t="shared" si="276"/>
        <v>0</v>
      </c>
      <c r="N1881" s="241" t="s">
        <v>453</v>
      </c>
      <c r="O1881" s="286">
        <v>45720</v>
      </c>
    </row>
    <row r="1882" spans="1:15" ht="15" customHeight="1">
      <c r="A1882" s="58">
        <v>1881</v>
      </c>
      <c r="B1882" s="231" t="s">
        <v>52</v>
      </c>
      <c r="C1882" s="231" t="s">
        <v>10</v>
      </c>
      <c r="D1882" s="237" t="s">
        <v>3658</v>
      </c>
      <c r="E1882" s="249">
        <v>300</v>
      </c>
      <c r="F1882" s="249">
        <v>0</v>
      </c>
      <c r="G1882" s="168">
        <f t="shared" si="270"/>
        <v>0.4</v>
      </c>
      <c r="H1882" s="168">
        <f t="shared" si="271"/>
        <v>0.8</v>
      </c>
      <c r="I1882" s="168">
        <f t="shared" si="272"/>
        <v>0.6</v>
      </c>
      <c r="J1882" s="168">
        <f t="shared" si="273"/>
        <v>1</v>
      </c>
      <c r="K1882" s="168">
        <f t="shared" si="274"/>
        <v>1</v>
      </c>
      <c r="L1882" s="168">
        <f t="shared" si="275"/>
        <v>1</v>
      </c>
      <c r="M1882" s="168">
        <f t="shared" si="276"/>
        <v>5</v>
      </c>
      <c r="N1882" s="241" t="s">
        <v>453</v>
      </c>
      <c r="O1882" s="286">
        <v>45719</v>
      </c>
    </row>
    <row r="1883" spans="1:15" ht="15" customHeight="1">
      <c r="A1883" s="58">
        <v>1882</v>
      </c>
      <c r="B1883" s="231" t="s">
        <v>52</v>
      </c>
      <c r="C1883" s="231" t="s">
        <v>10</v>
      </c>
      <c r="D1883" s="237" t="s">
        <v>3660</v>
      </c>
      <c r="E1883" s="249">
        <v>150</v>
      </c>
      <c r="F1883" s="249">
        <v>0</v>
      </c>
      <c r="G1883" s="168">
        <f t="shared" si="270"/>
        <v>0.4</v>
      </c>
      <c r="H1883" s="168">
        <f t="shared" si="271"/>
        <v>0.8</v>
      </c>
      <c r="I1883" s="168">
        <f t="shared" si="272"/>
        <v>0.6</v>
      </c>
      <c r="J1883" s="168">
        <f t="shared" si="273"/>
        <v>1</v>
      </c>
      <c r="K1883" s="168">
        <f t="shared" si="274"/>
        <v>1</v>
      </c>
      <c r="L1883" s="168">
        <f t="shared" si="275"/>
        <v>1</v>
      </c>
      <c r="M1883" s="168">
        <f t="shared" si="276"/>
        <v>2.5</v>
      </c>
      <c r="N1883" s="241" t="s">
        <v>453</v>
      </c>
      <c r="O1883" s="286">
        <v>45728</v>
      </c>
    </row>
    <row r="1884" spans="1:15" ht="15" customHeight="1">
      <c r="A1884" s="58">
        <v>1883</v>
      </c>
      <c r="B1884" s="231" t="s">
        <v>61</v>
      </c>
      <c r="C1884" s="231" t="s">
        <v>11</v>
      </c>
      <c r="D1884" s="237" t="s">
        <v>3662</v>
      </c>
      <c r="E1884" s="249">
        <v>0</v>
      </c>
      <c r="F1884" s="249">
        <v>347</v>
      </c>
      <c r="G1884" s="168">
        <f t="shared" si="270"/>
        <v>2.382857142857143</v>
      </c>
      <c r="H1884" s="168">
        <f t="shared" si="271"/>
        <v>4.765714285714286</v>
      </c>
      <c r="I1884" s="168">
        <f t="shared" si="272"/>
        <v>3.5742857142857143</v>
      </c>
      <c r="J1884" s="168">
        <f t="shared" si="273"/>
        <v>5.9571428571428573</v>
      </c>
      <c r="K1884" s="168">
        <f t="shared" si="274"/>
        <v>5.9571428571428573</v>
      </c>
      <c r="L1884" s="168">
        <f t="shared" si="275"/>
        <v>1.0867499999999999</v>
      </c>
      <c r="M1884" s="168">
        <f t="shared" si="276"/>
        <v>0</v>
      </c>
      <c r="N1884" s="241" t="s">
        <v>453</v>
      </c>
      <c r="O1884" s="286">
        <v>45721</v>
      </c>
    </row>
    <row r="1885" spans="1:15" ht="15" customHeight="1">
      <c r="A1885" s="58">
        <v>1884</v>
      </c>
      <c r="B1885" s="231" t="s">
        <v>55</v>
      </c>
      <c r="C1885" s="231" t="s">
        <v>10</v>
      </c>
      <c r="D1885" s="237" t="s">
        <v>3663</v>
      </c>
      <c r="E1885" s="249">
        <v>0</v>
      </c>
      <c r="F1885" s="249">
        <v>400</v>
      </c>
      <c r="G1885" s="168">
        <f t="shared" si="270"/>
        <v>2.6857142857142859</v>
      </c>
      <c r="H1885" s="168">
        <f t="shared" si="271"/>
        <v>5.3714285714285719</v>
      </c>
      <c r="I1885" s="168">
        <f t="shared" si="272"/>
        <v>4.0285714285714285</v>
      </c>
      <c r="J1885" s="168">
        <f t="shared" si="273"/>
        <v>6.7142857142857144</v>
      </c>
      <c r="K1885" s="168">
        <f t="shared" si="274"/>
        <v>6.7142857142857144</v>
      </c>
      <c r="L1885" s="168">
        <f t="shared" si="275"/>
        <v>1.1000000000000001</v>
      </c>
      <c r="M1885" s="168">
        <f t="shared" si="276"/>
        <v>0</v>
      </c>
      <c r="N1885" s="241" t="s">
        <v>453</v>
      </c>
      <c r="O1885" s="286">
        <v>45728</v>
      </c>
    </row>
    <row r="1886" spans="1:15" ht="15" customHeight="1">
      <c r="A1886" s="58">
        <v>1885</v>
      </c>
      <c r="B1886" s="231" t="s">
        <v>53</v>
      </c>
      <c r="C1886" s="231" t="s">
        <v>10</v>
      </c>
      <c r="D1886" s="237" t="s">
        <v>3665</v>
      </c>
      <c r="E1886" s="249">
        <v>0</v>
      </c>
      <c r="F1886" s="249">
        <v>1000</v>
      </c>
      <c r="G1886" s="168">
        <f t="shared" si="270"/>
        <v>6.1142857142857148</v>
      </c>
      <c r="H1886" s="168">
        <f t="shared" si="271"/>
        <v>12.22857142857143</v>
      </c>
      <c r="I1886" s="168">
        <f t="shared" si="272"/>
        <v>9.1714285714285708</v>
      </c>
      <c r="J1886" s="168">
        <f t="shared" si="273"/>
        <v>15.285714285714285</v>
      </c>
      <c r="K1886" s="168">
        <f t="shared" si="274"/>
        <v>15.285714285714285</v>
      </c>
      <c r="L1886" s="168">
        <f t="shared" si="275"/>
        <v>1.25</v>
      </c>
      <c r="M1886" s="168">
        <f t="shared" si="276"/>
        <v>0</v>
      </c>
      <c r="N1886" s="241" t="s">
        <v>453</v>
      </c>
      <c r="O1886" s="286">
        <v>45728</v>
      </c>
    </row>
    <row r="1887" spans="1:15" ht="15" customHeight="1">
      <c r="A1887" s="58">
        <v>1886</v>
      </c>
      <c r="B1887" s="231" t="s">
        <v>49</v>
      </c>
      <c r="C1887" s="231" t="s">
        <v>10</v>
      </c>
      <c r="D1887" s="237" t="s">
        <v>3667</v>
      </c>
      <c r="E1887" s="249">
        <v>0</v>
      </c>
      <c r="F1887" s="249">
        <v>120</v>
      </c>
      <c r="G1887" s="168">
        <f t="shared" si="270"/>
        <v>1.0857142857142859</v>
      </c>
      <c r="H1887" s="168">
        <f t="shared" si="271"/>
        <v>2.1714285714285717</v>
      </c>
      <c r="I1887" s="168">
        <f t="shared" si="272"/>
        <v>1.6285714285714286</v>
      </c>
      <c r="J1887" s="168">
        <f t="shared" si="273"/>
        <v>2.7142857142857144</v>
      </c>
      <c r="K1887" s="168">
        <f t="shared" si="274"/>
        <v>2.7142857142857144</v>
      </c>
      <c r="L1887" s="168">
        <f t="shared" si="275"/>
        <v>1.03</v>
      </c>
      <c r="M1887" s="168">
        <f t="shared" si="276"/>
        <v>0</v>
      </c>
      <c r="N1887" s="241" t="s">
        <v>453</v>
      </c>
      <c r="O1887" s="286">
        <v>45728</v>
      </c>
    </row>
    <row r="1888" spans="1:15" ht="15" customHeight="1">
      <c r="A1888" s="58">
        <v>1887</v>
      </c>
      <c r="B1888" s="231" t="s">
        <v>52</v>
      </c>
      <c r="C1888" s="231" t="s">
        <v>10</v>
      </c>
      <c r="D1888" s="237" t="s">
        <v>3668</v>
      </c>
      <c r="E1888" s="249">
        <v>150</v>
      </c>
      <c r="F1888" s="249">
        <v>0</v>
      </c>
      <c r="G1888" s="168">
        <f t="shared" si="270"/>
        <v>0.4</v>
      </c>
      <c r="H1888" s="168">
        <f t="shared" si="271"/>
        <v>0.8</v>
      </c>
      <c r="I1888" s="168">
        <f t="shared" si="272"/>
        <v>0.6</v>
      </c>
      <c r="J1888" s="168">
        <f t="shared" si="273"/>
        <v>1</v>
      </c>
      <c r="K1888" s="168">
        <f t="shared" si="274"/>
        <v>1</v>
      </c>
      <c r="L1888" s="168">
        <f t="shared" si="275"/>
        <v>1</v>
      </c>
      <c r="M1888" s="168">
        <f t="shared" si="276"/>
        <v>2.5</v>
      </c>
      <c r="N1888" s="241" t="s">
        <v>453</v>
      </c>
      <c r="O1888" s="286">
        <v>45729</v>
      </c>
    </row>
    <row r="1889" spans="1:15" ht="15" customHeight="1">
      <c r="A1889" s="58">
        <v>1888</v>
      </c>
      <c r="B1889" s="231" t="s">
        <v>52</v>
      </c>
      <c r="C1889" s="231" t="s">
        <v>10</v>
      </c>
      <c r="D1889" s="237" t="s">
        <v>3670</v>
      </c>
      <c r="E1889" s="249">
        <v>134</v>
      </c>
      <c r="F1889" s="249">
        <v>0</v>
      </c>
      <c r="G1889" s="168">
        <f t="shared" si="270"/>
        <v>0.4</v>
      </c>
      <c r="H1889" s="168">
        <f t="shared" si="271"/>
        <v>0.8</v>
      </c>
      <c r="I1889" s="168">
        <f t="shared" si="272"/>
        <v>0.6</v>
      </c>
      <c r="J1889" s="168">
        <f t="shared" si="273"/>
        <v>1</v>
      </c>
      <c r="K1889" s="168">
        <f t="shared" si="274"/>
        <v>1</v>
      </c>
      <c r="L1889" s="168">
        <f t="shared" si="275"/>
        <v>1</v>
      </c>
      <c r="M1889" s="168">
        <f t="shared" si="276"/>
        <v>2.2333333333333334</v>
      </c>
      <c r="N1889" s="241" t="s">
        <v>453</v>
      </c>
      <c r="O1889" s="286">
        <v>45729</v>
      </c>
    </row>
    <row r="1890" spans="1:15" ht="15" customHeight="1">
      <c r="A1890" s="58">
        <v>1889</v>
      </c>
      <c r="B1890" s="231" t="s">
        <v>52</v>
      </c>
      <c r="C1890" s="231" t="s">
        <v>10</v>
      </c>
      <c r="D1890" s="237" t="s">
        <v>3671</v>
      </c>
      <c r="E1890" s="249">
        <v>209</v>
      </c>
      <c r="F1890" s="249">
        <v>0</v>
      </c>
      <c r="G1890" s="168">
        <f t="shared" si="270"/>
        <v>0.4</v>
      </c>
      <c r="H1890" s="168">
        <f t="shared" si="271"/>
        <v>0.8</v>
      </c>
      <c r="I1890" s="168">
        <f t="shared" si="272"/>
        <v>0.6</v>
      </c>
      <c r="J1890" s="168">
        <f t="shared" si="273"/>
        <v>1</v>
      </c>
      <c r="K1890" s="168">
        <f t="shared" si="274"/>
        <v>1</v>
      </c>
      <c r="L1890" s="168">
        <f t="shared" si="275"/>
        <v>1</v>
      </c>
      <c r="M1890" s="168">
        <f t="shared" si="276"/>
        <v>3.4833333333333334</v>
      </c>
      <c r="N1890" s="241" t="s">
        <v>453</v>
      </c>
      <c r="O1890" s="286">
        <v>45730</v>
      </c>
    </row>
    <row r="1891" spans="1:15" ht="15" customHeight="1">
      <c r="A1891" s="58">
        <v>1890</v>
      </c>
      <c r="B1891" s="231" t="s">
        <v>52</v>
      </c>
      <c r="C1891" s="231" t="s">
        <v>10</v>
      </c>
      <c r="D1891" s="237" t="s">
        <v>3672</v>
      </c>
      <c r="E1891" s="249">
        <v>189</v>
      </c>
      <c r="F1891" s="249">
        <v>0</v>
      </c>
      <c r="G1891" s="168">
        <f t="shared" si="270"/>
        <v>0.4</v>
      </c>
      <c r="H1891" s="168">
        <f t="shared" si="271"/>
        <v>0.8</v>
      </c>
      <c r="I1891" s="168">
        <f t="shared" si="272"/>
        <v>0.6</v>
      </c>
      <c r="J1891" s="168">
        <f t="shared" si="273"/>
        <v>1</v>
      </c>
      <c r="K1891" s="168">
        <f t="shared" si="274"/>
        <v>1</v>
      </c>
      <c r="L1891" s="168">
        <f t="shared" si="275"/>
        <v>1</v>
      </c>
      <c r="M1891" s="168">
        <f t="shared" si="276"/>
        <v>3.15</v>
      </c>
      <c r="N1891" s="241" t="s">
        <v>453</v>
      </c>
      <c r="O1891" s="286">
        <v>45730</v>
      </c>
    </row>
    <row r="1892" spans="1:15" ht="15" customHeight="1">
      <c r="A1892" s="58">
        <v>1891</v>
      </c>
      <c r="B1892" s="231" t="s">
        <v>52</v>
      </c>
      <c r="C1892" s="231" t="s">
        <v>10</v>
      </c>
      <c r="D1892" s="237" t="s">
        <v>3673</v>
      </c>
      <c r="E1892" s="249">
        <v>120</v>
      </c>
      <c r="F1892" s="249">
        <v>0</v>
      </c>
      <c r="G1892" s="168">
        <f t="shared" si="270"/>
        <v>0.4</v>
      </c>
      <c r="H1892" s="168">
        <f t="shared" si="271"/>
        <v>0.8</v>
      </c>
      <c r="I1892" s="168">
        <f t="shared" si="272"/>
        <v>0.6</v>
      </c>
      <c r="J1892" s="168">
        <f t="shared" si="273"/>
        <v>1</v>
      </c>
      <c r="K1892" s="168">
        <f t="shared" si="274"/>
        <v>1</v>
      </c>
      <c r="L1892" s="168">
        <f t="shared" si="275"/>
        <v>1</v>
      </c>
      <c r="M1892" s="168">
        <f t="shared" si="276"/>
        <v>2</v>
      </c>
      <c r="N1892" s="241" t="s">
        <v>453</v>
      </c>
      <c r="O1892" s="286">
        <v>45728</v>
      </c>
    </row>
    <row r="1893" spans="1:15" ht="15" customHeight="1">
      <c r="A1893" s="58">
        <v>1892</v>
      </c>
      <c r="B1893" s="231" t="s">
        <v>52</v>
      </c>
      <c r="C1893" s="231" t="s">
        <v>10</v>
      </c>
      <c r="D1893" s="237" t="s">
        <v>3674</v>
      </c>
      <c r="E1893" s="249">
        <v>108</v>
      </c>
      <c r="F1893" s="249">
        <v>0</v>
      </c>
      <c r="G1893" s="168">
        <f t="shared" si="270"/>
        <v>0.4</v>
      </c>
      <c r="H1893" s="168">
        <f t="shared" si="271"/>
        <v>0.8</v>
      </c>
      <c r="I1893" s="168">
        <f t="shared" si="272"/>
        <v>0.6</v>
      </c>
      <c r="J1893" s="168">
        <f t="shared" si="273"/>
        <v>1</v>
      </c>
      <c r="K1893" s="168">
        <f t="shared" si="274"/>
        <v>1</v>
      </c>
      <c r="L1893" s="168">
        <f t="shared" si="275"/>
        <v>1</v>
      </c>
      <c r="M1893" s="168">
        <f t="shared" si="276"/>
        <v>1.8</v>
      </c>
      <c r="N1893" s="241" t="s">
        <v>453</v>
      </c>
      <c r="O1893" s="286">
        <v>45734</v>
      </c>
    </row>
    <row r="1894" spans="1:15" ht="15" customHeight="1">
      <c r="A1894" s="58">
        <v>1893</v>
      </c>
      <c r="B1894" s="231" t="s">
        <v>52</v>
      </c>
      <c r="C1894" s="231" t="s">
        <v>10</v>
      </c>
      <c r="D1894" s="237" t="s">
        <v>3675</v>
      </c>
      <c r="E1894" s="249">
        <v>160</v>
      </c>
      <c r="F1894" s="249">
        <v>0</v>
      </c>
      <c r="G1894" s="168">
        <f t="shared" si="270"/>
        <v>0.4</v>
      </c>
      <c r="H1894" s="168">
        <f t="shared" si="271"/>
        <v>0.8</v>
      </c>
      <c r="I1894" s="168">
        <f t="shared" si="272"/>
        <v>0.6</v>
      </c>
      <c r="J1894" s="168">
        <f t="shared" si="273"/>
        <v>1</v>
      </c>
      <c r="K1894" s="168">
        <f t="shared" si="274"/>
        <v>1</v>
      </c>
      <c r="L1894" s="168">
        <f t="shared" si="275"/>
        <v>1</v>
      </c>
      <c r="M1894" s="168">
        <f t="shared" si="276"/>
        <v>2.6666666666666665</v>
      </c>
      <c r="N1894" s="241" t="s">
        <v>453</v>
      </c>
      <c r="O1894" s="286">
        <v>45734</v>
      </c>
    </row>
    <row r="1895" spans="1:15" ht="15" customHeight="1">
      <c r="A1895" s="58">
        <v>1894</v>
      </c>
      <c r="B1895" s="231" t="s">
        <v>52</v>
      </c>
      <c r="C1895" s="231" t="s">
        <v>10</v>
      </c>
      <c r="D1895" s="237" t="s">
        <v>3676</v>
      </c>
      <c r="E1895" s="249">
        <v>97</v>
      </c>
      <c r="F1895" s="249">
        <v>0</v>
      </c>
      <c r="G1895" s="168">
        <f t="shared" si="270"/>
        <v>0.4</v>
      </c>
      <c r="H1895" s="168">
        <f t="shared" si="271"/>
        <v>0.8</v>
      </c>
      <c r="I1895" s="168">
        <f t="shared" si="272"/>
        <v>0.6</v>
      </c>
      <c r="J1895" s="168">
        <f t="shared" si="273"/>
        <v>1</v>
      </c>
      <c r="K1895" s="168">
        <f t="shared" si="274"/>
        <v>1</v>
      </c>
      <c r="L1895" s="168">
        <f t="shared" si="275"/>
        <v>1</v>
      </c>
      <c r="M1895" s="168">
        <f t="shared" si="276"/>
        <v>1.6166666666666667</v>
      </c>
      <c r="N1895" s="241" t="s">
        <v>453</v>
      </c>
      <c r="O1895" s="286">
        <v>45734</v>
      </c>
    </row>
    <row r="1896" spans="1:15" ht="15" customHeight="1">
      <c r="A1896" s="58">
        <v>1895</v>
      </c>
      <c r="B1896" s="231" t="s">
        <v>52</v>
      </c>
      <c r="C1896" s="231" t="s">
        <v>10</v>
      </c>
      <c r="D1896" s="237" t="s">
        <v>3677</v>
      </c>
      <c r="E1896" s="249">
        <v>197</v>
      </c>
      <c r="F1896" s="249">
        <v>0</v>
      </c>
      <c r="G1896" s="168">
        <f t="shared" si="270"/>
        <v>0.4</v>
      </c>
      <c r="H1896" s="168">
        <f t="shared" si="271"/>
        <v>0.8</v>
      </c>
      <c r="I1896" s="168">
        <f t="shared" si="272"/>
        <v>0.6</v>
      </c>
      <c r="J1896" s="168">
        <f t="shared" si="273"/>
        <v>1</v>
      </c>
      <c r="K1896" s="168">
        <f t="shared" si="274"/>
        <v>1</v>
      </c>
      <c r="L1896" s="168">
        <f t="shared" si="275"/>
        <v>1</v>
      </c>
      <c r="M1896" s="168">
        <f t="shared" si="276"/>
        <v>3.2833333333333332</v>
      </c>
      <c r="N1896" s="241" t="s">
        <v>453</v>
      </c>
      <c r="O1896" s="286">
        <v>45735</v>
      </c>
    </row>
    <row r="1897" spans="1:15" ht="15" customHeight="1">
      <c r="A1897" s="58">
        <v>1896</v>
      </c>
      <c r="B1897" s="231" t="s">
        <v>52</v>
      </c>
      <c r="C1897" s="231" t="s">
        <v>10</v>
      </c>
      <c r="D1897" s="237" t="s">
        <v>3678</v>
      </c>
      <c r="E1897" s="249">
        <v>100</v>
      </c>
      <c r="F1897" s="249">
        <v>0</v>
      </c>
      <c r="G1897" s="168">
        <f t="shared" si="270"/>
        <v>0.4</v>
      </c>
      <c r="H1897" s="168">
        <f t="shared" si="271"/>
        <v>0.8</v>
      </c>
      <c r="I1897" s="168">
        <f t="shared" si="272"/>
        <v>0.6</v>
      </c>
      <c r="J1897" s="168">
        <f t="shared" si="273"/>
        <v>1</v>
      </c>
      <c r="K1897" s="168">
        <f t="shared" si="274"/>
        <v>1</v>
      </c>
      <c r="L1897" s="168">
        <f t="shared" si="275"/>
        <v>1</v>
      </c>
      <c r="M1897" s="168">
        <f t="shared" si="276"/>
        <v>1.6666666666666667</v>
      </c>
      <c r="N1897" s="241" t="s">
        <v>453</v>
      </c>
      <c r="O1897" s="286">
        <v>45733</v>
      </c>
    </row>
    <row r="1898" spans="1:15" ht="15" customHeight="1">
      <c r="A1898" s="58">
        <v>1897</v>
      </c>
      <c r="B1898" s="231" t="s">
        <v>52</v>
      </c>
      <c r="C1898" s="231" t="s">
        <v>10</v>
      </c>
      <c r="D1898" s="237" t="s">
        <v>3679</v>
      </c>
      <c r="E1898" s="249">
        <v>105</v>
      </c>
      <c r="F1898" s="249">
        <v>0</v>
      </c>
      <c r="G1898" s="168">
        <f t="shared" si="270"/>
        <v>0.4</v>
      </c>
      <c r="H1898" s="168">
        <f t="shared" si="271"/>
        <v>0.8</v>
      </c>
      <c r="I1898" s="168">
        <f t="shared" si="272"/>
        <v>0.6</v>
      </c>
      <c r="J1898" s="168">
        <f t="shared" si="273"/>
        <v>1</v>
      </c>
      <c r="K1898" s="168">
        <f t="shared" si="274"/>
        <v>1</v>
      </c>
      <c r="L1898" s="168">
        <f t="shared" si="275"/>
        <v>1</v>
      </c>
      <c r="M1898" s="168">
        <f t="shared" si="276"/>
        <v>1.75</v>
      </c>
      <c r="N1898" s="241" t="s">
        <v>453</v>
      </c>
      <c r="O1898" s="286">
        <v>45733</v>
      </c>
    </row>
    <row r="1899" spans="1:15" ht="15" customHeight="1">
      <c r="A1899" s="58">
        <v>1898</v>
      </c>
      <c r="B1899" s="231" t="s">
        <v>52</v>
      </c>
      <c r="C1899" s="231" t="s">
        <v>10</v>
      </c>
      <c r="D1899" s="237" t="s">
        <v>3680</v>
      </c>
      <c r="E1899" s="249">
        <v>300</v>
      </c>
      <c r="F1899" s="249">
        <v>0</v>
      </c>
      <c r="G1899" s="168">
        <f t="shared" si="270"/>
        <v>0.4</v>
      </c>
      <c r="H1899" s="168">
        <f t="shared" si="271"/>
        <v>0.8</v>
      </c>
      <c r="I1899" s="168">
        <f t="shared" si="272"/>
        <v>0.6</v>
      </c>
      <c r="J1899" s="168">
        <f t="shared" si="273"/>
        <v>1</v>
      </c>
      <c r="K1899" s="168">
        <f t="shared" si="274"/>
        <v>1</v>
      </c>
      <c r="L1899" s="168">
        <f t="shared" si="275"/>
        <v>1</v>
      </c>
      <c r="M1899" s="168">
        <f t="shared" si="276"/>
        <v>5</v>
      </c>
      <c r="N1899" s="241" t="s">
        <v>453</v>
      </c>
      <c r="O1899" s="286">
        <v>45733</v>
      </c>
    </row>
    <row r="1900" spans="1:15" ht="15" customHeight="1">
      <c r="A1900" s="58">
        <v>1899</v>
      </c>
      <c r="B1900" s="231" t="s">
        <v>52</v>
      </c>
      <c r="C1900" s="231" t="s">
        <v>10</v>
      </c>
      <c r="D1900" s="237" t="s">
        <v>3681</v>
      </c>
      <c r="E1900" s="249">
        <v>139</v>
      </c>
      <c r="F1900" s="249">
        <v>0</v>
      </c>
      <c r="G1900" s="168">
        <f t="shared" si="270"/>
        <v>0.4</v>
      </c>
      <c r="H1900" s="168">
        <f t="shared" si="271"/>
        <v>0.8</v>
      </c>
      <c r="I1900" s="168">
        <f t="shared" si="272"/>
        <v>0.6</v>
      </c>
      <c r="J1900" s="168">
        <f t="shared" si="273"/>
        <v>1</v>
      </c>
      <c r="K1900" s="168">
        <f t="shared" si="274"/>
        <v>1</v>
      </c>
      <c r="L1900" s="168">
        <f t="shared" si="275"/>
        <v>1</v>
      </c>
      <c r="M1900" s="168">
        <f t="shared" si="276"/>
        <v>2.3166666666666669</v>
      </c>
      <c r="N1900" s="241" t="s">
        <v>453</v>
      </c>
      <c r="O1900" s="286">
        <v>45734</v>
      </c>
    </row>
    <row r="1901" spans="1:15" ht="15" customHeight="1">
      <c r="A1901" s="58">
        <v>1900</v>
      </c>
      <c r="B1901" s="231" t="s">
        <v>52</v>
      </c>
      <c r="C1901" s="231" t="s">
        <v>10</v>
      </c>
      <c r="D1901" s="237" t="s">
        <v>3682</v>
      </c>
      <c r="E1901" s="249">
        <v>300</v>
      </c>
      <c r="F1901" s="249">
        <v>0</v>
      </c>
      <c r="G1901" s="168">
        <f t="shared" si="270"/>
        <v>0.4</v>
      </c>
      <c r="H1901" s="168">
        <f t="shared" si="271"/>
        <v>0.8</v>
      </c>
      <c r="I1901" s="168">
        <f t="shared" si="272"/>
        <v>0.6</v>
      </c>
      <c r="J1901" s="168">
        <f t="shared" si="273"/>
        <v>1</v>
      </c>
      <c r="K1901" s="168">
        <f t="shared" si="274"/>
        <v>1</v>
      </c>
      <c r="L1901" s="168">
        <f t="shared" si="275"/>
        <v>1</v>
      </c>
      <c r="M1901" s="168">
        <f t="shared" si="276"/>
        <v>5</v>
      </c>
      <c r="N1901" s="241" t="s">
        <v>453</v>
      </c>
      <c r="O1901" s="286">
        <v>45734</v>
      </c>
    </row>
    <row r="1902" spans="1:15" ht="15" customHeight="1">
      <c r="A1902" s="58">
        <v>1901</v>
      </c>
      <c r="B1902" s="231" t="s">
        <v>52</v>
      </c>
      <c r="C1902" s="231" t="s">
        <v>10</v>
      </c>
      <c r="D1902" s="237" t="s">
        <v>3683</v>
      </c>
      <c r="E1902" s="249">
        <v>100</v>
      </c>
      <c r="F1902" s="249">
        <v>0</v>
      </c>
      <c r="G1902" s="168">
        <f t="shared" si="270"/>
        <v>0.4</v>
      </c>
      <c r="H1902" s="168">
        <f t="shared" si="271"/>
        <v>0.8</v>
      </c>
      <c r="I1902" s="168">
        <f t="shared" si="272"/>
        <v>0.6</v>
      </c>
      <c r="J1902" s="168">
        <f t="shared" si="273"/>
        <v>1</v>
      </c>
      <c r="K1902" s="168">
        <f t="shared" si="274"/>
        <v>1</v>
      </c>
      <c r="L1902" s="168">
        <f t="shared" si="275"/>
        <v>1</v>
      </c>
      <c r="M1902" s="168">
        <f t="shared" si="276"/>
        <v>1.6666666666666667</v>
      </c>
      <c r="N1902" s="241" t="s">
        <v>453</v>
      </c>
      <c r="O1902" s="286">
        <v>45734</v>
      </c>
    </row>
    <row r="1903" spans="1:15" ht="15" customHeight="1">
      <c r="A1903" s="58">
        <v>1902</v>
      </c>
      <c r="B1903" s="231" t="s">
        <v>52</v>
      </c>
      <c r="C1903" s="231" t="s">
        <v>10</v>
      </c>
      <c r="D1903" s="237" t="s">
        <v>3684</v>
      </c>
      <c r="E1903" s="249">
        <v>87</v>
      </c>
      <c r="F1903" s="249">
        <v>0</v>
      </c>
      <c r="G1903" s="168">
        <f t="shared" si="270"/>
        <v>0.4</v>
      </c>
      <c r="H1903" s="168">
        <f t="shared" si="271"/>
        <v>0.8</v>
      </c>
      <c r="I1903" s="168">
        <f t="shared" si="272"/>
        <v>0.6</v>
      </c>
      <c r="J1903" s="168">
        <f t="shared" si="273"/>
        <v>1</v>
      </c>
      <c r="K1903" s="168">
        <f t="shared" si="274"/>
        <v>1</v>
      </c>
      <c r="L1903" s="168">
        <f t="shared" si="275"/>
        <v>1</v>
      </c>
      <c r="M1903" s="168">
        <f t="shared" si="276"/>
        <v>1.45</v>
      </c>
      <c r="N1903" s="241" t="s">
        <v>453</v>
      </c>
      <c r="O1903" s="286">
        <v>45723</v>
      </c>
    </row>
    <row r="1904" spans="1:15" ht="15" customHeight="1">
      <c r="A1904" s="58">
        <v>1903</v>
      </c>
      <c r="B1904" s="231" t="s">
        <v>52</v>
      </c>
      <c r="C1904" s="231" t="s">
        <v>10</v>
      </c>
      <c r="D1904" s="237" t="s">
        <v>3685</v>
      </c>
      <c r="E1904" s="249">
        <v>66</v>
      </c>
      <c r="F1904" s="249">
        <v>0</v>
      </c>
      <c r="G1904" s="168">
        <f t="shared" si="270"/>
        <v>0.4</v>
      </c>
      <c r="H1904" s="168">
        <f t="shared" si="271"/>
        <v>0.8</v>
      </c>
      <c r="I1904" s="168">
        <f t="shared" si="272"/>
        <v>0.6</v>
      </c>
      <c r="J1904" s="168">
        <f t="shared" si="273"/>
        <v>1</v>
      </c>
      <c r="K1904" s="168">
        <f t="shared" si="274"/>
        <v>1</v>
      </c>
      <c r="L1904" s="168">
        <f t="shared" si="275"/>
        <v>1</v>
      </c>
      <c r="M1904" s="168">
        <f t="shared" si="276"/>
        <v>1.1000000000000001</v>
      </c>
      <c r="N1904" s="241" t="s">
        <v>453</v>
      </c>
      <c r="O1904" s="286">
        <v>45735</v>
      </c>
    </row>
    <row r="1905" spans="1:15" ht="15" customHeight="1">
      <c r="A1905" s="58">
        <v>1904</v>
      </c>
      <c r="B1905" s="231" t="s">
        <v>52</v>
      </c>
      <c r="C1905" s="231" t="s">
        <v>10</v>
      </c>
      <c r="D1905" s="237" t="s">
        <v>3686</v>
      </c>
      <c r="E1905" s="249">
        <v>96</v>
      </c>
      <c r="F1905" s="249">
        <v>0</v>
      </c>
      <c r="G1905" s="168">
        <f t="shared" si="270"/>
        <v>0.4</v>
      </c>
      <c r="H1905" s="168">
        <f t="shared" si="271"/>
        <v>0.8</v>
      </c>
      <c r="I1905" s="168">
        <f t="shared" si="272"/>
        <v>0.6</v>
      </c>
      <c r="J1905" s="168">
        <f t="shared" si="273"/>
        <v>1</v>
      </c>
      <c r="K1905" s="168">
        <f t="shared" si="274"/>
        <v>1</v>
      </c>
      <c r="L1905" s="168">
        <f t="shared" si="275"/>
        <v>1</v>
      </c>
      <c r="M1905" s="168">
        <f t="shared" si="276"/>
        <v>1.6</v>
      </c>
      <c r="N1905" s="241" t="s">
        <v>453</v>
      </c>
      <c r="O1905" s="286">
        <v>45736</v>
      </c>
    </row>
    <row r="1906" spans="1:15" ht="15" customHeight="1">
      <c r="A1906" s="58">
        <v>1905</v>
      </c>
      <c r="B1906" s="231" t="s">
        <v>52</v>
      </c>
      <c r="C1906" s="231" t="s">
        <v>10</v>
      </c>
      <c r="D1906" s="237" t="s">
        <v>3687</v>
      </c>
      <c r="E1906" s="282">
        <v>0</v>
      </c>
      <c r="F1906" s="249">
        <v>800</v>
      </c>
      <c r="G1906" s="168">
        <f t="shared" si="270"/>
        <v>4.9714285714285715</v>
      </c>
      <c r="H1906" s="168">
        <f t="shared" si="271"/>
        <v>9.9428571428571431</v>
      </c>
      <c r="I1906" s="168">
        <f t="shared" si="272"/>
        <v>7.4571428571428573</v>
      </c>
      <c r="J1906" s="168">
        <f t="shared" si="273"/>
        <v>12.428571428571429</v>
      </c>
      <c r="K1906" s="168">
        <f t="shared" si="274"/>
        <v>12.428571428571429</v>
      </c>
      <c r="L1906" s="168">
        <f t="shared" si="275"/>
        <v>1.2</v>
      </c>
      <c r="M1906" s="168">
        <f t="shared" si="276"/>
        <v>0</v>
      </c>
      <c r="N1906" s="241" t="s">
        <v>453</v>
      </c>
      <c r="O1906" s="286">
        <v>45737</v>
      </c>
    </row>
    <row r="1907" spans="1:15" ht="15" customHeight="1">
      <c r="A1907" s="58">
        <v>1906</v>
      </c>
      <c r="B1907" s="231" t="s">
        <v>52</v>
      </c>
      <c r="C1907" s="231" t="s">
        <v>10</v>
      </c>
      <c r="D1907" s="237" t="s">
        <v>3688</v>
      </c>
      <c r="E1907" s="249">
        <v>255</v>
      </c>
      <c r="F1907" s="249">
        <v>1025</v>
      </c>
      <c r="G1907" s="168">
        <f t="shared" si="270"/>
        <v>6.2571428571428571</v>
      </c>
      <c r="H1907" s="168">
        <f t="shared" si="271"/>
        <v>12.514285714285714</v>
      </c>
      <c r="I1907" s="168">
        <f t="shared" si="272"/>
        <v>9.3857142857142843</v>
      </c>
      <c r="J1907" s="168">
        <f t="shared" si="273"/>
        <v>15.642857142857142</v>
      </c>
      <c r="K1907" s="168">
        <f t="shared" si="274"/>
        <v>15.642857142857142</v>
      </c>
      <c r="L1907" s="168">
        <f t="shared" si="275"/>
        <v>1.2562500000000001</v>
      </c>
      <c r="M1907" s="168">
        <f t="shared" si="276"/>
        <v>4.25</v>
      </c>
      <c r="N1907" s="241" t="s">
        <v>453</v>
      </c>
      <c r="O1907" s="286">
        <v>45375</v>
      </c>
    </row>
    <row r="1908" spans="1:15" ht="15" customHeight="1">
      <c r="A1908" s="58">
        <v>1907</v>
      </c>
      <c r="B1908" s="231" t="s">
        <v>52</v>
      </c>
      <c r="C1908" s="231" t="s">
        <v>10</v>
      </c>
      <c r="D1908" s="237" t="s">
        <v>3690</v>
      </c>
      <c r="E1908" s="249">
        <v>100</v>
      </c>
      <c r="F1908" s="249">
        <v>0</v>
      </c>
      <c r="G1908" s="168">
        <f t="shared" si="270"/>
        <v>0.4</v>
      </c>
      <c r="H1908" s="168">
        <f t="shared" si="271"/>
        <v>0.8</v>
      </c>
      <c r="I1908" s="168">
        <f t="shared" si="272"/>
        <v>0.6</v>
      </c>
      <c r="J1908" s="168">
        <f t="shared" si="273"/>
        <v>1</v>
      </c>
      <c r="K1908" s="168">
        <f t="shared" si="274"/>
        <v>1</v>
      </c>
      <c r="L1908" s="168">
        <f t="shared" si="275"/>
        <v>1</v>
      </c>
      <c r="M1908" s="168">
        <f t="shared" si="276"/>
        <v>1.6666666666666667</v>
      </c>
      <c r="N1908" s="241" t="s">
        <v>453</v>
      </c>
      <c r="O1908" s="286">
        <v>45740</v>
      </c>
    </row>
    <row r="1909" spans="1:15" ht="15" customHeight="1">
      <c r="A1909" s="58">
        <v>1908</v>
      </c>
      <c r="B1909" s="231" t="s">
        <v>52</v>
      </c>
      <c r="C1909" s="231" t="s">
        <v>10</v>
      </c>
      <c r="D1909" s="237" t="s">
        <v>3692</v>
      </c>
      <c r="E1909" s="249">
        <v>0</v>
      </c>
      <c r="F1909" s="249">
        <v>304</v>
      </c>
      <c r="G1909" s="168">
        <f t="shared" si="270"/>
        <v>2.137142857142857</v>
      </c>
      <c r="H1909" s="168">
        <f t="shared" si="271"/>
        <v>4.274285714285714</v>
      </c>
      <c r="I1909" s="168">
        <f t="shared" si="272"/>
        <v>3.2057142857142855</v>
      </c>
      <c r="J1909" s="168">
        <f t="shared" si="273"/>
        <v>5.3428571428571425</v>
      </c>
      <c r="K1909" s="168">
        <f t="shared" si="274"/>
        <v>5.3428571428571425</v>
      </c>
      <c r="L1909" s="168">
        <f t="shared" si="275"/>
        <v>1.0760000000000001</v>
      </c>
      <c r="M1909" s="168">
        <f t="shared" si="276"/>
        <v>0</v>
      </c>
      <c r="N1909" s="241" t="s">
        <v>453</v>
      </c>
      <c r="O1909" s="286">
        <v>45726</v>
      </c>
    </row>
    <row r="1910" spans="1:15" ht="15" customHeight="1">
      <c r="A1910" s="58">
        <v>1909</v>
      </c>
      <c r="B1910" s="231" t="s">
        <v>52</v>
      </c>
      <c r="C1910" s="231" t="s">
        <v>10</v>
      </c>
      <c r="D1910" s="237" t="s">
        <v>3693</v>
      </c>
      <c r="E1910" s="249">
        <v>0</v>
      </c>
      <c r="F1910" s="249">
        <v>0</v>
      </c>
      <c r="G1910" s="168">
        <f t="shared" si="270"/>
        <v>0.4</v>
      </c>
      <c r="H1910" s="168">
        <f t="shared" si="271"/>
        <v>0.8</v>
      </c>
      <c r="I1910" s="168">
        <f t="shared" si="272"/>
        <v>0.6</v>
      </c>
      <c r="J1910" s="168">
        <f t="shared" si="273"/>
        <v>1</v>
      </c>
      <c r="K1910" s="168">
        <f t="shared" si="274"/>
        <v>1</v>
      </c>
      <c r="L1910" s="168">
        <f t="shared" si="275"/>
        <v>1</v>
      </c>
      <c r="M1910" s="168">
        <f t="shared" si="276"/>
        <v>0</v>
      </c>
      <c r="N1910" s="241" t="s">
        <v>453</v>
      </c>
      <c r="O1910" s="286">
        <v>45741</v>
      </c>
    </row>
    <row r="1911" spans="1:15" ht="15" customHeight="1">
      <c r="A1911" s="58">
        <v>1910</v>
      </c>
      <c r="B1911" s="231" t="s">
        <v>51</v>
      </c>
      <c r="C1911" s="231" t="s">
        <v>10</v>
      </c>
      <c r="D1911" s="237" t="s">
        <v>3694</v>
      </c>
      <c r="E1911" s="249">
        <v>0</v>
      </c>
      <c r="F1911" s="249">
        <v>300</v>
      </c>
      <c r="G1911" s="168">
        <f t="shared" si="270"/>
        <v>2.1142857142857143</v>
      </c>
      <c r="H1911" s="168">
        <f t="shared" si="271"/>
        <v>4.2285714285714286</v>
      </c>
      <c r="I1911" s="168">
        <f t="shared" si="272"/>
        <v>3.1714285714285713</v>
      </c>
      <c r="J1911" s="168">
        <f t="shared" si="273"/>
        <v>5.2857142857142856</v>
      </c>
      <c r="K1911" s="168">
        <f t="shared" si="274"/>
        <v>5.2857142857142856</v>
      </c>
      <c r="L1911" s="168">
        <f t="shared" si="275"/>
        <v>1.075</v>
      </c>
      <c r="M1911" s="168">
        <f t="shared" si="276"/>
        <v>0</v>
      </c>
      <c r="N1911" s="241" t="s">
        <v>453</v>
      </c>
      <c r="O1911" s="286">
        <v>45741</v>
      </c>
    </row>
    <row r="1912" spans="1:15" ht="15" customHeight="1">
      <c r="A1912" s="58">
        <v>1911</v>
      </c>
      <c r="B1912" s="231" t="s">
        <v>51</v>
      </c>
      <c r="C1912" s="231" t="s">
        <v>10</v>
      </c>
      <c r="D1912" s="237" t="s">
        <v>3696</v>
      </c>
      <c r="E1912" s="249">
        <v>0</v>
      </c>
      <c r="F1912" s="249">
        <v>300</v>
      </c>
      <c r="G1912" s="168">
        <f t="shared" si="270"/>
        <v>2.1142857142857143</v>
      </c>
      <c r="H1912" s="168">
        <f t="shared" si="271"/>
        <v>4.2285714285714286</v>
      </c>
      <c r="I1912" s="168">
        <f t="shared" si="272"/>
        <v>3.1714285714285713</v>
      </c>
      <c r="J1912" s="168">
        <f t="shared" si="273"/>
        <v>5.2857142857142856</v>
      </c>
      <c r="K1912" s="168">
        <f t="shared" si="274"/>
        <v>5.2857142857142856</v>
      </c>
      <c r="L1912" s="168">
        <f t="shared" si="275"/>
        <v>1.075</v>
      </c>
      <c r="M1912" s="168">
        <f t="shared" si="276"/>
        <v>0</v>
      </c>
      <c r="N1912" s="241" t="s">
        <v>453</v>
      </c>
      <c r="O1912" s="286">
        <v>45741</v>
      </c>
    </row>
    <row r="1913" spans="1:15" ht="15" customHeight="1">
      <c r="A1913" s="58">
        <v>1912</v>
      </c>
      <c r="B1913" s="231" t="s">
        <v>51</v>
      </c>
      <c r="C1913" s="231" t="s">
        <v>10</v>
      </c>
      <c r="D1913" s="237" t="s">
        <v>3697</v>
      </c>
      <c r="E1913" s="249">
        <v>0</v>
      </c>
      <c r="F1913" s="249">
        <v>600</v>
      </c>
      <c r="G1913" s="168">
        <f t="shared" si="270"/>
        <v>3.8285714285714287</v>
      </c>
      <c r="H1913" s="168">
        <f t="shared" si="271"/>
        <v>7.6571428571428575</v>
      </c>
      <c r="I1913" s="168">
        <f t="shared" si="272"/>
        <v>5.7428571428571429</v>
      </c>
      <c r="J1913" s="168">
        <f t="shared" si="273"/>
        <v>9.5714285714285712</v>
      </c>
      <c r="K1913" s="168">
        <f t="shared" si="274"/>
        <v>9.5714285714285712</v>
      </c>
      <c r="L1913" s="168">
        <f t="shared" si="275"/>
        <v>1.1499999999999999</v>
      </c>
      <c r="M1913" s="168">
        <f t="shared" si="276"/>
        <v>0</v>
      </c>
      <c r="N1913" s="241" t="s">
        <v>453</v>
      </c>
      <c r="O1913" s="286">
        <v>45742</v>
      </c>
    </row>
    <row r="1914" spans="1:15" ht="15" customHeight="1">
      <c r="A1914" s="58">
        <v>1913</v>
      </c>
      <c r="B1914" s="231" t="s">
        <v>51</v>
      </c>
      <c r="C1914" s="231" t="s">
        <v>10</v>
      </c>
      <c r="D1914" s="237" t="s">
        <v>3698</v>
      </c>
      <c r="E1914" s="249">
        <v>0</v>
      </c>
      <c r="F1914" s="249">
        <v>400</v>
      </c>
      <c r="G1914" s="168">
        <f t="shared" si="270"/>
        <v>2.6857142857142859</v>
      </c>
      <c r="H1914" s="168">
        <f t="shared" si="271"/>
        <v>5.3714285714285719</v>
      </c>
      <c r="I1914" s="168">
        <f t="shared" si="272"/>
        <v>4.0285714285714285</v>
      </c>
      <c r="J1914" s="168">
        <f t="shared" si="273"/>
        <v>6.7142857142857144</v>
      </c>
      <c r="K1914" s="168">
        <f t="shared" si="274"/>
        <v>6.7142857142857144</v>
      </c>
      <c r="L1914" s="168">
        <f t="shared" si="275"/>
        <v>1.1000000000000001</v>
      </c>
      <c r="M1914" s="168">
        <f t="shared" si="276"/>
        <v>0</v>
      </c>
      <c r="N1914" s="241" t="s">
        <v>453</v>
      </c>
      <c r="O1914" s="286">
        <v>45742</v>
      </c>
    </row>
    <row r="1915" spans="1:15" ht="15" customHeight="1">
      <c r="A1915" s="58">
        <v>1914</v>
      </c>
      <c r="B1915" s="231" t="s">
        <v>51</v>
      </c>
      <c r="C1915" s="231" t="s">
        <v>10</v>
      </c>
      <c r="D1915" s="237" t="s">
        <v>3699</v>
      </c>
      <c r="E1915" s="249">
        <v>0</v>
      </c>
      <c r="F1915" s="249">
        <v>900</v>
      </c>
      <c r="G1915" s="168">
        <f t="shared" si="270"/>
        <v>5.5428571428571436</v>
      </c>
      <c r="H1915" s="168">
        <f t="shared" si="271"/>
        <v>11.085714285714287</v>
      </c>
      <c r="I1915" s="168">
        <f t="shared" si="272"/>
        <v>8.3142857142857149</v>
      </c>
      <c r="J1915" s="168">
        <f t="shared" si="273"/>
        <v>13.857142857142858</v>
      </c>
      <c r="K1915" s="168">
        <f t="shared" si="274"/>
        <v>13.857142857142858</v>
      </c>
      <c r="L1915" s="168">
        <f t="shared" si="275"/>
        <v>1.2250000000000001</v>
      </c>
      <c r="M1915" s="168">
        <f t="shared" si="276"/>
        <v>0</v>
      </c>
      <c r="N1915" s="241" t="s">
        <v>453</v>
      </c>
      <c r="O1915" s="286">
        <v>45743</v>
      </c>
    </row>
    <row r="1916" spans="1:15" ht="15" customHeight="1">
      <c r="A1916" s="58">
        <v>1915</v>
      </c>
      <c r="B1916" s="231" t="s">
        <v>51</v>
      </c>
      <c r="C1916" s="231" t="s">
        <v>10</v>
      </c>
      <c r="D1916" s="237" t="s">
        <v>3700</v>
      </c>
      <c r="E1916" s="249">
        <v>300</v>
      </c>
      <c r="F1916" s="249">
        <v>1500</v>
      </c>
      <c r="G1916" s="168">
        <f t="shared" si="270"/>
        <v>8.9714285714285715</v>
      </c>
      <c r="H1916" s="168">
        <f t="shared" si="271"/>
        <v>17.942857142857143</v>
      </c>
      <c r="I1916" s="168">
        <f t="shared" si="272"/>
        <v>13.457142857142856</v>
      </c>
      <c r="J1916" s="168">
        <f t="shared" si="273"/>
        <v>22.428571428571427</v>
      </c>
      <c r="K1916" s="168">
        <f t="shared" si="274"/>
        <v>22.428571428571427</v>
      </c>
      <c r="L1916" s="168">
        <f t="shared" si="275"/>
        <v>1.375</v>
      </c>
      <c r="M1916" s="168">
        <f t="shared" si="276"/>
        <v>5</v>
      </c>
      <c r="N1916" s="241" t="s">
        <v>453</v>
      </c>
      <c r="O1916" s="286">
        <v>45743</v>
      </c>
    </row>
    <row r="1917" spans="1:15" ht="15" customHeight="1">
      <c r="A1917" s="58">
        <v>1916</v>
      </c>
      <c r="B1917" s="231" t="s">
        <v>52</v>
      </c>
      <c r="C1917" s="231" t="s">
        <v>10</v>
      </c>
      <c r="D1917" s="237" t="s">
        <v>3701</v>
      </c>
      <c r="E1917" s="249">
        <v>200</v>
      </c>
      <c r="F1917" s="249">
        <v>0</v>
      </c>
      <c r="G1917" s="168">
        <f t="shared" si="270"/>
        <v>0.4</v>
      </c>
      <c r="H1917" s="168">
        <f t="shared" si="271"/>
        <v>0.8</v>
      </c>
      <c r="I1917" s="168">
        <f t="shared" si="272"/>
        <v>0.6</v>
      </c>
      <c r="J1917" s="168">
        <f t="shared" si="273"/>
        <v>1</v>
      </c>
      <c r="K1917" s="168">
        <f t="shared" si="274"/>
        <v>1</v>
      </c>
      <c r="L1917" s="168">
        <f t="shared" si="275"/>
        <v>1</v>
      </c>
      <c r="M1917" s="168">
        <f t="shared" si="276"/>
        <v>3.3333333333333335</v>
      </c>
      <c r="N1917" s="241" t="s">
        <v>453</v>
      </c>
      <c r="O1917" s="286">
        <v>45744</v>
      </c>
    </row>
    <row r="1918" spans="1:15" ht="15" customHeight="1">
      <c r="A1918" s="58">
        <v>1917</v>
      </c>
      <c r="B1918" s="231" t="s">
        <v>52</v>
      </c>
      <c r="C1918" s="231" t="s">
        <v>10</v>
      </c>
      <c r="D1918" s="237" t="s">
        <v>3702</v>
      </c>
      <c r="E1918" s="249">
        <v>86</v>
      </c>
      <c r="F1918" s="249">
        <v>300</v>
      </c>
      <c r="G1918" s="168">
        <f t="shared" si="270"/>
        <v>2.1142857142857143</v>
      </c>
      <c r="H1918" s="168">
        <f t="shared" si="271"/>
        <v>4.2285714285714286</v>
      </c>
      <c r="I1918" s="168">
        <f t="shared" si="272"/>
        <v>3.1714285714285713</v>
      </c>
      <c r="J1918" s="168">
        <f t="shared" si="273"/>
        <v>5.2857142857142856</v>
      </c>
      <c r="K1918" s="168">
        <f t="shared" si="274"/>
        <v>5.2857142857142856</v>
      </c>
      <c r="L1918" s="168">
        <f t="shared" si="275"/>
        <v>1.075</v>
      </c>
      <c r="M1918" s="168">
        <f t="shared" si="276"/>
        <v>1.4333333333333333</v>
      </c>
      <c r="N1918" s="241" t="s">
        <v>453</v>
      </c>
      <c r="O1918" s="286">
        <v>45744</v>
      </c>
    </row>
    <row r="1919" spans="1:15" ht="15" customHeight="1">
      <c r="A1919" s="58">
        <v>1918</v>
      </c>
      <c r="B1919" s="231" t="s">
        <v>52</v>
      </c>
      <c r="C1919" s="231" t="s">
        <v>10</v>
      </c>
      <c r="D1919" s="237" t="s">
        <v>3703</v>
      </c>
      <c r="E1919" s="249">
        <v>110</v>
      </c>
      <c r="F1919" s="249">
        <v>763</v>
      </c>
      <c r="G1919" s="168">
        <f t="shared" si="270"/>
        <v>4.7600000000000007</v>
      </c>
      <c r="H1919" s="168">
        <f t="shared" si="271"/>
        <v>9.5200000000000014</v>
      </c>
      <c r="I1919" s="168">
        <f t="shared" si="272"/>
        <v>7.14</v>
      </c>
      <c r="J1919" s="168">
        <f t="shared" si="273"/>
        <v>11.9</v>
      </c>
      <c r="K1919" s="168">
        <f t="shared" si="274"/>
        <v>11.9</v>
      </c>
      <c r="L1919" s="168">
        <f t="shared" si="275"/>
        <v>1.19075</v>
      </c>
      <c r="M1919" s="168">
        <f t="shared" si="276"/>
        <v>1.8333333333333333</v>
      </c>
      <c r="N1919" s="241" t="s">
        <v>453</v>
      </c>
      <c r="O1919" s="286">
        <v>45744</v>
      </c>
    </row>
    <row r="1920" spans="1:15" ht="15" customHeight="1">
      <c r="A1920" s="58">
        <v>1919</v>
      </c>
      <c r="B1920" s="231" t="s">
        <v>49</v>
      </c>
      <c r="C1920" s="231" t="s">
        <v>10</v>
      </c>
      <c r="D1920" s="237" t="s">
        <v>3704</v>
      </c>
      <c r="E1920" s="249">
        <v>0</v>
      </c>
      <c r="F1920" s="249">
        <v>700</v>
      </c>
      <c r="G1920" s="168">
        <f t="shared" si="270"/>
        <v>4.4000000000000004</v>
      </c>
      <c r="H1920" s="168">
        <f t="shared" si="271"/>
        <v>8.8000000000000007</v>
      </c>
      <c r="I1920" s="168">
        <f t="shared" si="272"/>
        <v>6.6</v>
      </c>
      <c r="J1920" s="168">
        <f t="shared" si="273"/>
        <v>11</v>
      </c>
      <c r="K1920" s="168">
        <f t="shared" si="274"/>
        <v>11</v>
      </c>
      <c r="L1920" s="168">
        <f t="shared" si="275"/>
        <v>1.175</v>
      </c>
      <c r="M1920" s="168">
        <f t="shared" si="276"/>
        <v>0</v>
      </c>
      <c r="N1920" s="241" t="s">
        <v>453</v>
      </c>
      <c r="O1920" s="286">
        <v>45745</v>
      </c>
    </row>
    <row r="1921" spans="1:15" ht="15" customHeight="1">
      <c r="A1921" s="58">
        <v>1920</v>
      </c>
      <c r="B1921" s="231" t="s">
        <v>49</v>
      </c>
      <c r="C1921" s="231" t="s">
        <v>10</v>
      </c>
      <c r="D1921" s="237" t="s">
        <v>3705</v>
      </c>
      <c r="E1921" s="249">
        <v>0</v>
      </c>
      <c r="F1921" s="249">
        <v>0</v>
      </c>
      <c r="G1921" s="168">
        <f t="shared" si="270"/>
        <v>0.4</v>
      </c>
      <c r="H1921" s="168">
        <f t="shared" si="271"/>
        <v>0.8</v>
      </c>
      <c r="I1921" s="168">
        <f t="shared" si="272"/>
        <v>0.6</v>
      </c>
      <c r="J1921" s="168">
        <f t="shared" si="273"/>
        <v>1</v>
      </c>
      <c r="K1921" s="168">
        <f t="shared" si="274"/>
        <v>1</v>
      </c>
      <c r="L1921" s="168">
        <f t="shared" si="275"/>
        <v>1</v>
      </c>
      <c r="M1921" s="168">
        <f t="shared" si="276"/>
        <v>0</v>
      </c>
      <c r="N1921" s="241" t="s">
        <v>453</v>
      </c>
      <c r="O1921" s="286">
        <v>45742</v>
      </c>
    </row>
    <row r="1922" spans="1:15" ht="15" customHeight="1">
      <c r="A1922" s="58">
        <v>1921</v>
      </c>
      <c r="B1922" s="231" t="s">
        <v>50</v>
      </c>
      <c r="C1922" s="231" t="s">
        <v>10</v>
      </c>
      <c r="D1922" s="237" t="s">
        <v>3706</v>
      </c>
      <c r="E1922" s="249">
        <v>0</v>
      </c>
      <c r="F1922" s="249">
        <v>2500</v>
      </c>
      <c r="G1922" s="168">
        <f t="shared" si="270"/>
        <v>14.685714285714287</v>
      </c>
      <c r="H1922" s="168">
        <f t="shared" si="271"/>
        <v>29.371428571428574</v>
      </c>
      <c r="I1922" s="168">
        <f t="shared" si="272"/>
        <v>22.028571428571428</v>
      </c>
      <c r="J1922" s="168">
        <f t="shared" si="273"/>
        <v>36.714285714285715</v>
      </c>
      <c r="K1922" s="168">
        <f t="shared" si="274"/>
        <v>36.714285714285715</v>
      </c>
      <c r="L1922" s="168">
        <f t="shared" si="275"/>
        <v>1.625</v>
      </c>
      <c r="M1922" s="168">
        <f t="shared" si="276"/>
        <v>0</v>
      </c>
      <c r="N1922" s="241" t="s">
        <v>453</v>
      </c>
      <c r="O1922" s="286">
        <v>45742</v>
      </c>
    </row>
    <row r="1923" spans="1:15" ht="15" customHeight="1">
      <c r="A1923" s="58">
        <v>1922</v>
      </c>
      <c r="B1923" s="231" t="s">
        <v>52</v>
      </c>
      <c r="C1923" s="231" t="s">
        <v>10</v>
      </c>
      <c r="D1923" s="237" t="s">
        <v>3708</v>
      </c>
      <c r="E1923" s="249">
        <v>110</v>
      </c>
      <c r="F1923" s="249">
        <v>379</v>
      </c>
      <c r="G1923" s="168">
        <f t="shared" si="270"/>
        <v>2.5657142857142858</v>
      </c>
      <c r="H1923" s="168">
        <f t="shared" si="271"/>
        <v>5.1314285714285717</v>
      </c>
      <c r="I1923" s="168">
        <f t="shared" si="272"/>
        <v>3.8485714285714288</v>
      </c>
      <c r="J1923" s="168">
        <f t="shared" si="273"/>
        <v>6.4142857142857146</v>
      </c>
      <c r="K1923" s="168">
        <f t="shared" si="274"/>
        <v>6.4142857142857146</v>
      </c>
      <c r="L1923" s="168">
        <f t="shared" si="275"/>
        <v>1.0947499999999999</v>
      </c>
      <c r="M1923" s="168">
        <f t="shared" si="276"/>
        <v>1.8333333333333333</v>
      </c>
      <c r="N1923" s="241" t="s">
        <v>453</v>
      </c>
      <c r="O1923" s="286">
        <v>45742</v>
      </c>
    </row>
    <row r="1924" spans="1:15" ht="15" customHeight="1">
      <c r="A1924" s="58">
        <v>1923</v>
      </c>
      <c r="B1924" s="231" t="s">
        <v>52</v>
      </c>
      <c r="C1924" s="231" t="s">
        <v>10</v>
      </c>
      <c r="D1924" s="304" t="s">
        <v>4376</v>
      </c>
      <c r="E1924" s="249">
        <v>0</v>
      </c>
      <c r="F1924" s="249">
        <v>618</v>
      </c>
      <c r="G1924" s="168">
        <f t="shared" si="270"/>
        <v>3.9314285714285719</v>
      </c>
      <c r="H1924" s="168">
        <f t="shared" si="271"/>
        <v>7.8628571428571439</v>
      </c>
      <c r="I1924" s="168">
        <f t="shared" si="272"/>
        <v>5.8971428571428577</v>
      </c>
      <c r="J1924" s="168">
        <f t="shared" si="273"/>
        <v>9.8285714285714292</v>
      </c>
      <c r="K1924" s="168">
        <f t="shared" si="274"/>
        <v>9.8285714285714292</v>
      </c>
      <c r="L1924" s="168">
        <f t="shared" si="275"/>
        <v>1.1545000000000001</v>
      </c>
      <c r="M1924" s="168">
        <f t="shared" si="276"/>
        <v>0</v>
      </c>
      <c r="N1924" s="241" t="s">
        <v>453</v>
      </c>
      <c r="O1924" s="286">
        <v>45742</v>
      </c>
    </row>
    <row r="1925" spans="1:15" ht="15" customHeight="1">
      <c r="A1925" s="58">
        <v>1924</v>
      </c>
      <c r="B1925" s="231" t="s">
        <v>52</v>
      </c>
      <c r="C1925" s="231" t="s">
        <v>10</v>
      </c>
      <c r="D1925" s="237" t="s">
        <v>3709</v>
      </c>
      <c r="E1925" s="249">
        <v>200</v>
      </c>
      <c r="F1925" s="249">
        <v>0</v>
      </c>
      <c r="G1925" s="168">
        <f t="shared" si="270"/>
        <v>0.4</v>
      </c>
      <c r="H1925" s="168">
        <f t="shared" si="271"/>
        <v>0.8</v>
      </c>
      <c r="I1925" s="168">
        <f t="shared" si="272"/>
        <v>0.6</v>
      </c>
      <c r="J1925" s="168">
        <f t="shared" si="273"/>
        <v>1</v>
      </c>
      <c r="K1925" s="168">
        <f t="shared" si="274"/>
        <v>1</v>
      </c>
      <c r="L1925" s="168">
        <f t="shared" si="275"/>
        <v>1</v>
      </c>
      <c r="M1925" s="168">
        <f t="shared" si="276"/>
        <v>3.3333333333333335</v>
      </c>
      <c r="N1925" s="241" t="s">
        <v>453</v>
      </c>
      <c r="O1925" s="286">
        <v>45743</v>
      </c>
    </row>
    <row r="1926" spans="1:15" ht="15" customHeight="1">
      <c r="A1926" s="58">
        <v>1925</v>
      </c>
      <c r="B1926" s="231" t="s">
        <v>52</v>
      </c>
      <c r="C1926" s="231" t="s">
        <v>10</v>
      </c>
      <c r="D1926" s="237" t="s">
        <v>3710</v>
      </c>
      <c r="E1926" s="249">
        <v>200</v>
      </c>
      <c r="F1926" s="249">
        <v>0</v>
      </c>
      <c r="G1926" s="168">
        <f t="shared" si="270"/>
        <v>0.4</v>
      </c>
      <c r="H1926" s="168">
        <f t="shared" si="271"/>
        <v>0.8</v>
      </c>
      <c r="I1926" s="168">
        <f t="shared" si="272"/>
        <v>0.6</v>
      </c>
      <c r="J1926" s="168">
        <f t="shared" si="273"/>
        <v>1</v>
      </c>
      <c r="K1926" s="168">
        <f t="shared" si="274"/>
        <v>1</v>
      </c>
      <c r="L1926" s="168">
        <f t="shared" si="275"/>
        <v>1</v>
      </c>
      <c r="M1926" s="168">
        <f t="shared" si="276"/>
        <v>3.3333333333333335</v>
      </c>
      <c r="N1926" s="241" t="s">
        <v>453</v>
      </c>
      <c r="O1926" s="286">
        <v>45743</v>
      </c>
    </row>
    <row r="1927" spans="1:15" ht="15" customHeight="1">
      <c r="A1927" s="58">
        <v>1926</v>
      </c>
      <c r="B1927" s="231" t="s">
        <v>52</v>
      </c>
      <c r="C1927" s="231" t="s">
        <v>10</v>
      </c>
      <c r="D1927" s="237" t="s">
        <v>3711</v>
      </c>
      <c r="E1927" s="249">
        <v>200</v>
      </c>
      <c r="F1927" s="249">
        <v>0</v>
      </c>
      <c r="G1927" s="168">
        <f t="shared" si="270"/>
        <v>0.4</v>
      </c>
      <c r="H1927" s="168">
        <f t="shared" si="271"/>
        <v>0.8</v>
      </c>
      <c r="I1927" s="168">
        <f t="shared" si="272"/>
        <v>0.6</v>
      </c>
      <c r="J1927" s="168">
        <f t="shared" si="273"/>
        <v>1</v>
      </c>
      <c r="K1927" s="168">
        <f t="shared" si="274"/>
        <v>1</v>
      </c>
      <c r="L1927" s="168">
        <f t="shared" si="275"/>
        <v>1</v>
      </c>
      <c r="M1927" s="168">
        <f t="shared" si="276"/>
        <v>3.3333333333333335</v>
      </c>
      <c r="N1927" s="241" t="s">
        <v>453</v>
      </c>
      <c r="O1927" s="286">
        <v>45743</v>
      </c>
    </row>
    <row r="1928" spans="1:15" ht="15" customHeight="1">
      <c r="A1928" s="58">
        <v>1927</v>
      </c>
      <c r="B1928" s="231" t="s">
        <v>52</v>
      </c>
      <c r="C1928" s="231" t="s">
        <v>10</v>
      </c>
      <c r="D1928" s="237" t="s">
        <v>3712</v>
      </c>
      <c r="E1928" s="249">
        <v>83</v>
      </c>
      <c r="F1928" s="249">
        <v>0</v>
      </c>
      <c r="G1928" s="168">
        <f t="shared" ref="G1928:G1991" si="277">(((F1928/70)+1)*0.4)</f>
        <v>0.4</v>
      </c>
      <c r="H1928" s="168">
        <f t="shared" ref="H1928:H1991" si="278">G1928*2</f>
        <v>0.8</v>
      </c>
      <c r="I1928" s="168">
        <f t="shared" ref="I1928:I1991" si="279">(((F1928/70)+1)*0.6)</f>
        <v>0.6</v>
      </c>
      <c r="J1928" s="168">
        <f t="shared" ref="J1928:J1991" si="280">I1928+G1928</f>
        <v>1</v>
      </c>
      <c r="K1928" s="168">
        <f t="shared" ref="K1928:K1991" si="281">J1928</f>
        <v>1</v>
      </c>
      <c r="L1928" s="168">
        <f t="shared" ref="L1928:L1991" si="282">(F1928/4000)+1</f>
        <v>1</v>
      </c>
      <c r="M1928" s="168">
        <f t="shared" si="276"/>
        <v>1.3833333333333333</v>
      </c>
      <c r="N1928" s="241" t="s">
        <v>453</v>
      </c>
      <c r="O1928" s="286">
        <v>45743</v>
      </c>
    </row>
    <row r="1929" spans="1:15" ht="15" customHeight="1">
      <c r="A1929" s="58">
        <v>1928</v>
      </c>
      <c r="B1929" s="231" t="s">
        <v>52</v>
      </c>
      <c r="C1929" s="231" t="s">
        <v>10</v>
      </c>
      <c r="D1929" s="237" t="s">
        <v>3713</v>
      </c>
      <c r="E1929" s="249">
        <v>300</v>
      </c>
      <c r="F1929" s="249">
        <v>0</v>
      </c>
      <c r="G1929" s="168">
        <f t="shared" si="277"/>
        <v>0.4</v>
      </c>
      <c r="H1929" s="168">
        <f t="shared" si="278"/>
        <v>0.8</v>
      </c>
      <c r="I1929" s="168">
        <f t="shared" si="279"/>
        <v>0.6</v>
      </c>
      <c r="J1929" s="168">
        <f t="shared" si="280"/>
        <v>1</v>
      </c>
      <c r="K1929" s="168">
        <f t="shared" si="281"/>
        <v>1</v>
      </c>
      <c r="L1929" s="168">
        <f t="shared" si="282"/>
        <v>1</v>
      </c>
      <c r="M1929" s="168">
        <f t="shared" ref="M1929:M1992" si="283">E1929/60</f>
        <v>5</v>
      </c>
      <c r="N1929" s="241" t="s">
        <v>453</v>
      </c>
      <c r="O1929" s="286">
        <v>45743</v>
      </c>
    </row>
    <row r="1930" spans="1:15" ht="15" customHeight="1">
      <c r="A1930" s="58">
        <v>1929</v>
      </c>
      <c r="B1930" s="231" t="s">
        <v>52</v>
      </c>
      <c r="C1930" s="231" t="s">
        <v>10</v>
      </c>
      <c r="D1930" s="237" t="s">
        <v>3714</v>
      </c>
      <c r="E1930" s="249">
        <v>247</v>
      </c>
      <c r="F1930" s="249">
        <v>0</v>
      </c>
      <c r="G1930" s="168">
        <f t="shared" si="277"/>
        <v>0.4</v>
      </c>
      <c r="H1930" s="168">
        <f t="shared" si="278"/>
        <v>0.8</v>
      </c>
      <c r="I1930" s="168">
        <f t="shared" si="279"/>
        <v>0.6</v>
      </c>
      <c r="J1930" s="168">
        <f t="shared" si="280"/>
        <v>1</v>
      </c>
      <c r="K1930" s="168">
        <f t="shared" si="281"/>
        <v>1</v>
      </c>
      <c r="L1930" s="168">
        <f t="shared" si="282"/>
        <v>1</v>
      </c>
      <c r="M1930" s="168">
        <f t="shared" si="283"/>
        <v>4.1166666666666663</v>
      </c>
      <c r="N1930" s="241" t="s">
        <v>453</v>
      </c>
      <c r="O1930" s="286">
        <v>45744</v>
      </c>
    </row>
    <row r="1931" spans="1:15" ht="15" customHeight="1">
      <c r="A1931" s="58">
        <v>1930</v>
      </c>
      <c r="B1931" s="231" t="s">
        <v>52</v>
      </c>
      <c r="C1931" s="231" t="s">
        <v>10</v>
      </c>
      <c r="D1931" s="237" t="s">
        <v>3716</v>
      </c>
      <c r="E1931" s="278">
        <v>0</v>
      </c>
      <c r="F1931" s="278">
        <v>400</v>
      </c>
      <c r="G1931" s="168">
        <f t="shared" si="277"/>
        <v>2.6857142857142859</v>
      </c>
      <c r="H1931" s="168">
        <f t="shared" si="278"/>
        <v>5.3714285714285719</v>
      </c>
      <c r="I1931" s="168">
        <f t="shared" si="279"/>
        <v>4.0285714285714285</v>
      </c>
      <c r="J1931" s="168">
        <f t="shared" si="280"/>
        <v>6.7142857142857144</v>
      </c>
      <c r="K1931" s="168">
        <f t="shared" si="281"/>
        <v>6.7142857142857144</v>
      </c>
      <c r="L1931" s="168">
        <f t="shared" si="282"/>
        <v>1.1000000000000001</v>
      </c>
      <c r="M1931" s="168">
        <f t="shared" si="283"/>
        <v>0</v>
      </c>
      <c r="N1931" s="241" t="s">
        <v>453</v>
      </c>
      <c r="O1931" s="286">
        <v>45744</v>
      </c>
    </row>
    <row r="1932" spans="1:15" ht="15" customHeight="1">
      <c r="A1932" s="58">
        <v>1931</v>
      </c>
      <c r="B1932" s="231" t="s">
        <v>49</v>
      </c>
      <c r="C1932" s="231" t="s">
        <v>10</v>
      </c>
      <c r="D1932" s="237" t="s">
        <v>3717</v>
      </c>
      <c r="E1932" s="278">
        <v>0</v>
      </c>
      <c r="F1932" s="278">
        <v>0</v>
      </c>
      <c r="G1932" s="168">
        <f t="shared" si="277"/>
        <v>0.4</v>
      </c>
      <c r="H1932" s="168">
        <f t="shared" si="278"/>
        <v>0.8</v>
      </c>
      <c r="I1932" s="168">
        <f t="shared" si="279"/>
        <v>0.6</v>
      </c>
      <c r="J1932" s="168">
        <f t="shared" si="280"/>
        <v>1</v>
      </c>
      <c r="K1932" s="168">
        <f t="shared" si="281"/>
        <v>1</v>
      </c>
      <c r="L1932" s="168">
        <f t="shared" si="282"/>
        <v>1</v>
      </c>
      <c r="M1932" s="168">
        <f t="shared" si="283"/>
        <v>0</v>
      </c>
      <c r="N1932" s="241" t="s">
        <v>453</v>
      </c>
      <c r="O1932" s="286">
        <v>45744</v>
      </c>
    </row>
    <row r="1933" spans="1:15" ht="15" customHeight="1">
      <c r="A1933" s="58">
        <v>1932</v>
      </c>
      <c r="B1933" s="231" t="s">
        <v>52</v>
      </c>
      <c r="C1933" s="231" t="s">
        <v>10</v>
      </c>
      <c r="D1933" s="237" t="s">
        <v>3719</v>
      </c>
      <c r="E1933" s="278">
        <v>173</v>
      </c>
      <c r="F1933" s="278">
        <v>0</v>
      </c>
      <c r="G1933" s="168">
        <f t="shared" si="277"/>
        <v>0.4</v>
      </c>
      <c r="H1933" s="168">
        <f t="shared" si="278"/>
        <v>0.8</v>
      </c>
      <c r="I1933" s="168">
        <f t="shared" si="279"/>
        <v>0.6</v>
      </c>
      <c r="J1933" s="168">
        <f t="shared" si="280"/>
        <v>1</v>
      </c>
      <c r="K1933" s="168">
        <f t="shared" si="281"/>
        <v>1</v>
      </c>
      <c r="L1933" s="168">
        <f t="shared" si="282"/>
        <v>1</v>
      </c>
      <c r="M1933" s="168">
        <f t="shared" si="283"/>
        <v>2.8833333333333333</v>
      </c>
      <c r="N1933" s="241" t="s">
        <v>453</v>
      </c>
      <c r="O1933" s="286">
        <v>45744</v>
      </c>
    </row>
    <row r="1934" spans="1:15" ht="15" customHeight="1">
      <c r="A1934" s="58">
        <v>1933</v>
      </c>
      <c r="B1934" s="231" t="s">
        <v>52</v>
      </c>
      <c r="C1934" s="231" t="s">
        <v>10</v>
      </c>
      <c r="D1934" s="237" t="s">
        <v>3721</v>
      </c>
      <c r="E1934" s="278">
        <v>0</v>
      </c>
      <c r="F1934" s="278">
        <v>350</v>
      </c>
      <c r="G1934" s="168">
        <f t="shared" si="277"/>
        <v>2.4000000000000004</v>
      </c>
      <c r="H1934" s="168">
        <f t="shared" si="278"/>
        <v>4.8000000000000007</v>
      </c>
      <c r="I1934" s="168">
        <f t="shared" si="279"/>
        <v>3.5999999999999996</v>
      </c>
      <c r="J1934" s="168">
        <f t="shared" si="280"/>
        <v>6</v>
      </c>
      <c r="K1934" s="168">
        <f t="shared" si="281"/>
        <v>6</v>
      </c>
      <c r="L1934" s="168">
        <f t="shared" si="282"/>
        <v>1.0874999999999999</v>
      </c>
      <c r="M1934" s="168">
        <f t="shared" si="283"/>
        <v>0</v>
      </c>
      <c r="N1934" s="241" t="s">
        <v>453</v>
      </c>
      <c r="O1934" s="286">
        <v>45744</v>
      </c>
    </row>
    <row r="1935" spans="1:15" ht="15" customHeight="1">
      <c r="A1935" s="58">
        <v>1934</v>
      </c>
      <c r="B1935" s="231" t="s">
        <v>52</v>
      </c>
      <c r="C1935" s="231" t="s">
        <v>10</v>
      </c>
      <c r="D1935" s="237" t="s">
        <v>3723</v>
      </c>
      <c r="E1935" s="278">
        <v>844</v>
      </c>
      <c r="F1935" s="278">
        <v>0</v>
      </c>
      <c r="G1935" s="168">
        <f t="shared" si="277"/>
        <v>0.4</v>
      </c>
      <c r="H1935" s="168">
        <f t="shared" si="278"/>
        <v>0.8</v>
      </c>
      <c r="I1935" s="168">
        <f t="shared" si="279"/>
        <v>0.6</v>
      </c>
      <c r="J1935" s="168">
        <f t="shared" si="280"/>
        <v>1</v>
      </c>
      <c r="K1935" s="168">
        <f t="shared" si="281"/>
        <v>1</v>
      </c>
      <c r="L1935" s="168">
        <f t="shared" si="282"/>
        <v>1</v>
      </c>
      <c r="M1935" s="168">
        <f t="shared" si="283"/>
        <v>14.066666666666666</v>
      </c>
      <c r="N1935" s="241" t="s">
        <v>453</v>
      </c>
      <c r="O1935" s="286">
        <v>45744</v>
      </c>
    </row>
    <row r="1936" spans="1:15" ht="15" customHeight="1">
      <c r="A1936" s="58">
        <v>1935</v>
      </c>
      <c r="B1936" s="231" t="s">
        <v>52</v>
      </c>
      <c r="C1936" s="231" t="s">
        <v>10</v>
      </c>
      <c r="D1936" s="269" t="s">
        <v>3725</v>
      </c>
      <c r="E1936" s="278">
        <v>283</v>
      </c>
      <c r="F1936" s="278">
        <v>0</v>
      </c>
      <c r="G1936" s="168">
        <f t="shared" si="277"/>
        <v>0.4</v>
      </c>
      <c r="H1936" s="168">
        <f t="shared" si="278"/>
        <v>0.8</v>
      </c>
      <c r="I1936" s="168">
        <f t="shared" si="279"/>
        <v>0.6</v>
      </c>
      <c r="J1936" s="168">
        <f t="shared" si="280"/>
        <v>1</v>
      </c>
      <c r="K1936" s="168">
        <f t="shared" si="281"/>
        <v>1</v>
      </c>
      <c r="L1936" s="168">
        <f t="shared" si="282"/>
        <v>1</v>
      </c>
      <c r="M1936" s="168">
        <f t="shared" si="283"/>
        <v>4.7166666666666668</v>
      </c>
      <c r="N1936" s="241" t="s">
        <v>453</v>
      </c>
      <c r="O1936" s="286">
        <v>45747</v>
      </c>
    </row>
    <row r="1937" spans="1:15" ht="15" customHeight="1">
      <c r="A1937" s="58">
        <v>1936</v>
      </c>
      <c r="B1937" s="231" t="s">
        <v>49</v>
      </c>
      <c r="C1937" s="231" t="s">
        <v>10</v>
      </c>
      <c r="D1937" s="237" t="s">
        <v>3727</v>
      </c>
      <c r="E1937" s="278">
        <v>0</v>
      </c>
      <c r="F1937" s="278">
        <v>308</v>
      </c>
      <c r="G1937" s="168">
        <f t="shared" si="277"/>
        <v>2.16</v>
      </c>
      <c r="H1937" s="168">
        <f t="shared" si="278"/>
        <v>4.32</v>
      </c>
      <c r="I1937" s="168">
        <f t="shared" si="279"/>
        <v>3.24</v>
      </c>
      <c r="J1937" s="168">
        <f t="shared" si="280"/>
        <v>5.4</v>
      </c>
      <c r="K1937" s="168">
        <f t="shared" si="281"/>
        <v>5.4</v>
      </c>
      <c r="L1937" s="168">
        <f t="shared" si="282"/>
        <v>1.077</v>
      </c>
      <c r="M1937" s="168">
        <f t="shared" si="283"/>
        <v>0</v>
      </c>
      <c r="N1937" s="241" t="s">
        <v>453</v>
      </c>
      <c r="O1937" s="286">
        <v>45747</v>
      </c>
    </row>
    <row r="1938" spans="1:15" ht="15" customHeight="1">
      <c r="A1938" s="58">
        <v>1937</v>
      </c>
      <c r="B1938" s="231" t="s">
        <v>52</v>
      </c>
      <c r="C1938" s="231" t="s">
        <v>10</v>
      </c>
      <c r="D1938" s="237" t="s">
        <v>3728</v>
      </c>
      <c r="E1938" s="278">
        <v>0</v>
      </c>
      <c r="F1938" s="278">
        <v>100</v>
      </c>
      <c r="G1938" s="168">
        <f t="shared" si="277"/>
        <v>0.97142857142857153</v>
      </c>
      <c r="H1938" s="168">
        <f t="shared" si="278"/>
        <v>1.9428571428571431</v>
      </c>
      <c r="I1938" s="168">
        <f t="shared" si="279"/>
        <v>1.4571428571428573</v>
      </c>
      <c r="J1938" s="168">
        <f t="shared" si="280"/>
        <v>2.4285714285714288</v>
      </c>
      <c r="K1938" s="168">
        <f t="shared" si="281"/>
        <v>2.4285714285714288</v>
      </c>
      <c r="L1938" s="168">
        <f t="shared" si="282"/>
        <v>1.0249999999999999</v>
      </c>
      <c r="M1938" s="168">
        <f t="shared" si="283"/>
        <v>0</v>
      </c>
      <c r="N1938" s="241" t="s">
        <v>453</v>
      </c>
      <c r="O1938" s="286">
        <v>45747</v>
      </c>
    </row>
    <row r="1939" spans="1:15" ht="15" customHeight="1">
      <c r="A1939" s="58">
        <v>1938</v>
      </c>
      <c r="B1939" s="231" t="s">
        <v>49</v>
      </c>
      <c r="C1939" s="231" t="s">
        <v>10</v>
      </c>
      <c r="D1939" s="237" t="s">
        <v>3730</v>
      </c>
      <c r="E1939" s="278">
        <v>0</v>
      </c>
      <c r="F1939" s="278">
        <v>546</v>
      </c>
      <c r="G1939" s="168">
        <f t="shared" si="277"/>
        <v>3.5200000000000005</v>
      </c>
      <c r="H1939" s="168">
        <f t="shared" si="278"/>
        <v>7.0400000000000009</v>
      </c>
      <c r="I1939" s="168">
        <f t="shared" si="279"/>
        <v>5.28</v>
      </c>
      <c r="J1939" s="168">
        <f t="shared" si="280"/>
        <v>8.8000000000000007</v>
      </c>
      <c r="K1939" s="168">
        <f t="shared" si="281"/>
        <v>8.8000000000000007</v>
      </c>
      <c r="L1939" s="168">
        <f t="shared" si="282"/>
        <v>1.1365000000000001</v>
      </c>
      <c r="M1939" s="168">
        <f t="shared" si="283"/>
        <v>0</v>
      </c>
      <c r="N1939" s="241" t="s">
        <v>453</v>
      </c>
      <c r="O1939" s="286">
        <v>45747</v>
      </c>
    </row>
    <row r="1940" spans="1:15" ht="15" customHeight="1">
      <c r="A1940" s="58">
        <v>1939</v>
      </c>
      <c r="B1940" s="231" t="s">
        <v>52</v>
      </c>
      <c r="C1940" s="231" t="s">
        <v>10</v>
      </c>
      <c r="D1940" s="237" t="s">
        <v>3731</v>
      </c>
      <c r="E1940" s="278">
        <v>0</v>
      </c>
      <c r="F1940" s="278">
        <v>100</v>
      </c>
      <c r="G1940" s="168">
        <f t="shared" si="277"/>
        <v>0.97142857142857153</v>
      </c>
      <c r="H1940" s="168">
        <f t="shared" si="278"/>
        <v>1.9428571428571431</v>
      </c>
      <c r="I1940" s="168">
        <f t="shared" si="279"/>
        <v>1.4571428571428573</v>
      </c>
      <c r="J1940" s="168">
        <f t="shared" si="280"/>
        <v>2.4285714285714288</v>
      </c>
      <c r="K1940" s="168">
        <f t="shared" si="281"/>
        <v>2.4285714285714288</v>
      </c>
      <c r="L1940" s="168">
        <f t="shared" si="282"/>
        <v>1.0249999999999999</v>
      </c>
      <c r="M1940" s="168">
        <f t="shared" si="283"/>
        <v>0</v>
      </c>
      <c r="N1940" s="241" t="s">
        <v>453</v>
      </c>
      <c r="O1940" s="286">
        <v>45748</v>
      </c>
    </row>
    <row r="1941" spans="1:15" ht="15" customHeight="1">
      <c r="A1941" s="58">
        <v>1940</v>
      </c>
      <c r="B1941" s="231" t="s">
        <v>52</v>
      </c>
      <c r="C1941" s="231" t="s">
        <v>10</v>
      </c>
      <c r="D1941" s="237" t="s">
        <v>3733</v>
      </c>
      <c r="E1941" s="278">
        <v>200</v>
      </c>
      <c r="F1941" s="278">
        <v>400</v>
      </c>
      <c r="G1941" s="168">
        <f t="shared" si="277"/>
        <v>2.6857142857142859</v>
      </c>
      <c r="H1941" s="168">
        <f t="shared" si="278"/>
        <v>5.3714285714285719</v>
      </c>
      <c r="I1941" s="168">
        <f t="shared" si="279"/>
        <v>4.0285714285714285</v>
      </c>
      <c r="J1941" s="168">
        <f t="shared" si="280"/>
        <v>6.7142857142857144</v>
      </c>
      <c r="K1941" s="168">
        <f t="shared" si="281"/>
        <v>6.7142857142857144</v>
      </c>
      <c r="L1941" s="168">
        <f t="shared" si="282"/>
        <v>1.1000000000000001</v>
      </c>
      <c r="M1941" s="168">
        <f t="shared" si="283"/>
        <v>3.3333333333333335</v>
      </c>
      <c r="N1941" s="241" t="s">
        <v>453</v>
      </c>
      <c r="O1941" s="286">
        <v>45749</v>
      </c>
    </row>
    <row r="1942" spans="1:15" ht="15" customHeight="1">
      <c r="A1942" s="58">
        <v>1941</v>
      </c>
      <c r="B1942" s="231" t="s">
        <v>52</v>
      </c>
      <c r="C1942" s="231" t="s">
        <v>10</v>
      </c>
      <c r="D1942" s="237" t="s">
        <v>3734</v>
      </c>
      <c r="E1942" s="278">
        <v>300</v>
      </c>
      <c r="F1942" s="278">
        <v>0</v>
      </c>
      <c r="G1942" s="168">
        <f t="shared" si="277"/>
        <v>0.4</v>
      </c>
      <c r="H1942" s="168">
        <f t="shared" si="278"/>
        <v>0.8</v>
      </c>
      <c r="I1942" s="168">
        <f t="shared" si="279"/>
        <v>0.6</v>
      </c>
      <c r="J1942" s="168">
        <f t="shared" si="280"/>
        <v>1</v>
      </c>
      <c r="K1942" s="168">
        <f t="shared" si="281"/>
        <v>1</v>
      </c>
      <c r="L1942" s="168">
        <f t="shared" si="282"/>
        <v>1</v>
      </c>
      <c r="M1942" s="168">
        <f t="shared" si="283"/>
        <v>5</v>
      </c>
      <c r="N1942" s="241" t="s">
        <v>453</v>
      </c>
      <c r="O1942" s="286">
        <v>45749</v>
      </c>
    </row>
    <row r="1943" spans="1:15" ht="15" customHeight="1">
      <c r="A1943" s="58">
        <v>1942</v>
      </c>
      <c r="B1943" s="231" t="s">
        <v>52</v>
      </c>
      <c r="C1943" s="231" t="s">
        <v>10</v>
      </c>
      <c r="D1943" s="237" t="s">
        <v>3735</v>
      </c>
      <c r="E1943" s="278">
        <v>400</v>
      </c>
      <c r="F1943" s="278">
        <v>0</v>
      </c>
      <c r="G1943" s="168">
        <f t="shared" si="277"/>
        <v>0.4</v>
      </c>
      <c r="H1943" s="168">
        <f t="shared" si="278"/>
        <v>0.8</v>
      </c>
      <c r="I1943" s="168">
        <f t="shared" si="279"/>
        <v>0.6</v>
      </c>
      <c r="J1943" s="168">
        <f t="shared" si="280"/>
        <v>1</v>
      </c>
      <c r="K1943" s="168">
        <f t="shared" si="281"/>
        <v>1</v>
      </c>
      <c r="L1943" s="168">
        <f t="shared" si="282"/>
        <v>1</v>
      </c>
      <c r="M1943" s="168">
        <f t="shared" si="283"/>
        <v>6.666666666666667</v>
      </c>
      <c r="N1943" s="241" t="s">
        <v>453</v>
      </c>
      <c r="O1943" s="286">
        <v>45749</v>
      </c>
    </row>
    <row r="1944" spans="1:15" ht="15" customHeight="1">
      <c r="A1944" s="58">
        <v>1943</v>
      </c>
      <c r="B1944" s="231" t="s">
        <v>61</v>
      </c>
      <c r="C1944" s="231" t="s">
        <v>11</v>
      </c>
      <c r="D1944" s="270" t="s">
        <v>3736</v>
      </c>
      <c r="E1944" s="281">
        <v>0</v>
      </c>
      <c r="F1944" s="249">
        <v>120</v>
      </c>
      <c r="G1944" s="168">
        <f t="shared" si="277"/>
        <v>1.0857142857142859</v>
      </c>
      <c r="H1944" s="168">
        <f t="shared" si="278"/>
        <v>2.1714285714285717</v>
      </c>
      <c r="I1944" s="168">
        <f t="shared" si="279"/>
        <v>1.6285714285714286</v>
      </c>
      <c r="J1944" s="168">
        <f t="shared" si="280"/>
        <v>2.7142857142857144</v>
      </c>
      <c r="K1944" s="168">
        <f t="shared" si="281"/>
        <v>2.7142857142857144</v>
      </c>
      <c r="L1944" s="168">
        <f t="shared" si="282"/>
        <v>1.03</v>
      </c>
      <c r="M1944" s="168">
        <f t="shared" si="283"/>
        <v>0</v>
      </c>
      <c r="N1944" s="241" t="s">
        <v>453</v>
      </c>
      <c r="O1944" s="286">
        <v>45749</v>
      </c>
    </row>
    <row r="1945" spans="1:15" ht="15" customHeight="1">
      <c r="A1945" s="58">
        <v>1944</v>
      </c>
      <c r="B1945" s="231" t="s">
        <v>61</v>
      </c>
      <c r="C1945" s="231" t="s">
        <v>11</v>
      </c>
      <c r="D1945" s="270" t="s">
        <v>3737</v>
      </c>
      <c r="E1945" s="281">
        <v>0</v>
      </c>
      <c r="F1945" s="249">
        <v>700</v>
      </c>
      <c r="G1945" s="168">
        <f t="shared" si="277"/>
        <v>4.4000000000000004</v>
      </c>
      <c r="H1945" s="168">
        <f t="shared" si="278"/>
        <v>8.8000000000000007</v>
      </c>
      <c r="I1945" s="168">
        <f t="shared" si="279"/>
        <v>6.6</v>
      </c>
      <c r="J1945" s="168">
        <f t="shared" si="280"/>
        <v>11</v>
      </c>
      <c r="K1945" s="168">
        <f t="shared" si="281"/>
        <v>11</v>
      </c>
      <c r="L1945" s="168">
        <f t="shared" si="282"/>
        <v>1.175</v>
      </c>
      <c r="M1945" s="168">
        <f t="shared" si="283"/>
        <v>0</v>
      </c>
      <c r="N1945" s="241" t="s">
        <v>453</v>
      </c>
      <c r="O1945" s="286">
        <v>45749</v>
      </c>
    </row>
    <row r="1946" spans="1:15" ht="15" customHeight="1">
      <c r="A1946" s="58">
        <v>1945</v>
      </c>
      <c r="B1946" s="231" t="s">
        <v>52</v>
      </c>
      <c r="C1946" s="231" t="s">
        <v>10</v>
      </c>
      <c r="D1946" s="270" t="s">
        <v>3738</v>
      </c>
      <c r="E1946" s="278">
        <v>34</v>
      </c>
      <c r="F1946" s="278">
        <v>0</v>
      </c>
      <c r="G1946" s="168">
        <f t="shared" si="277"/>
        <v>0.4</v>
      </c>
      <c r="H1946" s="168">
        <f t="shared" si="278"/>
        <v>0.8</v>
      </c>
      <c r="I1946" s="168">
        <f t="shared" si="279"/>
        <v>0.6</v>
      </c>
      <c r="J1946" s="168">
        <f t="shared" si="280"/>
        <v>1</v>
      </c>
      <c r="K1946" s="168">
        <f t="shared" si="281"/>
        <v>1</v>
      </c>
      <c r="L1946" s="168">
        <f t="shared" si="282"/>
        <v>1</v>
      </c>
      <c r="M1946" s="168">
        <f t="shared" si="283"/>
        <v>0.56666666666666665</v>
      </c>
      <c r="N1946" s="241" t="s">
        <v>453</v>
      </c>
      <c r="O1946" s="286">
        <v>45749</v>
      </c>
    </row>
    <row r="1947" spans="1:15" ht="15" customHeight="1">
      <c r="A1947" s="58">
        <v>1946</v>
      </c>
      <c r="B1947" s="231" t="s">
        <v>52</v>
      </c>
      <c r="C1947" s="231" t="s">
        <v>10</v>
      </c>
      <c r="D1947" s="270" t="s">
        <v>3740</v>
      </c>
      <c r="E1947" s="278">
        <v>40</v>
      </c>
      <c r="F1947" s="278">
        <v>0</v>
      </c>
      <c r="G1947" s="168">
        <f t="shared" si="277"/>
        <v>0.4</v>
      </c>
      <c r="H1947" s="168">
        <f t="shared" si="278"/>
        <v>0.8</v>
      </c>
      <c r="I1947" s="168">
        <f t="shared" si="279"/>
        <v>0.6</v>
      </c>
      <c r="J1947" s="168">
        <f t="shared" si="280"/>
        <v>1</v>
      </c>
      <c r="K1947" s="168">
        <f t="shared" si="281"/>
        <v>1</v>
      </c>
      <c r="L1947" s="168">
        <f t="shared" si="282"/>
        <v>1</v>
      </c>
      <c r="M1947" s="168">
        <f t="shared" si="283"/>
        <v>0.66666666666666663</v>
      </c>
      <c r="N1947" s="241" t="s">
        <v>453</v>
      </c>
      <c r="O1947" s="286">
        <v>45749</v>
      </c>
    </row>
    <row r="1948" spans="1:15" ht="15" customHeight="1">
      <c r="A1948" s="58">
        <v>1947</v>
      </c>
      <c r="B1948" s="231" t="s">
        <v>52</v>
      </c>
      <c r="C1948" s="231" t="s">
        <v>10</v>
      </c>
      <c r="D1948" s="270" t="s">
        <v>3741</v>
      </c>
      <c r="E1948" s="278">
        <v>34</v>
      </c>
      <c r="F1948" s="278">
        <v>400</v>
      </c>
      <c r="G1948" s="168">
        <f t="shared" si="277"/>
        <v>2.6857142857142859</v>
      </c>
      <c r="H1948" s="168">
        <f t="shared" si="278"/>
        <v>5.3714285714285719</v>
      </c>
      <c r="I1948" s="168">
        <f t="shared" si="279"/>
        <v>4.0285714285714285</v>
      </c>
      <c r="J1948" s="168">
        <f t="shared" si="280"/>
        <v>6.7142857142857144</v>
      </c>
      <c r="K1948" s="168">
        <f t="shared" si="281"/>
        <v>6.7142857142857144</v>
      </c>
      <c r="L1948" s="168">
        <f t="shared" si="282"/>
        <v>1.1000000000000001</v>
      </c>
      <c r="M1948" s="168">
        <f t="shared" si="283"/>
        <v>0.56666666666666665</v>
      </c>
      <c r="N1948" s="241" t="s">
        <v>453</v>
      </c>
      <c r="O1948" s="286">
        <v>45749</v>
      </c>
    </row>
    <row r="1949" spans="1:15" ht="15" customHeight="1">
      <c r="A1949" s="58">
        <v>1948</v>
      </c>
      <c r="B1949" s="231" t="s">
        <v>52</v>
      </c>
      <c r="C1949" s="231" t="s">
        <v>10</v>
      </c>
      <c r="D1949" s="270" t="s">
        <v>3742</v>
      </c>
      <c r="E1949" s="278">
        <v>0</v>
      </c>
      <c r="F1949" s="278">
        <v>316</v>
      </c>
      <c r="G1949" s="168">
        <f t="shared" si="277"/>
        <v>2.205714285714286</v>
      </c>
      <c r="H1949" s="168">
        <f t="shared" si="278"/>
        <v>4.4114285714285719</v>
      </c>
      <c r="I1949" s="168">
        <f t="shared" si="279"/>
        <v>3.3085714285714283</v>
      </c>
      <c r="J1949" s="168">
        <f t="shared" si="280"/>
        <v>5.5142857142857142</v>
      </c>
      <c r="K1949" s="168">
        <f t="shared" si="281"/>
        <v>5.5142857142857142</v>
      </c>
      <c r="L1949" s="168">
        <f t="shared" si="282"/>
        <v>1.079</v>
      </c>
      <c r="M1949" s="168">
        <f t="shared" si="283"/>
        <v>0</v>
      </c>
      <c r="N1949" s="241" t="s">
        <v>453</v>
      </c>
      <c r="O1949" s="286">
        <v>45749</v>
      </c>
    </row>
    <row r="1950" spans="1:15" ht="15" customHeight="1">
      <c r="A1950" s="58">
        <v>1949</v>
      </c>
      <c r="B1950" s="61" t="s">
        <v>49</v>
      </c>
      <c r="C1950" s="61" t="s">
        <v>10</v>
      </c>
      <c r="D1950" s="273" t="s">
        <v>3743</v>
      </c>
      <c r="E1950" s="278">
        <v>0</v>
      </c>
      <c r="F1950" s="278">
        <v>500</v>
      </c>
      <c r="G1950" s="168">
        <f t="shared" si="277"/>
        <v>3.2571428571428571</v>
      </c>
      <c r="H1950" s="168">
        <f t="shared" si="278"/>
        <v>6.5142857142857142</v>
      </c>
      <c r="I1950" s="168">
        <f t="shared" si="279"/>
        <v>4.8857142857142852</v>
      </c>
      <c r="J1950" s="168">
        <f t="shared" si="280"/>
        <v>8.1428571428571423</v>
      </c>
      <c r="K1950" s="168">
        <f t="shared" si="281"/>
        <v>8.1428571428571423</v>
      </c>
      <c r="L1950" s="168">
        <f t="shared" si="282"/>
        <v>1.125</v>
      </c>
      <c r="M1950" s="168">
        <f t="shared" si="283"/>
        <v>0</v>
      </c>
      <c r="N1950" s="241" t="s">
        <v>453</v>
      </c>
      <c r="O1950" s="286">
        <v>45750</v>
      </c>
    </row>
    <row r="1951" spans="1:15" ht="15" customHeight="1">
      <c r="A1951" s="58">
        <v>1950</v>
      </c>
      <c r="B1951" s="61" t="s">
        <v>52</v>
      </c>
      <c r="C1951" s="61" t="s">
        <v>10</v>
      </c>
      <c r="D1951" s="273" t="s">
        <v>3744</v>
      </c>
      <c r="E1951" s="278">
        <v>0</v>
      </c>
      <c r="F1951" s="278">
        <v>1500</v>
      </c>
      <c r="G1951" s="168">
        <f t="shared" si="277"/>
        <v>8.9714285714285715</v>
      </c>
      <c r="H1951" s="168">
        <f t="shared" si="278"/>
        <v>17.942857142857143</v>
      </c>
      <c r="I1951" s="168">
        <f t="shared" si="279"/>
        <v>13.457142857142856</v>
      </c>
      <c r="J1951" s="168">
        <f t="shared" si="280"/>
        <v>22.428571428571427</v>
      </c>
      <c r="K1951" s="168">
        <f t="shared" si="281"/>
        <v>22.428571428571427</v>
      </c>
      <c r="L1951" s="168">
        <f t="shared" si="282"/>
        <v>1.375</v>
      </c>
      <c r="M1951" s="168">
        <f t="shared" si="283"/>
        <v>0</v>
      </c>
      <c r="N1951" s="241" t="s">
        <v>453</v>
      </c>
      <c r="O1951" s="286">
        <v>45750</v>
      </c>
    </row>
    <row r="1952" spans="1:15" ht="15" customHeight="1">
      <c r="A1952" s="58">
        <v>1951</v>
      </c>
      <c r="B1952" s="61" t="s">
        <v>49</v>
      </c>
      <c r="C1952" s="61" t="s">
        <v>10</v>
      </c>
      <c r="D1952" s="273" t="s">
        <v>3746</v>
      </c>
      <c r="E1952" s="278">
        <v>0</v>
      </c>
      <c r="F1952" s="278">
        <v>327</v>
      </c>
      <c r="G1952" s="168">
        <f t="shared" si="277"/>
        <v>2.2685714285714287</v>
      </c>
      <c r="H1952" s="168">
        <f t="shared" si="278"/>
        <v>4.5371428571428574</v>
      </c>
      <c r="I1952" s="168">
        <f t="shared" si="279"/>
        <v>3.402857142857143</v>
      </c>
      <c r="J1952" s="168">
        <f t="shared" si="280"/>
        <v>5.6714285714285717</v>
      </c>
      <c r="K1952" s="168">
        <f t="shared" si="281"/>
        <v>5.6714285714285717</v>
      </c>
      <c r="L1952" s="168">
        <f t="shared" si="282"/>
        <v>1.08175</v>
      </c>
      <c r="M1952" s="168">
        <f t="shared" si="283"/>
        <v>0</v>
      </c>
      <c r="N1952" s="241" t="s">
        <v>453</v>
      </c>
      <c r="O1952" s="286">
        <v>45750</v>
      </c>
    </row>
    <row r="1953" spans="1:15" ht="15" customHeight="1">
      <c r="A1953" s="58">
        <v>1952</v>
      </c>
      <c r="B1953" s="61" t="s">
        <v>52</v>
      </c>
      <c r="C1953" s="61" t="s">
        <v>10</v>
      </c>
      <c r="D1953" s="273" t="s">
        <v>3747</v>
      </c>
      <c r="E1953" s="278">
        <v>50</v>
      </c>
      <c r="F1953" s="278">
        <v>100</v>
      </c>
      <c r="G1953" s="168">
        <f t="shared" si="277"/>
        <v>0.97142857142857153</v>
      </c>
      <c r="H1953" s="168">
        <f t="shared" si="278"/>
        <v>1.9428571428571431</v>
      </c>
      <c r="I1953" s="168">
        <f t="shared" si="279"/>
        <v>1.4571428571428573</v>
      </c>
      <c r="J1953" s="168">
        <f t="shared" si="280"/>
        <v>2.4285714285714288</v>
      </c>
      <c r="K1953" s="168">
        <f t="shared" si="281"/>
        <v>2.4285714285714288</v>
      </c>
      <c r="L1953" s="168">
        <f t="shared" si="282"/>
        <v>1.0249999999999999</v>
      </c>
      <c r="M1953" s="168">
        <f t="shared" si="283"/>
        <v>0.83333333333333337</v>
      </c>
      <c r="N1953" s="241" t="s">
        <v>453</v>
      </c>
      <c r="O1953" s="286">
        <v>45750</v>
      </c>
    </row>
    <row r="1954" spans="1:15" ht="15" customHeight="1">
      <c r="A1954" s="58">
        <v>1953</v>
      </c>
      <c r="B1954" s="61" t="s">
        <v>49</v>
      </c>
      <c r="C1954" s="61" t="s">
        <v>10</v>
      </c>
      <c r="D1954" s="273" t="s">
        <v>3748</v>
      </c>
      <c r="E1954" s="278">
        <v>0</v>
      </c>
      <c r="F1954" s="278">
        <v>214</v>
      </c>
      <c r="G1954" s="168">
        <f t="shared" si="277"/>
        <v>1.6228571428571428</v>
      </c>
      <c r="H1954" s="168">
        <f t="shared" si="278"/>
        <v>3.2457142857142856</v>
      </c>
      <c r="I1954" s="168">
        <f t="shared" si="279"/>
        <v>2.4342857142857142</v>
      </c>
      <c r="J1954" s="168">
        <f t="shared" si="280"/>
        <v>4.0571428571428569</v>
      </c>
      <c r="K1954" s="168">
        <f t="shared" si="281"/>
        <v>4.0571428571428569</v>
      </c>
      <c r="L1954" s="168">
        <f t="shared" si="282"/>
        <v>1.0535000000000001</v>
      </c>
      <c r="M1954" s="168">
        <f t="shared" si="283"/>
        <v>0</v>
      </c>
      <c r="N1954" s="241" t="s">
        <v>453</v>
      </c>
      <c r="O1954" s="286">
        <v>45750</v>
      </c>
    </row>
    <row r="1955" spans="1:15" ht="15" customHeight="1">
      <c r="A1955" s="58">
        <v>1954</v>
      </c>
      <c r="B1955" s="61" t="s">
        <v>52</v>
      </c>
      <c r="C1955" s="61" t="s">
        <v>10</v>
      </c>
      <c r="D1955" s="273" t="s">
        <v>3749</v>
      </c>
      <c r="E1955" s="278">
        <v>0</v>
      </c>
      <c r="F1955" s="278">
        <v>450</v>
      </c>
      <c r="G1955" s="168">
        <f t="shared" si="277"/>
        <v>2.9714285714285715</v>
      </c>
      <c r="H1955" s="168">
        <f t="shared" si="278"/>
        <v>5.9428571428571431</v>
      </c>
      <c r="I1955" s="168">
        <f t="shared" si="279"/>
        <v>4.4571428571428573</v>
      </c>
      <c r="J1955" s="168">
        <f t="shared" si="280"/>
        <v>7.4285714285714288</v>
      </c>
      <c r="K1955" s="168">
        <f t="shared" si="281"/>
        <v>7.4285714285714288</v>
      </c>
      <c r="L1955" s="168">
        <f t="shared" si="282"/>
        <v>1.1125</v>
      </c>
      <c r="M1955" s="168">
        <f t="shared" si="283"/>
        <v>0</v>
      </c>
      <c r="N1955" s="241" t="s">
        <v>453</v>
      </c>
      <c r="O1955" s="286">
        <v>45750</v>
      </c>
    </row>
    <row r="1956" spans="1:15" ht="15" customHeight="1">
      <c r="A1956" s="58">
        <v>1955</v>
      </c>
      <c r="B1956" s="61" t="s">
        <v>52</v>
      </c>
      <c r="C1956" s="61" t="s">
        <v>10</v>
      </c>
      <c r="D1956" s="273" t="s">
        <v>3751</v>
      </c>
      <c r="E1956" s="278">
        <v>0</v>
      </c>
      <c r="F1956" s="278">
        <v>1000</v>
      </c>
      <c r="G1956" s="168">
        <f t="shared" si="277"/>
        <v>6.1142857142857148</v>
      </c>
      <c r="H1956" s="168">
        <f t="shared" si="278"/>
        <v>12.22857142857143</v>
      </c>
      <c r="I1956" s="168">
        <f t="shared" si="279"/>
        <v>9.1714285714285708</v>
      </c>
      <c r="J1956" s="168">
        <f t="shared" si="280"/>
        <v>15.285714285714285</v>
      </c>
      <c r="K1956" s="168">
        <f t="shared" si="281"/>
        <v>15.285714285714285</v>
      </c>
      <c r="L1956" s="168">
        <f t="shared" si="282"/>
        <v>1.25</v>
      </c>
      <c r="M1956" s="168">
        <f t="shared" si="283"/>
        <v>0</v>
      </c>
      <c r="N1956" s="241" t="s">
        <v>453</v>
      </c>
      <c r="O1956" s="286">
        <v>45750</v>
      </c>
    </row>
    <row r="1957" spans="1:15" ht="15" customHeight="1">
      <c r="A1957" s="58">
        <v>1956</v>
      </c>
      <c r="B1957" s="61" t="s">
        <v>53</v>
      </c>
      <c r="C1957" s="61" t="s">
        <v>10</v>
      </c>
      <c r="D1957" s="273" t="s">
        <v>3753</v>
      </c>
      <c r="E1957" s="278">
        <v>523</v>
      </c>
      <c r="F1957" s="278">
        <v>0</v>
      </c>
      <c r="G1957" s="168">
        <f t="shared" si="277"/>
        <v>0.4</v>
      </c>
      <c r="H1957" s="168">
        <f t="shared" si="278"/>
        <v>0.8</v>
      </c>
      <c r="I1957" s="168">
        <f t="shared" si="279"/>
        <v>0.6</v>
      </c>
      <c r="J1957" s="168">
        <f t="shared" si="280"/>
        <v>1</v>
      </c>
      <c r="K1957" s="168">
        <f t="shared" si="281"/>
        <v>1</v>
      </c>
      <c r="L1957" s="168">
        <f t="shared" si="282"/>
        <v>1</v>
      </c>
      <c r="M1957" s="168">
        <f t="shared" si="283"/>
        <v>8.7166666666666668</v>
      </c>
      <c r="N1957" s="241" t="s">
        <v>453</v>
      </c>
      <c r="O1957" s="286">
        <v>45747</v>
      </c>
    </row>
    <row r="1958" spans="1:15" ht="15" customHeight="1">
      <c r="A1958" s="58">
        <v>1957</v>
      </c>
      <c r="B1958" s="61" t="s">
        <v>53</v>
      </c>
      <c r="C1958" s="61" t="s">
        <v>10</v>
      </c>
      <c r="D1958" s="273" t="s">
        <v>3754</v>
      </c>
      <c r="E1958" s="278">
        <v>400</v>
      </c>
      <c r="F1958" s="278">
        <v>0</v>
      </c>
      <c r="G1958" s="168">
        <f t="shared" si="277"/>
        <v>0.4</v>
      </c>
      <c r="H1958" s="168">
        <f t="shared" si="278"/>
        <v>0.8</v>
      </c>
      <c r="I1958" s="168">
        <f t="shared" si="279"/>
        <v>0.6</v>
      </c>
      <c r="J1958" s="168">
        <f t="shared" si="280"/>
        <v>1</v>
      </c>
      <c r="K1958" s="168">
        <f t="shared" si="281"/>
        <v>1</v>
      </c>
      <c r="L1958" s="168">
        <f t="shared" si="282"/>
        <v>1</v>
      </c>
      <c r="M1958" s="168">
        <f t="shared" si="283"/>
        <v>6.666666666666667</v>
      </c>
      <c r="N1958" s="241" t="s">
        <v>453</v>
      </c>
      <c r="O1958" s="286">
        <v>45692</v>
      </c>
    </row>
    <row r="1959" spans="1:15" ht="15" customHeight="1">
      <c r="A1959" s="58">
        <v>1958</v>
      </c>
      <c r="B1959" s="61" t="s">
        <v>53</v>
      </c>
      <c r="C1959" s="61" t="s">
        <v>10</v>
      </c>
      <c r="D1959" s="273" t="s">
        <v>3755</v>
      </c>
      <c r="E1959" s="278">
        <v>337</v>
      </c>
      <c r="F1959" s="278">
        <v>0</v>
      </c>
      <c r="G1959" s="168">
        <f t="shared" si="277"/>
        <v>0.4</v>
      </c>
      <c r="H1959" s="168">
        <f t="shared" si="278"/>
        <v>0.8</v>
      </c>
      <c r="I1959" s="168">
        <f t="shared" si="279"/>
        <v>0.6</v>
      </c>
      <c r="J1959" s="168">
        <f t="shared" si="280"/>
        <v>1</v>
      </c>
      <c r="K1959" s="168">
        <f t="shared" si="281"/>
        <v>1</v>
      </c>
      <c r="L1959" s="168">
        <f t="shared" si="282"/>
        <v>1</v>
      </c>
      <c r="M1959" s="168">
        <f t="shared" si="283"/>
        <v>5.6166666666666663</v>
      </c>
      <c r="N1959" s="241" t="s">
        <v>453</v>
      </c>
      <c r="O1959" s="286">
        <v>45692</v>
      </c>
    </row>
    <row r="1960" spans="1:15" ht="15" customHeight="1">
      <c r="A1960" s="58">
        <v>1959</v>
      </c>
      <c r="B1960" s="61" t="s">
        <v>52</v>
      </c>
      <c r="C1960" s="61" t="s">
        <v>10</v>
      </c>
      <c r="D1960" s="273" t="s">
        <v>3756</v>
      </c>
      <c r="E1960" s="278">
        <v>65</v>
      </c>
      <c r="F1960" s="278">
        <v>0</v>
      </c>
      <c r="G1960" s="168">
        <f t="shared" si="277"/>
        <v>0.4</v>
      </c>
      <c r="H1960" s="168">
        <f t="shared" si="278"/>
        <v>0.8</v>
      </c>
      <c r="I1960" s="168">
        <f t="shared" si="279"/>
        <v>0.6</v>
      </c>
      <c r="J1960" s="168">
        <f t="shared" si="280"/>
        <v>1</v>
      </c>
      <c r="K1960" s="168">
        <f t="shared" si="281"/>
        <v>1</v>
      </c>
      <c r="L1960" s="168">
        <f t="shared" si="282"/>
        <v>1</v>
      </c>
      <c r="M1960" s="168">
        <f t="shared" si="283"/>
        <v>1.0833333333333333</v>
      </c>
      <c r="N1960" s="241" t="s">
        <v>453</v>
      </c>
      <c r="O1960" s="286">
        <v>45720</v>
      </c>
    </row>
    <row r="1961" spans="1:15" ht="15" customHeight="1">
      <c r="A1961" s="58">
        <v>1960</v>
      </c>
      <c r="B1961" s="61" t="s">
        <v>50</v>
      </c>
      <c r="C1961" s="61" t="s">
        <v>10</v>
      </c>
      <c r="D1961" s="273" t="s">
        <v>3757</v>
      </c>
      <c r="E1961" s="278">
        <v>0</v>
      </c>
      <c r="F1961" s="278">
        <v>207</v>
      </c>
      <c r="G1961" s="168">
        <f t="shared" si="277"/>
        <v>1.582857142857143</v>
      </c>
      <c r="H1961" s="168">
        <f t="shared" si="278"/>
        <v>3.1657142857142859</v>
      </c>
      <c r="I1961" s="168">
        <f t="shared" si="279"/>
        <v>2.3742857142857141</v>
      </c>
      <c r="J1961" s="168">
        <f t="shared" si="280"/>
        <v>3.9571428571428573</v>
      </c>
      <c r="K1961" s="168">
        <f t="shared" si="281"/>
        <v>3.9571428571428573</v>
      </c>
      <c r="L1961" s="168">
        <f t="shared" si="282"/>
        <v>1.05175</v>
      </c>
      <c r="M1961" s="168">
        <f t="shared" si="283"/>
        <v>0</v>
      </c>
      <c r="N1961" s="241" t="s">
        <v>453</v>
      </c>
      <c r="O1961" s="286">
        <v>45751</v>
      </c>
    </row>
    <row r="1962" spans="1:15" ht="15" customHeight="1">
      <c r="A1962" s="58">
        <v>1961</v>
      </c>
      <c r="B1962" s="61" t="s">
        <v>50</v>
      </c>
      <c r="C1962" s="61" t="s">
        <v>10</v>
      </c>
      <c r="D1962" s="273" t="s">
        <v>3758</v>
      </c>
      <c r="E1962" s="279">
        <v>423</v>
      </c>
      <c r="F1962" s="278">
        <v>0</v>
      </c>
      <c r="G1962" s="168">
        <f t="shared" si="277"/>
        <v>0.4</v>
      </c>
      <c r="H1962" s="168">
        <f t="shared" si="278"/>
        <v>0.8</v>
      </c>
      <c r="I1962" s="168">
        <f t="shared" si="279"/>
        <v>0.6</v>
      </c>
      <c r="J1962" s="168">
        <f t="shared" si="280"/>
        <v>1</v>
      </c>
      <c r="K1962" s="168">
        <f t="shared" si="281"/>
        <v>1</v>
      </c>
      <c r="L1962" s="168">
        <f t="shared" si="282"/>
        <v>1</v>
      </c>
      <c r="M1962" s="168">
        <f t="shared" si="283"/>
        <v>7.05</v>
      </c>
      <c r="N1962" s="241" t="s">
        <v>453</v>
      </c>
      <c r="O1962" s="286">
        <v>45781</v>
      </c>
    </row>
    <row r="1963" spans="1:15" ht="15" customHeight="1">
      <c r="A1963" s="58">
        <v>1962</v>
      </c>
      <c r="B1963" s="61" t="s">
        <v>50</v>
      </c>
      <c r="C1963" s="61" t="s">
        <v>10</v>
      </c>
      <c r="D1963" s="273" t="s">
        <v>3759</v>
      </c>
      <c r="E1963" s="279">
        <v>433</v>
      </c>
      <c r="F1963" s="278">
        <v>0</v>
      </c>
      <c r="G1963" s="168">
        <f t="shared" si="277"/>
        <v>0.4</v>
      </c>
      <c r="H1963" s="168">
        <f t="shared" si="278"/>
        <v>0.8</v>
      </c>
      <c r="I1963" s="168">
        <f t="shared" si="279"/>
        <v>0.6</v>
      </c>
      <c r="J1963" s="168">
        <f t="shared" si="280"/>
        <v>1</v>
      </c>
      <c r="K1963" s="168">
        <f t="shared" si="281"/>
        <v>1</v>
      </c>
      <c r="L1963" s="168">
        <f t="shared" si="282"/>
        <v>1</v>
      </c>
      <c r="M1963" s="168">
        <f t="shared" si="283"/>
        <v>7.2166666666666668</v>
      </c>
      <c r="N1963" s="241" t="s">
        <v>453</v>
      </c>
      <c r="O1963" s="286">
        <v>45782</v>
      </c>
    </row>
    <row r="1964" spans="1:15" ht="15" customHeight="1">
      <c r="A1964" s="58">
        <v>1963</v>
      </c>
      <c r="B1964" s="61" t="s">
        <v>50</v>
      </c>
      <c r="C1964" s="61" t="s">
        <v>10</v>
      </c>
      <c r="D1964" s="273" t="s">
        <v>3760</v>
      </c>
      <c r="E1964" s="279">
        <v>396</v>
      </c>
      <c r="F1964" s="278">
        <v>0</v>
      </c>
      <c r="G1964" s="168">
        <f t="shared" si="277"/>
        <v>0.4</v>
      </c>
      <c r="H1964" s="168">
        <f t="shared" si="278"/>
        <v>0.8</v>
      </c>
      <c r="I1964" s="168">
        <f t="shared" si="279"/>
        <v>0.6</v>
      </c>
      <c r="J1964" s="168">
        <f t="shared" si="280"/>
        <v>1</v>
      </c>
      <c r="K1964" s="168">
        <f t="shared" si="281"/>
        <v>1</v>
      </c>
      <c r="L1964" s="168">
        <f t="shared" si="282"/>
        <v>1</v>
      </c>
      <c r="M1964" s="168">
        <f t="shared" si="283"/>
        <v>6.6</v>
      </c>
      <c r="N1964" s="241" t="s">
        <v>453</v>
      </c>
      <c r="O1964" s="286">
        <v>45784</v>
      </c>
    </row>
    <row r="1965" spans="1:15" ht="15" customHeight="1">
      <c r="A1965" s="58">
        <v>1964</v>
      </c>
      <c r="B1965" s="61" t="s">
        <v>50</v>
      </c>
      <c r="C1965" s="61" t="s">
        <v>10</v>
      </c>
      <c r="D1965" s="273" t="s">
        <v>3761</v>
      </c>
      <c r="E1965" s="279">
        <v>287</v>
      </c>
      <c r="F1965" s="278">
        <v>0</v>
      </c>
      <c r="G1965" s="168">
        <f t="shared" si="277"/>
        <v>0.4</v>
      </c>
      <c r="H1965" s="168">
        <f t="shared" si="278"/>
        <v>0.8</v>
      </c>
      <c r="I1965" s="168">
        <f t="shared" si="279"/>
        <v>0.6</v>
      </c>
      <c r="J1965" s="168">
        <f t="shared" si="280"/>
        <v>1</v>
      </c>
      <c r="K1965" s="168">
        <f t="shared" si="281"/>
        <v>1</v>
      </c>
      <c r="L1965" s="168">
        <f t="shared" si="282"/>
        <v>1</v>
      </c>
      <c r="M1965" s="168">
        <f t="shared" si="283"/>
        <v>4.7833333333333332</v>
      </c>
      <c r="N1965" s="241" t="s">
        <v>453</v>
      </c>
      <c r="O1965" s="286">
        <v>45785</v>
      </c>
    </row>
    <row r="1966" spans="1:15" ht="15" customHeight="1">
      <c r="A1966" s="58">
        <v>1965</v>
      </c>
      <c r="B1966" s="61" t="s">
        <v>50</v>
      </c>
      <c r="C1966" s="61" t="s">
        <v>10</v>
      </c>
      <c r="D1966" s="273" t="s">
        <v>3762</v>
      </c>
      <c r="E1966" s="279">
        <v>234</v>
      </c>
      <c r="F1966" s="278">
        <v>0</v>
      </c>
      <c r="G1966" s="168">
        <f t="shared" si="277"/>
        <v>0.4</v>
      </c>
      <c r="H1966" s="168">
        <f t="shared" si="278"/>
        <v>0.8</v>
      </c>
      <c r="I1966" s="168">
        <f t="shared" si="279"/>
        <v>0.6</v>
      </c>
      <c r="J1966" s="168">
        <f t="shared" si="280"/>
        <v>1</v>
      </c>
      <c r="K1966" s="168">
        <f t="shared" si="281"/>
        <v>1</v>
      </c>
      <c r="L1966" s="168">
        <f t="shared" si="282"/>
        <v>1</v>
      </c>
      <c r="M1966" s="168">
        <f t="shared" si="283"/>
        <v>3.9</v>
      </c>
      <c r="N1966" s="241" t="s">
        <v>453</v>
      </c>
      <c r="O1966" s="286">
        <v>45787</v>
      </c>
    </row>
    <row r="1967" spans="1:15" ht="15" customHeight="1">
      <c r="A1967" s="58">
        <v>1966</v>
      </c>
      <c r="B1967" s="61" t="s">
        <v>50</v>
      </c>
      <c r="C1967" s="61" t="s">
        <v>10</v>
      </c>
      <c r="D1967" s="273" t="s">
        <v>3763</v>
      </c>
      <c r="E1967" s="279">
        <v>137</v>
      </c>
      <c r="F1967" s="278">
        <v>0</v>
      </c>
      <c r="G1967" s="168">
        <f t="shared" si="277"/>
        <v>0.4</v>
      </c>
      <c r="H1967" s="168">
        <f t="shared" si="278"/>
        <v>0.8</v>
      </c>
      <c r="I1967" s="168">
        <f t="shared" si="279"/>
        <v>0.6</v>
      </c>
      <c r="J1967" s="168">
        <f t="shared" si="280"/>
        <v>1</v>
      </c>
      <c r="K1967" s="168">
        <f t="shared" si="281"/>
        <v>1</v>
      </c>
      <c r="L1967" s="168">
        <f t="shared" si="282"/>
        <v>1</v>
      </c>
      <c r="M1967" s="168">
        <f t="shared" si="283"/>
        <v>2.2833333333333332</v>
      </c>
      <c r="N1967" s="241" t="s">
        <v>453</v>
      </c>
      <c r="O1967" s="286">
        <v>45783</v>
      </c>
    </row>
    <row r="1968" spans="1:15" ht="15" customHeight="1">
      <c r="A1968" s="58">
        <v>1967</v>
      </c>
      <c r="B1968" s="61" t="s">
        <v>50</v>
      </c>
      <c r="C1968" s="61" t="s">
        <v>10</v>
      </c>
      <c r="D1968" s="273" t="s">
        <v>3764</v>
      </c>
      <c r="E1968" s="279">
        <v>241</v>
      </c>
      <c r="F1968" s="278">
        <v>0</v>
      </c>
      <c r="G1968" s="168">
        <f t="shared" si="277"/>
        <v>0.4</v>
      </c>
      <c r="H1968" s="168">
        <f t="shared" si="278"/>
        <v>0.8</v>
      </c>
      <c r="I1968" s="168">
        <f t="shared" si="279"/>
        <v>0.6</v>
      </c>
      <c r="J1968" s="168">
        <f t="shared" si="280"/>
        <v>1</v>
      </c>
      <c r="K1968" s="168">
        <f t="shared" si="281"/>
        <v>1</v>
      </c>
      <c r="L1968" s="168">
        <f t="shared" si="282"/>
        <v>1</v>
      </c>
      <c r="M1968" s="168">
        <f t="shared" si="283"/>
        <v>4.0166666666666666</v>
      </c>
      <c r="N1968" s="241" t="s">
        <v>453</v>
      </c>
      <c r="O1968" s="286">
        <v>45784</v>
      </c>
    </row>
    <row r="1969" spans="1:15" ht="15" customHeight="1">
      <c r="A1969" s="58">
        <v>1968</v>
      </c>
      <c r="B1969" s="61" t="s">
        <v>50</v>
      </c>
      <c r="C1969" s="61" t="s">
        <v>10</v>
      </c>
      <c r="D1969" s="273" t="s">
        <v>3765</v>
      </c>
      <c r="E1969" s="279">
        <v>352</v>
      </c>
      <c r="F1969" s="278">
        <v>0</v>
      </c>
      <c r="G1969" s="168">
        <f t="shared" si="277"/>
        <v>0.4</v>
      </c>
      <c r="H1969" s="168">
        <f t="shared" si="278"/>
        <v>0.8</v>
      </c>
      <c r="I1969" s="168">
        <f t="shared" si="279"/>
        <v>0.6</v>
      </c>
      <c r="J1969" s="168">
        <f t="shared" si="280"/>
        <v>1</v>
      </c>
      <c r="K1969" s="168">
        <f t="shared" si="281"/>
        <v>1</v>
      </c>
      <c r="L1969" s="168">
        <f t="shared" si="282"/>
        <v>1</v>
      </c>
      <c r="M1969" s="168">
        <f t="shared" si="283"/>
        <v>5.8666666666666663</v>
      </c>
      <c r="N1969" s="241" t="s">
        <v>453</v>
      </c>
      <c r="O1969" s="286">
        <v>45784</v>
      </c>
    </row>
    <row r="1970" spans="1:15" ht="15" customHeight="1">
      <c r="A1970" s="58">
        <v>1969</v>
      </c>
      <c r="B1970" s="61" t="s">
        <v>52</v>
      </c>
      <c r="C1970" s="61" t="s">
        <v>10</v>
      </c>
      <c r="D1970" s="273" t="s">
        <v>3766</v>
      </c>
      <c r="E1970" s="278">
        <v>24</v>
      </c>
      <c r="F1970" s="278">
        <v>400</v>
      </c>
      <c r="G1970" s="168">
        <f t="shared" si="277"/>
        <v>2.6857142857142859</v>
      </c>
      <c r="H1970" s="168">
        <f t="shared" si="278"/>
        <v>5.3714285714285719</v>
      </c>
      <c r="I1970" s="168">
        <f t="shared" si="279"/>
        <v>4.0285714285714285</v>
      </c>
      <c r="J1970" s="168">
        <f t="shared" si="280"/>
        <v>6.7142857142857144</v>
      </c>
      <c r="K1970" s="168">
        <f t="shared" si="281"/>
        <v>6.7142857142857144</v>
      </c>
      <c r="L1970" s="168">
        <f t="shared" si="282"/>
        <v>1.1000000000000001</v>
      </c>
      <c r="M1970" s="168">
        <f t="shared" si="283"/>
        <v>0.4</v>
      </c>
      <c r="N1970" s="241" t="s">
        <v>453</v>
      </c>
      <c r="O1970" s="286">
        <v>45784</v>
      </c>
    </row>
    <row r="1971" spans="1:15" ht="15" customHeight="1">
      <c r="A1971" s="58">
        <v>1970</v>
      </c>
      <c r="B1971" s="61" t="s">
        <v>52</v>
      </c>
      <c r="C1971" s="61" t="s">
        <v>10</v>
      </c>
      <c r="D1971" s="270" t="s">
        <v>3767</v>
      </c>
      <c r="E1971" s="278">
        <v>34</v>
      </c>
      <c r="F1971" s="278">
        <v>0</v>
      </c>
      <c r="G1971" s="168">
        <f t="shared" si="277"/>
        <v>0.4</v>
      </c>
      <c r="H1971" s="168">
        <f t="shared" si="278"/>
        <v>0.8</v>
      </c>
      <c r="I1971" s="168">
        <f t="shared" si="279"/>
        <v>0.6</v>
      </c>
      <c r="J1971" s="168">
        <f t="shared" si="280"/>
        <v>1</v>
      </c>
      <c r="K1971" s="168">
        <f t="shared" si="281"/>
        <v>1</v>
      </c>
      <c r="L1971" s="168">
        <f t="shared" si="282"/>
        <v>1</v>
      </c>
      <c r="M1971" s="168">
        <f t="shared" si="283"/>
        <v>0.56666666666666665</v>
      </c>
      <c r="N1971" s="241" t="s">
        <v>453</v>
      </c>
      <c r="O1971" s="286">
        <v>45786</v>
      </c>
    </row>
    <row r="1972" spans="1:15" ht="15" customHeight="1">
      <c r="A1972" s="58">
        <v>1971</v>
      </c>
      <c r="B1972" s="61" t="s">
        <v>50</v>
      </c>
      <c r="C1972" s="61" t="s">
        <v>10</v>
      </c>
      <c r="D1972" s="273" t="s">
        <v>3768</v>
      </c>
      <c r="E1972" s="278">
        <v>0</v>
      </c>
      <c r="F1972" s="278">
        <v>546</v>
      </c>
      <c r="G1972" s="168">
        <f t="shared" si="277"/>
        <v>3.5200000000000005</v>
      </c>
      <c r="H1972" s="168">
        <f t="shared" si="278"/>
        <v>7.0400000000000009</v>
      </c>
      <c r="I1972" s="168">
        <f t="shared" si="279"/>
        <v>5.28</v>
      </c>
      <c r="J1972" s="168">
        <f t="shared" si="280"/>
        <v>8.8000000000000007</v>
      </c>
      <c r="K1972" s="168">
        <f t="shared" si="281"/>
        <v>8.8000000000000007</v>
      </c>
      <c r="L1972" s="168">
        <f t="shared" si="282"/>
        <v>1.1365000000000001</v>
      </c>
      <c r="M1972" s="168">
        <f t="shared" si="283"/>
        <v>0</v>
      </c>
      <c r="N1972" s="241" t="s">
        <v>453</v>
      </c>
      <c r="O1972" s="286">
        <v>45786</v>
      </c>
    </row>
    <row r="1973" spans="1:15" ht="15" customHeight="1">
      <c r="A1973" s="58">
        <v>1972</v>
      </c>
      <c r="B1973" s="61" t="s">
        <v>52</v>
      </c>
      <c r="C1973" s="61" t="s">
        <v>10</v>
      </c>
      <c r="D1973" s="273" t="s">
        <v>3770</v>
      </c>
      <c r="E1973" s="278">
        <v>131</v>
      </c>
      <c r="F1973" s="278">
        <v>0</v>
      </c>
      <c r="G1973" s="168">
        <f t="shared" si="277"/>
        <v>0.4</v>
      </c>
      <c r="H1973" s="168">
        <f t="shared" si="278"/>
        <v>0.8</v>
      </c>
      <c r="I1973" s="168">
        <f t="shared" si="279"/>
        <v>0.6</v>
      </c>
      <c r="J1973" s="168">
        <f t="shared" si="280"/>
        <v>1</v>
      </c>
      <c r="K1973" s="168">
        <f t="shared" si="281"/>
        <v>1</v>
      </c>
      <c r="L1973" s="168">
        <f t="shared" si="282"/>
        <v>1</v>
      </c>
      <c r="M1973" s="168">
        <f t="shared" si="283"/>
        <v>2.1833333333333331</v>
      </c>
      <c r="N1973" s="241" t="s">
        <v>453</v>
      </c>
      <c r="O1973" s="286">
        <v>45786</v>
      </c>
    </row>
    <row r="1974" spans="1:15" ht="15" customHeight="1">
      <c r="A1974" s="58">
        <v>1973</v>
      </c>
      <c r="B1974" s="61" t="s">
        <v>52</v>
      </c>
      <c r="C1974" s="61" t="s">
        <v>10</v>
      </c>
      <c r="D1974" s="273" t="s">
        <v>3772</v>
      </c>
      <c r="E1974" s="278">
        <v>300</v>
      </c>
      <c r="F1974" s="278">
        <v>0</v>
      </c>
      <c r="G1974" s="168">
        <f t="shared" si="277"/>
        <v>0.4</v>
      </c>
      <c r="H1974" s="168">
        <f t="shared" si="278"/>
        <v>0.8</v>
      </c>
      <c r="I1974" s="168">
        <f t="shared" si="279"/>
        <v>0.6</v>
      </c>
      <c r="J1974" s="168">
        <f t="shared" si="280"/>
        <v>1</v>
      </c>
      <c r="K1974" s="168">
        <f t="shared" si="281"/>
        <v>1</v>
      </c>
      <c r="L1974" s="168">
        <f t="shared" si="282"/>
        <v>1</v>
      </c>
      <c r="M1974" s="168">
        <f t="shared" si="283"/>
        <v>5</v>
      </c>
      <c r="N1974" s="241" t="s">
        <v>453</v>
      </c>
      <c r="O1974" s="286">
        <v>45786</v>
      </c>
    </row>
    <row r="1975" spans="1:15" ht="15" customHeight="1">
      <c r="A1975" s="58">
        <v>1974</v>
      </c>
      <c r="B1975" s="61" t="s">
        <v>52</v>
      </c>
      <c r="C1975" s="61" t="s">
        <v>10</v>
      </c>
      <c r="D1975" s="273" t="s">
        <v>3774</v>
      </c>
      <c r="E1975" s="278">
        <v>200</v>
      </c>
      <c r="F1975" s="278">
        <v>768</v>
      </c>
      <c r="G1975" s="168">
        <f t="shared" si="277"/>
        <v>4.7885714285714291</v>
      </c>
      <c r="H1975" s="168">
        <f t="shared" si="278"/>
        <v>9.5771428571428583</v>
      </c>
      <c r="I1975" s="168">
        <f t="shared" si="279"/>
        <v>7.1828571428571424</v>
      </c>
      <c r="J1975" s="168">
        <f t="shared" si="280"/>
        <v>11.971428571428572</v>
      </c>
      <c r="K1975" s="168">
        <f t="shared" si="281"/>
        <v>11.971428571428572</v>
      </c>
      <c r="L1975" s="168">
        <f t="shared" si="282"/>
        <v>1.1919999999999999</v>
      </c>
      <c r="M1975" s="168">
        <f t="shared" si="283"/>
        <v>3.3333333333333335</v>
      </c>
      <c r="N1975" s="241" t="s">
        <v>453</v>
      </c>
      <c r="O1975" s="286">
        <v>45787</v>
      </c>
    </row>
    <row r="1976" spans="1:15" ht="15" customHeight="1">
      <c r="A1976" s="58">
        <v>1975</v>
      </c>
      <c r="B1976" s="61" t="s">
        <v>52</v>
      </c>
      <c r="C1976" s="61" t="s">
        <v>10</v>
      </c>
      <c r="D1976" s="273" t="s">
        <v>3776</v>
      </c>
      <c r="E1976" s="278">
        <v>250</v>
      </c>
      <c r="F1976" s="278">
        <v>961</v>
      </c>
      <c r="G1976" s="168">
        <f t="shared" si="277"/>
        <v>5.8914285714285715</v>
      </c>
      <c r="H1976" s="168">
        <f t="shared" si="278"/>
        <v>11.782857142857143</v>
      </c>
      <c r="I1976" s="168">
        <f t="shared" si="279"/>
        <v>8.8371428571428563</v>
      </c>
      <c r="J1976" s="168">
        <f t="shared" si="280"/>
        <v>14.728571428571428</v>
      </c>
      <c r="K1976" s="168">
        <f t="shared" si="281"/>
        <v>14.728571428571428</v>
      </c>
      <c r="L1976" s="168">
        <f t="shared" si="282"/>
        <v>1.2402500000000001</v>
      </c>
      <c r="M1976" s="168">
        <f t="shared" si="283"/>
        <v>4.166666666666667</v>
      </c>
      <c r="N1976" s="241" t="s">
        <v>453</v>
      </c>
      <c r="O1976" s="287">
        <v>45781</v>
      </c>
    </row>
    <row r="1977" spans="1:15" ht="15" customHeight="1">
      <c r="A1977" s="58">
        <v>1976</v>
      </c>
      <c r="B1977" s="61" t="s">
        <v>52</v>
      </c>
      <c r="C1977" s="61" t="s">
        <v>10</v>
      </c>
      <c r="D1977" s="273" t="s">
        <v>3778</v>
      </c>
      <c r="E1977" s="278">
        <v>250</v>
      </c>
      <c r="F1977" s="278">
        <v>0</v>
      </c>
      <c r="G1977" s="168">
        <f t="shared" si="277"/>
        <v>0.4</v>
      </c>
      <c r="H1977" s="168">
        <f t="shared" si="278"/>
        <v>0.8</v>
      </c>
      <c r="I1977" s="168">
        <f t="shared" si="279"/>
        <v>0.6</v>
      </c>
      <c r="J1977" s="168">
        <f t="shared" si="280"/>
        <v>1</v>
      </c>
      <c r="K1977" s="168">
        <f t="shared" si="281"/>
        <v>1</v>
      </c>
      <c r="L1977" s="168">
        <f t="shared" si="282"/>
        <v>1</v>
      </c>
      <c r="M1977" s="168">
        <f t="shared" si="283"/>
        <v>4.166666666666667</v>
      </c>
      <c r="N1977" s="241" t="s">
        <v>453</v>
      </c>
      <c r="O1977" s="287">
        <v>45782</v>
      </c>
    </row>
    <row r="1978" spans="1:15" ht="15" customHeight="1">
      <c r="A1978" s="58">
        <v>1977</v>
      </c>
      <c r="B1978" s="61" t="s">
        <v>52</v>
      </c>
      <c r="C1978" s="61" t="s">
        <v>10</v>
      </c>
      <c r="D1978" s="273" t="s">
        <v>3779</v>
      </c>
      <c r="E1978" s="278">
        <v>0</v>
      </c>
      <c r="F1978" s="278">
        <v>100</v>
      </c>
      <c r="G1978" s="168">
        <f t="shared" si="277"/>
        <v>0.97142857142857153</v>
      </c>
      <c r="H1978" s="168">
        <f t="shared" si="278"/>
        <v>1.9428571428571431</v>
      </c>
      <c r="I1978" s="168">
        <f t="shared" si="279"/>
        <v>1.4571428571428573</v>
      </c>
      <c r="J1978" s="168">
        <f t="shared" si="280"/>
        <v>2.4285714285714288</v>
      </c>
      <c r="K1978" s="168">
        <f t="shared" si="281"/>
        <v>2.4285714285714288</v>
      </c>
      <c r="L1978" s="168">
        <f t="shared" si="282"/>
        <v>1.0249999999999999</v>
      </c>
      <c r="M1978" s="168">
        <f t="shared" si="283"/>
        <v>0</v>
      </c>
      <c r="N1978" s="241" t="s">
        <v>453</v>
      </c>
      <c r="O1978" s="287">
        <v>45790</v>
      </c>
    </row>
    <row r="1979" spans="1:15" ht="15" customHeight="1">
      <c r="A1979" s="58">
        <v>1978</v>
      </c>
      <c r="B1979" s="61" t="s">
        <v>52</v>
      </c>
      <c r="C1979" s="61" t="s">
        <v>10</v>
      </c>
      <c r="D1979" s="273" t="s">
        <v>3780</v>
      </c>
      <c r="E1979" s="278">
        <v>100</v>
      </c>
      <c r="F1979" s="278">
        <v>0</v>
      </c>
      <c r="G1979" s="168">
        <f t="shared" si="277"/>
        <v>0.4</v>
      </c>
      <c r="H1979" s="168">
        <f t="shared" si="278"/>
        <v>0.8</v>
      </c>
      <c r="I1979" s="168">
        <f t="shared" si="279"/>
        <v>0.6</v>
      </c>
      <c r="J1979" s="168">
        <f t="shared" si="280"/>
        <v>1</v>
      </c>
      <c r="K1979" s="168">
        <f t="shared" si="281"/>
        <v>1</v>
      </c>
      <c r="L1979" s="168">
        <f t="shared" si="282"/>
        <v>1</v>
      </c>
      <c r="M1979" s="168">
        <f t="shared" si="283"/>
        <v>1.6666666666666667</v>
      </c>
      <c r="N1979" s="241" t="s">
        <v>453</v>
      </c>
      <c r="O1979" s="287">
        <v>45790</v>
      </c>
    </row>
    <row r="1980" spans="1:15" ht="15" customHeight="1">
      <c r="A1980" s="58">
        <v>1979</v>
      </c>
      <c r="B1980" s="61" t="s">
        <v>52</v>
      </c>
      <c r="C1980" s="61" t="s">
        <v>10</v>
      </c>
      <c r="D1980" s="273" t="s">
        <v>3781</v>
      </c>
      <c r="E1980" s="278">
        <v>245</v>
      </c>
      <c r="F1980" s="278">
        <v>0</v>
      </c>
      <c r="G1980" s="168">
        <f t="shared" si="277"/>
        <v>0.4</v>
      </c>
      <c r="H1980" s="168">
        <f t="shared" si="278"/>
        <v>0.8</v>
      </c>
      <c r="I1980" s="168">
        <f t="shared" si="279"/>
        <v>0.6</v>
      </c>
      <c r="J1980" s="168">
        <f t="shared" si="280"/>
        <v>1</v>
      </c>
      <c r="K1980" s="168">
        <f t="shared" si="281"/>
        <v>1</v>
      </c>
      <c r="L1980" s="168">
        <f t="shared" si="282"/>
        <v>1</v>
      </c>
      <c r="M1980" s="168">
        <f t="shared" si="283"/>
        <v>4.083333333333333</v>
      </c>
      <c r="N1980" s="241" t="s">
        <v>453</v>
      </c>
      <c r="O1980" s="287">
        <v>45790</v>
      </c>
    </row>
    <row r="1981" spans="1:15" ht="15" customHeight="1">
      <c r="A1981" s="58">
        <v>1980</v>
      </c>
      <c r="B1981" s="61" t="s">
        <v>52</v>
      </c>
      <c r="C1981" s="61" t="s">
        <v>10</v>
      </c>
      <c r="D1981" s="273" t="s">
        <v>3783</v>
      </c>
      <c r="E1981" s="278">
        <v>279</v>
      </c>
      <c r="F1981" s="278">
        <v>0</v>
      </c>
      <c r="G1981" s="168">
        <f t="shared" si="277"/>
        <v>0.4</v>
      </c>
      <c r="H1981" s="168">
        <f t="shared" si="278"/>
        <v>0.8</v>
      </c>
      <c r="I1981" s="168">
        <f t="shared" si="279"/>
        <v>0.6</v>
      </c>
      <c r="J1981" s="168">
        <f t="shared" si="280"/>
        <v>1</v>
      </c>
      <c r="K1981" s="168">
        <f t="shared" si="281"/>
        <v>1</v>
      </c>
      <c r="L1981" s="168">
        <f t="shared" si="282"/>
        <v>1</v>
      </c>
      <c r="M1981" s="168">
        <f t="shared" si="283"/>
        <v>4.6500000000000004</v>
      </c>
      <c r="N1981" s="241" t="s">
        <v>453</v>
      </c>
      <c r="O1981" s="287">
        <v>45790</v>
      </c>
    </row>
    <row r="1982" spans="1:15" ht="15" customHeight="1">
      <c r="A1982" s="58">
        <v>1981</v>
      </c>
      <c r="B1982" s="61" t="s">
        <v>52</v>
      </c>
      <c r="C1982" s="61" t="s">
        <v>10</v>
      </c>
      <c r="D1982" s="273" t="s">
        <v>3785</v>
      </c>
      <c r="E1982" s="278">
        <v>250</v>
      </c>
      <c r="F1982" s="278">
        <v>483</v>
      </c>
      <c r="G1982" s="168">
        <f t="shared" si="277"/>
        <v>3.16</v>
      </c>
      <c r="H1982" s="168">
        <f t="shared" si="278"/>
        <v>6.32</v>
      </c>
      <c r="I1982" s="168">
        <f t="shared" si="279"/>
        <v>4.74</v>
      </c>
      <c r="J1982" s="168">
        <f t="shared" si="280"/>
        <v>7.9</v>
      </c>
      <c r="K1982" s="168">
        <f t="shared" si="281"/>
        <v>7.9</v>
      </c>
      <c r="L1982" s="168">
        <f t="shared" si="282"/>
        <v>1.1207499999999999</v>
      </c>
      <c r="M1982" s="168">
        <f t="shared" si="283"/>
        <v>4.166666666666667</v>
      </c>
      <c r="N1982" s="241" t="s">
        <v>453</v>
      </c>
      <c r="O1982" s="287">
        <v>45771</v>
      </c>
    </row>
    <row r="1983" spans="1:15" ht="15" customHeight="1">
      <c r="A1983" s="58">
        <v>1982</v>
      </c>
      <c r="B1983" s="61" t="s">
        <v>52</v>
      </c>
      <c r="C1983" s="61" t="s">
        <v>10</v>
      </c>
      <c r="D1983" s="273" t="s">
        <v>3786</v>
      </c>
      <c r="E1983" s="278">
        <v>0</v>
      </c>
      <c r="F1983" s="278">
        <v>250</v>
      </c>
      <c r="G1983" s="168">
        <f t="shared" si="277"/>
        <v>1.8285714285714285</v>
      </c>
      <c r="H1983" s="168">
        <f t="shared" si="278"/>
        <v>3.657142857142857</v>
      </c>
      <c r="I1983" s="168">
        <f t="shared" si="279"/>
        <v>2.7428571428571424</v>
      </c>
      <c r="J1983" s="168">
        <f t="shared" si="280"/>
        <v>4.5714285714285712</v>
      </c>
      <c r="K1983" s="168">
        <f t="shared" si="281"/>
        <v>4.5714285714285712</v>
      </c>
      <c r="L1983" s="168">
        <f t="shared" si="282"/>
        <v>1.0625</v>
      </c>
      <c r="M1983" s="168">
        <f t="shared" si="283"/>
        <v>0</v>
      </c>
      <c r="N1983" s="241" t="s">
        <v>453</v>
      </c>
      <c r="O1983" s="287">
        <v>45775</v>
      </c>
    </row>
    <row r="1984" spans="1:15" ht="15" customHeight="1">
      <c r="A1984" s="58">
        <v>1983</v>
      </c>
      <c r="B1984" s="61" t="s">
        <v>52</v>
      </c>
      <c r="C1984" s="61" t="s">
        <v>10</v>
      </c>
      <c r="D1984" s="273" t="s">
        <v>3787</v>
      </c>
      <c r="E1984" s="278">
        <v>0</v>
      </c>
      <c r="F1984" s="278">
        <v>0</v>
      </c>
      <c r="G1984" s="168">
        <f t="shared" si="277"/>
        <v>0.4</v>
      </c>
      <c r="H1984" s="168">
        <f t="shared" si="278"/>
        <v>0.8</v>
      </c>
      <c r="I1984" s="168">
        <f t="shared" si="279"/>
        <v>0.6</v>
      </c>
      <c r="J1984" s="168">
        <f t="shared" si="280"/>
        <v>1</v>
      </c>
      <c r="K1984" s="168">
        <f t="shared" si="281"/>
        <v>1</v>
      </c>
      <c r="L1984" s="168">
        <f t="shared" si="282"/>
        <v>1</v>
      </c>
      <c r="M1984" s="168">
        <f t="shared" si="283"/>
        <v>0</v>
      </c>
      <c r="N1984" s="241" t="s">
        <v>453</v>
      </c>
      <c r="O1984" s="287">
        <v>45776</v>
      </c>
    </row>
    <row r="1985" spans="1:15" ht="15" customHeight="1">
      <c r="A1985" s="58">
        <v>1984</v>
      </c>
      <c r="B1985" s="61" t="s">
        <v>52</v>
      </c>
      <c r="C1985" s="61" t="s">
        <v>10</v>
      </c>
      <c r="D1985" s="273" t="s">
        <v>3788</v>
      </c>
      <c r="E1985" s="278">
        <v>0</v>
      </c>
      <c r="F1985" s="278">
        <v>0</v>
      </c>
      <c r="G1985" s="168">
        <f t="shared" si="277"/>
        <v>0.4</v>
      </c>
      <c r="H1985" s="168">
        <f t="shared" si="278"/>
        <v>0.8</v>
      </c>
      <c r="I1985" s="168">
        <f t="shared" si="279"/>
        <v>0.6</v>
      </c>
      <c r="J1985" s="168">
        <f t="shared" si="280"/>
        <v>1</v>
      </c>
      <c r="K1985" s="168">
        <f t="shared" si="281"/>
        <v>1</v>
      </c>
      <c r="L1985" s="168">
        <f t="shared" si="282"/>
        <v>1</v>
      </c>
      <c r="M1985" s="168">
        <f t="shared" si="283"/>
        <v>0</v>
      </c>
      <c r="N1985" s="241" t="s">
        <v>453</v>
      </c>
      <c r="O1985" s="287">
        <v>45776</v>
      </c>
    </row>
    <row r="1986" spans="1:15" ht="15" customHeight="1">
      <c r="A1986" s="58">
        <v>1985</v>
      </c>
      <c r="B1986" s="61" t="s">
        <v>52</v>
      </c>
      <c r="C1986" s="61" t="s">
        <v>10</v>
      </c>
      <c r="D1986" s="273" t="s">
        <v>3789</v>
      </c>
      <c r="E1986" s="278">
        <v>0</v>
      </c>
      <c r="F1986" s="278">
        <v>0</v>
      </c>
      <c r="G1986" s="168">
        <f t="shared" si="277"/>
        <v>0.4</v>
      </c>
      <c r="H1986" s="168">
        <f t="shared" si="278"/>
        <v>0.8</v>
      </c>
      <c r="I1986" s="168">
        <f t="shared" si="279"/>
        <v>0.6</v>
      </c>
      <c r="J1986" s="168">
        <f t="shared" si="280"/>
        <v>1</v>
      </c>
      <c r="K1986" s="168">
        <f t="shared" si="281"/>
        <v>1</v>
      </c>
      <c r="L1986" s="168">
        <f t="shared" si="282"/>
        <v>1</v>
      </c>
      <c r="M1986" s="168">
        <f t="shared" si="283"/>
        <v>0</v>
      </c>
      <c r="N1986" s="241" t="s">
        <v>453</v>
      </c>
      <c r="O1986" s="287">
        <v>45776</v>
      </c>
    </row>
    <row r="1987" spans="1:15" ht="15" customHeight="1">
      <c r="A1987" s="58">
        <v>1986</v>
      </c>
      <c r="B1987" s="61" t="s">
        <v>52</v>
      </c>
      <c r="C1987" s="61" t="s">
        <v>10</v>
      </c>
      <c r="D1987" s="273" t="s">
        <v>3790</v>
      </c>
      <c r="E1987" s="278">
        <v>450</v>
      </c>
      <c r="F1987" s="278">
        <v>0</v>
      </c>
      <c r="G1987" s="168">
        <f t="shared" si="277"/>
        <v>0.4</v>
      </c>
      <c r="H1987" s="168">
        <f t="shared" si="278"/>
        <v>0.8</v>
      </c>
      <c r="I1987" s="168">
        <f t="shared" si="279"/>
        <v>0.6</v>
      </c>
      <c r="J1987" s="168">
        <f t="shared" si="280"/>
        <v>1</v>
      </c>
      <c r="K1987" s="168">
        <f t="shared" si="281"/>
        <v>1</v>
      </c>
      <c r="L1987" s="168">
        <f t="shared" si="282"/>
        <v>1</v>
      </c>
      <c r="M1987" s="168">
        <f t="shared" si="283"/>
        <v>7.5</v>
      </c>
      <c r="N1987" s="241" t="s">
        <v>453</v>
      </c>
      <c r="O1987" s="287">
        <v>45662</v>
      </c>
    </row>
    <row r="1988" spans="1:15" ht="15" customHeight="1">
      <c r="A1988" s="58">
        <v>1987</v>
      </c>
      <c r="B1988" s="61" t="s">
        <v>52</v>
      </c>
      <c r="C1988" s="61" t="s">
        <v>10</v>
      </c>
      <c r="D1988" s="329" t="s">
        <v>4721</v>
      </c>
      <c r="E1988" s="301">
        <v>0</v>
      </c>
      <c r="F1988" s="301">
        <v>1500</v>
      </c>
      <c r="G1988" s="168">
        <f t="shared" si="277"/>
        <v>8.9714285714285715</v>
      </c>
      <c r="H1988" s="168">
        <f t="shared" si="278"/>
        <v>17.942857142857143</v>
      </c>
      <c r="I1988" s="168">
        <f t="shared" si="279"/>
        <v>13.457142857142856</v>
      </c>
      <c r="J1988" s="168">
        <f t="shared" si="280"/>
        <v>22.428571428571427</v>
      </c>
      <c r="K1988" s="168">
        <f t="shared" si="281"/>
        <v>22.428571428571427</v>
      </c>
      <c r="L1988" s="168">
        <f t="shared" si="282"/>
        <v>1.375</v>
      </c>
      <c r="M1988" s="168">
        <f t="shared" si="283"/>
        <v>0</v>
      </c>
      <c r="N1988" s="320" t="s">
        <v>453</v>
      </c>
      <c r="O1988" s="287">
        <v>45777</v>
      </c>
    </row>
    <row r="1989" spans="1:15" ht="15" customHeight="1">
      <c r="A1989" s="58">
        <v>1988</v>
      </c>
      <c r="B1989" s="61" t="s">
        <v>52</v>
      </c>
      <c r="C1989" s="61" t="s">
        <v>10</v>
      </c>
      <c r="D1989" s="292" t="s">
        <v>3806</v>
      </c>
      <c r="E1989" s="301">
        <v>0</v>
      </c>
      <c r="F1989" s="301">
        <v>1747</v>
      </c>
      <c r="G1989" s="168">
        <f t="shared" si="277"/>
        <v>10.382857142857143</v>
      </c>
      <c r="H1989" s="168">
        <f t="shared" si="278"/>
        <v>20.765714285714285</v>
      </c>
      <c r="I1989" s="168">
        <f t="shared" si="279"/>
        <v>15.574285714285713</v>
      </c>
      <c r="J1989" s="168">
        <f t="shared" si="280"/>
        <v>25.957142857142856</v>
      </c>
      <c r="K1989" s="168">
        <f t="shared" si="281"/>
        <v>25.957142857142856</v>
      </c>
      <c r="L1989" s="168">
        <f t="shared" si="282"/>
        <v>1.43675</v>
      </c>
      <c r="M1989" s="168">
        <f t="shared" si="283"/>
        <v>0</v>
      </c>
      <c r="N1989" s="241" t="s">
        <v>453</v>
      </c>
      <c r="O1989" s="287">
        <v>45770</v>
      </c>
    </row>
    <row r="1990" spans="1:15" ht="15" customHeight="1">
      <c r="A1990" s="58">
        <v>1989</v>
      </c>
      <c r="B1990" s="61" t="s">
        <v>52</v>
      </c>
      <c r="C1990" s="61" t="s">
        <v>10</v>
      </c>
      <c r="D1990" s="292" t="s">
        <v>3807</v>
      </c>
      <c r="E1990" s="301">
        <v>378</v>
      </c>
      <c r="F1990" s="301">
        <v>0</v>
      </c>
      <c r="G1990" s="168">
        <f t="shared" si="277"/>
        <v>0.4</v>
      </c>
      <c r="H1990" s="168">
        <f t="shared" si="278"/>
        <v>0.8</v>
      </c>
      <c r="I1990" s="168">
        <f t="shared" si="279"/>
        <v>0.6</v>
      </c>
      <c r="J1990" s="168">
        <f t="shared" si="280"/>
        <v>1</v>
      </c>
      <c r="K1990" s="168">
        <f t="shared" si="281"/>
        <v>1</v>
      </c>
      <c r="L1990" s="168">
        <f t="shared" si="282"/>
        <v>1</v>
      </c>
      <c r="M1990" s="168">
        <f t="shared" si="283"/>
        <v>6.3</v>
      </c>
      <c r="N1990" s="241" t="s">
        <v>453</v>
      </c>
      <c r="O1990" s="287">
        <v>45770</v>
      </c>
    </row>
    <row r="1991" spans="1:15" ht="15" customHeight="1">
      <c r="A1991" s="58">
        <v>1990</v>
      </c>
      <c r="B1991" s="61" t="s">
        <v>52</v>
      </c>
      <c r="C1991" s="61" t="s">
        <v>10</v>
      </c>
      <c r="D1991" s="292" t="s">
        <v>3808</v>
      </c>
      <c r="E1991" s="301">
        <v>245</v>
      </c>
      <c r="F1991" s="301">
        <v>0</v>
      </c>
      <c r="G1991" s="168">
        <f t="shared" si="277"/>
        <v>0.4</v>
      </c>
      <c r="H1991" s="168">
        <f t="shared" si="278"/>
        <v>0.8</v>
      </c>
      <c r="I1991" s="168">
        <f t="shared" si="279"/>
        <v>0.6</v>
      </c>
      <c r="J1991" s="168">
        <f t="shared" si="280"/>
        <v>1</v>
      </c>
      <c r="K1991" s="168">
        <f t="shared" si="281"/>
        <v>1</v>
      </c>
      <c r="L1991" s="168">
        <f t="shared" si="282"/>
        <v>1</v>
      </c>
      <c r="M1991" s="168">
        <f t="shared" si="283"/>
        <v>4.083333333333333</v>
      </c>
      <c r="N1991" s="241" t="s">
        <v>453</v>
      </c>
      <c r="O1991" s="287">
        <v>45770</v>
      </c>
    </row>
    <row r="1992" spans="1:15" ht="15" customHeight="1">
      <c r="A1992" s="58">
        <v>1991</v>
      </c>
      <c r="B1992" s="61" t="s">
        <v>52</v>
      </c>
      <c r="C1992" s="61" t="s">
        <v>10</v>
      </c>
      <c r="D1992" s="292" t="s">
        <v>3809</v>
      </c>
      <c r="E1992" s="301">
        <v>0</v>
      </c>
      <c r="F1992" s="301">
        <v>743</v>
      </c>
      <c r="G1992" s="168">
        <f t="shared" ref="G1992:G2020" si="284">(((F1992/70)+1)*0.4)</f>
        <v>4.6457142857142859</v>
      </c>
      <c r="H1992" s="168">
        <f t="shared" ref="H1992:H2020" si="285">G1992*2</f>
        <v>9.2914285714285718</v>
      </c>
      <c r="I1992" s="168">
        <f t="shared" ref="I1992:I2020" si="286">(((F1992/70)+1)*0.6)</f>
        <v>6.968571428571428</v>
      </c>
      <c r="J1992" s="168">
        <f t="shared" ref="J1992:J2020" si="287">I1992+G1992</f>
        <v>11.614285714285714</v>
      </c>
      <c r="K1992" s="168">
        <f t="shared" ref="K1992:K2020" si="288">J1992</f>
        <v>11.614285714285714</v>
      </c>
      <c r="L1992" s="168">
        <f t="shared" ref="L1992:L2020" si="289">(F1992/4000)+1</f>
        <v>1.1857500000000001</v>
      </c>
      <c r="M1992" s="168">
        <f t="shared" si="283"/>
        <v>0</v>
      </c>
      <c r="N1992" s="241" t="s">
        <v>453</v>
      </c>
      <c r="O1992" s="287">
        <v>45773</v>
      </c>
    </row>
    <row r="1993" spans="1:15" ht="15" customHeight="1">
      <c r="A1993" s="58">
        <v>1992</v>
      </c>
      <c r="B1993" s="61" t="s">
        <v>52</v>
      </c>
      <c r="C1993" s="61" t="s">
        <v>10</v>
      </c>
      <c r="D1993" s="292" t="s">
        <v>3810</v>
      </c>
      <c r="E1993" s="301">
        <v>0</v>
      </c>
      <c r="F1993" s="301">
        <v>562</v>
      </c>
      <c r="G1993" s="168">
        <f t="shared" si="284"/>
        <v>3.6114285714285717</v>
      </c>
      <c r="H1993" s="168">
        <f t="shared" si="285"/>
        <v>7.2228571428571433</v>
      </c>
      <c r="I1993" s="168">
        <f t="shared" si="286"/>
        <v>5.4171428571428573</v>
      </c>
      <c r="J1993" s="168">
        <f t="shared" si="287"/>
        <v>9.0285714285714285</v>
      </c>
      <c r="K1993" s="168">
        <f t="shared" si="288"/>
        <v>9.0285714285714285</v>
      </c>
      <c r="L1993" s="168">
        <f t="shared" si="289"/>
        <v>1.1405000000000001</v>
      </c>
      <c r="M1993" s="168">
        <f t="shared" ref="M1993:M2020" si="290">E1993/60</f>
        <v>0</v>
      </c>
      <c r="N1993" s="241" t="s">
        <v>453</v>
      </c>
      <c r="O1993" s="287">
        <v>45772</v>
      </c>
    </row>
    <row r="1994" spans="1:15" ht="15" customHeight="1">
      <c r="A1994" s="58">
        <v>1993</v>
      </c>
      <c r="B1994" s="61" t="s">
        <v>52</v>
      </c>
      <c r="C1994" s="61" t="s">
        <v>10</v>
      </c>
      <c r="D1994" s="292" t="s">
        <v>3811</v>
      </c>
      <c r="E1994" s="301">
        <v>339</v>
      </c>
      <c r="F1994" s="301">
        <v>1000</v>
      </c>
      <c r="G1994" s="168">
        <f t="shared" si="284"/>
        <v>6.1142857142857148</v>
      </c>
      <c r="H1994" s="168">
        <f t="shared" si="285"/>
        <v>12.22857142857143</v>
      </c>
      <c r="I1994" s="168">
        <f t="shared" si="286"/>
        <v>9.1714285714285708</v>
      </c>
      <c r="J1994" s="168">
        <f t="shared" si="287"/>
        <v>15.285714285714285</v>
      </c>
      <c r="K1994" s="168">
        <f t="shared" si="288"/>
        <v>15.285714285714285</v>
      </c>
      <c r="L1994" s="168">
        <f t="shared" si="289"/>
        <v>1.25</v>
      </c>
      <c r="M1994" s="168">
        <f t="shared" si="290"/>
        <v>5.65</v>
      </c>
      <c r="N1994" s="241" t="s">
        <v>453</v>
      </c>
      <c r="O1994" s="287">
        <v>45772</v>
      </c>
    </row>
    <row r="1995" spans="1:15" ht="15" customHeight="1">
      <c r="A1995" s="58">
        <v>1994</v>
      </c>
      <c r="B1995" s="61" t="s">
        <v>52</v>
      </c>
      <c r="C1995" s="61" t="s">
        <v>10</v>
      </c>
      <c r="D1995" s="292" t="s">
        <v>3812</v>
      </c>
      <c r="E1995" s="301">
        <v>0</v>
      </c>
      <c r="F1995" s="301">
        <v>550</v>
      </c>
      <c r="G1995" s="168">
        <f t="shared" si="284"/>
        <v>3.5428571428571431</v>
      </c>
      <c r="H1995" s="168">
        <f t="shared" si="285"/>
        <v>7.0857142857142863</v>
      </c>
      <c r="I1995" s="168">
        <f t="shared" si="286"/>
        <v>5.3142857142857141</v>
      </c>
      <c r="J1995" s="168">
        <f t="shared" si="287"/>
        <v>8.8571428571428577</v>
      </c>
      <c r="K1995" s="168">
        <f t="shared" si="288"/>
        <v>8.8571428571428577</v>
      </c>
      <c r="L1995" s="168">
        <f t="shared" si="289"/>
        <v>1.1375</v>
      </c>
      <c r="M1995" s="168">
        <f t="shared" si="290"/>
        <v>0</v>
      </c>
      <c r="N1995" s="241" t="s">
        <v>453</v>
      </c>
      <c r="O1995" s="287">
        <v>45772</v>
      </c>
    </row>
    <row r="1996" spans="1:15" ht="15" customHeight="1">
      <c r="A1996" s="58">
        <v>1995</v>
      </c>
      <c r="B1996" s="61" t="s">
        <v>51</v>
      </c>
      <c r="C1996" s="61" t="s">
        <v>10</v>
      </c>
      <c r="D1996" s="292" t="s">
        <v>3813</v>
      </c>
      <c r="E1996" s="301">
        <v>0</v>
      </c>
      <c r="F1996" s="301">
        <v>671</v>
      </c>
      <c r="G1996" s="168">
        <f t="shared" si="284"/>
        <v>4.234285714285714</v>
      </c>
      <c r="H1996" s="168">
        <f t="shared" si="285"/>
        <v>8.468571428571428</v>
      </c>
      <c r="I1996" s="168">
        <f t="shared" si="286"/>
        <v>6.3514285714285714</v>
      </c>
      <c r="J1996" s="168">
        <f t="shared" si="287"/>
        <v>10.585714285714285</v>
      </c>
      <c r="K1996" s="168">
        <f t="shared" si="288"/>
        <v>10.585714285714285</v>
      </c>
      <c r="L1996" s="168">
        <f t="shared" si="289"/>
        <v>1.1677500000000001</v>
      </c>
      <c r="M1996" s="168">
        <f t="shared" si="290"/>
        <v>0</v>
      </c>
      <c r="N1996" s="241" t="s">
        <v>453</v>
      </c>
      <c r="O1996" s="287">
        <v>45772</v>
      </c>
    </row>
    <row r="1997" spans="1:15" ht="15" customHeight="1">
      <c r="A1997" s="58">
        <v>1996</v>
      </c>
      <c r="B1997" s="61" t="s">
        <v>52</v>
      </c>
      <c r="C1997" s="61" t="s">
        <v>10</v>
      </c>
      <c r="D1997" s="292" t="s">
        <v>3814</v>
      </c>
      <c r="E1997" s="301">
        <v>200</v>
      </c>
      <c r="F1997" s="301">
        <v>1154.7</v>
      </c>
      <c r="G1997" s="168">
        <f t="shared" si="284"/>
        <v>6.9982857142857142</v>
      </c>
      <c r="H1997" s="168">
        <f t="shared" si="285"/>
        <v>13.996571428571428</v>
      </c>
      <c r="I1997" s="168">
        <f t="shared" si="286"/>
        <v>10.497428571428571</v>
      </c>
      <c r="J1997" s="168">
        <f t="shared" si="287"/>
        <v>17.495714285714286</v>
      </c>
      <c r="K1997" s="168">
        <f t="shared" si="288"/>
        <v>17.495714285714286</v>
      </c>
      <c r="L1997" s="168">
        <f t="shared" si="289"/>
        <v>1.288675</v>
      </c>
      <c r="M1997" s="168">
        <f t="shared" si="290"/>
        <v>3.3333333333333335</v>
      </c>
      <c r="N1997" s="241" t="s">
        <v>453</v>
      </c>
      <c r="O1997" s="287">
        <v>45772</v>
      </c>
    </row>
    <row r="1998" spans="1:15" ht="15" customHeight="1">
      <c r="A1998" s="58">
        <v>1997</v>
      </c>
      <c r="B1998" s="61" t="s">
        <v>52</v>
      </c>
      <c r="C1998" s="61" t="s">
        <v>10</v>
      </c>
      <c r="D1998" s="292" t="s">
        <v>3815</v>
      </c>
      <c r="E1998" s="301">
        <v>0</v>
      </c>
      <c r="F1998" s="301">
        <v>851</v>
      </c>
      <c r="G1998" s="168">
        <f t="shared" si="284"/>
        <v>5.2628571428571433</v>
      </c>
      <c r="H1998" s="168">
        <f t="shared" si="285"/>
        <v>10.525714285714287</v>
      </c>
      <c r="I1998" s="168">
        <f t="shared" si="286"/>
        <v>7.8942857142857132</v>
      </c>
      <c r="J1998" s="168">
        <f t="shared" si="287"/>
        <v>13.157142857142857</v>
      </c>
      <c r="K1998" s="168">
        <f t="shared" si="288"/>
        <v>13.157142857142857</v>
      </c>
      <c r="L1998" s="168">
        <f t="shared" si="289"/>
        <v>1.21275</v>
      </c>
      <c r="M1998" s="168">
        <f t="shared" si="290"/>
        <v>0</v>
      </c>
      <c r="N1998" s="241" t="s">
        <v>453</v>
      </c>
      <c r="O1998" s="287">
        <v>45772</v>
      </c>
    </row>
    <row r="1999" spans="1:15" ht="15" customHeight="1">
      <c r="A1999" s="58">
        <v>1998</v>
      </c>
      <c r="B1999" s="61" t="s">
        <v>52</v>
      </c>
      <c r="C1999" s="61" t="s">
        <v>10</v>
      </c>
      <c r="D1999" s="292" t="s">
        <v>3816</v>
      </c>
      <c r="E1999" s="301">
        <v>0</v>
      </c>
      <c r="F1999" s="301">
        <v>302</v>
      </c>
      <c r="G1999" s="168">
        <f t="shared" si="284"/>
        <v>2.1257142857142859</v>
      </c>
      <c r="H1999" s="168">
        <f t="shared" si="285"/>
        <v>4.2514285714285718</v>
      </c>
      <c r="I1999" s="168">
        <f t="shared" si="286"/>
        <v>3.1885714285714282</v>
      </c>
      <c r="J1999" s="168">
        <f t="shared" si="287"/>
        <v>5.3142857142857141</v>
      </c>
      <c r="K1999" s="168">
        <f t="shared" si="288"/>
        <v>5.3142857142857141</v>
      </c>
      <c r="L1999" s="168">
        <f t="shared" si="289"/>
        <v>1.0754999999999999</v>
      </c>
      <c r="M1999" s="168">
        <f t="shared" si="290"/>
        <v>0</v>
      </c>
      <c r="N1999" s="241" t="s">
        <v>453</v>
      </c>
      <c r="O1999" s="287">
        <v>45772</v>
      </c>
    </row>
    <row r="2000" spans="1:15" ht="15" customHeight="1">
      <c r="A2000" s="58">
        <v>1999</v>
      </c>
      <c r="B2000" s="61" t="s">
        <v>52</v>
      </c>
      <c r="C2000" s="61" t="s">
        <v>10</v>
      </c>
      <c r="D2000" s="292" t="s">
        <v>3817</v>
      </c>
      <c r="E2000" s="301">
        <v>0</v>
      </c>
      <c r="F2000" s="301">
        <v>267</v>
      </c>
      <c r="G2000" s="168">
        <f t="shared" si="284"/>
        <v>1.9257142857142862</v>
      </c>
      <c r="H2000" s="168">
        <f t="shared" si="285"/>
        <v>3.8514285714285723</v>
      </c>
      <c r="I2000" s="168">
        <f t="shared" si="286"/>
        <v>2.8885714285714288</v>
      </c>
      <c r="J2000" s="168">
        <f t="shared" si="287"/>
        <v>4.8142857142857149</v>
      </c>
      <c r="K2000" s="168">
        <f t="shared" si="288"/>
        <v>4.8142857142857149</v>
      </c>
      <c r="L2000" s="168">
        <f t="shared" si="289"/>
        <v>1.0667500000000001</v>
      </c>
      <c r="M2000" s="168">
        <f t="shared" si="290"/>
        <v>0</v>
      </c>
      <c r="N2000" s="241" t="s">
        <v>453</v>
      </c>
      <c r="O2000" s="287">
        <v>45772</v>
      </c>
    </row>
    <row r="2001" spans="1:15" ht="15" customHeight="1">
      <c r="A2001" s="58">
        <v>2000</v>
      </c>
      <c r="B2001" s="61" t="s">
        <v>52</v>
      </c>
      <c r="C2001" s="61" t="s">
        <v>10</v>
      </c>
      <c r="D2001" s="292" t="s">
        <v>3818</v>
      </c>
      <c r="E2001" s="301">
        <v>0</v>
      </c>
      <c r="F2001" s="301">
        <v>251</v>
      </c>
      <c r="G2001" s="168">
        <f t="shared" si="284"/>
        <v>1.8342857142857143</v>
      </c>
      <c r="H2001" s="168">
        <f t="shared" si="285"/>
        <v>3.6685714285714286</v>
      </c>
      <c r="I2001" s="168">
        <f t="shared" si="286"/>
        <v>2.7514285714285713</v>
      </c>
      <c r="J2001" s="168">
        <f t="shared" si="287"/>
        <v>4.5857142857142854</v>
      </c>
      <c r="K2001" s="168">
        <f t="shared" si="288"/>
        <v>4.5857142857142854</v>
      </c>
      <c r="L2001" s="168">
        <f t="shared" si="289"/>
        <v>1.0627500000000001</v>
      </c>
      <c r="M2001" s="168">
        <f t="shared" si="290"/>
        <v>0</v>
      </c>
      <c r="N2001" s="241" t="s">
        <v>453</v>
      </c>
      <c r="O2001" s="287">
        <v>45772</v>
      </c>
    </row>
    <row r="2002" spans="1:15" ht="15" customHeight="1">
      <c r="A2002" s="58">
        <v>2001</v>
      </c>
      <c r="B2002" s="61" t="s">
        <v>52</v>
      </c>
      <c r="C2002" s="61" t="s">
        <v>10</v>
      </c>
      <c r="D2002" s="292" t="s">
        <v>3819</v>
      </c>
      <c r="E2002" s="301">
        <v>0</v>
      </c>
      <c r="F2002" s="301">
        <v>577</v>
      </c>
      <c r="G2002" s="168">
        <f t="shared" si="284"/>
        <v>3.6971428571428571</v>
      </c>
      <c r="H2002" s="168">
        <f t="shared" si="285"/>
        <v>7.3942857142857141</v>
      </c>
      <c r="I2002" s="168">
        <f t="shared" si="286"/>
        <v>5.5457142857142854</v>
      </c>
      <c r="J2002" s="168">
        <f t="shared" si="287"/>
        <v>9.242857142857142</v>
      </c>
      <c r="K2002" s="168">
        <f t="shared" si="288"/>
        <v>9.242857142857142</v>
      </c>
      <c r="L2002" s="168">
        <f t="shared" si="289"/>
        <v>1.14425</v>
      </c>
      <c r="M2002" s="168">
        <f t="shared" si="290"/>
        <v>0</v>
      </c>
      <c r="N2002" s="241" t="s">
        <v>453</v>
      </c>
      <c r="O2002" s="287">
        <v>45790</v>
      </c>
    </row>
    <row r="2003" spans="1:15" ht="15" customHeight="1">
      <c r="A2003" s="58">
        <v>2002</v>
      </c>
      <c r="B2003" s="61" t="s">
        <v>52</v>
      </c>
      <c r="C2003" s="61" t="s">
        <v>10</v>
      </c>
      <c r="D2003" s="292" t="s">
        <v>3820</v>
      </c>
      <c r="E2003" s="301">
        <v>0</v>
      </c>
      <c r="F2003" s="301">
        <v>482</v>
      </c>
      <c r="G2003" s="168">
        <f t="shared" si="284"/>
        <v>3.1542857142857148</v>
      </c>
      <c r="H2003" s="168">
        <f t="shared" si="285"/>
        <v>6.3085714285714296</v>
      </c>
      <c r="I2003" s="168">
        <f t="shared" si="286"/>
        <v>4.7314285714285713</v>
      </c>
      <c r="J2003" s="168">
        <f t="shared" si="287"/>
        <v>7.8857142857142861</v>
      </c>
      <c r="K2003" s="168">
        <f t="shared" si="288"/>
        <v>7.8857142857142861</v>
      </c>
      <c r="L2003" s="168">
        <f t="shared" si="289"/>
        <v>1.1205000000000001</v>
      </c>
      <c r="M2003" s="168">
        <f t="shared" si="290"/>
        <v>0</v>
      </c>
      <c r="N2003" s="241" t="s">
        <v>453</v>
      </c>
      <c r="O2003" s="287">
        <v>45790</v>
      </c>
    </row>
    <row r="2004" spans="1:15" ht="15" customHeight="1">
      <c r="A2004" s="58">
        <v>2003</v>
      </c>
      <c r="B2004" s="61" t="s">
        <v>52</v>
      </c>
      <c r="C2004" s="61" t="s">
        <v>10</v>
      </c>
      <c r="D2004" s="292" t="s">
        <v>3821</v>
      </c>
      <c r="E2004" s="301">
        <v>0</v>
      </c>
      <c r="F2004" s="301">
        <v>1150</v>
      </c>
      <c r="G2004" s="168">
        <f t="shared" si="284"/>
        <v>6.9714285714285715</v>
      </c>
      <c r="H2004" s="168">
        <f t="shared" si="285"/>
        <v>13.942857142857143</v>
      </c>
      <c r="I2004" s="168">
        <f t="shared" si="286"/>
        <v>10.457142857142856</v>
      </c>
      <c r="J2004" s="168">
        <f t="shared" si="287"/>
        <v>17.428571428571427</v>
      </c>
      <c r="K2004" s="168">
        <f t="shared" si="288"/>
        <v>17.428571428571427</v>
      </c>
      <c r="L2004" s="168">
        <f t="shared" si="289"/>
        <v>1.2875000000000001</v>
      </c>
      <c r="M2004" s="168">
        <f t="shared" si="290"/>
        <v>0</v>
      </c>
      <c r="N2004" s="241" t="s">
        <v>453</v>
      </c>
      <c r="O2004" s="287">
        <v>45791</v>
      </c>
    </row>
    <row r="2005" spans="1:15" ht="15" customHeight="1">
      <c r="A2005" s="58">
        <v>2004</v>
      </c>
      <c r="B2005" s="61" t="s">
        <v>52</v>
      </c>
      <c r="C2005" s="61" t="s">
        <v>10</v>
      </c>
      <c r="D2005" s="292" t="s">
        <v>3822</v>
      </c>
      <c r="E2005" s="301">
        <v>0</v>
      </c>
      <c r="F2005" s="301">
        <v>168</v>
      </c>
      <c r="G2005" s="168">
        <f t="shared" si="284"/>
        <v>1.36</v>
      </c>
      <c r="H2005" s="168">
        <f t="shared" si="285"/>
        <v>2.72</v>
      </c>
      <c r="I2005" s="168">
        <f t="shared" si="286"/>
        <v>2.04</v>
      </c>
      <c r="J2005" s="168">
        <f t="shared" si="287"/>
        <v>3.4000000000000004</v>
      </c>
      <c r="K2005" s="168">
        <f t="shared" si="288"/>
        <v>3.4000000000000004</v>
      </c>
      <c r="L2005" s="168">
        <f t="shared" si="289"/>
        <v>1.042</v>
      </c>
      <c r="M2005" s="168">
        <f t="shared" si="290"/>
        <v>0</v>
      </c>
      <c r="N2005" s="241" t="s">
        <v>453</v>
      </c>
      <c r="O2005" s="287">
        <v>45792</v>
      </c>
    </row>
    <row r="2006" spans="1:15" ht="15" customHeight="1">
      <c r="A2006" s="58">
        <v>2005</v>
      </c>
      <c r="B2006" s="61" t="s">
        <v>52</v>
      </c>
      <c r="C2006" s="61" t="s">
        <v>10</v>
      </c>
      <c r="D2006" s="292" t="s">
        <v>3823</v>
      </c>
      <c r="E2006" s="301">
        <v>0</v>
      </c>
      <c r="F2006" s="301">
        <v>111</v>
      </c>
      <c r="G2006" s="168">
        <f t="shared" si="284"/>
        <v>1.0342857142857143</v>
      </c>
      <c r="H2006" s="168">
        <f t="shared" si="285"/>
        <v>2.0685714285714285</v>
      </c>
      <c r="I2006" s="168">
        <f t="shared" si="286"/>
        <v>1.5514285714285712</v>
      </c>
      <c r="J2006" s="168">
        <f t="shared" si="287"/>
        <v>2.5857142857142854</v>
      </c>
      <c r="K2006" s="168">
        <f t="shared" si="288"/>
        <v>2.5857142857142854</v>
      </c>
      <c r="L2006" s="168">
        <f t="shared" si="289"/>
        <v>1.0277499999999999</v>
      </c>
      <c r="M2006" s="168">
        <f t="shared" si="290"/>
        <v>0</v>
      </c>
      <c r="N2006" s="241" t="s">
        <v>453</v>
      </c>
      <c r="O2006" s="287">
        <v>45793</v>
      </c>
    </row>
    <row r="2007" spans="1:15" ht="15" customHeight="1">
      <c r="A2007" s="58">
        <v>2006</v>
      </c>
      <c r="B2007" s="61" t="s">
        <v>52</v>
      </c>
      <c r="C2007" s="61" t="s">
        <v>10</v>
      </c>
      <c r="D2007" s="292" t="s">
        <v>3824</v>
      </c>
      <c r="E2007" s="301">
        <v>0</v>
      </c>
      <c r="F2007" s="301">
        <v>60</v>
      </c>
      <c r="G2007" s="168">
        <f t="shared" si="284"/>
        <v>0.74285714285714288</v>
      </c>
      <c r="H2007" s="168">
        <f t="shared" si="285"/>
        <v>1.4857142857142858</v>
      </c>
      <c r="I2007" s="168">
        <f t="shared" si="286"/>
        <v>1.1142857142857143</v>
      </c>
      <c r="J2007" s="168">
        <f t="shared" si="287"/>
        <v>1.8571428571428572</v>
      </c>
      <c r="K2007" s="168">
        <f t="shared" si="288"/>
        <v>1.8571428571428572</v>
      </c>
      <c r="L2007" s="168">
        <f t="shared" si="289"/>
        <v>1.0149999999999999</v>
      </c>
      <c r="M2007" s="168">
        <f t="shared" si="290"/>
        <v>0</v>
      </c>
      <c r="N2007" s="241" t="s">
        <v>453</v>
      </c>
      <c r="O2007" s="287">
        <v>45793</v>
      </c>
    </row>
    <row r="2008" spans="1:15" ht="15" customHeight="1">
      <c r="A2008" s="58">
        <v>2007</v>
      </c>
      <c r="B2008" s="61" t="s">
        <v>52</v>
      </c>
      <c r="C2008" s="61" t="s">
        <v>10</v>
      </c>
      <c r="D2008" s="292" t="s">
        <v>3825</v>
      </c>
      <c r="E2008" s="301">
        <v>272</v>
      </c>
      <c r="F2008" s="301">
        <v>0</v>
      </c>
      <c r="G2008" s="168">
        <f t="shared" si="284"/>
        <v>0.4</v>
      </c>
      <c r="H2008" s="168">
        <f t="shared" si="285"/>
        <v>0.8</v>
      </c>
      <c r="I2008" s="168">
        <f t="shared" si="286"/>
        <v>0.6</v>
      </c>
      <c r="J2008" s="168">
        <f t="shared" si="287"/>
        <v>1</v>
      </c>
      <c r="K2008" s="168">
        <f t="shared" si="288"/>
        <v>1</v>
      </c>
      <c r="L2008" s="168">
        <f t="shared" si="289"/>
        <v>1</v>
      </c>
      <c r="M2008" s="168">
        <f t="shared" si="290"/>
        <v>4.5333333333333332</v>
      </c>
      <c r="N2008" s="241" t="s">
        <v>453</v>
      </c>
      <c r="O2008" s="287">
        <v>45796</v>
      </c>
    </row>
    <row r="2009" spans="1:15" ht="15" customHeight="1">
      <c r="A2009" s="58">
        <v>2008</v>
      </c>
      <c r="B2009" s="61" t="s">
        <v>59</v>
      </c>
      <c r="C2009" s="61" t="s">
        <v>11</v>
      </c>
      <c r="D2009" s="292" t="s">
        <v>3826</v>
      </c>
      <c r="E2009" s="301">
        <v>0</v>
      </c>
      <c r="F2009" s="301">
        <v>220</v>
      </c>
      <c r="G2009" s="168">
        <f t="shared" si="284"/>
        <v>1.657142857142857</v>
      </c>
      <c r="H2009" s="168">
        <f t="shared" si="285"/>
        <v>3.3142857142857141</v>
      </c>
      <c r="I2009" s="168">
        <f t="shared" si="286"/>
        <v>2.4857142857142853</v>
      </c>
      <c r="J2009" s="168">
        <f t="shared" si="287"/>
        <v>4.1428571428571423</v>
      </c>
      <c r="K2009" s="168">
        <f t="shared" si="288"/>
        <v>4.1428571428571423</v>
      </c>
      <c r="L2009" s="168">
        <f t="shared" si="289"/>
        <v>1.0549999999999999</v>
      </c>
      <c r="M2009" s="168">
        <f t="shared" si="290"/>
        <v>0</v>
      </c>
      <c r="N2009" s="241" t="s">
        <v>453</v>
      </c>
      <c r="O2009" s="287">
        <v>45796</v>
      </c>
    </row>
    <row r="2010" spans="1:15" ht="15" customHeight="1">
      <c r="A2010" s="58">
        <v>2009</v>
      </c>
      <c r="B2010" s="61" t="s">
        <v>52</v>
      </c>
      <c r="C2010" s="61" t="s">
        <v>10</v>
      </c>
      <c r="D2010" s="292" t="s">
        <v>3827</v>
      </c>
      <c r="E2010" s="301">
        <v>0</v>
      </c>
      <c r="F2010" s="301">
        <v>267</v>
      </c>
      <c r="G2010" s="168">
        <f t="shared" si="284"/>
        <v>1.9257142857142862</v>
      </c>
      <c r="H2010" s="168">
        <f t="shared" si="285"/>
        <v>3.8514285714285723</v>
      </c>
      <c r="I2010" s="168">
        <f t="shared" si="286"/>
        <v>2.8885714285714288</v>
      </c>
      <c r="J2010" s="168">
        <f t="shared" si="287"/>
        <v>4.8142857142857149</v>
      </c>
      <c r="K2010" s="168">
        <f t="shared" si="288"/>
        <v>4.8142857142857149</v>
      </c>
      <c r="L2010" s="168">
        <f t="shared" si="289"/>
        <v>1.0667500000000001</v>
      </c>
      <c r="M2010" s="168">
        <f t="shared" si="290"/>
        <v>0</v>
      </c>
      <c r="N2010" s="241" t="s">
        <v>453</v>
      </c>
      <c r="O2010" s="288">
        <v>45798</v>
      </c>
    </row>
    <row r="2011" spans="1:15" ht="15" customHeight="1">
      <c r="A2011" s="58">
        <v>2010</v>
      </c>
      <c r="B2011" s="61" t="s">
        <v>52</v>
      </c>
      <c r="C2011" s="61" t="s">
        <v>10</v>
      </c>
      <c r="D2011" s="292" t="s">
        <v>3828</v>
      </c>
      <c r="E2011" s="301">
        <v>0</v>
      </c>
      <c r="F2011" s="301">
        <v>5479</v>
      </c>
      <c r="G2011" s="168">
        <f t="shared" si="284"/>
        <v>31.708571428571432</v>
      </c>
      <c r="H2011" s="168">
        <f t="shared" si="285"/>
        <v>63.417142857142863</v>
      </c>
      <c r="I2011" s="168">
        <f t="shared" si="286"/>
        <v>47.562857142857141</v>
      </c>
      <c r="J2011" s="168">
        <f t="shared" si="287"/>
        <v>79.271428571428572</v>
      </c>
      <c r="K2011" s="168">
        <f t="shared" si="288"/>
        <v>79.271428571428572</v>
      </c>
      <c r="L2011" s="168">
        <f t="shared" si="289"/>
        <v>2.3697499999999998</v>
      </c>
      <c r="M2011" s="168">
        <f t="shared" si="290"/>
        <v>0</v>
      </c>
      <c r="N2011" s="241" t="s">
        <v>453</v>
      </c>
      <c r="O2011" s="289">
        <v>45789</v>
      </c>
    </row>
    <row r="2012" spans="1:15" ht="15" customHeight="1">
      <c r="A2012" s="58">
        <v>2011</v>
      </c>
      <c r="B2012" s="61" t="s">
        <v>52</v>
      </c>
      <c r="C2012" s="61" t="s">
        <v>10</v>
      </c>
      <c r="D2012" s="292" t="s">
        <v>3829</v>
      </c>
      <c r="E2012" s="301">
        <v>0</v>
      </c>
      <c r="F2012" s="301">
        <v>1000</v>
      </c>
      <c r="G2012" s="168">
        <f t="shared" si="284"/>
        <v>6.1142857142857148</v>
      </c>
      <c r="H2012" s="168">
        <f t="shared" si="285"/>
        <v>12.22857142857143</v>
      </c>
      <c r="I2012" s="168">
        <f t="shared" si="286"/>
        <v>9.1714285714285708</v>
      </c>
      <c r="J2012" s="168">
        <f t="shared" si="287"/>
        <v>15.285714285714285</v>
      </c>
      <c r="K2012" s="168">
        <f t="shared" si="288"/>
        <v>15.285714285714285</v>
      </c>
      <c r="L2012" s="168">
        <f t="shared" si="289"/>
        <v>1.25</v>
      </c>
      <c r="M2012" s="168">
        <f t="shared" si="290"/>
        <v>0</v>
      </c>
      <c r="N2012" s="241" t="s">
        <v>453</v>
      </c>
      <c r="O2012" s="287">
        <v>45799</v>
      </c>
    </row>
    <row r="2013" spans="1:15" ht="15" customHeight="1">
      <c r="A2013" s="58">
        <v>2012</v>
      </c>
      <c r="B2013" s="61" t="s">
        <v>52</v>
      </c>
      <c r="C2013" s="61" t="s">
        <v>10</v>
      </c>
      <c r="D2013" s="292" t="s">
        <v>3830</v>
      </c>
      <c r="E2013" s="301">
        <v>0</v>
      </c>
      <c r="F2013" s="301">
        <v>418</v>
      </c>
      <c r="G2013" s="168">
        <f t="shared" si="284"/>
        <v>2.7885714285714287</v>
      </c>
      <c r="H2013" s="168">
        <f t="shared" si="285"/>
        <v>5.5771428571428574</v>
      </c>
      <c r="I2013" s="168">
        <f t="shared" si="286"/>
        <v>4.1828571428571424</v>
      </c>
      <c r="J2013" s="168">
        <f t="shared" si="287"/>
        <v>6.9714285714285715</v>
      </c>
      <c r="K2013" s="168">
        <f t="shared" si="288"/>
        <v>6.9714285714285715</v>
      </c>
      <c r="L2013" s="168">
        <f t="shared" si="289"/>
        <v>1.1045</v>
      </c>
      <c r="M2013" s="168">
        <f t="shared" si="290"/>
        <v>0</v>
      </c>
      <c r="N2013" s="241" t="s">
        <v>453</v>
      </c>
      <c r="O2013" s="289">
        <v>45792</v>
      </c>
    </row>
    <row r="2014" spans="1:15" ht="15" customHeight="1">
      <c r="A2014" s="58">
        <v>2013</v>
      </c>
      <c r="B2014" s="61" t="s">
        <v>52</v>
      </c>
      <c r="C2014" s="61" t="s">
        <v>10</v>
      </c>
      <c r="D2014" s="292" t="s">
        <v>3831</v>
      </c>
      <c r="E2014" s="301">
        <v>333</v>
      </c>
      <c r="F2014" s="301">
        <v>0</v>
      </c>
      <c r="G2014" s="168">
        <f t="shared" si="284"/>
        <v>0.4</v>
      </c>
      <c r="H2014" s="168">
        <f t="shared" si="285"/>
        <v>0.8</v>
      </c>
      <c r="I2014" s="168">
        <f t="shared" si="286"/>
        <v>0.6</v>
      </c>
      <c r="J2014" s="168">
        <f t="shared" si="287"/>
        <v>1</v>
      </c>
      <c r="K2014" s="168">
        <f t="shared" si="288"/>
        <v>1</v>
      </c>
      <c r="L2014" s="168">
        <f t="shared" si="289"/>
        <v>1</v>
      </c>
      <c r="M2014" s="168">
        <f t="shared" si="290"/>
        <v>5.55</v>
      </c>
      <c r="N2014" s="241" t="s">
        <v>453</v>
      </c>
      <c r="O2014" s="289">
        <v>45793</v>
      </c>
    </row>
    <row r="2015" spans="1:15" ht="15" customHeight="1">
      <c r="A2015" s="58">
        <v>2014</v>
      </c>
      <c r="B2015" s="61" t="s">
        <v>52</v>
      </c>
      <c r="C2015" s="61" t="s">
        <v>10</v>
      </c>
      <c r="D2015" s="292" t="s">
        <v>3832</v>
      </c>
      <c r="E2015" s="301">
        <v>0</v>
      </c>
      <c r="F2015" s="301">
        <v>596</v>
      </c>
      <c r="G2015" s="168">
        <f t="shared" si="284"/>
        <v>3.805714285714286</v>
      </c>
      <c r="H2015" s="168">
        <f t="shared" si="285"/>
        <v>7.6114285714285721</v>
      </c>
      <c r="I2015" s="168">
        <f t="shared" si="286"/>
        <v>5.7085714285714282</v>
      </c>
      <c r="J2015" s="168">
        <f t="shared" si="287"/>
        <v>9.5142857142857142</v>
      </c>
      <c r="K2015" s="168">
        <f t="shared" si="288"/>
        <v>9.5142857142857142</v>
      </c>
      <c r="L2015" s="168">
        <f t="shared" si="289"/>
        <v>1.149</v>
      </c>
      <c r="M2015" s="168">
        <f t="shared" si="290"/>
        <v>0</v>
      </c>
      <c r="N2015" s="241" t="s">
        <v>453</v>
      </c>
      <c r="O2015" s="289">
        <v>45793</v>
      </c>
    </row>
    <row r="2016" spans="1:15" ht="15" customHeight="1">
      <c r="A2016" s="58">
        <v>2015</v>
      </c>
      <c r="B2016" s="61" t="s">
        <v>59</v>
      </c>
      <c r="C2016" s="61" t="s">
        <v>11</v>
      </c>
      <c r="D2016" s="292" t="s">
        <v>3833</v>
      </c>
      <c r="E2016" s="301">
        <v>0</v>
      </c>
      <c r="F2016" s="301">
        <v>45</v>
      </c>
      <c r="G2016" s="168">
        <f t="shared" si="284"/>
        <v>0.65714285714285714</v>
      </c>
      <c r="H2016" s="168">
        <f t="shared" si="285"/>
        <v>1.3142857142857143</v>
      </c>
      <c r="I2016" s="168">
        <f t="shared" si="286"/>
        <v>0.98571428571428565</v>
      </c>
      <c r="J2016" s="168">
        <f t="shared" si="287"/>
        <v>1.6428571428571428</v>
      </c>
      <c r="K2016" s="168">
        <f t="shared" si="288"/>
        <v>1.6428571428571428</v>
      </c>
      <c r="L2016" s="168">
        <f t="shared" si="289"/>
        <v>1.01125</v>
      </c>
      <c r="M2016" s="168">
        <f t="shared" si="290"/>
        <v>0</v>
      </c>
      <c r="N2016" s="241" t="s">
        <v>453</v>
      </c>
      <c r="O2016" s="289">
        <v>45793</v>
      </c>
    </row>
    <row r="2017" spans="1:15" ht="15" customHeight="1">
      <c r="A2017" s="58">
        <v>2016</v>
      </c>
      <c r="B2017" s="61" t="s">
        <v>52</v>
      </c>
      <c r="C2017" s="61" t="s">
        <v>10</v>
      </c>
      <c r="D2017" s="292" t="s">
        <v>3834</v>
      </c>
      <c r="E2017" s="301">
        <v>86</v>
      </c>
      <c r="F2017" s="301">
        <v>601</v>
      </c>
      <c r="G2017" s="168">
        <f t="shared" si="284"/>
        <v>3.8342857142857145</v>
      </c>
      <c r="H2017" s="168">
        <f t="shared" si="285"/>
        <v>7.668571428571429</v>
      </c>
      <c r="I2017" s="168">
        <f t="shared" si="286"/>
        <v>5.7514285714285709</v>
      </c>
      <c r="J2017" s="168">
        <f t="shared" si="287"/>
        <v>9.5857142857142854</v>
      </c>
      <c r="K2017" s="168">
        <f t="shared" si="288"/>
        <v>9.5857142857142854</v>
      </c>
      <c r="L2017" s="168">
        <f t="shared" si="289"/>
        <v>1.15025</v>
      </c>
      <c r="M2017" s="168">
        <f t="shared" si="290"/>
        <v>1.4333333333333333</v>
      </c>
      <c r="N2017" s="241" t="s">
        <v>453</v>
      </c>
      <c r="O2017" s="289">
        <v>45800</v>
      </c>
    </row>
    <row r="2018" spans="1:15" ht="15" customHeight="1">
      <c r="A2018" s="58">
        <v>2017</v>
      </c>
      <c r="B2018" s="61" t="s">
        <v>52</v>
      </c>
      <c r="C2018" s="61" t="s">
        <v>10</v>
      </c>
      <c r="D2018" s="292" t="s">
        <v>3835</v>
      </c>
      <c r="E2018" s="301">
        <v>0</v>
      </c>
      <c r="F2018" s="301">
        <v>433</v>
      </c>
      <c r="G2018" s="168">
        <f t="shared" si="284"/>
        <v>2.8742857142857146</v>
      </c>
      <c r="H2018" s="168">
        <f t="shared" si="285"/>
        <v>5.7485714285714291</v>
      </c>
      <c r="I2018" s="168">
        <f t="shared" si="286"/>
        <v>4.3114285714285714</v>
      </c>
      <c r="J2018" s="168">
        <f t="shared" si="287"/>
        <v>7.1857142857142859</v>
      </c>
      <c r="K2018" s="168">
        <f t="shared" si="288"/>
        <v>7.1857142857142859</v>
      </c>
      <c r="L2018" s="168">
        <f t="shared" si="289"/>
        <v>1.10825</v>
      </c>
      <c r="M2018" s="168">
        <f t="shared" si="290"/>
        <v>0</v>
      </c>
      <c r="N2018" s="241" t="s">
        <v>453</v>
      </c>
      <c r="O2018" s="289">
        <v>45800</v>
      </c>
    </row>
    <row r="2019" spans="1:15" ht="15" customHeight="1">
      <c r="A2019" s="58">
        <v>2018</v>
      </c>
      <c r="B2019" s="61" t="s">
        <v>52</v>
      </c>
      <c r="C2019" s="61" t="s">
        <v>10</v>
      </c>
      <c r="D2019" s="292" t="s">
        <v>3836</v>
      </c>
      <c r="E2019" s="301">
        <v>0</v>
      </c>
      <c r="F2019" s="301">
        <v>332</v>
      </c>
      <c r="G2019" s="168">
        <f t="shared" si="284"/>
        <v>2.2971428571428572</v>
      </c>
      <c r="H2019" s="168">
        <f t="shared" si="285"/>
        <v>4.5942857142857143</v>
      </c>
      <c r="I2019" s="168">
        <f t="shared" si="286"/>
        <v>3.4457142857142857</v>
      </c>
      <c r="J2019" s="168">
        <f t="shared" si="287"/>
        <v>5.7428571428571429</v>
      </c>
      <c r="K2019" s="168">
        <f t="shared" si="288"/>
        <v>5.7428571428571429</v>
      </c>
      <c r="L2019" s="168">
        <f t="shared" si="289"/>
        <v>1.083</v>
      </c>
      <c r="M2019" s="168">
        <f t="shared" si="290"/>
        <v>0</v>
      </c>
      <c r="N2019" s="241" t="s">
        <v>453</v>
      </c>
      <c r="O2019" s="289">
        <v>45800</v>
      </c>
    </row>
    <row r="2020" spans="1:15" ht="15" customHeight="1">
      <c r="A2020" s="58">
        <v>2019</v>
      </c>
      <c r="B2020" s="61" t="s">
        <v>52</v>
      </c>
      <c r="C2020" s="61" t="s">
        <v>10</v>
      </c>
      <c r="D2020" s="292" t="s">
        <v>3837</v>
      </c>
      <c r="E2020" s="301">
        <v>0</v>
      </c>
      <c r="F2020" s="301">
        <v>0</v>
      </c>
      <c r="G2020" s="168">
        <f t="shared" si="284"/>
        <v>0.4</v>
      </c>
      <c r="H2020" s="168">
        <f t="shared" si="285"/>
        <v>0.8</v>
      </c>
      <c r="I2020" s="168">
        <f t="shared" si="286"/>
        <v>0.6</v>
      </c>
      <c r="J2020" s="168">
        <f t="shared" si="287"/>
        <v>1</v>
      </c>
      <c r="K2020" s="168">
        <f t="shared" si="288"/>
        <v>1</v>
      </c>
      <c r="L2020" s="168">
        <f t="shared" si="289"/>
        <v>1</v>
      </c>
      <c r="M2020" s="168">
        <f t="shared" si="290"/>
        <v>0</v>
      </c>
      <c r="N2020" s="241" t="s">
        <v>453</v>
      </c>
      <c r="O2020" s="289">
        <v>45801</v>
      </c>
    </row>
    <row r="2021" spans="1:15" ht="15" customHeight="1">
      <c r="A2021" s="58">
        <v>2020</v>
      </c>
      <c r="B2021" s="61" t="s">
        <v>52</v>
      </c>
      <c r="C2021" s="61" t="s">
        <v>10</v>
      </c>
      <c r="D2021" s="292" t="s">
        <v>3838</v>
      </c>
      <c r="E2021" s="301">
        <v>0</v>
      </c>
      <c r="F2021" s="301">
        <v>427.4</v>
      </c>
      <c r="G2021" s="168">
        <f t="shared" ref="G2021:G2084" si="291">(((F2021/70)+1)*0.4)</f>
        <v>2.8422857142857141</v>
      </c>
      <c r="H2021" s="168">
        <f t="shared" ref="H2021:H2084" si="292">G2021*2</f>
        <v>5.6845714285714282</v>
      </c>
      <c r="I2021" s="168">
        <f t="shared" ref="I2021:I2084" si="293">(((F2021/70)+1)*0.6)</f>
        <v>4.2634285714285705</v>
      </c>
      <c r="J2021" s="168">
        <f t="shared" ref="J2021:J2084" si="294">I2021+G2021</f>
        <v>7.105714285714285</v>
      </c>
      <c r="K2021" s="168">
        <f t="shared" ref="K2021:K2084" si="295">J2021</f>
        <v>7.105714285714285</v>
      </c>
      <c r="L2021" s="168">
        <f t="shared" ref="L2021:L2084" si="296">(F2021/4000)+1</f>
        <v>1.1068500000000001</v>
      </c>
      <c r="M2021" s="168">
        <f t="shared" ref="M2021:M2084" si="297">E2021/60</f>
        <v>0</v>
      </c>
      <c r="N2021" s="241" t="s">
        <v>453</v>
      </c>
    </row>
    <row r="2022" spans="1:15" ht="15" customHeight="1">
      <c r="A2022" s="58">
        <v>2021</v>
      </c>
      <c r="B2022" s="61" t="s">
        <v>52</v>
      </c>
      <c r="C2022" s="61" t="s">
        <v>10</v>
      </c>
      <c r="D2022" s="292" t="s">
        <v>3839</v>
      </c>
      <c r="E2022" s="301">
        <v>202</v>
      </c>
      <c r="F2022" s="301">
        <v>0</v>
      </c>
      <c r="G2022" s="168">
        <f t="shared" si="291"/>
        <v>0.4</v>
      </c>
      <c r="H2022" s="168">
        <f t="shared" si="292"/>
        <v>0.8</v>
      </c>
      <c r="I2022" s="168">
        <f t="shared" si="293"/>
        <v>0.6</v>
      </c>
      <c r="J2022" s="168">
        <f t="shared" si="294"/>
        <v>1</v>
      </c>
      <c r="K2022" s="168">
        <f t="shared" si="295"/>
        <v>1</v>
      </c>
      <c r="L2022" s="168">
        <f t="shared" si="296"/>
        <v>1</v>
      </c>
      <c r="M2022" s="168">
        <f t="shared" si="297"/>
        <v>3.3666666666666667</v>
      </c>
      <c r="N2022" s="241" t="s">
        <v>453</v>
      </c>
    </row>
    <row r="2023" spans="1:15" ht="15" customHeight="1">
      <c r="A2023" s="58">
        <v>2022</v>
      </c>
      <c r="B2023" s="61" t="s">
        <v>52</v>
      </c>
      <c r="C2023" s="61" t="s">
        <v>10</v>
      </c>
      <c r="D2023" s="292" t="s">
        <v>3840</v>
      </c>
      <c r="E2023" s="301">
        <v>176</v>
      </c>
      <c r="F2023" s="301">
        <v>0</v>
      </c>
      <c r="G2023" s="168">
        <f t="shared" si="291"/>
        <v>0.4</v>
      </c>
      <c r="H2023" s="168">
        <f t="shared" si="292"/>
        <v>0.8</v>
      </c>
      <c r="I2023" s="168">
        <f t="shared" si="293"/>
        <v>0.6</v>
      </c>
      <c r="J2023" s="168">
        <f t="shared" si="294"/>
        <v>1</v>
      </c>
      <c r="K2023" s="168">
        <f t="shared" si="295"/>
        <v>1</v>
      </c>
      <c r="L2023" s="168">
        <f t="shared" si="296"/>
        <v>1</v>
      </c>
      <c r="M2023" s="168">
        <f t="shared" si="297"/>
        <v>2.9333333333333331</v>
      </c>
      <c r="N2023" s="241" t="s">
        <v>453</v>
      </c>
    </row>
    <row r="2024" spans="1:15" ht="15" customHeight="1">
      <c r="A2024" s="58">
        <v>2023</v>
      </c>
      <c r="B2024" s="61" t="s">
        <v>52</v>
      </c>
      <c r="C2024" s="61" t="s">
        <v>10</v>
      </c>
      <c r="D2024" s="292" t="s">
        <v>3841</v>
      </c>
      <c r="E2024" s="301">
        <v>277</v>
      </c>
      <c r="F2024" s="301">
        <v>0</v>
      </c>
      <c r="G2024" s="168">
        <f t="shared" si="291"/>
        <v>0.4</v>
      </c>
      <c r="H2024" s="168">
        <f t="shared" si="292"/>
        <v>0.8</v>
      </c>
      <c r="I2024" s="168">
        <f t="shared" si="293"/>
        <v>0.6</v>
      </c>
      <c r="J2024" s="168">
        <f t="shared" si="294"/>
        <v>1</v>
      </c>
      <c r="K2024" s="168">
        <f t="shared" si="295"/>
        <v>1</v>
      </c>
      <c r="L2024" s="168">
        <f t="shared" si="296"/>
        <v>1</v>
      </c>
      <c r="M2024" s="168">
        <f t="shared" si="297"/>
        <v>4.6166666666666663</v>
      </c>
      <c r="N2024" s="241" t="s">
        <v>453</v>
      </c>
    </row>
    <row r="2025" spans="1:15" ht="15" customHeight="1">
      <c r="A2025" s="58">
        <v>2024</v>
      </c>
      <c r="B2025" s="61" t="s">
        <v>52</v>
      </c>
      <c r="C2025" s="61" t="s">
        <v>10</v>
      </c>
      <c r="D2025" s="292" t="s">
        <v>3842</v>
      </c>
      <c r="E2025" s="301">
        <v>246</v>
      </c>
      <c r="F2025" s="301">
        <v>1200</v>
      </c>
      <c r="G2025" s="168">
        <f t="shared" si="291"/>
        <v>7.2571428571428571</v>
      </c>
      <c r="H2025" s="168">
        <f t="shared" si="292"/>
        <v>14.514285714285714</v>
      </c>
      <c r="I2025" s="168">
        <f t="shared" si="293"/>
        <v>10.885714285714284</v>
      </c>
      <c r="J2025" s="168">
        <f t="shared" si="294"/>
        <v>18.142857142857142</v>
      </c>
      <c r="K2025" s="168">
        <f t="shared" si="295"/>
        <v>18.142857142857142</v>
      </c>
      <c r="L2025" s="168">
        <f t="shared" si="296"/>
        <v>1.3</v>
      </c>
      <c r="M2025" s="168">
        <f t="shared" si="297"/>
        <v>4.0999999999999996</v>
      </c>
      <c r="N2025" s="241" t="s">
        <v>453</v>
      </c>
    </row>
    <row r="2026" spans="1:15" ht="15" customHeight="1">
      <c r="A2026" s="58">
        <v>2025</v>
      </c>
      <c r="B2026" s="61" t="s">
        <v>52</v>
      </c>
      <c r="C2026" s="61" t="s">
        <v>10</v>
      </c>
      <c r="D2026" s="292" t="s">
        <v>3843</v>
      </c>
      <c r="E2026" s="301">
        <v>0</v>
      </c>
      <c r="F2026" s="301">
        <v>646</v>
      </c>
      <c r="G2026" s="168">
        <f t="shared" si="291"/>
        <v>4.0914285714285716</v>
      </c>
      <c r="H2026" s="168">
        <f t="shared" si="292"/>
        <v>8.1828571428571433</v>
      </c>
      <c r="I2026" s="168">
        <f t="shared" si="293"/>
        <v>6.1371428571428561</v>
      </c>
      <c r="J2026" s="168">
        <f t="shared" si="294"/>
        <v>10.228571428571428</v>
      </c>
      <c r="K2026" s="168">
        <f t="shared" si="295"/>
        <v>10.228571428571428</v>
      </c>
      <c r="L2026" s="168">
        <f t="shared" si="296"/>
        <v>1.1615</v>
      </c>
      <c r="M2026" s="168">
        <f t="shared" si="297"/>
        <v>0</v>
      </c>
      <c r="N2026" s="241" t="s">
        <v>453</v>
      </c>
    </row>
    <row r="2027" spans="1:15" ht="15" customHeight="1">
      <c r="A2027" s="58">
        <v>2026</v>
      </c>
      <c r="B2027" s="61" t="s">
        <v>52</v>
      </c>
      <c r="C2027" s="61" t="s">
        <v>10</v>
      </c>
      <c r="D2027" s="292" t="s">
        <v>3844</v>
      </c>
      <c r="E2027" s="301">
        <v>0</v>
      </c>
      <c r="F2027" s="301">
        <v>302</v>
      </c>
      <c r="G2027" s="168">
        <f t="shared" si="291"/>
        <v>2.1257142857142859</v>
      </c>
      <c r="H2027" s="168">
        <f t="shared" si="292"/>
        <v>4.2514285714285718</v>
      </c>
      <c r="I2027" s="168">
        <f t="shared" si="293"/>
        <v>3.1885714285714282</v>
      </c>
      <c r="J2027" s="168">
        <f t="shared" si="294"/>
        <v>5.3142857142857141</v>
      </c>
      <c r="K2027" s="168">
        <f t="shared" si="295"/>
        <v>5.3142857142857141</v>
      </c>
      <c r="L2027" s="168">
        <f t="shared" si="296"/>
        <v>1.0754999999999999</v>
      </c>
      <c r="M2027" s="168">
        <f t="shared" si="297"/>
        <v>0</v>
      </c>
      <c r="N2027" s="241" t="s">
        <v>453</v>
      </c>
    </row>
    <row r="2028" spans="1:15" ht="15" customHeight="1">
      <c r="A2028" s="58">
        <v>2027</v>
      </c>
      <c r="B2028" s="61" t="s">
        <v>52</v>
      </c>
      <c r="C2028" s="61" t="s">
        <v>10</v>
      </c>
      <c r="D2028" s="292" t="s">
        <v>3845</v>
      </c>
      <c r="E2028" s="301">
        <v>0</v>
      </c>
      <c r="F2028" s="301">
        <v>0</v>
      </c>
      <c r="G2028" s="168">
        <f t="shared" si="291"/>
        <v>0.4</v>
      </c>
      <c r="H2028" s="168">
        <f t="shared" si="292"/>
        <v>0.8</v>
      </c>
      <c r="I2028" s="168">
        <f t="shared" si="293"/>
        <v>0.6</v>
      </c>
      <c r="J2028" s="168">
        <f t="shared" si="294"/>
        <v>1</v>
      </c>
      <c r="K2028" s="168">
        <f t="shared" si="295"/>
        <v>1</v>
      </c>
      <c r="L2028" s="168">
        <f t="shared" si="296"/>
        <v>1</v>
      </c>
      <c r="M2028" s="168">
        <f t="shared" si="297"/>
        <v>0</v>
      </c>
      <c r="N2028" s="241" t="s">
        <v>453</v>
      </c>
    </row>
    <row r="2029" spans="1:15" ht="15" customHeight="1">
      <c r="A2029" s="58">
        <v>2028</v>
      </c>
      <c r="B2029" s="61" t="s">
        <v>52</v>
      </c>
      <c r="C2029" s="61" t="s">
        <v>10</v>
      </c>
      <c r="D2029" s="292" t="s">
        <v>3846</v>
      </c>
      <c r="E2029" s="301">
        <v>0</v>
      </c>
      <c r="F2029" s="301">
        <v>0</v>
      </c>
      <c r="G2029" s="168">
        <f t="shared" si="291"/>
        <v>0.4</v>
      </c>
      <c r="H2029" s="168">
        <f t="shared" si="292"/>
        <v>0.8</v>
      </c>
      <c r="I2029" s="168">
        <f t="shared" si="293"/>
        <v>0.6</v>
      </c>
      <c r="J2029" s="168">
        <f t="shared" si="294"/>
        <v>1</v>
      </c>
      <c r="K2029" s="168">
        <f t="shared" si="295"/>
        <v>1</v>
      </c>
      <c r="L2029" s="168">
        <f t="shared" si="296"/>
        <v>1</v>
      </c>
      <c r="M2029" s="168">
        <f t="shared" si="297"/>
        <v>0</v>
      </c>
      <c r="N2029" s="241" t="s">
        <v>453</v>
      </c>
    </row>
    <row r="2030" spans="1:15" ht="15" customHeight="1">
      <c r="A2030" s="58">
        <v>2029</v>
      </c>
      <c r="B2030" s="61" t="s">
        <v>52</v>
      </c>
      <c r="C2030" s="61" t="s">
        <v>10</v>
      </c>
      <c r="D2030" s="292" t="s">
        <v>3847</v>
      </c>
      <c r="E2030" s="301">
        <v>78</v>
      </c>
      <c r="F2030" s="301">
        <v>704</v>
      </c>
      <c r="G2030" s="168">
        <f t="shared" si="291"/>
        <v>4.4228571428571426</v>
      </c>
      <c r="H2030" s="168">
        <f t="shared" si="292"/>
        <v>8.8457142857142852</v>
      </c>
      <c r="I2030" s="168">
        <f t="shared" si="293"/>
        <v>6.6342857142857143</v>
      </c>
      <c r="J2030" s="168">
        <f t="shared" si="294"/>
        <v>11.057142857142857</v>
      </c>
      <c r="K2030" s="168">
        <f t="shared" si="295"/>
        <v>11.057142857142857</v>
      </c>
      <c r="L2030" s="168">
        <f t="shared" si="296"/>
        <v>1.1759999999999999</v>
      </c>
      <c r="M2030" s="168">
        <f t="shared" si="297"/>
        <v>1.3</v>
      </c>
      <c r="N2030" s="241" t="s">
        <v>453</v>
      </c>
    </row>
    <row r="2031" spans="1:15" ht="15" customHeight="1">
      <c r="A2031" s="58">
        <v>2030</v>
      </c>
      <c r="B2031" s="61" t="s">
        <v>52</v>
      </c>
      <c r="C2031" s="61" t="s">
        <v>10</v>
      </c>
      <c r="D2031" s="292" t="s">
        <v>3848</v>
      </c>
      <c r="E2031" s="301">
        <v>78</v>
      </c>
      <c r="F2031" s="301">
        <v>402</v>
      </c>
      <c r="G2031" s="168">
        <f t="shared" si="291"/>
        <v>2.6971428571428575</v>
      </c>
      <c r="H2031" s="168">
        <f t="shared" si="292"/>
        <v>5.394285714285715</v>
      </c>
      <c r="I2031" s="168">
        <f t="shared" si="293"/>
        <v>4.0457142857142854</v>
      </c>
      <c r="J2031" s="168">
        <f t="shared" si="294"/>
        <v>6.7428571428571429</v>
      </c>
      <c r="K2031" s="168">
        <f t="shared" si="295"/>
        <v>6.7428571428571429</v>
      </c>
      <c r="L2031" s="168">
        <f t="shared" si="296"/>
        <v>1.1005</v>
      </c>
      <c r="M2031" s="168">
        <f t="shared" si="297"/>
        <v>1.3</v>
      </c>
      <c r="N2031" s="241" t="s">
        <v>453</v>
      </c>
    </row>
    <row r="2032" spans="1:15" ht="15" customHeight="1">
      <c r="A2032" s="58">
        <v>2031</v>
      </c>
      <c r="B2032" s="61" t="s">
        <v>52</v>
      </c>
      <c r="C2032" s="61" t="s">
        <v>10</v>
      </c>
      <c r="D2032" s="292" t="s">
        <v>3849</v>
      </c>
      <c r="E2032" s="301">
        <v>594</v>
      </c>
      <c r="F2032" s="301">
        <v>0</v>
      </c>
      <c r="G2032" s="168">
        <f t="shared" si="291"/>
        <v>0.4</v>
      </c>
      <c r="H2032" s="168">
        <f t="shared" si="292"/>
        <v>0.8</v>
      </c>
      <c r="I2032" s="168">
        <f t="shared" si="293"/>
        <v>0.6</v>
      </c>
      <c r="J2032" s="168">
        <f t="shared" si="294"/>
        <v>1</v>
      </c>
      <c r="K2032" s="168">
        <f t="shared" si="295"/>
        <v>1</v>
      </c>
      <c r="L2032" s="168">
        <f t="shared" si="296"/>
        <v>1</v>
      </c>
      <c r="M2032" s="168">
        <f t="shared" si="297"/>
        <v>9.9</v>
      </c>
      <c r="N2032" s="241" t="s">
        <v>453</v>
      </c>
    </row>
    <row r="2033" spans="1:14" ht="15" customHeight="1">
      <c r="A2033" s="58">
        <v>2032</v>
      </c>
      <c r="B2033" s="61" t="s">
        <v>52</v>
      </c>
      <c r="C2033" s="61" t="s">
        <v>10</v>
      </c>
      <c r="D2033" s="292" t="s">
        <v>3850</v>
      </c>
      <c r="E2033" s="301">
        <v>0</v>
      </c>
      <c r="F2033" s="301">
        <v>0</v>
      </c>
      <c r="G2033" s="168">
        <f t="shared" si="291"/>
        <v>0.4</v>
      </c>
      <c r="H2033" s="168">
        <f t="shared" si="292"/>
        <v>0.8</v>
      </c>
      <c r="I2033" s="168">
        <f t="shared" si="293"/>
        <v>0.6</v>
      </c>
      <c r="J2033" s="168">
        <f t="shared" si="294"/>
        <v>1</v>
      </c>
      <c r="K2033" s="168">
        <f t="shared" si="295"/>
        <v>1</v>
      </c>
      <c r="L2033" s="168">
        <f t="shared" si="296"/>
        <v>1</v>
      </c>
      <c r="M2033" s="168">
        <f t="shared" si="297"/>
        <v>0</v>
      </c>
      <c r="N2033" s="241" t="s">
        <v>453</v>
      </c>
    </row>
    <row r="2034" spans="1:14" ht="15" customHeight="1">
      <c r="A2034" s="58">
        <v>2033</v>
      </c>
      <c r="B2034" s="61" t="s">
        <v>52</v>
      </c>
      <c r="C2034" s="61" t="s">
        <v>10</v>
      </c>
      <c r="D2034" s="292" t="s">
        <v>3851</v>
      </c>
      <c r="E2034" s="301">
        <v>264</v>
      </c>
      <c r="F2034" s="301">
        <v>784</v>
      </c>
      <c r="G2034" s="168">
        <f t="shared" si="291"/>
        <v>4.88</v>
      </c>
      <c r="H2034" s="168">
        <f t="shared" si="292"/>
        <v>9.76</v>
      </c>
      <c r="I2034" s="168">
        <f t="shared" si="293"/>
        <v>7.3199999999999994</v>
      </c>
      <c r="J2034" s="168">
        <f t="shared" si="294"/>
        <v>12.2</v>
      </c>
      <c r="K2034" s="168">
        <f t="shared" si="295"/>
        <v>12.2</v>
      </c>
      <c r="L2034" s="168">
        <f t="shared" si="296"/>
        <v>1.196</v>
      </c>
      <c r="M2034" s="168">
        <f t="shared" si="297"/>
        <v>4.4000000000000004</v>
      </c>
      <c r="N2034" s="241" t="s">
        <v>453</v>
      </c>
    </row>
    <row r="2035" spans="1:14" ht="15" customHeight="1">
      <c r="A2035" s="58">
        <v>2034</v>
      </c>
      <c r="B2035" s="61" t="s">
        <v>52</v>
      </c>
      <c r="C2035" s="61" t="s">
        <v>10</v>
      </c>
      <c r="D2035" s="292" t="s">
        <v>3852</v>
      </c>
      <c r="E2035" s="301">
        <v>224</v>
      </c>
      <c r="F2035" s="301">
        <v>478</v>
      </c>
      <c r="G2035" s="168">
        <f t="shared" si="291"/>
        <v>3.1314285714285717</v>
      </c>
      <c r="H2035" s="168">
        <f t="shared" si="292"/>
        <v>6.2628571428571433</v>
      </c>
      <c r="I2035" s="168">
        <f t="shared" si="293"/>
        <v>4.6971428571428566</v>
      </c>
      <c r="J2035" s="168">
        <f t="shared" si="294"/>
        <v>7.8285714285714283</v>
      </c>
      <c r="K2035" s="168">
        <f t="shared" si="295"/>
        <v>7.8285714285714283</v>
      </c>
      <c r="L2035" s="168">
        <f t="shared" si="296"/>
        <v>1.1194999999999999</v>
      </c>
      <c r="M2035" s="168">
        <f t="shared" si="297"/>
        <v>3.7333333333333334</v>
      </c>
      <c r="N2035" s="241" t="s">
        <v>453</v>
      </c>
    </row>
    <row r="2036" spans="1:14" ht="15" customHeight="1">
      <c r="A2036" s="58">
        <v>2035</v>
      </c>
      <c r="B2036" s="61" t="s">
        <v>52</v>
      </c>
      <c r="C2036" s="61" t="s">
        <v>10</v>
      </c>
      <c r="D2036" s="304" t="s">
        <v>4385</v>
      </c>
      <c r="E2036" s="301">
        <v>3800</v>
      </c>
      <c r="F2036" s="301">
        <v>1100</v>
      </c>
      <c r="G2036" s="168">
        <f t="shared" si="291"/>
        <v>6.6857142857142868</v>
      </c>
      <c r="H2036" s="168">
        <f t="shared" si="292"/>
        <v>13.371428571428574</v>
      </c>
      <c r="I2036" s="168">
        <f t="shared" si="293"/>
        <v>10.028571428571428</v>
      </c>
      <c r="J2036" s="168">
        <f t="shared" si="294"/>
        <v>16.714285714285715</v>
      </c>
      <c r="K2036" s="168">
        <f t="shared" si="295"/>
        <v>16.714285714285715</v>
      </c>
      <c r="L2036" s="168">
        <f t="shared" si="296"/>
        <v>1.2749999999999999</v>
      </c>
      <c r="M2036" s="168">
        <f t="shared" si="297"/>
        <v>63.333333333333336</v>
      </c>
      <c r="N2036" s="241" t="s">
        <v>453</v>
      </c>
    </row>
    <row r="2037" spans="1:14" ht="15" customHeight="1">
      <c r="A2037" s="58">
        <v>2036</v>
      </c>
      <c r="B2037" s="61" t="s">
        <v>52</v>
      </c>
      <c r="C2037" s="61" t="s">
        <v>10</v>
      </c>
      <c r="D2037" s="292" t="s">
        <v>3853</v>
      </c>
      <c r="E2037" s="301">
        <v>0</v>
      </c>
      <c r="F2037" s="301">
        <v>600</v>
      </c>
      <c r="G2037" s="168">
        <f t="shared" si="291"/>
        <v>3.8285714285714287</v>
      </c>
      <c r="H2037" s="168">
        <f t="shared" si="292"/>
        <v>7.6571428571428575</v>
      </c>
      <c r="I2037" s="168">
        <f t="shared" si="293"/>
        <v>5.7428571428571429</v>
      </c>
      <c r="J2037" s="168">
        <f t="shared" si="294"/>
        <v>9.5714285714285712</v>
      </c>
      <c r="K2037" s="168">
        <f t="shared" si="295"/>
        <v>9.5714285714285712</v>
      </c>
      <c r="L2037" s="168">
        <f t="shared" si="296"/>
        <v>1.1499999999999999</v>
      </c>
      <c r="M2037" s="168">
        <f t="shared" si="297"/>
        <v>0</v>
      </c>
      <c r="N2037" s="241" t="s">
        <v>453</v>
      </c>
    </row>
    <row r="2038" spans="1:14" ht="15" customHeight="1">
      <c r="A2038" s="58">
        <v>2037</v>
      </c>
      <c r="B2038" s="61" t="s">
        <v>52</v>
      </c>
      <c r="C2038" s="61" t="s">
        <v>10</v>
      </c>
      <c r="D2038" s="292" t="s">
        <v>3854</v>
      </c>
      <c r="E2038" s="301">
        <v>0</v>
      </c>
      <c r="F2038" s="301">
        <v>150</v>
      </c>
      <c r="G2038" s="168">
        <f t="shared" si="291"/>
        <v>1.2571428571428571</v>
      </c>
      <c r="H2038" s="168">
        <f t="shared" si="292"/>
        <v>2.5142857142857142</v>
      </c>
      <c r="I2038" s="168">
        <f t="shared" si="293"/>
        <v>1.8857142857142857</v>
      </c>
      <c r="J2038" s="168">
        <f t="shared" si="294"/>
        <v>3.1428571428571428</v>
      </c>
      <c r="K2038" s="168">
        <f t="shared" si="295"/>
        <v>3.1428571428571428</v>
      </c>
      <c r="L2038" s="168">
        <f t="shared" si="296"/>
        <v>1.0375000000000001</v>
      </c>
      <c r="M2038" s="168">
        <f t="shared" si="297"/>
        <v>0</v>
      </c>
      <c r="N2038" s="241" t="s">
        <v>453</v>
      </c>
    </row>
    <row r="2039" spans="1:14" ht="15" customHeight="1">
      <c r="A2039" s="58">
        <v>2038</v>
      </c>
      <c r="B2039" s="61" t="s">
        <v>52</v>
      </c>
      <c r="C2039" s="61" t="s">
        <v>10</v>
      </c>
      <c r="D2039" s="292" t="s">
        <v>3855</v>
      </c>
      <c r="E2039" s="301">
        <v>65</v>
      </c>
      <c r="F2039" s="301">
        <v>350</v>
      </c>
      <c r="G2039" s="168">
        <f t="shared" si="291"/>
        <v>2.4000000000000004</v>
      </c>
      <c r="H2039" s="168">
        <f t="shared" si="292"/>
        <v>4.8000000000000007</v>
      </c>
      <c r="I2039" s="168">
        <f t="shared" si="293"/>
        <v>3.5999999999999996</v>
      </c>
      <c r="J2039" s="168">
        <f t="shared" si="294"/>
        <v>6</v>
      </c>
      <c r="K2039" s="168">
        <f t="shared" si="295"/>
        <v>6</v>
      </c>
      <c r="L2039" s="168">
        <f t="shared" si="296"/>
        <v>1.0874999999999999</v>
      </c>
      <c r="M2039" s="168">
        <f t="shared" si="297"/>
        <v>1.0833333333333333</v>
      </c>
      <c r="N2039" s="241" t="s">
        <v>453</v>
      </c>
    </row>
    <row r="2040" spans="1:14" ht="15" customHeight="1">
      <c r="A2040" s="58">
        <v>2039</v>
      </c>
      <c r="B2040" s="61" t="s">
        <v>52</v>
      </c>
      <c r="C2040" s="61" t="s">
        <v>10</v>
      </c>
      <c r="D2040" s="292" t="s">
        <v>3856</v>
      </c>
      <c r="E2040" s="301">
        <v>0</v>
      </c>
      <c r="F2040" s="301">
        <v>444</v>
      </c>
      <c r="G2040" s="168">
        <f t="shared" si="291"/>
        <v>2.9371428571428573</v>
      </c>
      <c r="H2040" s="168">
        <f t="shared" si="292"/>
        <v>5.8742857142857146</v>
      </c>
      <c r="I2040" s="168">
        <f t="shared" si="293"/>
        <v>4.4057142857142857</v>
      </c>
      <c r="J2040" s="168">
        <f t="shared" si="294"/>
        <v>7.3428571428571434</v>
      </c>
      <c r="K2040" s="168">
        <f t="shared" si="295"/>
        <v>7.3428571428571434</v>
      </c>
      <c r="L2040" s="168">
        <f t="shared" si="296"/>
        <v>1.111</v>
      </c>
      <c r="M2040" s="168">
        <f t="shared" si="297"/>
        <v>0</v>
      </c>
      <c r="N2040" s="241" t="s">
        <v>453</v>
      </c>
    </row>
    <row r="2041" spans="1:14" ht="15" customHeight="1">
      <c r="A2041" s="58">
        <v>2040</v>
      </c>
      <c r="B2041" s="61" t="s">
        <v>52</v>
      </c>
      <c r="C2041" s="61" t="s">
        <v>10</v>
      </c>
      <c r="D2041" s="293" t="s">
        <v>3857</v>
      </c>
      <c r="E2041" s="301">
        <v>0</v>
      </c>
      <c r="F2041" s="301">
        <v>1800</v>
      </c>
      <c r="G2041" s="168">
        <f t="shared" si="291"/>
        <v>10.685714285714287</v>
      </c>
      <c r="H2041" s="168">
        <f t="shared" si="292"/>
        <v>21.371428571428574</v>
      </c>
      <c r="I2041" s="168">
        <f t="shared" si="293"/>
        <v>16.028571428571428</v>
      </c>
      <c r="J2041" s="168">
        <f t="shared" si="294"/>
        <v>26.714285714285715</v>
      </c>
      <c r="K2041" s="168">
        <f t="shared" si="295"/>
        <v>26.714285714285715</v>
      </c>
      <c r="L2041" s="168">
        <f t="shared" si="296"/>
        <v>1.45</v>
      </c>
      <c r="M2041" s="168">
        <f t="shared" si="297"/>
        <v>0</v>
      </c>
      <c r="N2041" s="241" t="s">
        <v>453</v>
      </c>
    </row>
    <row r="2042" spans="1:14" ht="15" customHeight="1">
      <c r="A2042" s="58">
        <v>2041</v>
      </c>
      <c r="B2042" s="61" t="s">
        <v>52</v>
      </c>
      <c r="C2042" s="61" t="s">
        <v>10</v>
      </c>
      <c r="D2042" s="292" t="s">
        <v>3858</v>
      </c>
      <c r="E2042" s="301">
        <v>0</v>
      </c>
      <c r="F2042" s="301">
        <v>834</v>
      </c>
      <c r="G2042" s="168">
        <f t="shared" si="291"/>
        <v>5.1657142857142864</v>
      </c>
      <c r="H2042" s="168">
        <f t="shared" si="292"/>
        <v>10.331428571428573</v>
      </c>
      <c r="I2042" s="168">
        <f t="shared" si="293"/>
        <v>7.7485714285714282</v>
      </c>
      <c r="J2042" s="168">
        <f t="shared" si="294"/>
        <v>12.914285714285715</v>
      </c>
      <c r="K2042" s="168">
        <f t="shared" si="295"/>
        <v>12.914285714285715</v>
      </c>
      <c r="L2042" s="168">
        <f t="shared" si="296"/>
        <v>1.2084999999999999</v>
      </c>
      <c r="M2042" s="168">
        <f t="shared" si="297"/>
        <v>0</v>
      </c>
      <c r="N2042" s="241" t="s">
        <v>453</v>
      </c>
    </row>
    <row r="2043" spans="1:14" ht="15" customHeight="1">
      <c r="A2043" s="58">
        <v>2042</v>
      </c>
      <c r="B2043" s="61" t="s">
        <v>52</v>
      </c>
      <c r="C2043" s="61" t="s">
        <v>10</v>
      </c>
      <c r="D2043" s="292" t="s">
        <v>3859</v>
      </c>
      <c r="E2043" s="301">
        <v>207</v>
      </c>
      <c r="F2043" s="301">
        <v>0</v>
      </c>
      <c r="G2043" s="168">
        <f t="shared" si="291"/>
        <v>0.4</v>
      </c>
      <c r="H2043" s="168">
        <f t="shared" si="292"/>
        <v>0.8</v>
      </c>
      <c r="I2043" s="168">
        <f t="shared" si="293"/>
        <v>0.6</v>
      </c>
      <c r="J2043" s="168">
        <f t="shared" si="294"/>
        <v>1</v>
      </c>
      <c r="K2043" s="168">
        <f t="shared" si="295"/>
        <v>1</v>
      </c>
      <c r="L2043" s="168">
        <f t="shared" si="296"/>
        <v>1</v>
      </c>
      <c r="M2043" s="168">
        <f t="shared" si="297"/>
        <v>3.45</v>
      </c>
      <c r="N2043" s="241" t="s">
        <v>453</v>
      </c>
    </row>
    <row r="2044" spans="1:14" ht="15" customHeight="1">
      <c r="A2044" s="58">
        <v>2043</v>
      </c>
      <c r="B2044" s="61" t="s">
        <v>52</v>
      </c>
      <c r="C2044" s="61" t="s">
        <v>10</v>
      </c>
      <c r="D2044" s="292" t="s">
        <v>3860</v>
      </c>
      <c r="E2044" s="301">
        <v>0</v>
      </c>
      <c r="F2044" s="301">
        <v>684</v>
      </c>
      <c r="G2044" s="168">
        <f t="shared" si="291"/>
        <v>4.3085714285714287</v>
      </c>
      <c r="H2044" s="168">
        <f t="shared" si="292"/>
        <v>8.6171428571428574</v>
      </c>
      <c r="I2044" s="168">
        <f t="shared" si="293"/>
        <v>6.4628571428571435</v>
      </c>
      <c r="J2044" s="168">
        <f t="shared" si="294"/>
        <v>10.771428571428572</v>
      </c>
      <c r="K2044" s="168">
        <f t="shared" si="295"/>
        <v>10.771428571428572</v>
      </c>
      <c r="L2044" s="168">
        <f t="shared" si="296"/>
        <v>1.171</v>
      </c>
      <c r="M2044" s="168">
        <f t="shared" si="297"/>
        <v>0</v>
      </c>
      <c r="N2044" s="241" t="s">
        <v>453</v>
      </c>
    </row>
    <row r="2045" spans="1:14" ht="15" customHeight="1">
      <c r="A2045" s="58">
        <v>2044</v>
      </c>
      <c r="B2045" s="61" t="s">
        <v>52</v>
      </c>
      <c r="C2045" s="61" t="s">
        <v>10</v>
      </c>
      <c r="D2045" s="294" t="s">
        <v>3861</v>
      </c>
      <c r="E2045" s="301">
        <v>0</v>
      </c>
      <c r="F2045" s="301">
        <v>1600</v>
      </c>
      <c r="G2045" s="168">
        <f t="shared" si="291"/>
        <v>9.5428571428571427</v>
      </c>
      <c r="H2045" s="168">
        <f t="shared" si="292"/>
        <v>19.085714285714285</v>
      </c>
      <c r="I2045" s="168">
        <f t="shared" si="293"/>
        <v>14.314285714285715</v>
      </c>
      <c r="J2045" s="168">
        <f t="shared" si="294"/>
        <v>23.857142857142858</v>
      </c>
      <c r="K2045" s="168">
        <f t="shared" si="295"/>
        <v>23.857142857142858</v>
      </c>
      <c r="L2045" s="168">
        <f t="shared" si="296"/>
        <v>1.4</v>
      </c>
      <c r="M2045" s="168">
        <f t="shared" si="297"/>
        <v>0</v>
      </c>
      <c r="N2045" s="241" t="s">
        <v>453</v>
      </c>
    </row>
    <row r="2046" spans="1:14" ht="15" customHeight="1">
      <c r="A2046" s="58">
        <v>2045</v>
      </c>
      <c r="B2046" s="61" t="s">
        <v>52</v>
      </c>
      <c r="C2046" s="61" t="s">
        <v>10</v>
      </c>
      <c r="D2046" s="292" t="s">
        <v>3862</v>
      </c>
      <c r="E2046" s="301">
        <v>150</v>
      </c>
      <c r="F2046" s="301">
        <v>0</v>
      </c>
      <c r="G2046" s="168">
        <f t="shared" si="291"/>
        <v>0.4</v>
      </c>
      <c r="H2046" s="168">
        <f t="shared" si="292"/>
        <v>0.8</v>
      </c>
      <c r="I2046" s="168">
        <f t="shared" si="293"/>
        <v>0.6</v>
      </c>
      <c r="J2046" s="168">
        <f t="shared" si="294"/>
        <v>1</v>
      </c>
      <c r="K2046" s="168">
        <f t="shared" si="295"/>
        <v>1</v>
      </c>
      <c r="L2046" s="168">
        <f t="shared" si="296"/>
        <v>1</v>
      </c>
      <c r="M2046" s="168">
        <f t="shared" si="297"/>
        <v>2.5</v>
      </c>
      <c r="N2046" s="241" t="s">
        <v>453</v>
      </c>
    </row>
    <row r="2047" spans="1:14" ht="15" customHeight="1">
      <c r="A2047" s="58">
        <v>2046</v>
      </c>
      <c r="B2047" s="61" t="s">
        <v>52</v>
      </c>
      <c r="C2047" s="61" t="s">
        <v>10</v>
      </c>
      <c r="D2047" s="294" t="s">
        <v>3863</v>
      </c>
      <c r="E2047" s="301">
        <v>0</v>
      </c>
      <c r="F2047" s="301">
        <v>1600</v>
      </c>
      <c r="G2047" s="168">
        <f t="shared" si="291"/>
        <v>9.5428571428571427</v>
      </c>
      <c r="H2047" s="168">
        <f t="shared" si="292"/>
        <v>19.085714285714285</v>
      </c>
      <c r="I2047" s="168">
        <f t="shared" si="293"/>
        <v>14.314285714285715</v>
      </c>
      <c r="J2047" s="168">
        <f t="shared" si="294"/>
        <v>23.857142857142858</v>
      </c>
      <c r="K2047" s="168">
        <f t="shared" si="295"/>
        <v>23.857142857142858</v>
      </c>
      <c r="L2047" s="168">
        <f t="shared" si="296"/>
        <v>1.4</v>
      </c>
      <c r="M2047" s="168">
        <f t="shared" si="297"/>
        <v>0</v>
      </c>
      <c r="N2047" s="241" t="s">
        <v>453</v>
      </c>
    </row>
    <row r="2048" spans="1:14" ht="15" customHeight="1">
      <c r="A2048" s="58">
        <v>2047</v>
      </c>
      <c r="B2048" s="61" t="s">
        <v>59</v>
      </c>
      <c r="C2048" s="61" t="s">
        <v>11</v>
      </c>
      <c r="D2048" s="292" t="s">
        <v>3864</v>
      </c>
      <c r="E2048" s="301">
        <v>0</v>
      </c>
      <c r="F2048" s="301">
        <v>485</v>
      </c>
      <c r="G2048" s="168">
        <f t="shared" si="291"/>
        <v>3.1714285714285717</v>
      </c>
      <c r="H2048" s="168">
        <f t="shared" si="292"/>
        <v>6.3428571428571434</v>
      </c>
      <c r="I2048" s="168">
        <f t="shared" si="293"/>
        <v>4.7571428571428571</v>
      </c>
      <c r="J2048" s="168">
        <f t="shared" si="294"/>
        <v>7.9285714285714288</v>
      </c>
      <c r="K2048" s="168">
        <f t="shared" si="295"/>
        <v>7.9285714285714288</v>
      </c>
      <c r="L2048" s="168">
        <f t="shared" si="296"/>
        <v>1.1212500000000001</v>
      </c>
      <c r="M2048" s="168">
        <f t="shared" si="297"/>
        <v>0</v>
      </c>
      <c r="N2048" s="241" t="s">
        <v>453</v>
      </c>
    </row>
    <row r="2049" spans="1:14" ht="15" customHeight="1">
      <c r="A2049" s="58">
        <v>2048</v>
      </c>
      <c r="B2049" s="61" t="s">
        <v>59</v>
      </c>
      <c r="C2049" s="61" t="s">
        <v>11</v>
      </c>
      <c r="D2049" s="292" t="s">
        <v>3865</v>
      </c>
      <c r="E2049" s="301">
        <v>0</v>
      </c>
      <c r="F2049" s="301">
        <v>150</v>
      </c>
      <c r="G2049" s="168">
        <f t="shared" si="291"/>
        <v>1.2571428571428571</v>
      </c>
      <c r="H2049" s="168">
        <f t="shared" si="292"/>
        <v>2.5142857142857142</v>
      </c>
      <c r="I2049" s="168">
        <f t="shared" si="293"/>
        <v>1.8857142857142857</v>
      </c>
      <c r="J2049" s="168">
        <f t="shared" si="294"/>
        <v>3.1428571428571428</v>
      </c>
      <c r="K2049" s="168">
        <f t="shared" si="295"/>
        <v>3.1428571428571428</v>
      </c>
      <c r="L2049" s="168">
        <f t="shared" si="296"/>
        <v>1.0375000000000001</v>
      </c>
      <c r="M2049" s="168">
        <f t="shared" si="297"/>
        <v>0</v>
      </c>
      <c r="N2049" s="241" t="s">
        <v>453</v>
      </c>
    </row>
    <row r="2050" spans="1:14" ht="15" customHeight="1">
      <c r="A2050" s="58">
        <v>2049</v>
      </c>
      <c r="B2050" s="61" t="s">
        <v>59</v>
      </c>
      <c r="C2050" s="61" t="s">
        <v>11</v>
      </c>
      <c r="D2050" s="292" t="s">
        <v>3866</v>
      </c>
      <c r="E2050" s="301">
        <v>0</v>
      </c>
      <c r="F2050" s="301">
        <v>0</v>
      </c>
      <c r="G2050" s="168">
        <f t="shared" si="291"/>
        <v>0.4</v>
      </c>
      <c r="H2050" s="168">
        <f t="shared" si="292"/>
        <v>0.8</v>
      </c>
      <c r="I2050" s="168">
        <f t="shared" si="293"/>
        <v>0.6</v>
      </c>
      <c r="J2050" s="168">
        <f t="shared" si="294"/>
        <v>1</v>
      </c>
      <c r="K2050" s="168">
        <f t="shared" si="295"/>
        <v>1</v>
      </c>
      <c r="L2050" s="168">
        <f t="shared" si="296"/>
        <v>1</v>
      </c>
      <c r="M2050" s="168">
        <f t="shared" si="297"/>
        <v>0</v>
      </c>
      <c r="N2050" s="241" t="s">
        <v>453</v>
      </c>
    </row>
    <row r="2051" spans="1:14" ht="15" customHeight="1">
      <c r="A2051" s="58">
        <v>2050</v>
      </c>
      <c r="B2051" s="61" t="s">
        <v>52</v>
      </c>
      <c r="C2051" s="61" t="s">
        <v>10</v>
      </c>
      <c r="D2051" s="292" t="s">
        <v>3867</v>
      </c>
      <c r="E2051" s="301">
        <v>0</v>
      </c>
      <c r="F2051" s="301">
        <v>617</v>
      </c>
      <c r="G2051" s="168">
        <f t="shared" si="291"/>
        <v>3.9257142857142862</v>
      </c>
      <c r="H2051" s="168">
        <f t="shared" si="292"/>
        <v>7.8514285714285723</v>
      </c>
      <c r="I2051" s="168">
        <f t="shared" si="293"/>
        <v>5.8885714285714288</v>
      </c>
      <c r="J2051" s="168">
        <f t="shared" si="294"/>
        <v>9.8142857142857149</v>
      </c>
      <c r="K2051" s="168">
        <f t="shared" si="295"/>
        <v>9.8142857142857149</v>
      </c>
      <c r="L2051" s="168">
        <f t="shared" si="296"/>
        <v>1.15425</v>
      </c>
      <c r="M2051" s="168">
        <f t="shared" si="297"/>
        <v>0</v>
      </c>
      <c r="N2051" s="241" t="s">
        <v>453</v>
      </c>
    </row>
    <row r="2052" spans="1:14" ht="15" customHeight="1">
      <c r="A2052" s="58">
        <v>2051</v>
      </c>
      <c r="B2052" s="61" t="s">
        <v>59</v>
      </c>
      <c r="C2052" s="61" t="s">
        <v>11</v>
      </c>
      <c r="D2052" s="292" t="s">
        <v>3868</v>
      </c>
      <c r="E2052" s="301">
        <v>0</v>
      </c>
      <c r="F2052" s="301">
        <v>340</v>
      </c>
      <c r="G2052" s="168">
        <f t="shared" si="291"/>
        <v>2.342857142857143</v>
      </c>
      <c r="H2052" s="168">
        <f t="shared" si="292"/>
        <v>4.6857142857142859</v>
      </c>
      <c r="I2052" s="168">
        <f t="shared" si="293"/>
        <v>3.5142857142857138</v>
      </c>
      <c r="J2052" s="168">
        <f t="shared" si="294"/>
        <v>5.8571428571428568</v>
      </c>
      <c r="K2052" s="168">
        <f t="shared" si="295"/>
        <v>5.8571428571428568</v>
      </c>
      <c r="L2052" s="168">
        <f t="shared" si="296"/>
        <v>1.085</v>
      </c>
      <c r="M2052" s="168">
        <f t="shared" si="297"/>
        <v>0</v>
      </c>
      <c r="N2052" s="241" t="s">
        <v>453</v>
      </c>
    </row>
    <row r="2053" spans="1:14" ht="15" customHeight="1">
      <c r="A2053" s="58">
        <v>2052</v>
      </c>
      <c r="B2053" s="61" t="s">
        <v>52</v>
      </c>
      <c r="C2053" s="61" t="s">
        <v>10</v>
      </c>
      <c r="D2053" s="292" t="s">
        <v>3869</v>
      </c>
      <c r="E2053" s="301">
        <v>0</v>
      </c>
      <c r="F2053" s="301">
        <v>0</v>
      </c>
      <c r="G2053" s="168">
        <f t="shared" si="291"/>
        <v>0.4</v>
      </c>
      <c r="H2053" s="168">
        <f t="shared" si="292"/>
        <v>0.8</v>
      </c>
      <c r="I2053" s="168">
        <f t="shared" si="293"/>
        <v>0.6</v>
      </c>
      <c r="J2053" s="168">
        <f t="shared" si="294"/>
        <v>1</v>
      </c>
      <c r="K2053" s="168">
        <f t="shared" si="295"/>
        <v>1</v>
      </c>
      <c r="L2053" s="168">
        <f t="shared" si="296"/>
        <v>1</v>
      </c>
      <c r="M2053" s="168">
        <f t="shared" si="297"/>
        <v>0</v>
      </c>
      <c r="N2053" s="241" t="s">
        <v>453</v>
      </c>
    </row>
    <row r="2054" spans="1:14" ht="15" customHeight="1">
      <c r="A2054" s="58">
        <v>2053</v>
      </c>
      <c r="B2054" s="61" t="s">
        <v>52</v>
      </c>
      <c r="C2054" s="61" t="s">
        <v>10</v>
      </c>
      <c r="D2054" s="292" t="s">
        <v>3870</v>
      </c>
      <c r="E2054" s="301">
        <v>0</v>
      </c>
      <c r="F2054" s="301">
        <v>0</v>
      </c>
      <c r="G2054" s="168">
        <f t="shared" si="291"/>
        <v>0.4</v>
      </c>
      <c r="H2054" s="168">
        <f t="shared" si="292"/>
        <v>0.8</v>
      </c>
      <c r="I2054" s="168">
        <f t="shared" si="293"/>
        <v>0.6</v>
      </c>
      <c r="J2054" s="168">
        <f t="shared" si="294"/>
        <v>1</v>
      </c>
      <c r="K2054" s="168">
        <f t="shared" si="295"/>
        <v>1</v>
      </c>
      <c r="L2054" s="168">
        <f t="shared" si="296"/>
        <v>1</v>
      </c>
      <c r="M2054" s="168">
        <f t="shared" si="297"/>
        <v>0</v>
      </c>
      <c r="N2054" s="241" t="s">
        <v>453</v>
      </c>
    </row>
    <row r="2055" spans="1:14" ht="15" customHeight="1">
      <c r="A2055" s="58">
        <v>2054</v>
      </c>
      <c r="B2055" s="61" t="s">
        <v>52</v>
      </c>
      <c r="C2055" s="61" t="s">
        <v>10</v>
      </c>
      <c r="D2055" s="292" t="s">
        <v>3871</v>
      </c>
      <c r="E2055" s="301">
        <v>166</v>
      </c>
      <c r="F2055" s="301">
        <v>0</v>
      </c>
      <c r="G2055" s="168">
        <f t="shared" si="291"/>
        <v>0.4</v>
      </c>
      <c r="H2055" s="168">
        <f t="shared" si="292"/>
        <v>0.8</v>
      </c>
      <c r="I2055" s="168">
        <f t="shared" si="293"/>
        <v>0.6</v>
      </c>
      <c r="J2055" s="168">
        <f t="shared" si="294"/>
        <v>1</v>
      </c>
      <c r="K2055" s="168">
        <f t="shared" si="295"/>
        <v>1</v>
      </c>
      <c r="L2055" s="168">
        <f t="shared" si="296"/>
        <v>1</v>
      </c>
      <c r="M2055" s="168">
        <f t="shared" si="297"/>
        <v>2.7666666666666666</v>
      </c>
      <c r="N2055" s="241" t="s">
        <v>453</v>
      </c>
    </row>
    <row r="2056" spans="1:14" ht="15" customHeight="1">
      <c r="A2056" s="58">
        <v>2055</v>
      </c>
      <c r="B2056" s="61" t="s">
        <v>52</v>
      </c>
      <c r="C2056" s="61" t="s">
        <v>10</v>
      </c>
      <c r="D2056" s="292" t="s">
        <v>3872</v>
      </c>
      <c r="E2056" s="301">
        <v>159</v>
      </c>
      <c r="F2056" s="301">
        <v>0</v>
      </c>
      <c r="G2056" s="168">
        <f t="shared" si="291"/>
        <v>0.4</v>
      </c>
      <c r="H2056" s="168">
        <f t="shared" si="292"/>
        <v>0.8</v>
      </c>
      <c r="I2056" s="168">
        <f t="shared" si="293"/>
        <v>0.6</v>
      </c>
      <c r="J2056" s="168">
        <f t="shared" si="294"/>
        <v>1</v>
      </c>
      <c r="K2056" s="168">
        <f t="shared" si="295"/>
        <v>1</v>
      </c>
      <c r="L2056" s="168">
        <f t="shared" si="296"/>
        <v>1</v>
      </c>
      <c r="M2056" s="168">
        <f t="shared" si="297"/>
        <v>2.65</v>
      </c>
      <c r="N2056" s="241" t="s">
        <v>453</v>
      </c>
    </row>
    <row r="2057" spans="1:14" ht="15" customHeight="1">
      <c r="A2057" s="58">
        <v>2056</v>
      </c>
      <c r="B2057" s="61" t="s">
        <v>52</v>
      </c>
      <c r="C2057" s="61" t="s">
        <v>10</v>
      </c>
      <c r="D2057" s="292" t="s">
        <v>3873</v>
      </c>
      <c r="E2057" s="301">
        <v>121</v>
      </c>
      <c r="F2057" s="301">
        <v>0</v>
      </c>
      <c r="G2057" s="168">
        <f t="shared" si="291"/>
        <v>0.4</v>
      </c>
      <c r="H2057" s="168">
        <f t="shared" si="292"/>
        <v>0.8</v>
      </c>
      <c r="I2057" s="168">
        <f t="shared" si="293"/>
        <v>0.6</v>
      </c>
      <c r="J2057" s="168">
        <f t="shared" si="294"/>
        <v>1</v>
      </c>
      <c r="K2057" s="168">
        <f t="shared" si="295"/>
        <v>1</v>
      </c>
      <c r="L2057" s="168">
        <f t="shared" si="296"/>
        <v>1</v>
      </c>
      <c r="M2057" s="168">
        <f t="shared" si="297"/>
        <v>2.0166666666666666</v>
      </c>
      <c r="N2057" s="241" t="s">
        <v>453</v>
      </c>
    </row>
    <row r="2058" spans="1:14" ht="15" customHeight="1">
      <c r="A2058" s="58">
        <v>2057</v>
      </c>
      <c r="B2058" s="61" t="s">
        <v>52</v>
      </c>
      <c r="C2058" s="61" t="s">
        <v>10</v>
      </c>
      <c r="D2058" s="292" t="s">
        <v>3874</v>
      </c>
      <c r="E2058" s="301">
        <v>114</v>
      </c>
      <c r="F2058" s="301">
        <v>701</v>
      </c>
      <c r="G2058" s="168">
        <f t="shared" si="291"/>
        <v>4.4057142857142857</v>
      </c>
      <c r="H2058" s="168">
        <f t="shared" si="292"/>
        <v>8.8114285714285714</v>
      </c>
      <c r="I2058" s="168">
        <f t="shared" si="293"/>
        <v>6.6085714285714285</v>
      </c>
      <c r="J2058" s="168">
        <f t="shared" si="294"/>
        <v>11.014285714285714</v>
      </c>
      <c r="K2058" s="168">
        <f t="shared" si="295"/>
        <v>11.014285714285714</v>
      </c>
      <c r="L2058" s="168">
        <f t="shared" si="296"/>
        <v>1.1752499999999999</v>
      </c>
      <c r="M2058" s="168">
        <f t="shared" si="297"/>
        <v>1.9</v>
      </c>
      <c r="N2058" s="241" t="s">
        <v>453</v>
      </c>
    </row>
    <row r="2059" spans="1:14" ht="15" customHeight="1">
      <c r="A2059" s="58">
        <v>2058</v>
      </c>
      <c r="B2059" s="61" t="s">
        <v>52</v>
      </c>
      <c r="C2059" s="61" t="s">
        <v>10</v>
      </c>
      <c r="D2059" s="292" t="s">
        <v>3875</v>
      </c>
      <c r="E2059" s="301">
        <v>0</v>
      </c>
      <c r="F2059" s="301">
        <v>1000</v>
      </c>
      <c r="G2059" s="168">
        <f t="shared" si="291"/>
        <v>6.1142857142857148</v>
      </c>
      <c r="H2059" s="168">
        <f t="shared" si="292"/>
        <v>12.22857142857143</v>
      </c>
      <c r="I2059" s="168">
        <f t="shared" si="293"/>
        <v>9.1714285714285708</v>
      </c>
      <c r="J2059" s="168">
        <f t="shared" si="294"/>
        <v>15.285714285714285</v>
      </c>
      <c r="K2059" s="168">
        <f t="shared" si="295"/>
        <v>15.285714285714285</v>
      </c>
      <c r="L2059" s="168">
        <f t="shared" si="296"/>
        <v>1.25</v>
      </c>
      <c r="M2059" s="168">
        <f t="shared" si="297"/>
        <v>0</v>
      </c>
      <c r="N2059" s="241" t="s">
        <v>453</v>
      </c>
    </row>
    <row r="2060" spans="1:14" ht="15" customHeight="1">
      <c r="A2060" s="58">
        <v>2059</v>
      </c>
      <c r="B2060" s="61" t="s">
        <v>52</v>
      </c>
      <c r="C2060" s="61" t="s">
        <v>10</v>
      </c>
      <c r="D2060" s="292" t="s">
        <v>3876</v>
      </c>
      <c r="E2060" s="301">
        <v>408</v>
      </c>
      <c r="F2060" s="301">
        <v>0</v>
      </c>
      <c r="G2060" s="168">
        <f t="shared" si="291"/>
        <v>0.4</v>
      </c>
      <c r="H2060" s="168">
        <f t="shared" si="292"/>
        <v>0.8</v>
      </c>
      <c r="I2060" s="168">
        <f t="shared" si="293"/>
        <v>0.6</v>
      </c>
      <c r="J2060" s="168">
        <f t="shared" si="294"/>
        <v>1</v>
      </c>
      <c r="K2060" s="168">
        <f t="shared" si="295"/>
        <v>1</v>
      </c>
      <c r="L2060" s="168">
        <f t="shared" si="296"/>
        <v>1</v>
      </c>
      <c r="M2060" s="168">
        <f t="shared" si="297"/>
        <v>6.8</v>
      </c>
      <c r="N2060" s="241" t="s">
        <v>453</v>
      </c>
    </row>
    <row r="2061" spans="1:14" ht="15" customHeight="1">
      <c r="A2061" s="58">
        <v>2060</v>
      </c>
      <c r="B2061" s="61" t="s">
        <v>51</v>
      </c>
      <c r="C2061" s="61" t="s">
        <v>10</v>
      </c>
      <c r="D2061" s="292" t="s">
        <v>3877</v>
      </c>
      <c r="E2061" s="301">
        <v>0</v>
      </c>
      <c r="F2061" s="301">
        <v>3498</v>
      </c>
      <c r="G2061" s="168">
        <f t="shared" si="291"/>
        <v>20.388571428571428</v>
      </c>
      <c r="H2061" s="168">
        <f t="shared" si="292"/>
        <v>40.777142857142856</v>
      </c>
      <c r="I2061" s="168">
        <f t="shared" si="293"/>
        <v>30.58285714285714</v>
      </c>
      <c r="J2061" s="168">
        <f t="shared" si="294"/>
        <v>50.971428571428568</v>
      </c>
      <c r="K2061" s="168">
        <f t="shared" si="295"/>
        <v>50.971428571428568</v>
      </c>
      <c r="L2061" s="168">
        <f t="shared" si="296"/>
        <v>1.8745000000000001</v>
      </c>
      <c r="M2061" s="168">
        <f t="shared" si="297"/>
        <v>0</v>
      </c>
      <c r="N2061" s="241" t="s">
        <v>453</v>
      </c>
    </row>
    <row r="2062" spans="1:14" ht="15" customHeight="1">
      <c r="A2062" s="58">
        <v>2061</v>
      </c>
      <c r="B2062" s="61" t="s">
        <v>52</v>
      </c>
      <c r="C2062" s="61" t="s">
        <v>10</v>
      </c>
      <c r="D2062" s="292" t="s">
        <v>3878</v>
      </c>
      <c r="E2062" s="301">
        <v>0</v>
      </c>
      <c r="F2062" s="301">
        <v>150</v>
      </c>
      <c r="G2062" s="168">
        <f t="shared" si="291"/>
        <v>1.2571428571428571</v>
      </c>
      <c r="H2062" s="168">
        <f t="shared" si="292"/>
        <v>2.5142857142857142</v>
      </c>
      <c r="I2062" s="168">
        <f t="shared" si="293"/>
        <v>1.8857142857142857</v>
      </c>
      <c r="J2062" s="168">
        <f t="shared" si="294"/>
        <v>3.1428571428571428</v>
      </c>
      <c r="K2062" s="168">
        <f t="shared" si="295"/>
        <v>3.1428571428571428</v>
      </c>
      <c r="L2062" s="168">
        <f t="shared" si="296"/>
        <v>1.0375000000000001</v>
      </c>
      <c r="M2062" s="168">
        <f t="shared" si="297"/>
        <v>0</v>
      </c>
      <c r="N2062" s="241" t="s">
        <v>453</v>
      </c>
    </row>
    <row r="2063" spans="1:14" ht="15" customHeight="1">
      <c r="A2063" s="58">
        <v>2062</v>
      </c>
      <c r="B2063" s="61" t="s">
        <v>52</v>
      </c>
      <c r="C2063" s="61" t="s">
        <v>10</v>
      </c>
      <c r="D2063" s="292" t="s">
        <v>3879</v>
      </c>
      <c r="E2063" s="301">
        <v>162</v>
      </c>
      <c r="F2063" s="301">
        <v>0</v>
      </c>
      <c r="G2063" s="168">
        <f t="shared" si="291"/>
        <v>0.4</v>
      </c>
      <c r="H2063" s="168">
        <f t="shared" si="292"/>
        <v>0.8</v>
      </c>
      <c r="I2063" s="168">
        <f t="shared" si="293"/>
        <v>0.6</v>
      </c>
      <c r="J2063" s="168">
        <f t="shared" si="294"/>
        <v>1</v>
      </c>
      <c r="K2063" s="168">
        <f t="shared" si="295"/>
        <v>1</v>
      </c>
      <c r="L2063" s="168">
        <f t="shared" si="296"/>
        <v>1</v>
      </c>
      <c r="M2063" s="168">
        <f t="shared" si="297"/>
        <v>2.7</v>
      </c>
      <c r="N2063" s="241" t="s">
        <v>453</v>
      </c>
    </row>
    <row r="2064" spans="1:14" ht="15" customHeight="1">
      <c r="A2064" s="58">
        <v>2063</v>
      </c>
      <c r="B2064" s="61" t="s">
        <v>52</v>
      </c>
      <c r="C2064" s="61" t="s">
        <v>10</v>
      </c>
      <c r="D2064" s="292" t="s">
        <v>3880</v>
      </c>
      <c r="E2064" s="301">
        <v>272</v>
      </c>
      <c r="F2064" s="301">
        <v>0</v>
      </c>
      <c r="G2064" s="168">
        <f t="shared" si="291"/>
        <v>0.4</v>
      </c>
      <c r="H2064" s="168">
        <f t="shared" si="292"/>
        <v>0.8</v>
      </c>
      <c r="I2064" s="168">
        <f t="shared" si="293"/>
        <v>0.6</v>
      </c>
      <c r="J2064" s="168">
        <f t="shared" si="294"/>
        <v>1</v>
      </c>
      <c r="K2064" s="168">
        <f t="shared" si="295"/>
        <v>1</v>
      </c>
      <c r="L2064" s="168">
        <f t="shared" si="296"/>
        <v>1</v>
      </c>
      <c r="M2064" s="168">
        <f t="shared" si="297"/>
        <v>4.5333333333333332</v>
      </c>
      <c r="N2064" s="241" t="s">
        <v>453</v>
      </c>
    </row>
    <row r="2065" spans="1:14" ht="15" customHeight="1">
      <c r="A2065" s="58">
        <v>2064</v>
      </c>
      <c r="B2065" s="61" t="s">
        <v>52</v>
      </c>
      <c r="C2065" s="61" t="s">
        <v>10</v>
      </c>
      <c r="D2065" s="295" t="s">
        <v>3881</v>
      </c>
      <c r="E2065" s="301">
        <v>0</v>
      </c>
      <c r="F2065" s="301">
        <v>508</v>
      </c>
      <c r="G2065" s="168">
        <f t="shared" si="291"/>
        <v>3.3028571428571425</v>
      </c>
      <c r="H2065" s="168">
        <f t="shared" si="292"/>
        <v>6.605714285714285</v>
      </c>
      <c r="I2065" s="168">
        <f t="shared" si="293"/>
        <v>4.9542857142857137</v>
      </c>
      <c r="J2065" s="168">
        <f t="shared" si="294"/>
        <v>8.2571428571428562</v>
      </c>
      <c r="K2065" s="168">
        <f t="shared" si="295"/>
        <v>8.2571428571428562</v>
      </c>
      <c r="L2065" s="168">
        <f t="shared" si="296"/>
        <v>1.127</v>
      </c>
      <c r="M2065" s="168">
        <f t="shared" si="297"/>
        <v>0</v>
      </c>
      <c r="N2065" s="241" t="s">
        <v>453</v>
      </c>
    </row>
    <row r="2066" spans="1:14" ht="15" customHeight="1">
      <c r="A2066" s="58">
        <v>2065</v>
      </c>
      <c r="B2066" s="61" t="s">
        <v>52</v>
      </c>
      <c r="C2066" s="61" t="s">
        <v>10</v>
      </c>
      <c r="D2066" s="292" t="s">
        <v>3882</v>
      </c>
      <c r="E2066" s="301">
        <v>150</v>
      </c>
      <c r="F2066" s="301">
        <v>0</v>
      </c>
      <c r="G2066" s="168">
        <f t="shared" si="291"/>
        <v>0.4</v>
      </c>
      <c r="H2066" s="168">
        <f t="shared" si="292"/>
        <v>0.8</v>
      </c>
      <c r="I2066" s="168">
        <f t="shared" si="293"/>
        <v>0.6</v>
      </c>
      <c r="J2066" s="168">
        <f t="shared" si="294"/>
        <v>1</v>
      </c>
      <c r="K2066" s="168">
        <f t="shared" si="295"/>
        <v>1</v>
      </c>
      <c r="L2066" s="168">
        <f t="shared" si="296"/>
        <v>1</v>
      </c>
      <c r="M2066" s="168">
        <f t="shared" si="297"/>
        <v>2.5</v>
      </c>
      <c r="N2066" s="241" t="s">
        <v>453</v>
      </c>
    </row>
    <row r="2067" spans="1:14" ht="15" customHeight="1">
      <c r="A2067" s="58">
        <v>2066</v>
      </c>
      <c r="B2067" s="61" t="s">
        <v>49</v>
      </c>
      <c r="C2067" s="61" t="s">
        <v>10</v>
      </c>
      <c r="D2067" s="296" t="s">
        <v>3883</v>
      </c>
      <c r="E2067" s="301">
        <v>148</v>
      </c>
      <c r="F2067" s="301">
        <v>500</v>
      </c>
      <c r="G2067" s="168">
        <f t="shared" si="291"/>
        <v>3.2571428571428571</v>
      </c>
      <c r="H2067" s="168">
        <f t="shared" si="292"/>
        <v>6.5142857142857142</v>
      </c>
      <c r="I2067" s="168">
        <f t="shared" si="293"/>
        <v>4.8857142857142852</v>
      </c>
      <c r="J2067" s="168">
        <f t="shared" si="294"/>
        <v>8.1428571428571423</v>
      </c>
      <c r="K2067" s="168">
        <f t="shared" si="295"/>
        <v>8.1428571428571423</v>
      </c>
      <c r="L2067" s="168">
        <f t="shared" si="296"/>
        <v>1.125</v>
      </c>
      <c r="M2067" s="168">
        <f t="shared" si="297"/>
        <v>2.4666666666666668</v>
      </c>
      <c r="N2067" s="241" t="s">
        <v>453</v>
      </c>
    </row>
    <row r="2068" spans="1:14" ht="15" customHeight="1">
      <c r="A2068" s="58">
        <v>2067</v>
      </c>
      <c r="B2068" s="61" t="s">
        <v>52</v>
      </c>
      <c r="C2068" s="61" t="s">
        <v>10</v>
      </c>
      <c r="D2068" s="292" t="s">
        <v>3884</v>
      </c>
      <c r="E2068" s="301">
        <v>227</v>
      </c>
      <c r="F2068" s="301">
        <v>0</v>
      </c>
      <c r="G2068" s="168">
        <f t="shared" si="291"/>
        <v>0.4</v>
      </c>
      <c r="H2068" s="168">
        <f t="shared" si="292"/>
        <v>0.8</v>
      </c>
      <c r="I2068" s="168">
        <f t="shared" si="293"/>
        <v>0.6</v>
      </c>
      <c r="J2068" s="168">
        <f t="shared" si="294"/>
        <v>1</v>
      </c>
      <c r="K2068" s="168">
        <f t="shared" si="295"/>
        <v>1</v>
      </c>
      <c r="L2068" s="168">
        <f t="shared" si="296"/>
        <v>1</v>
      </c>
      <c r="M2068" s="168">
        <f t="shared" si="297"/>
        <v>3.7833333333333332</v>
      </c>
      <c r="N2068" s="241" t="s">
        <v>453</v>
      </c>
    </row>
    <row r="2069" spans="1:14" ht="15" customHeight="1">
      <c r="A2069" s="58">
        <v>2068</v>
      </c>
      <c r="B2069" s="61" t="s">
        <v>52</v>
      </c>
      <c r="C2069" s="61" t="s">
        <v>10</v>
      </c>
      <c r="D2069" s="292" t="s">
        <v>3885</v>
      </c>
      <c r="E2069" s="301">
        <v>320</v>
      </c>
      <c r="F2069" s="301">
        <v>0</v>
      </c>
      <c r="G2069" s="168">
        <f t="shared" si="291"/>
        <v>0.4</v>
      </c>
      <c r="H2069" s="168">
        <f t="shared" si="292"/>
        <v>0.8</v>
      </c>
      <c r="I2069" s="168">
        <f t="shared" si="293"/>
        <v>0.6</v>
      </c>
      <c r="J2069" s="168">
        <f t="shared" si="294"/>
        <v>1</v>
      </c>
      <c r="K2069" s="168">
        <f t="shared" si="295"/>
        <v>1</v>
      </c>
      <c r="L2069" s="168">
        <f t="shared" si="296"/>
        <v>1</v>
      </c>
      <c r="M2069" s="168">
        <f t="shared" si="297"/>
        <v>5.333333333333333</v>
      </c>
      <c r="N2069" s="241" t="s">
        <v>453</v>
      </c>
    </row>
    <row r="2070" spans="1:14" ht="15" customHeight="1">
      <c r="A2070" s="58">
        <v>2069</v>
      </c>
      <c r="B2070" s="61" t="s">
        <v>52</v>
      </c>
      <c r="C2070" s="61" t="s">
        <v>10</v>
      </c>
      <c r="D2070" s="292" t="s">
        <v>3886</v>
      </c>
      <c r="E2070" s="301">
        <v>153</v>
      </c>
      <c r="F2070" s="301">
        <v>0</v>
      </c>
      <c r="G2070" s="168">
        <f t="shared" si="291"/>
        <v>0.4</v>
      </c>
      <c r="H2070" s="168">
        <f t="shared" si="292"/>
        <v>0.8</v>
      </c>
      <c r="I2070" s="168">
        <f t="shared" si="293"/>
        <v>0.6</v>
      </c>
      <c r="J2070" s="168">
        <f t="shared" si="294"/>
        <v>1</v>
      </c>
      <c r="K2070" s="168">
        <f t="shared" si="295"/>
        <v>1</v>
      </c>
      <c r="L2070" s="168">
        <f t="shared" si="296"/>
        <v>1</v>
      </c>
      <c r="M2070" s="168">
        <f t="shared" si="297"/>
        <v>2.5499999999999998</v>
      </c>
      <c r="N2070" s="241" t="s">
        <v>453</v>
      </c>
    </row>
    <row r="2071" spans="1:14" ht="15" customHeight="1">
      <c r="A2071" s="58">
        <v>2070</v>
      </c>
      <c r="B2071" s="61" t="s">
        <v>52</v>
      </c>
      <c r="C2071" s="61" t="s">
        <v>10</v>
      </c>
      <c r="D2071" s="292" t="s">
        <v>3887</v>
      </c>
      <c r="E2071" s="301">
        <v>194</v>
      </c>
      <c r="F2071" s="301">
        <v>0</v>
      </c>
      <c r="G2071" s="168">
        <f t="shared" si="291"/>
        <v>0.4</v>
      </c>
      <c r="H2071" s="168">
        <f t="shared" si="292"/>
        <v>0.8</v>
      </c>
      <c r="I2071" s="168">
        <f t="shared" si="293"/>
        <v>0.6</v>
      </c>
      <c r="J2071" s="168">
        <f t="shared" si="294"/>
        <v>1</v>
      </c>
      <c r="K2071" s="168">
        <f t="shared" si="295"/>
        <v>1</v>
      </c>
      <c r="L2071" s="168">
        <f t="shared" si="296"/>
        <v>1</v>
      </c>
      <c r="M2071" s="168">
        <f t="shared" si="297"/>
        <v>3.2333333333333334</v>
      </c>
      <c r="N2071" s="241" t="s">
        <v>453</v>
      </c>
    </row>
    <row r="2072" spans="1:14" ht="15" customHeight="1">
      <c r="A2072" s="58">
        <v>2071</v>
      </c>
      <c r="B2072" s="61" t="s">
        <v>52</v>
      </c>
      <c r="C2072" s="61" t="s">
        <v>10</v>
      </c>
      <c r="D2072" s="292" t="s">
        <v>3888</v>
      </c>
      <c r="E2072" s="301">
        <v>116</v>
      </c>
      <c r="F2072" s="301">
        <v>0</v>
      </c>
      <c r="G2072" s="168">
        <f t="shared" si="291"/>
        <v>0.4</v>
      </c>
      <c r="H2072" s="168">
        <f t="shared" si="292"/>
        <v>0.8</v>
      </c>
      <c r="I2072" s="168">
        <f t="shared" si="293"/>
        <v>0.6</v>
      </c>
      <c r="J2072" s="168">
        <f t="shared" si="294"/>
        <v>1</v>
      </c>
      <c r="K2072" s="168">
        <f t="shared" si="295"/>
        <v>1</v>
      </c>
      <c r="L2072" s="168">
        <f t="shared" si="296"/>
        <v>1</v>
      </c>
      <c r="M2072" s="168">
        <f t="shared" si="297"/>
        <v>1.9333333333333333</v>
      </c>
      <c r="N2072" s="241" t="s">
        <v>453</v>
      </c>
    </row>
    <row r="2073" spans="1:14" ht="15" customHeight="1">
      <c r="A2073" s="58">
        <v>2072</v>
      </c>
      <c r="B2073" s="61" t="s">
        <v>52</v>
      </c>
      <c r="C2073" s="61" t="s">
        <v>10</v>
      </c>
      <c r="D2073" s="292" t="s">
        <v>3889</v>
      </c>
      <c r="E2073" s="301">
        <v>100</v>
      </c>
      <c r="F2073" s="301">
        <v>0</v>
      </c>
      <c r="G2073" s="168">
        <f t="shared" si="291"/>
        <v>0.4</v>
      </c>
      <c r="H2073" s="168">
        <f t="shared" si="292"/>
        <v>0.8</v>
      </c>
      <c r="I2073" s="168">
        <f t="shared" si="293"/>
        <v>0.6</v>
      </c>
      <c r="J2073" s="168">
        <f t="shared" si="294"/>
        <v>1</v>
      </c>
      <c r="K2073" s="168">
        <f t="shared" si="295"/>
        <v>1</v>
      </c>
      <c r="L2073" s="168">
        <f t="shared" si="296"/>
        <v>1</v>
      </c>
      <c r="M2073" s="168">
        <f t="shared" si="297"/>
        <v>1.6666666666666667</v>
      </c>
      <c r="N2073" s="241" t="s">
        <v>453</v>
      </c>
    </row>
    <row r="2074" spans="1:14" ht="15" customHeight="1">
      <c r="A2074" s="58">
        <v>2073</v>
      </c>
      <c r="B2074" s="61" t="s">
        <v>52</v>
      </c>
      <c r="C2074" s="61" t="s">
        <v>10</v>
      </c>
      <c r="D2074" s="292" t="s">
        <v>3890</v>
      </c>
      <c r="E2074" s="301">
        <v>0</v>
      </c>
      <c r="F2074" s="301">
        <v>800</v>
      </c>
      <c r="G2074" s="168">
        <f t="shared" si="291"/>
        <v>4.9714285714285715</v>
      </c>
      <c r="H2074" s="168">
        <f t="shared" si="292"/>
        <v>9.9428571428571431</v>
      </c>
      <c r="I2074" s="168">
        <f t="shared" si="293"/>
        <v>7.4571428571428573</v>
      </c>
      <c r="J2074" s="168">
        <f t="shared" si="294"/>
        <v>12.428571428571429</v>
      </c>
      <c r="K2074" s="168">
        <f t="shared" si="295"/>
        <v>12.428571428571429</v>
      </c>
      <c r="L2074" s="168">
        <f t="shared" si="296"/>
        <v>1.2</v>
      </c>
      <c r="M2074" s="168">
        <f t="shared" si="297"/>
        <v>0</v>
      </c>
      <c r="N2074" s="241" t="s">
        <v>453</v>
      </c>
    </row>
    <row r="2075" spans="1:14" ht="15" customHeight="1">
      <c r="A2075" s="58">
        <v>2074</v>
      </c>
      <c r="B2075" s="61" t="s">
        <v>52</v>
      </c>
      <c r="C2075" s="61" t="s">
        <v>10</v>
      </c>
      <c r="D2075" s="292" t="s">
        <v>3891</v>
      </c>
      <c r="E2075" s="301">
        <v>0</v>
      </c>
      <c r="F2075" s="301">
        <v>200</v>
      </c>
      <c r="G2075" s="168">
        <f t="shared" si="291"/>
        <v>1.5428571428571429</v>
      </c>
      <c r="H2075" s="168">
        <f t="shared" si="292"/>
        <v>3.0857142857142859</v>
      </c>
      <c r="I2075" s="168">
        <f t="shared" si="293"/>
        <v>2.3142857142857141</v>
      </c>
      <c r="J2075" s="168">
        <f t="shared" si="294"/>
        <v>3.8571428571428568</v>
      </c>
      <c r="K2075" s="168">
        <f t="shared" si="295"/>
        <v>3.8571428571428568</v>
      </c>
      <c r="L2075" s="168">
        <f t="shared" si="296"/>
        <v>1.05</v>
      </c>
      <c r="M2075" s="168">
        <f t="shared" si="297"/>
        <v>0</v>
      </c>
      <c r="N2075" s="241" t="s">
        <v>453</v>
      </c>
    </row>
    <row r="2076" spans="1:14" ht="15" customHeight="1">
      <c r="A2076" s="58">
        <v>2075</v>
      </c>
      <c r="B2076" s="61" t="s">
        <v>52</v>
      </c>
      <c r="C2076" s="61" t="s">
        <v>10</v>
      </c>
      <c r="D2076" s="292" t="s">
        <v>3892</v>
      </c>
      <c r="E2076" s="301">
        <v>100</v>
      </c>
      <c r="F2076" s="301">
        <v>0</v>
      </c>
      <c r="G2076" s="168">
        <f t="shared" si="291"/>
        <v>0.4</v>
      </c>
      <c r="H2076" s="168">
        <f t="shared" si="292"/>
        <v>0.8</v>
      </c>
      <c r="I2076" s="168">
        <f t="shared" si="293"/>
        <v>0.6</v>
      </c>
      <c r="J2076" s="168">
        <f t="shared" si="294"/>
        <v>1</v>
      </c>
      <c r="K2076" s="168">
        <f t="shared" si="295"/>
        <v>1</v>
      </c>
      <c r="L2076" s="168">
        <f t="shared" si="296"/>
        <v>1</v>
      </c>
      <c r="M2076" s="168">
        <f t="shared" si="297"/>
        <v>1.6666666666666667</v>
      </c>
      <c r="N2076" s="241" t="s">
        <v>453</v>
      </c>
    </row>
    <row r="2077" spans="1:14" ht="15" customHeight="1">
      <c r="A2077" s="58">
        <v>2076</v>
      </c>
      <c r="B2077" s="61" t="s">
        <v>52</v>
      </c>
      <c r="C2077" s="61" t="s">
        <v>10</v>
      </c>
      <c r="D2077" s="292" t="s">
        <v>3893</v>
      </c>
      <c r="E2077" s="301">
        <v>450</v>
      </c>
      <c r="F2077" s="301">
        <v>0</v>
      </c>
      <c r="G2077" s="168">
        <f t="shared" si="291"/>
        <v>0.4</v>
      </c>
      <c r="H2077" s="168">
        <f t="shared" si="292"/>
        <v>0.8</v>
      </c>
      <c r="I2077" s="168">
        <f t="shared" si="293"/>
        <v>0.6</v>
      </c>
      <c r="J2077" s="168">
        <f t="shared" si="294"/>
        <v>1</v>
      </c>
      <c r="K2077" s="168">
        <f t="shared" si="295"/>
        <v>1</v>
      </c>
      <c r="L2077" s="168">
        <f t="shared" si="296"/>
        <v>1</v>
      </c>
      <c r="M2077" s="168">
        <f t="shared" si="297"/>
        <v>7.5</v>
      </c>
      <c r="N2077" s="241" t="s">
        <v>453</v>
      </c>
    </row>
    <row r="2078" spans="1:14" ht="15" customHeight="1">
      <c r="A2078" s="58">
        <v>2077</v>
      </c>
      <c r="B2078" s="61" t="s">
        <v>52</v>
      </c>
      <c r="C2078" s="61" t="s">
        <v>10</v>
      </c>
      <c r="D2078" s="292" t="s">
        <v>3894</v>
      </c>
      <c r="E2078" s="301">
        <v>474</v>
      </c>
      <c r="F2078" s="301">
        <v>0</v>
      </c>
      <c r="G2078" s="168">
        <f t="shared" si="291"/>
        <v>0.4</v>
      </c>
      <c r="H2078" s="168">
        <f t="shared" si="292"/>
        <v>0.8</v>
      </c>
      <c r="I2078" s="168">
        <f t="shared" si="293"/>
        <v>0.6</v>
      </c>
      <c r="J2078" s="168">
        <f t="shared" si="294"/>
        <v>1</v>
      </c>
      <c r="K2078" s="168">
        <f t="shared" si="295"/>
        <v>1</v>
      </c>
      <c r="L2078" s="168">
        <f t="shared" si="296"/>
        <v>1</v>
      </c>
      <c r="M2078" s="168">
        <f t="shared" si="297"/>
        <v>7.9</v>
      </c>
      <c r="N2078" s="241" t="s">
        <v>453</v>
      </c>
    </row>
    <row r="2079" spans="1:14" ht="15" customHeight="1">
      <c r="A2079" s="58">
        <v>2078</v>
      </c>
      <c r="B2079" s="61" t="s">
        <v>52</v>
      </c>
      <c r="C2079" s="61" t="s">
        <v>10</v>
      </c>
      <c r="D2079" s="292" t="s">
        <v>3895</v>
      </c>
      <c r="E2079" s="301">
        <v>0</v>
      </c>
      <c r="F2079" s="301">
        <v>0</v>
      </c>
      <c r="G2079" s="168">
        <f t="shared" si="291"/>
        <v>0.4</v>
      </c>
      <c r="H2079" s="168">
        <f t="shared" si="292"/>
        <v>0.8</v>
      </c>
      <c r="I2079" s="168">
        <f t="shared" si="293"/>
        <v>0.6</v>
      </c>
      <c r="J2079" s="168">
        <f t="shared" si="294"/>
        <v>1</v>
      </c>
      <c r="K2079" s="168">
        <f t="shared" si="295"/>
        <v>1</v>
      </c>
      <c r="L2079" s="168">
        <f t="shared" si="296"/>
        <v>1</v>
      </c>
      <c r="M2079" s="168">
        <f t="shared" si="297"/>
        <v>0</v>
      </c>
      <c r="N2079" s="241" t="s">
        <v>453</v>
      </c>
    </row>
    <row r="2080" spans="1:14" ht="15" customHeight="1">
      <c r="A2080" s="58">
        <v>2079</v>
      </c>
      <c r="B2080" s="61" t="s">
        <v>52</v>
      </c>
      <c r="C2080" s="61" t="s">
        <v>10</v>
      </c>
      <c r="D2080" s="292" t="s">
        <v>3896</v>
      </c>
      <c r="E2080" s="301">
        <v>0</v>
      </c>
      <c r="F2080" s="301">
        <v>0</v>
      </c>
      <c r="G2080" s="168">
        <f t="shared" si="291"/>
        <v>0.4</v>
      </c>
      <c r="H2080" s="168">
        <f t="shared" si="292"/>
        <v>0.8</v>
      </c>
      <c r="I2080" s="168">
        <f t="shared" si="293"/>
        <v>0.6</v>
      </c>
      <c r="J2080" s="168">
        <f t="shared" si="294"/>
        <v>1</v>
      </c>
      <c r="K2080" s="168">
        <f t="shared" si="295"/>
        <v>1</v>
      </c>
      <c r="L2080" s="168">
        <f t="shared" si="296"/>
        <v>1</v>
      </c>
      <c r="M2080" s="168">
        <f t="shared" si="297"/>
        <v>0</v>
      </c>
      <c r="N2080" s="241" t="s">
        <v>453</v>
      </c>
    </row>
    <row r="2081" spans="1:14" ht="15" customHeight="1">
      <c r="A2081" s="58">
        <v>2080</v>
      </c>
      <c r="B2081" s="61" t="s">
        <v>53</v>
      </c>
      <c r="C2081" s="61" t="s">
        <v>10</v>
      </c>
      <c r="D2081" s="292" t="s">
        <v>3897</v>
      </c>
      <c r="E2081" s="301">
        <v>824</v>
      </c>
      <c r="F2081" s="301">
        <v>0</v>
      </c>
      <c r="G2081" s="168">
        <f t="shared" si="291"/>
        <v>0.4</v>
      </c>
      <c r="H2081" s="168">
        <f t="shared" si="292"/>
        <v>0.8</v>
      </c>
      <c r="I2081" s="168">
        <f t="shared" si="293"/>
        <v>0.6</v>
      </c>
      <c r="J2081" s="168">
        <f t="shared" si="294"/>
        <v>1</v>
      </c>
      <c r="K2081" s="168">
        <f t="shared" si="295"/>
        <v>1</v>
      </c>
      <c r="L2081" s="168">
        <f t="shared" si="296"/>
        <v>1</v>
      </c>
      <c r="M2081" s="168">
        <f t="shared" si="297"/>
        <v>13.733333333333333</v>
      </c>
      <c r="N2081" s="241" t="s">
        <v>453</v>
      </c>
    </row>
    <row r="2082" spans="1:14" ht="15" customHeight="1">
      <c r="A2082" s="58">
        <v>2081</v>
      </c>
      <c r="B2082" s="61" t="s">
        <v>61</v>
      </c>
      <c r="C2082" s="61" t="s">
        <v>11</v>
      </c>
      <c r="D2082" s="292" t="s">
        <v>3898</v>
      </c>
      <c r="E2082" s="301">
        <v>0</v>
      </c>
      <c r="F2082" s="301">
        <v>1000</v>
      </c>
      <c r="G2082" s="168">
        <f t="shared" si="291"/>
        <v>6.1142857142857148</v>
      </c>
      <c r="H2082" s="168">
        <f t="shared" si="292"/>
        <v>12.22857142857143</v>
      </c>
      <c r="I2082" s="168">
        <f t="shared" si="293"/>
        <v>9.1714285714285708</v>
      </c>
      <c r="J2082" s="168">
        <f t="shared" si="294"/>
        <v>15.285714285714285</v>
      </c>
      <c r="K2082" s="168">
        <f t="shared" si="295"/>
        <v>15.285714285714285</v>
      </c>
      <c r="L2082" s="168">
        <f t="shared" si="296"/>
        <v>1.25</v>
      </c>
      <c r="M2082" s="168">
        <f t="shared" si="297"/>
        <v>0</v>
      </c>
      <c r="N2082" s="241" t="s">
        <v>453</v>
      </c>
    </row>
    <row r="2083" spans="1:14" ht="15" customHeight="1">
      <c r="A2083" s="58">
        <v>2082</v>
      </c>
      <c r="B2083" s="61" t="s">
        <v>52</v>
      </c>
      <c r="C2083" s="61" t="s">
        <v>10</v>
      </c>
      <c r="D2083" s="292" t="s">
        <v>3899</v>
      </c>
      <c r="E2083" s="301">
        <v>244</v>
      </c>
      <c r="F2083" s="301">
        <v>0</v>
      </c>
      <c r="G2083" s="168">
        <f t="shared" si="291"/>
        <v>0.4</v>
      </c>
      <c r="H2083" s="168">
        <f t="shared" si="292"/>
        <v>0.8</v>
      </c>
      <c r="I2083" s="168">
        <f t="shared" si="293"/>
        <v>0.6</v>
      </c>
      <c r="J2083" s="168">
        <f t="shared" si="294"/>
        <v>1</v>
      </c>
      <c r="K2083" s="168">
        <f t="shared" si="295"/>
        <v>1</v>
      </c>
      <c r="L2083" s="168">
        <f t="shared" si="296"/>
        <v>1</v>
      </c>
      <c r="M2083" s="168">
        <f t="shared" si="297"/>
        <v>4.0666666666666664</v>
      </c>
      <c r="N2083" s="241" t="s">
        <v>453</v>
      </c>
    </row>
    <row r="2084" spans="1:14" ht="15" customHeight="1">
      <c r="A2084" s="58">
        <v>2083</v>
      </c>
      <c r="B2084" s="61" t="s">
        <v>52</v>
      </c>
      <c r="C2084" s="61" t="s">
        <v>10</v>
      </c>
      <c r="D2084" s="292" t="s">
        <v>3900</v>
      </c>
      <c r="E2084" s="301">
        <v>162</v>
      </c>
      <c r="F2084" s="301">
        <v>0</v>
      </c>
      <c r="G2084" s="168">
        <f t="shared" si="291"/>
        <v>0.4</v>
      </c>
      <c r="H2084" s="168">
        <f t="shared" si="292"/>
        <v>0.8</v>
      </c>
      <c r="I2084" s="168">
        <f t="shared" si="293"/>
        <v>0.6</v>
      </c>
      <c r="J2084" s="168">
        <f t="shared" si="294"/>
        <v>1</v>
      </c>
      <c r="K2084" s="168">
        <f t="shared" si="295"/>
        <v>1</v>
      </c>
      <c r="L2084" s="168">
        <f t="shared" si="296"/>
        <v>1</v>
      </c>
      <c r="M2084" s="168">
        <f t="shared" si="297"/>
        <v>2.7</v>
      </c>
      <c r="N2084" s="241" t="s">
        <v>453</v>
      </c>
    </row>
    <row r="2085" spans="1:14" ht="15" customHeight="1">
      <c r="A2085" s="58">
        <v>2084</v>
      </c>
      <c r="B2085" s="61" t="s">
        <v>49</v>
      </c>
      <c r="C2085" s="61" t="s">
        <v>10</v>
      </c>
      <c r="D2085" s="292" t="s">
        <v>3901</v>
      </c>
      <c r="E2085" s="301">
        <v>0</v>
      </c>
      <c r="F2085" s="301">
        <v>761</v>
      </c>
      <c r="G2085" s="168">
        <f t="shared" ref="G2085:G2148" si="298">(((F2085/70)+1)*0.4)</f>
        <v>4.7485714285714291</v>
      </c>
      <c r="H2085" s="168">
        <f t="shared" ref="H2085:H2148" si="299">G2085*2</f>
        <v>9.4971428571428582</v>
      </c>
      <c r="I2085" s="168">
        <f t="shared" ref="I2085:I2148" si="300">(((F2085/70)+1)*0.6)</f>
        <v>7.1228571428571428</v>
      </c>
      <c r="J2085" s="168">
        <f t="shared" ref="J2085:J2148" si="301">I2085+G2085</f>
        <v>11.871428571428572</v>
      </c>
      <c r="K2085" s="168">
        <f t="shared" ref="K2085:K2148" si="302">J2085</f>
        <v>11.871428571428572</v>
      </c>
      <c r="L2085" s="168">
        <f t="shared" ref="L2085:L2148" si="303">(F2085/4000)+1</f>
        <v>1.19025</v>
      </c>
      <c r="M2085" s="168">
        <f t="shared" ref="M2085:M2148" si="304">E2085/60</f>
        <v>0</v>
      </c>
      <c r="N2085" s="241" t="s">
        <v>453</v>
      </c>
    </row>
    <row r="2086" spans="1:14" ht="15" customHeight="1">
      <c r="A2086" s="58">
        <v>2085</v>
      </c>
      <c r="B2086" s="61" t="s">
        <v>52</v>
      </c>
      <c r="C2086" s="61" t="s">
        <v>10</v>
      </c>
      <c r="D2086" s="292" t="s">
        <v>3902</v>
      </c>
      <c r="E2086" s="301">
        <v>89</v>
      </c>
      <c r="F2086" s="301">
        <v>675</v>
      </c>
      <c r="G2086" s="168">
        <f t="shared" si="298"/>
        <v>4.2571428571428571</v>
      </c>
      <c r="H2086" s="168">
        <f t="shared" si="299"/>
        <v>8.5142857142857142</v>
      </c>
      <c r="I2086" s="168">
        <f t="shared" si="300"/>
        <v>6.3857142857142852</v>
      </c>
      <c r="J2086" s="168">
        <f t="shared" si="301"/>
        <v>10.642857142857142</v>
      </c>
      <c r="K2086" s="168">
        <f t="shared" si="302"/>
        <v>10.642857142857142</v>
      </c>
      <c r="L2086" s="168">
        <f t="shared" si="303"/>
        <v>1.16875</v>
      </c>
      <c r="M2086" s="168">
        <f t="shared" si="304"/>
        <v>1.4833333333333334</v>
      </c>
      <c r="N2086" s="241" t="s">
        <v>453</v>
      </c>
    </row>
    <row r="2087" spans="1:14" ht="15" customHeight="1">
      <c r="A2087" s="58">
        <v>2086</v>
      </c>
      <c r="B2087" s="61" t="s">
        <v>50</v>
      </c>
      <c r="C2087" s="61" t="s">
        <v>10</v>
      </c>
      <c r="D2087" s="292" t="s">
        <v>3903</v>
      </c>
      <c r="E2087" s="301">
        <v>0</v>
      </c>
      <c r="F2087" s="301">
        <v>270</v>
      </c>
      <c r="G2087" s="168">
        <f t="shared" si="298"/>
        <v>1.9428571428571431</v>
      </c>
      <c r="H2087" s="168">
        <f t="shared" si="299"/>
        <v>3.8857142857142861</v>
      </c>
      <c r="I2087" s="168">
        <f t="shared" si="300"/>
        <v>2.9142857142857146</v>
      </c>
      <c r="J2087" s="168">
        <f t="shared" si="301"/>
        <v>4.8571428571428577</v>
      </c>
      <c r="K2087" s="168">
        <f t="shared" si="302"/>
        <v>4.8571428571428577</v>
      </c>
      <c r="L2087" s="168">
        <f t="shared" si="303"/>
        <v>1.0674999999999999</v>
      </c>
      <c r="M2087" s="168">
        <f t="shared" si="304"/>
        <v>0</v>
      </c>
      <c r="N2087" s="241" t="s">
        <v>453</v>
      </c>
    </row>
    <row r="2088" spans="1:14" ht="15" customHeight="1">
      <c r="A2088" s="58">
        <v>2087</v>
      </c>
      <c r="B2088" s="61" t="s">
        <v>52</v>
      </c>
      <c r="C2088" s="61" t="s">
        <v>10</v>
      </c>
      <c r="D2088" s="292" t="s">
        <v>3904</v>
      </c>
      <c r="E2088" s="301">
        <v>0</v>
      </c>
      <c r="F2088" s="301">
        <v>400</v>
      </c>
      <c r="G2088" s="168">
        <f t="shared" si="298"/>
        <v>2.6857142857142859</v>
      </c>
      <c r="H2088" s="168">
        <f t="shared" si="299"/>
        <v>5.3714285714285719</v>
      </c>
      <c r="I2088" s="168">
        <f t="shared" si="300"/>
        <v>4.0285714285714285</v>
      </c>
      <c r="J2088" s="168">
        <f t="shared" si="301"/>
        <v>6.7142857142857144</v>
      </c>
      <c r="K2088" s="168">
        <f t="shared" si="302"/>
        <v>6.7142857142857144</v>
      </c>
      <c r="L2088" s="168">
        <f t="shared" si="303"/>
        <v>1.1000000000000001</v>
      </c>
      <c r="M2088" s="168">
        <f t="shared" si="304"/>
        <v>0</v>
      </c>
      <c r="N2088" s="241" t="s">
        <v>453</v>
      </c>
    </row>
    <row r="2089" spans="1:14" ht="15" customHeight="1">
      <c r="A2089" s="58">
        <v>2088</v>
      </c>
      <c r="B2089" s="61" t="s">
        <v>52</v>
      </c>
      <c r="C2089" s="61" t="s">
        <v>10</v>
      </c>
      <c r="D2089" s="292" t="s">
        <v>3905</v>
      </c>
      <c r="E2089" s="301">
        <v>0</v>
      </c>
      <c r="F2089" s="301">
        <v>427</v>
      </c>
      <c r="G2089" s="168">
        <f t="shared" si="298"/>
        <v>2.84</v>
      </c>
      <c r="H2089" s="168">
        <f t="shared" si="299"/>
        <v>5.68</v>
      </c>
      <c r="I2089" s="168">
        <f t="shared" si="300"/>
        <v>4.26</v>
      </c>
      <c r="J2089" s="168">
        <f t="shared" si="301"/>
        <v>7.1</v>
      </c>
      <c r="K2089" s="168">
        <f t="shared" si="302"/>
        <v>7.1</v>
      </c>
      <c r="L2089" s="168">
        <f t="shared" si="303"/>
        <v>1.1067499999999999</v>
      </c>
      <c r="M2089" s="168">
        <f t="shared" si="304"/>
        <v>0</v>
      </c>
      <c r="N2089" s="241" t="s">
        <v>453</v>
      </c>
    </row>
    <row r="2090" spans="1:14" ht="15" customHeight="1">
      <c r="A2090" s="58">
        <v>2089</v>
      </c>
      <c r="B2090" s="61" t="s">
        <v>52</v>
      </c>
      <c r="C2090" s="61" t="s">
        <v>10</v>
      </c>
      <c r="D2090" s="292" t="s">
        <v>3906</v>
      </c>
      <c r="E2090" s="301">
        <v>107</v>
      </c>
      <c r="F2090" s="301">
        <v>0</v>
      </c>
      <c r="G2090" s="168">
        <f t="shared" si="298"/>
        <v>0.4</v>
      </c>
      <c r="H2090" s="168">
        <f t="shared" si="299"/>
        <v>0.8</v>
      </c>
      <c r="I2090" s="168">
        <f t="shared" si="300"/>
        <v>0.6</v>
      </c>
      <c r="J2090" s="168">
        <f t="shared" si="301"/>
        <v>1</v>
      </c>
      <c r="K2090" s="168">
        <f t="shared" si="302"/>
        <v>1</v>
      </c>
      <c r="L2090" s="168">
        <f t="shared" si="303"/>
        <v>1</v>
      </c>
      <c r="M2090" s="168">
        <f t="shared" si="304"/>
        <v>1.7833333333333334</v>
      </c>
      <c r="N2090" s="241" t="s">
        <v>453</v>
      </c>
    </row>
    <row r="2091" spans="1:14" ht="15" customHeight="1">
      <c r="A2091" s="58">
        <v>2090</v>
      </c>
      <c r="B2091" s="61" t="s">
        <v>52</v>
      </c>
      <c r="C2091" s="61" t="s">
        <v>10</v>
      </c>
      <c r="D2091" s="292" t="s">
        <v>4700</v>
      </c>
      <c r="E2091" s="301">
        <v>0</v>
      </c>
      <c r="F2091" s="301">
        <v>1400</v>
      </c>
      <c r="G2091" s="168">
        <f t="shared" si="298"/>
        <v>8.4</v>
      </c>
      <c r="H2091" s="168">
        <f t="shared" si="299"/>
        <v>16.8</v>
      </c>
      <c r="I2091" s="168">
        <f t="shared" si="300"/>
        <v>12.6</v>
      </c>
      <c r="J2091" s="168">
        <f t="shared" si="301"/>
        <v>21</v>
      </c>
      <c r="K2091" s="168">
        <f t="shared" si="302"/>
        <v>21</v>
      </c>
      <c r="L2091" s="168">
        <f t="shared" si="303"/>
        <v>1.35</v>
      </c>
      <c r="M2091" s="168">
        <f t="shared" si="304"/>
        <v>0</v>
      </c>
      <c r="N2091" s="241" t="s">
        <v>453</v>
      </c>
    </row>
    <row r="2092" spans="1:14" ht="15" customHeight="1">
      <c r="A2092" s="58">
        <v>2091</v>
      </c>
      <c r="B2092" s="61" t="s">
        <v>52</v>
      </c>
      <c r="C2092" s="61" t="s">
        <v>10</v>
      </c>
      <c r="D2092" s="292" t="s">
        <v>3908</v>
      </c>
      <c r="E2092" s="301">
        <v>160</v>
      </c>
      <c r="F2092" s="301">
        <v>0</v>
      </c>
      <c r="G2092" s="168">
        <f t="shared" si="298"/>
        <v>0.4</v>
      </c>
      <c r="H2092" s="168">
        <f t="shared" si="299"/>
        <v>0.8</v>
      </c>
      <c r="I2092" s="168">
        <f t="shared" si="300"/>
        <v>0.6</v>
      </c>
      <c r="J2092" s="168">
        <f t="shared" si="301"/>
        <v>1</v>
      </c>
      <c r="K2092" s="168">
        <f t="shared" si="302"/>
        <v>1</v>
      </c>
      <c r="L2092" s="168">
        <f t="shared" si="303"/>
        <v>1</v>
      </c>
      <c r="M2092" s="168">
        <f t="shared" si="304"/>
        <v>2.6666666666666665</v>
      </c>
      <c r="N2092" s="241" t="s">
        <v>453</v>
      </c>
    </row>
    <row r="2093" spans="1:14" ht="15" customHeight="1">
      <c r="A2093" s="58">
        <v>2092</v>
      </c>
      <c r="B2093" s="61" t="s">
        <v>52</v>
      </c>
      <c r="C2093" s="61" t="s">
        <v>10</v>
      </c>
      <c r="D2093" s="292" t="s">
        <v>3909</v>
      </c>
      <c r="E2093" s="301">
        <v>259</v>
      </c>
      <c r="F2093" s="301">
        <v>0</v>
      </c>
      <c r="G2093" s="168">
        <f t="shared" si="298"/>
        <v>0.4</v>
      </c>
      <c r="H2093" s="168">
        <f t="shared" si="299"/>
        <v>0.8</v>
      </c>
      <c r="I2093" s="168">
        <f t="shared" si="300"/>
        <v>0.6</v>
      </c>
      <c r="J2093" s="168">
        <f t="shared" si="301"/>
        <v>1</v>
      </c>
      <c r="K2093" s="168">
        <f t="shared" si="302"/>
        <v>1</v>
      </c>
      <c r="L2093" s="168">
        <f t="shared" si="303"/>
        <v>1</v>
      </c>
      <c r="M2093" s="168">
        <f t="shared" si="304"/>
        <v>4.3166666666666664</v>
      </c>
      <c r="N2093" s="241" t="s">
        <v>453</v>
      </c>
    </row>
    <row r="2094" spans="1:14" ht="15" customHeight="1">
      <c r="A2094" s="58">
        <v>2093</v>
      </c>
      <c r="B2094" s="61" t="s">
        <v>50</v>
      </c>
      <c r="C2094" s="61" t="s">
        <v>10</v>
      </c>
      <c r="D2094" s="292" t="s">
        <v>3910</v>
      </c>
      <c r="E2094" s="301">
        <v>0</v>
      </c>
      <c r="F2094" s="301">
        <v>2500</v>
      </c>
      <c r="G2094" s="168">
        <f t="shared" si="298"/>
        <v>14.685714285714287</v>
      </c>
      <c r="H2094" s="168">
        <f t="shared" si="299"/>
        <v>29.371428571428574</v>
      </c>
      <c r="I2094" s="168">
        <f t="shared" si="300"/>
        <v>22.028571428571428</v>
      </c>
      <c r="J2094" s="168">
        <f t="shared" si="301"/>
        <v>36.714285714285715</v>
      </c>
      <c r="K2094" s="168">
        <f t="shared" si="302"/>
        <v>36.714285714285715</v>
      </c>
      <c r="L2094" s="168">
        <f t="shared" si="303"/>
        <v>1.625</v>
      </c>
      <c r="M2094" s="168">
        <f t="shared" si="304"/>
        <v>0</v>
      </c>
      <c r="N2094" s="241" t="s">
        <v>453</v>
      </c>
    </row>
    <row r="2095" spans="1:14" ht="15" customHeight="1">
      <c r="A2095" s="58">
        <v>2094</v>
      </c>
      <c r="B2095" s="61" t="s">
        <v>49</v>
      </c>
      <c r="C2095" s="61" t="s">
        <v>10</v>
      </c>
      <c r="D2095" s="292" t="s">
        <v>3911</v>
      </c>
      <c r="E2095" s="301">
        <v>240</v>
      </c>
      <c r="F2095" s="301">
        <v>0</v>
      </c>
      <c r="G2095" s="168">
        <f t="shared" si="298"/>
        <v>0.4</v>
      </c>
      <c r="H2095" s="168">
        <f t="shared" si="299"/>
        <v>0.8</v>
      </c>
      <c r="I2095" s="168">
        <f t="shared" si="300"/>
        <v>0.6</v>
      </c>
      <c r="J2095" s="168">
        <f t="shared" si="301"/>
        <v>1</v>
      </c>
      <c r="K2095" s="168">
        <f t="shared" si="302"/>
        <v>1</v>
      </c>
      <c r="L2095" s="168">
        <f t="shared" si="303"/>
        <v>1</v>
      </c>
      <c r="M2095" s="168">
        <f t="shared" si="304"/>
        <v>4</v>
      </c>
      <c r="N2095" s="241" t="s">
        <v>453</v>
      </c>
    </row>
    <row r="2096" spans="1:14" ht="15" customHeight="1">
      <c r="A2096" s="58">
        <v>2095</v>
      </c>
      <c r="B2096" s="61" t="s">
        <v>52</v>
      </c>
      <c r="C2096" s="61" t="s">
        <v>10</v>
      </c>
      <c r="D2096" s="292" t="s">
        <v>3912</v>
      </c>
      <c r="E2096" s="301">
        <v>300</v>
      </c>
      <c r="F2096" s="301">
        <v>0</v>
      </c>
      <c r="G2096" s="168">
        <f t="shared" si="298"/>
        <v>0.4</v>
      </c>
      <c r="H2096" s="168">
        <f t="shared" si="299"/>
        <v>0.8</v>
      </c>
      <c r="I2096" s="168">
        <f t="shared" si="300"/>
        <v>0.6</v>
      </c>
      <c r="J2096" s="168">
        <f t="shared" si="301"/>
        <v>1</v>
      </c>
      <c r="K2096" s="168">
        <f t="shared" si="302"/>
        <v>1</v>
      </c>
      <c r="L2096" s="168">
        <f t="shared" si="303"/>
        <v>1</v>
      </c>
      <c r="M2096" s="168">
        <f t="shared" si="304"/>
        <v>5</v>
      </c>
      <c r="N2096" s="241" t="s">
        <v>453</v>
      </c>
    </row>
    <row r="2097" spans="1:14" ht="15" customHeight="1">
      <c r="A2097" s="58">
        <v>2096</v>
      </c>
      <c r="B2097" s="61" t="s">
        <v>52</v>
      </c>
      <c r="C2097" s="61" t="s">
        <v>10</v>
      </c>
      <c r="D2097" s="292" t="s">
        <v>3913</v>
      </c>
      <c r="E2097" s="301">
        <v>322</v>
      </c>
      <c r="F2097" s="301">
        <v>0</v>
      </c>
      <c r="G2097" s="168" t="s">
        <v>3535</v>
      </c>
      <c r="H2097" s="168" t="s">
        <v>3535</v>
      </c>
      <c r="I2097" s="168" t="s">
        <v>3535</v>
      </c>
      <c r="J2097" s="168" t="s">
        <v>3535</v>
      </c>
      <c r="K2097" s="168" t="s">
        <v>3535</v>
      </c>
      <c r="L2097" s="168" t="s">
        <v>3535</v>
      </c>
      <c r="M2097" s="168">
        <f>E2097/40</f>
        <v>8.0500000000000007</v>
      </c>
      <c r="N2097" s="241" t="s">
        <v>453</v>
      </c>
    </row>
    <row r="2098" spans="1:14" ht="15" customHeight="1">
      <c r="A2098" s="58">
        <v>2097</v>
      </c>
      <c r="B2098" s="61" t="s">
        <v>52</v>
      </c>
      <c r="C2098" s="61" t="s">
        <v>10</v>
      </c>
      <c r="D2098" s="292" t="s">
        <v>3914</v>
      </c>
      <c r="E2098" s="301">
        <v>206</v>
      </c>
      <c r="F2098" s="301">
        <v>0</v>
      </c>
      <c r="G2098" s="168">
        <f t="shared" si="298"/>
        <v>0.4</v>
      </c>
      <c r="H2098" s="168">
        <f t="shared" si="299"/>
        <v>0.8</v>
      </c>
      <c r="I2098" s="168">
        <f t="shared" si="300"/>
        <v>0.6</v>
      </c>
      <c r="J2098" s="168">
        <f t="shared" si="301"/>
        <v>1</v>
      </c>
      <c r="K2098" s="168">
        <f t="shared" si="302"/>
        <v>1</v>
      </c>
      <c r="L2098" s="168">
        <f t="shared" si="303"/>
        <v>1</v>
      </c>
      <c r="M2098" s="168">
        <f t="shared" si="304"/>
        <v>3.4333333333333331</v>
      </c>
      <c r="N2098" s="241" t="s">
        <v>453</v>
      </c>
    </row>
    <row r="2099" spans="1:14" ht="15" customHeight="1">
      <c r="A2099" s="58">
        <v>2098</v>
      </c>
      <c r="B2099" s="61" t="s">
        <v>52</v>
      </c>
      <c r="C2099" s="61" t="s">
        <v>10</v>
      </c>
      <c r="D2099" s="292" t="s">
        <v>3915</v>
      </c>
      <c r="E2099" s="301">
        <v>300</v>
      </c>
      <c r="F2099" s="301">
        <v>0</v>
      </c>
      <c r="G2099" s="168">
        <f t="shared" si="298"/>
        <v>0.4</v>
      </c>
      <c r="H2099" s="168">
        <f t="shared" si="299"/>
        <v>0.8</v>
      </c>
      <c r="I2099" s="168">
        <f t="shared" si="300"/>
        <v>0.6</v>
      </c>
      <c r="J2099" s="168">
        <f t="shared" si="301"/>
        <v>1</v>
      </c>
      <c r="K2099" s="168">
        <f t="shared" si="302"/>
        <v>1</v>
      </c>
      <c r="L2099" s="168">
        <f t="shared" si="303"/>
        <v>1</v>
      </c>
      <c r="M2099" s="168">
        <f t="shared" si="304"/>
        <v>5</v>
      </c>
      <c r="N2099" s="241" t="s">
        <v>453</v>
      </c>
    </row>
    <row r="2100" spans="1:14" ht="15" customHeight="1">
      <c r="A2100" s="58">
        <v>2099</v>
      </c>
      <c r="B2100" s="61" t="s">
        <v>52</v>
      </c>
      <c r="C2100" s="61" t="s">
        <v>10</v>
      </c>
      <c r="D2100" s="292" t="s">
        <v>3916</v>
      </c>
      <c r="E2100" s="301">
        <v>324</v>
      </c>
      <c r="F2100" s="301">
        <v>0</v>
      </c>
      <c r="G2100" s="168">
        <f t="shared" si="298"/>
        <v>0.4</v>
      </c>
      <c r="H2100" s="168">
        <f t="shared" si="299"/>
        <v>0.8</v>
      </c>
      <c r="I2100" s="168">
        <f t="shared" si="300"/>
        <v>0.6</v>
      </c>
      <c r="J2100" s="168">
        <f t="shared" si="301"/>
        <v>1</v>
      </c>
      <c r="K2100" s="168">
        <f t="shared" si="302"/>
        <v>1</v>
      </c>
      <c r="L2100" s="168">
        <f t="shared" si="303"/>
        <v>1</v>
      </c>
      <c r="M2100" s="168">
        <f t="shared" si="304"/>
        <v>5.4</v>
      </c>
      <c r="N2100" s="241" t="s">
        <v>453</v>
      </c>
    </row>
    <row r="2101" spans="1:14" ht="15" customHeight="1">
      <c r="A2101" s="58">
        <v>2100</v>
      </c>
      <c r="B2101" s="61" t="s">
        <v>52</v>
      </c>
      <c r="C2101" s="61" t="s">
        <v>10</v>
      </c>
      <c r="D2101" s="292" t="s">
        <v>3917</v>
      </c>
      <c r="E2101" s="301">
        <v>470</v>
      </c>
      <c r="F2101" s="301">
        <v>0</v>
      </c>
      <c r="G2101" s="168">
        <f t="shared" si="298"/>
        <v>0.4</v>
      </c>
      <c r="H2101" s="168">
        <f t="shared" si="299"/>
        <v>0.8</v>
      </c>
      <c r="I2101" s="168">
        <f t="shared" si="300"/>
        <v>0.6</v>
      </c>
      <c r="J2101" s="168">
        <f t="shared" si="301"/>
        <v>1</v>
      </c>
      <c r="K2101" s="168">
        <f t="shared" si="302"/>
        <v>1</v>
      </c>
      <c r="L2101" s="168">
        <f t="shared" si="303"/>
        <v>1</v>
      </c>
      <c r="M2101" s="168">
        <f t="shared" si="304"/>
        <v>7.833333333333333</v>
      </c>
      <c r="N2101" s="241" t="s">
        <v>453</v>
      </c>
    </row>
    <row r="2102" spans="1:14" ht="15" customHeight="1">
      <c r="A2102" s="58">
        <v>2101</v>
      </c>
      <c r="B2102" s="61" t="s">
        <v>52</v>
      </c>
      <c r="C2102" s="61" t="s">
        <v>10</v>
      </c>
      <c r="D2102" s="292" t="s">
        <v>3918</v>
      </c>
      <c r="E2102" s="301">
        <v>200</v>
      </c>
      <c r="F2102" s="301">
        <v>1000</v>
      </c>
      <c r="G2102" s="168">
        <f t="shared" si="298"/>
        <v>6.1142857142857148</v>
      </c>
      <c r="H2102" s="168">
        <f t="shared" si="299"/>
        <v>12.22857142857143</v>
      </c>
      <c r="I2102" s="168">
        <f t="shared" si="300"/>
        <v>9.1714285714285708</v>
      </c>
      <c r="J2102" s="168">
        <f t="shared" si="301"/>
        <v>15.285714285714285</v>
      </c>
      <c r="K2102" s="168">
        <f t="shared" si="302"/>
        <v>15.285714285714285</v>
      </c>
      <c r="L2102" s="168">
        <f t="shared" si="303"/>
        <v>1.25</v>
      </c>
      <c r="M2102" s="168">
        <f t="shared" si="304"/>
        <v>3.3333333333333335</v>
      </c>
      <c r="N2102" s="241" t="s">
        <v>453</v>
      </c>
    </row>
    <row r="2103" spans="1:14" ht="15" customHeight="1">
      <c r="A2103" s="58">
        <v>2102</v>
      </c>
      <c r="B2103" s="61" t="s">
        <v>52</v>
      </c>
      <c r="C2103" s="61" t="s">
        <v>10</v>
      </c>
      <c r="D2103" s="292" t="s">
        <v>3919</v>
      </c>
      <c r="E2103" s="301">
        <v>100</v>
      </c>
      <c r="F2103" s="301">
        <v>0</v>
      </c>
      <c r="G2103" s="168">
        <f t="shared" si="298"/>
        <v>0.4</v>
      </c>
      <c r="H2103" s="168">
        <f t="shared" si="299"/>
        <v>0.8</v>
      </c>
      <c r="I2103" s="168">
        <f t="shared" si="300"/>
        <v>0.6</v>
      </c>
      <c r="J2103" s="168">
        <f t="shared" si="301"/>
        <v>1</v>
      </c>
      <c r="K2103" s="168">
        <f t="shared" si="302"/>
        <v>1</v>
      </c>
      <c r="L2103" s="168">
        <f t="shared" si="303"/>
        <v>1</v>
      </c>
      <c r="M2103" s="168">
        <f t="shared" si="304"/>
        <v>1.6666666666666667</v>
      </c>
      <c r="N2103" s="241" t="s">
        <v>453</v>
      </c>
    </row>
    <row r="2104" spans="1:14" ht="15" customHeight="1">
      <c r="A2104" s="58">
        <v>2103</v>
      </c>
      <c r="B2104" s="61" t="s">
        <v>59</v>
      </c>
      <c r="C2104" s="61" t="s">
        <v>10</v>
      </c>
      <c r="D2104" s="292" t="s">
        <v>3920</v>
      </c>
      <c r="E2104" s="301">
        <v>0</v>
      </c>
      <c r="F2104" s="301">
        <v>177</v>
      </c>
      <c r="G2104" s="168">
        <f t="shared" si="298"/>
        <v>1.4114285714285715</v>
      </c>
      <c r="H2104" s="168">
        <f t="shared" si="299"/>
        <v>2.822857142857143</v>
      </c>
      <c r="I2104" s="168">
        <f t="shared" si="300"/>
        <v>2.117142857142857</v>
      </c>
      <c r="J2104" s="168">
        <f t="shared" si="301"/>
        <v>3.5285714285714285</v>
      </c>
      <c r="K2104" s="168">
        <f t="shared" si="302"/>
        <v>3.5285714285714285</v>
      </c>
      <c r="L2104" s="168">
        <f t="shared" si="303"/>
        <v>1.0442499999999999</v>
      </c>
      <c r="M2104" s="168">
        <f t="shared" si="304"/>
        <v>0</v>
      </c>
      <c r="N2104" s="241" t="s">
        <v>453</v>
      </c>
    </row>
    <row r="2105" spans="1:14" ht="15" customHeight="1">
      <c r="A2105" s="58">
        <v>2104</v>
      </c>
      <c r="B2105" s="61" t="s">
        <v>59</v>
      </c>
      <c r="C2105" s="61" t="s">
        <v>10</v>
      </c>
      <c r="D2105" s="292" t="s">
        <v>3921</v>
      </c>
      <c r="E2105" s="301">
        <v>0</v>
      </c>
      <c r="F2105" s="301">
        <v>66</v>
      </c>
      <c r="G2105" s="168">
        <f t="shared" si="298"/>
        <v>0.77714285714285714</v>
      </c>
      <c r="H2105" s="168">
        <f t="shared" si="299"/>
        <v>1.5542857142857143</v>
      </c>
      <c r="I2105" s="168">
        <f t="shared" si="300"/>
        <v>1.1657142857142857</v>
      </c>
      <c r="J2105" s="168">
        <f t="shared" si="301"/>
        <v>1.9428571428571428</v>
      </c>
      <c r="K2105" s="168">
        <f t="shared" si="302"/>
        <v>1.9428571428571428</v>
      </c>
      <c r="L2105" s="168">
        <f t="shared" si="303"/>
        <v>1.0165</v>
      </c>
      <c r="M2105" s="168">
        <f t="shared" si="304"/>
        <v>0</v>
      </c>
      <c r="N2105" s="241" t="s">
        <v>453</v>
      </c>
    </row>
    <row r="2106" spans="1:14" ht="15" customHeight="1">
      <c r="A2106" s="58">
        <v>2105</v>
      </c>
      <c r="B2106" s="61" t="s">
        <v>52</v>
      </c>
      <c r="C2106" s="61" t="s">
        <v>10</v>
      </c>
      <c r="D2106" s="292" t="s">
        <v>3922</v>
      </c>
      <c r="E2106" s="301">
        <v>0</v>
      </c>
      <c r="F2106" s="301">
        <v>208</v>
      </c>
      <c r="G2106" s="168">
        <f t="shared" si="298"/>
        <v>1.5885714285714287</v>
      </c>
      <c r="H2106" s="168">
        <f t="shared" si="299"/>
        <v>3.1771428571428575</v>
      </c>
      <c r="I2106" s="168">
        <f t="shared" si="300"/>
        <v>2.382857142857143</v>
      </c>
      <c r="J2106" s="168">
        <f t="shared" si="301"/>
        <v>3.9714285714285715</v>
      </c>
      <c r="K2106" s="168">
        <f t="shared" si="302"/>
        <v>3.9714285714285715</v>
      </c>
      <c r="L2106" s="168">
        <f t="shared" si="303"/>
        <v>1.052</v>
      </c>
      <c r="M2106" s="168">
        <f t="shared" si="304"/>
        <v>0</v>
      </c>
      <c r="N2106" s="241" t="s">
        <v>453</v>
      </c>
    </row>
    <row r="2107" spans="1:14" ht="15" customHeight="1">
      <c r="A2107" s="58">
        <v>2106</v>
      </c>
      <c r="B2107" s="61" t="s">
        <v>52</v>
      </c>
      <c r="C2107" s="61" t="s">
        <v>10</v>
      </c>
      <c r="D2107" s="292" t="s">
        <v>3923</v>
      </c>
      <c r="E2107" s="301">
        <v>673</v>
      </c>
      <c r="F2107" s="301">
        <v>0</v>
      </c>
      <c r="G2107" s="168">
        <f t="shared" si="298"/>
        <v>0.4</v>
      </c>
      <c r="H2107" s="168">
        <f t="shared" si="299"/>
        <v>0.8</v>
      </c>
      <c r="I2107" s="168">
        <f t="shared" si="300"/>
        <v>0.6</v>
      </c>
      <c r="J2107" s="168">
        <f t="shared" si="301"/>
        <v>1</v>
      </c>
      <c r="K2107" s="168">
        <f t="shared" si="302"/>
        <v>1</v>
      </c>
      <c r="L2107" s="168">
        <f t="shared" si="303"/>
        <v>1</v>
      </c>
      <c r="M2107" s="168">
        <f t="shared" si="304"/>
        <v>11.216666666666667</v>
      </c>
      <c r="N2107" s="241" t="s">
        <v>453</v>
      </c>
    </row>
    <row r="2108" spans="1:14" ht="15" customHeight="1">
      <c r="A2108" s="58">
        <v>2107</v>
      </c>
      <c r="B2108" s="61" t="s">
        <v>52</v>
      </c>
      <c r="C2108" s="61" t="s">
        <v>10</v>
      </c>
      <c r="D2108" s="292" t="s">
        <v>3924</v>
      </c>
      <c r="E2108" s="301">
        <v>338</v>
      </c>
      <c r="F2108" s="301">
        <v>0</v>
      </c>
      <c r="G2108" s="168">
        <f t="shared" si="298"/>
        <v>0.4</v>
      </c>
      <c r="H2108" s="168">
        <f t="shared" si="299"/>
        <v>0.8</v>
      </c>
      <c r="I2108" s="168">
        <f t="shared" si="300"/>
        <v>0.6</v>
      </c>
      <c r="J2108" s="168">
        <f t="shared" si="301"/>
        <v>1</v>
      </c>
      <c r="K2108" s="168">
        <f t="shared" si="302"/>
        <v>1</v>
      </c>
      <c r="L2108" s="168">
        <f t="shared" si="303"/>
        <v>1</v>
      </c>
      <c r="M2108" s="168">
        <f t="shared" si="304"/>
        <v>5.6333333333333337</v>
      </c>
      <c r="N2108" s="241" t="s">
        <v>453</v>
      </c>
    </row>
    <row r="2109" spans="1:14" ht="15" customHeight="1">
      <c r="A2109" s="58">
        <v>2108</v>
      </c>
      <c r="B2109" s="61" t="s">
        <v>52</v>
      </c>
      <c r="C2109" s="61" t="s">
        <v>10</v>
      </c>
      <c r="D2109" s="292" t="s">
        <v>3925</v>
      </c>
      <c r="E2109" s="301">
        <v>0</v>
      </c>
      <c r="F2109" s="301">
        <v>0</v>
      </c>
      <c r="G2109" s="168">
        <f t="shared" si="298"/>
        <v>0.4</v>
      </c>
      <c r="H2109" s="168">
        <f t="shared" si="299"/>
        <v>0.8</v>
      </c>
      <c r="I2109" s="168">
        <f t="shared" si="300"/>
        <v>0.6</v>
      </c>
      <c r="J2109" s="168">
        <f t="shared" si="301"/>
        <v>1</v>
      </c>
      <c r="K2109" s="168">
        <f t="shared" si="302"/>
        <v>1</v>
      </c>
      <c r="L2109" s="168">
        <f t="shared" si="303"/>
        <v>1</v>
      </c>
      <c r="M2109" s="168">
        <f t="shared" si="304"/>
        <v>0</v>
      </c>
      <c r="N2109" s="241" t="s">
        <v>453</v>
      </c>
    </row>
    <row r="2110" spans="1:14" ht="15" customHeight="1">
      <c r="A2110" s="58">
        <v>2109</v>
      </c>
      <c r="B2110" s="61" t="s">
        <v>55</v>
      </c>
      <c r="C2110" s="61" t="s">
        <v>10</v>
      </c>
      <c r="D2110" s="292" t="s">
        <v>3926</v>
      </c>
      <c r="E2110" s="301">
        <v>150</v>
      </c>
      <c r="F2110" s="301">
        <v>0</v>
      </c>
      <c r="G2110" s="168">
        <f t="shared" si="298"/>
        <v>0.4</v>
      </c>
      <c r="H2110" s="168">
        <f t="shared" si="299"/>
        <v>0.8</v>
      </c>
      <c r="I2110" s="168">
        <f t="shared" si="300"/>
        <v>0.6</v>
      </c>
      <c r="J2110" s="168">
        <f t="shared" si="301"/>
        <v>1</v>
      </c>
      <c r="K2110" s="168">
        <f t="shared" si="302"/>
        <v>1</v>
      </c>
      <c r="L2110" s="168">
        <f t="shared" si="303"/>
        <v>1</v>
      </c>
      <c r="M2110" s="168">
        <f t="shared" si="304"/>
        <v>2.5</v>
      </c>
      <c r="N2110" s="241" t="s">
        <v>453</v>
      </c>
    </row>
    <row r="2111" spans="1:14" ht="15" customHeight="1">
      <c r="A2111" s="58">
        <v>2110</v>
      </c>
      <c r="B2111" s="61" t="s">
        <v>52</v>
      </c>
      <c r="C2111" s="61" t="s">
        <v>10</v>
      </c>
      <c r="D2111" s="292" t="s">
        <v>3927</v>
      </c>
      <c r="E2111" s="301">
        <v>208</v>
      </c>
      <c r="F2111" s="301">
        <v>0</v>
      </c>
      <c r="G2111" s="168">
        <f t="shared" si="298"/>
        <v>0.4</v>
      </c>
      <c r="H2111" s="168">
        <f t="shared" si="299"/>
        <v>0.8</v>
      </c>
      <c r="I2111" s="168">
        <f t="shared" si="300"/>
        <v>0.6</v>
      </c>
      <c r="J2111" s="168">
        <f t="shared" si="301"/>
        <v>1</v>
      </c>
      <c r="K2111" s="168">
        <f t="shared" si="302"/>
        <v>1</v>
      </c>
      <c r="L2111" s="168">
        <f t="shared" si="303"/>
        <v>1</v>
      </c>
      <c r="M2111" s="168">
        <f t="shared" si="304"/>
        <v>3.4666666666666668</v>
      </c>
      <c r="N2111" s="241" t="s">
        <v>453</v>
      </c>
    </row>
    <row r="2112" spans="1:14" ht="15" customHeight="1">
      <c r="A2112" s="58">
        <v>2111</v>
      </c>
      <c r="B2112" s="61" t="s">
        <v>50</v>
      </c>
      <c r="C2112" s="61" t="s">
        <v>10</v>
      </c>
      <c r="D2112" s="292" t="s">
        <v>3928</v>
      </c>
      <c r="E2112" s="301">
        <v>0</v>
      </c>
      <c r="F2112" s="301">
        <v>981</v>
      </c>
      <c r="G2112" s="168" t="s">
        <v>3535</v>
      </c>
      <c r="H2112" s="168" t="s">
        <v>3535</v>
      </c>
      <c r="I2112" s="168" t="s">
        <v>3535</v>
      </c>
      <c r="J2112" s="168" t="s">
        <v>3535</v>
      </c>
      <c r="K2112" s="168" t="s">
        <v>3535</v>
      </c>
      <c r="L2112" s="168" t="s">
        <v>3535</v>
      </c>
      <c r="M2112" s="168">
        <f t="shared" ref="M2112:M2114" si="305">E2112/40</f>
        <v>0</v>
      </c>
      <c r="N2112" s="241" t="s">
        <v>453</v>
      </c>
    </row>
    <row r="2113" spans="1:14" ht="15" customHeight="1">
      <c r="A2113" s="58">
        <v>2112</v>
      </c>
      <c r="B2113" s="61" t="s">
        <v>55</v>
      </c>
      <c r="C2113" s="61" t="s">
        <v>10</v>
      </c>
      <c r="D2113" s="292" t="s">
        <v>3929</v>
      </c>
      <c r="E2113" s="301">
        <v>0</v>
      </c>
      <c r="F2113" s="301">
        <v>632</v>
      </c>
      <c r="G2113" s="168" t="s">
        <v>3535</v>
      </c>
      <c r="H2113" s="168" t="s">
        <v>3535</v>
      </c>
      <c r="I2113" s="168" t="s">
        <v>3535</v>
      </c>
      <c r="J2113" s="168" t="s">
        <v>3535</v>
      </c>
      <c r="K2113" s="168" t="s">
        <v>3535</v>
      </c>
      <c r="L2113" s="168" t="s">
        <v>3535</v>
      </c>
      <c r="M2113" s="168">
        <f t="shared" si="305"/>
        <v>0</v>
      </c>
      <c r="N2113" s="241" t="s">
        <v>453</v>
      </c>
    </row>
    <row r="2114" spans="1:14" ht="15" customHeight="1">
      <c r="A2114" s="58">
        <v>2113</v>
      </c>
      <c r="B2114" s="61" t="s">
        <v>52</v>
      </c>
      <c r="C2114" s="61" t="s">
        <v>10</v>
      </c>
      <c r="D2114" s="292" t="s">
        <v>3930</v>
      </c>
      <c r="E2114" s="301">
        <v>0</v>
      </c>
      <c r="F2114" s="301">
        <v>821</v>
      </c>
      <c r="G2114" s="168" t="s">
        <v>3535</v>
      </c>
      <c r="H2114" s="168" t="s">
        <v>3535</v>
      </c>
      <c r="I2114" s="168" t="s">
        <v>3535</v>
      </c>
      <c r="J2114" s="168" t="s">
        <v>3535</v>
      </c>
      <c r="K2114" s="168" t="s">
        <v>3535</v>
      </c>
      <c r="L2114" s="168" t="s">
        <v>3535</v>
      </c>
      <c r="M2114" s="168">
        <f t="shared" si="305"/>
        <v>0</v>
      </c>
      <c r="N2114" s="241" t="s">
        <v>453</v>
      </c>
    </row>
    <row r="2115" spans="1:14" ht="15" customHeight="1">
      <c r="A2115" s="58">
        <v>2114</v>
      </c>
      <c r="B2115" s="61" t="s">
        <v>52</v>
      </c>
      <c r="C2115" s="61" t="s">
        <v>10</v>
      </c>
      <c r="D2115" s="292" t="s">
        <v>3931</v>
      </c>
      <c r="E2115" s="301">
        <v>0</v>
      </c>
      <c r="F2115" s="301">
        <v>0</v>
      </c>
      <c r="G2115" s="168">
        <f t="shared" si="298"/>
        <v>0.4</v>
      </c>
      <c r="H2115" s="168">
        <f t="shared" si="299"/>
        <v>0.8</v>
      </c>
      <c r="I2115" s="168">
        <f t="shared" si="300"/>
        <v>0.6</v>
      </c>
      <c r="J2115" s="168">
        <f t="shared" si="301"/>
        <v>1</v>
      </c>
      <c r="K2115" s="168">
        <f t="shared" si="302"/>
        <v>1</v>
      </c>
      <c r="L2115" s="168">
        <f t="shared" si="303"/>
        <v>1</v>
      </c>
      <c r="M2115" s="168">
        <f t="shared" si="304"/>
        <v>0</v>
      </c>
      <c r="N2115" s="241" t="s">
        <v>453</v>
      </c>
    </row>
    <row r="2116" spans="1:14" ht="15" customHeight="1">
      <c r="A2116" s="58">
        <v>2115</v>
      </c>
      <c r="B2116" s="61" t="s">
        <v>53</v>
      </c>
      <c r="C2116" s="61" t="s">
        <v>10</v>
      </c>
      <c r="D2116" s="292" t="s">
        <v>3932</v>
      </c>
      <c r="E2116" s="301">
        <v>271</v>
      </c>
      <c r="F2116" s="301">
        <v>0</v>
      </c>
      <c r="G2116" s="168" t="s">
        <v>3535</v>
      </c>
      <c r="H2116" s="168" t="s">
        <v>3535</v>
      </c>
      <c r="I2116" s="168" t="s">
        <v>3535</v>
      </c>
      <c r="J2116" s="168" t="s">
        <v>3535</v>
      </c>
      <c r="K2116" s="168" t="s">
        <v>3535</v>
      </c>
      <c r="L2116" s="168" t="s">
        <v>3535</v>
      </c>
      <c r="M2116" s="168">
        <f t="shared" ref="M2116" si="306">E2116/40</f>
        <v>6.7750000000000004</v>
      </c>
      <c r="N2116" s="241" t="s">
        <v>453</v>
      </c>
    </row>
    <row r="2117" spans="1:14" ht="15" customHeight="1">
      <c r="A2117" s="58">
        <v>2116</v>
      </c>
      <c r="B2117" s="61" t="s">
        <v>52</v>
      </c>
      <c r="C2117" s="61" t="s">
        <v>10</v>
      </c>
      <c r="D2117" s="292" t="s">
        <v>3933</v>
      </c>
      <c r="E2117" s="301">
        <v>350</v>
      </c>
      <c r="F2117" s="301">
        <v>650</v>
      </c>
      <c r="G2117" s="168">
        <f t="shared" ref="G2117" si="307">(((F2117/70)+1)*0.4)</f>
        <v>4.1142857142857148</v>
      </c>
      <c r="H2117" s="168">
        <f t="shared" ref="H2117" si="308">G2117*2</f>
        <v>8.2285714285714295</v>
      </c>
      <c r="I2117" s="168">
        <f t="shared" ref="I2117" si="309">(((F2117/70)+1)*0.6)</f>
        <v>6.1714285714285717</v>
      </c>
      <c r="J2117" s="168">
        <f t="shared" ref="J2117" si="310">I2117+G2117</f>
        <v>10.285714285714286</v>
      </c>
      <c r="K2117" s="168">
        <f t="shared" ref="K2117" si="311">J2117</f>
        <v>10.285714285714286</v>
      </c>
      <c r="L2117" s="168">
        <f t="shared" ref="L2117" si="312">(F2117/4000)+1</f>
        <v>1.1625000000000001</v>
      </c>
      <c r="M2117" s="168">
        <f t="shared" ref="M2117" si="313">E2117/60</f>
        <v>5.833333333333333</v>
      </c>
      <c r="N2117" s="241" t="s">
        <v>453</v>
      </c>
    </row>
    <row r="2118" spans="1:14" ht="15" customHeight="1">
      <c r="A2118" s="58">
        <v>2117</v>
      </c>
      <c r="B2118" s="61" t="s">
        <v>52</v>
      </c>
      <c r="C2118" s="61" t="s">
        <v>10</v>
      </c>
      <c r="D2118" s="292" t="s">
        <v>3934</v>
      </c>
      <c r="E2118" s="301">
        <v>400</v>
      </c>
      <c r="F2118" s="301">
        <v>0</v>
      </c>
      <c r="G2118" s="168">
        <f t="shared" si="298"/>
        <v>0.4</v>
      </c>
      <c r="H2118" s="168">
        <f t="shared" si="299"/>
        <v>0.8</v>
      </c>
      <c r="I2118" s="168">
        <f t="shared" si="300"/>
        <v>0.6</v>
      </c>
      <c r="J2118" s="168">
        <f t="shared" si="301"/>
        <v>1</v>
      </c>
      <c r="K2118" s="168">
        <f t="shared" si="302"/>
        <v>1</v>
      </c>
      <c r="L2118" s="168">
        <f t="shared" si="303"/>
        <v>1</v>
      </c>
      <c r="M2118" s="168">
        <f t="shared" si="304"/>
        <v>6.666666666666667</v>
      </c>
      <c r="N2118" s="241" t="s">
        <v>453</v>
      </c>
    </row>
    <row r="2119" spans="1:14" ht="15" customHeight="1">
      <c r="A2119" s="58">
        <v>2118</v>
      </c>
      <c r="B2119" s="61" t="s">
        <v>52</v>
      </c>
      <c r="C2119" s="61" t="s">
        <v>10</v>
      </c>
      <c r="D2119" s="292" t="s">
        <v>3935</v>
      </c>
      <c r="E2119" s="301">
        <v>400</v>
      </c>
      <c r="F2119" s="301">
        <v>0</v>
      </c>
      <c r="G2119" s="168">
        <f t="shared" si="298"/>
        <v>0.4</v>
      </c>
      <c r="H2119" s="168">
        <f t="shared" si="299"/>
        <v>0.8</v>
      </c>
      <c r="I2119" s="168">
        <f t="shared" si="300"/>
        <v>0.6</v>
      </c>
      <c r="J2119" s="168">
        <f t="shared" si="301"/>
        <v>1</v>
      </c>
      <c r="K2119" s="168">
        <f t="shared" si="302"/>
        <v>1</v>
      </c>
      <c r="L2119" s="168">
        <f t="shared" si="303"/>
        <v>1</v>
      </c>
      <c r="M2119" s="168">
        <f t="shared" si="304"/>
        <v>6.666666666666667</v>
      </c>
      <c r="N2119" s="241" t="s">
        <v>453</v>
      </c>
    </row>
    <row r="2120" spans="1:14" ht="15" customHeight="1">
      <c r="A2120" s="58">
        <v>2119</v>
      </c>
      <c r="B2120" s="61" t="s">
        <v>52</v>
      </c>
      <c r="C2120" s="61" t="s">
        <v>10</v>
      </c>
      <c r="D2120" s="292" t="s">
        <v>3936</v>
      </c>
      <c r="E2120" s="301">
        <v>152</v>
      </c>
      <c r="F2120" s="301">
        <v>1000</v>
      </c>
      <c r="G2120" s="168">
        <f t="shared" si="298"/>
        <v>6.1142857142857148</v>
      </c>
      <c r="H2120" s="168">
        <f t="shared" si="299"/>
        <v>12.22857142857143</v>
      </c>
      <c r="I2120" s="168">
        <f t="shared" si="300"/>
        <v>9.1714285714285708</v>
      </c>
      <c r="J2120" s="168">
        <f t="shared" si="301"/>
        <v>15.285714285714285</v>
      </c>
      <c r="K2120" s="168">
        <f t="shared" si="302"/>
        <v>15.285714285714285</v>
      </c>
      <c r="L2120" s="168">
        <f t="shared" si="303"/>
        <v>1.25</v>
      </c>
      <c r="M2120" s="168">
        <f t="shared" si="304"/>
        <v>2.5333333333333332</v>
      </c>
      <c r="N2120" s="241" t="s">
        <v>453</v>
      </c>
    </row>
    <row r="2121" spans="1:14" ht="15" customHeight="1">
      <c r="A2121" s="58">
        <v>2120</v>
      </c>
      <c r="B2121" s="61" t="s">
        <v>61</v>
      </c>
      <c r="C2121" s="61" t="s">
        <v>11</v>
      </c>
      <c r="D2121" s="292" t="s">
        <v>3937</v>
      </c>
      <c r="E2121" s="301">
        <v>0</v>
      </c>
      <c r="F2121" s="301">
        <v>336</v>
      </c>
      <c r="G2121" s="168">
        <f t="shared" si="298"/>
        <v>2.3199999999999998</v>
      </c>
      <c r="H2121" s="168">
        <f t="shared" si="299"/>
        <v>4.6399999999999997</v>
      </c>
      <c r="I2121" s="168">
        <f t="shared" si="300"/>
        <v>3.48</v>
      </c>
      <c r="J2121" s="168">
        <f t="shared" si="301"/>
        <v>5.8</v>
      </c>
      <c r="K2121" s="168">
        <f t="shared" si="302"/>
        <v>5.8</v>
      </c>
      <c r="L2121" s="168">
        <f t="shared" si="303"/>
        <v>1.0840000000000001</v>
      </c>
      <c r="M2121" s="168">
        <f t="shared" si="304"/>
        <v>0</v>
      </c>
      <c r="N2121" s="241" t="s">
        <v>453</v>
      </c>
    </row>
    <row r="2122" spans="1:14" ht="15" customHeight="1">
      <c r="A2122" s="58">
        <v>2121</v>
      </c>
      <c r="B2122" s="61" t="s">
        <v>52</v>
      </c>
      <c r="C2122" s="61" t="s">
        <v>10</v>
      </c>
      <c r="D2122" s="292" t="s">
        <v>3938</v>
      </c>
      <c r="E2122" s="301">
        <v>101</v>
      </c>
      <c r="F2122" s="301">
        <v>0</v>
      </c>
      <c r="G2122" s="168">
        <f t="shared" si="298"/>
        <v>0.4</v>
      </c>
      <c r="H2122" s="168">
        <f t="shared" si="299"/>
        <v>0.8</v>
      </c>
      <c r="I2122" s="168">
        <f t="shared" si="300"/>
        <v>0.6</v>
      </c>
      <c r="J2122" s="168">
        <f t="shared" si="301"/>
        <v>1</v>
      </c>
      <c r="K2122" s="168">
        <f t="shared" si="302"/>
        <v>1</v>
      </c>
      <c r="L2122" s="168">
        <f t="shared" si="303"/>
        <v>1</v>
      </c>
      <c r="M2122" s="168">
        <f t="shared" si="304"/>
        <v>1.6833333333333333</v>
      </c>
      <c r="N2122" s="241" t="s">
        <v>453</v>
      </c>
    </row>
    <row r="2123" spans="1:14" ht="15" customHeight="1">
      <c r="A2123" s="58">
        <v>2122</v>
      </c>
      <c r="B2123" s="61" t="s">
        <v>49</v>
      </c>
      <c r="C2123" s="61" t="s">
        <v>10</v>
      </c>
      <c r="D2123" s="292" t="s">
        <v>3939</v>
      </c>
      <c r="E2123" s="301">
        <v>458</v>
      </c>
      <c r="F2123" s="301">
        <v>0</v>
      </c>
      <c r="G2123" s="168">
        <f t="shared" si="298"/>
        <v>0.4</v>
      </c>
      <c r="H2123" s="168">
        <f t="shared" si="299"/>
        <v>0.8</v>
      </c>
      <c r="I2123" s="168">
        <f t="shared" si="300"/>
        <v>0.6</v>
      </c>
      <c r="J2123" s="168">
        <f t="shared" si="301"/>
        <v>1</v>
      </c>
      <c r="K2123" s="168">
        <f t="shared" si="302"/>
        <v>1</v>
      </c>
      <c r="L2123" s="168">
        <f t="shared" si="303"/>
        <v>1</v>
      </c>
      <c r="M2123" s="168">
        <f t="shared" si="304"/>
        <v>7.6333333333333337</v>
      </c>
      <c r="N2123" s="241" t="s">
        <v>453</v>
      </c>
    </row>
    <row r="2124" spans="1:14" ht="15" customHeight="1">
      <c r="A2124" s="58">
        <v>2123</v>
      </c>
      <c r="B2124" s="61" t="s">
        <v>52</v>
      </c>
      <c r="C2124" s="61" t="s">
        <v>10</v>
      </c>
      <c r="D2124" s="292" t="s">
        <v>3940</v>
      </c>
      <c r="E2124" s="301">
        <v>128</v>
      </c>
      <c r="F2124" s="301">
        <v>0</v>
      </c>
      <c r="G2124" s="168">
        <f t="shared" si="298"/>
        <v>0.4</v>
      </c>
      <c r="H2124" s="168">
        <f t="shared" si="299"/>
        <v>0.8</v>
      </c>
      <c r="I2124" s="168">
        <f t="shared" si="300"/>
        <v>0.6</v>
      </c>
      <c r="J2124" s="168">
        <f t="shared" si="301"/>
        <v>1</v>
      </c>
      <c r="K2124" s="168">
        <f t="shared" si="302"/>
        <v>1</v>
      </c>
      <c r="L2124" s="168">
        <f t="shared" si="303"/>
        <v>1</v>
      </c>
      <c r="M2124" s="168">
        <f t="shared" si="304"/>
        <v>2.1333333333333333</v>
      </c>
      <c r="N2124" s="241" t="s">
        <v>453</v>
      </c>
    </row>
    <row r="2125" spans="1:14" ht="15" customHeight="1">
      <c r="A2125" s="58">
        <v>2124</v>
      </c>
      <c r="B2125" s="61" t="s">
        <v>52</v>
      </c>
      <c r="C2125" s="61" t="s">
        <v>10</v>
      </c>
      <c r="D2125" s="292" t="s">
        <v>3941</v>
      </c>
      <c r="E2125" s="301">
        <v>17</v>
      </c>
      <c r="F2125" s="301">
        <v>0</v>
      </c>
      <c r="G2125" s="168">
        <f t="shared" si="298"/>
        <v>0.4</v>
      </c>
      <c r="H2125" s="168">
        <f t="shared" si="299"/>
        <v>0.8</v>
      </c>
      <c r="I2125" s="168">
        <f t="shared" si="300"/>
        <v>0.6</v>
      </c>
      <c r="J2125" s="168">
        <f t="shared" si="301"/>
        <v>1</v>
      </c>
      <c r="K2125" s="168">
        <f t="shared" si="302"/>
        <v>1</v>
      </c>
      <c r="L2125" s="168">
        <f t="shared" si="303"/>
        <v>1</v>
      </c>
      <c r="M2125" s="168">
        <f t="shared" si="304"/>
        <v>0.28333333333333333</v>
      </c>
      <c r="N2125" s="241" t="s">
        <v>453</v>
      </c>
    </row>
    <row r="2126" spans="1:14" ht="15" customHeight="1">
      <c r="A2126" s="58">
        <v>2125</v>
      </c>
      <c r="B2126" s="61" t="s">
        <v>52</v>
      </c>
      <c r="C2126" s="61" t="s">
        <v>10</v>
      </c>
      <c r="D2126" s="292" t="s">
        <v>3942</v>
      </c>
      <c r="E2126" s="301">
        <v>60</v>
      </c>
      <c r="F2126" s="301">
        <v>723</v>
      </c>
      <c r="G2126" s="168">
        <f t="shared" si="298"/>
        <v>4.531428571428572</v>
      </c>
      <c r="H2126" s="168">
        <f t="shared" si="299"/>
        <v>9.0628571428571441</v>
      </c>
      <c r="I2126" s="168">
        <f t="shared" si="300"/>
        <v>6.7971428571428572</v>
      </c>
      <c r="J2126" s="168">
        <f t="shared" si="301"/>
        <v>11.328571428571429</v>
      </c>
      <c r="K2126" s="168">
        <f t="shared" si="302"/>
        <v>11.328571428571429</v>
      </c>
      <c r="L2126" s="168">
        <f t="shared" si="303"/>
        <v>1.18075</v>
      </c>
      <c r="M2126" s="168">
        <f t="shared" si="304"/>
        <v>1</v>
      </c>
      <c r="N2126" s="241" t="s">
        <v>453</v>
      </c>
    </row>
    <row r="2127" spans="1:14" ht="15" customHeight="1">
      <c r="A2127" s="58">
        <v>2126</v>
      </c>
      <c r="B2127" s="61" t="s">
        <v>52</v>
      </c>
      <c r="C2127" s="61" t="s">
        <v>10</v>
      </c>
      <c r="D2127" s="292" t="s">
        <v>3943</v>
      </c>
      <c r="E2127" s="301">
        <v>0</v>
      </c>
      <c r="F2127" s="301">
        <v>821</v>
      </c>
      <c r="G2127" s="168">
        <f t="shared" si="298"/>
        <v>5.0914285714285716</v>
      </c>
      <c r="H2127" s="168">
        <f t="shared" si="299"/>
        <v>10.182857142857143</v>
      </c>
      <c r="I2127" s="168">
        <f t="shared" si="300"/>
        <v>7.6371428571428561</v>
      </c>
      <c r="J2127" s="168">
        <f t="shared" si="301"/>
        <v>12.728571428571428</v>
      </c>
      <c r="K2127" s="168">
        <f t="shared" si="302"/>
        <v>12.728571428571428</v>
      </c>
      <c r="L2127" s="168">
        <f t="shared" si="303"/>
        <v>1.2052499999999999</v>
      </c>
      <c r="M2127" s="168">
        <f t="shared" si="304"/>
        <v>0</v>
      </c>
      <c r="N2127" s="241" t="s">
        <v>453</v>
      </c>
    </row>
    <row r="2128" spans="1:14" ht="15" customHeight="1">
      <c r="A2128" s="58">
        <v>2127</v>
      </c>
      <c r="B2128" s="61" t="s">
        <v>52</v>
      </c>
      <c r="C2128" s="61" t="s">
        <v>10</v>
      </c>
      <c r="D2128" s="292" t="s">
        <v>3944</v>
      </c>
      <c r="E2128" s="301">
        <v>95</v>
      </c>
      <c r="F2128" s="301">
        <v>0</v>
      </c>
      <c r="G2128" s="168" t="s">
        <v>3535</v>
      </c>
      <c r="H2128" s="168" t="s">
        <v>3535</v>
      </c>
      <c r="I2128" s="168" t="s">
        <v>3535</v>
      </c>
      <c r="J2128" s="168" t="s">
        <v>3535</v>
      </c>
      <c r="K2128" s="168" t="s">
        <v>3535</v>
      </c>
      <c r="L2128" s="168" t="s">
        <v>3535</v>
      </c>
      <c r="M2128" s="168">
        <f>E2128/40</f>
        <v>2.375</v>
      </c>
      <c r="N2128" s="241" t="s">
        <v>453</v>
      </c>
    </row>
    <row r="2129" spans="1:14" ht="15" customHeight="1">
      <c r="A2129" s="58">
        <v>2128</v>
      </c>
      <c r="B2129" s="61" t="s">
        <v>52</v>
      </c>
      <c r="C2129" s="61" t="s">
        <v>10</v>
      </c>
      <c r="D2129" s="292" t="s">
        <v>3945</v>
      </c>
      <c r="E2129" s="301">
        <v>900</v>
      </c>
      <c r="F2129" s="301">
        <v>0</v>
      </c>
      <c r="G2129" s="168">
        <f t="shared" si="298"/>
        <v>0.4</v>
      </c>
      <c r="H2129" s="168">
        <f t="shared" si="299"/>
        <v>0.8</v>
      </c>
      <c r="I2129" s="168">
        <f t="shared" si="300"/>
        <v>0.6</v>
      </c>
      <c r="J2129" s="168">
        <f t="shared" si="301"/>
        <v>1</v>
      </c>
      <c r="K2129" s="168">
        <f t="shared" si="302"/>
        <v>1</v>
      </c>
      <c r="L2129" s="168">
        <f t="shared" si="303"/>
        <v>1</v>
      </c>
      <c r="M2129" s="168">
        <f t="shared" si="304"/>
        <v>15</v>
      </c>
      <c r="N2129" s="241" t="s">
        <v>453</v>
      </c>
    </row>
    <row r="2130" spans="1:14" ht="15" customHeight="1">
      <c r="A2130" s="58">
        <v>2129</v>
      </c>
      <c r="B2130" s="61" t="s">
        <v>52</v>
      </c>
      <c r="C2130" s="61" t="s">
        <v>10</v>
      </c>
      <c r="D2130" s="292" t="s">
        <v>3946</v>
      </c>
      <c r="E2130" s="301">
        <v>686</v>
      </c>
      <c r="F2130" s="301">
        <v>0</v>
      </c>
      <c r="G2130" s="168">
        <f t="shared" si="298"/>
        <v>0.4</v>
      </c>
      <c r="H2130" s="168">
        <f t="shared" si="299"/>
        <v>0.8</v>
      </c>
      <c r="I2130" s="168">
        <f t="shared" si="300"/>
        <v>0.6</v>
      </c>
      <c r="J2130" s="168">
        <f t="shared" si="301"/>
        <v>1</v>
      </c>
      <c r="K2130" s="168">
        <f t="shared" si="302"/>
        <v>1</v>
      </c>
      <c r="L2130" s="168">
        <f t="shared" si="303"/>
        <v>1</v>
      </c>
      <c r="M2130" s="168">
        <f t="shared" si="304"/>
        <v>11.433333333333334</v>
      </c>
      <c r="N2130" s="241" t="s">
        <v>453</v>
      </c>
    </row>
    <row r="2131" spans="1:14" ht="15" customHeight="1">
      <c r="A2131" s="58">
        <v>2130</v>
      </c>
      <c r="B2131" s="61" t="s">
        <v>52</v>
      </c>
      <c r="C2131" s="61" t="s">
        <v>10</v>
      </c>
      <c r="D2131" s="292" t="s">
        <v>3947</v>
      </c>
      <c r="E2131" s="301">
        <v>250</v>
      </c>
      <c r="F2131" s="301">
        <v>0</v>
      </c>
      <c r="G2131" s="168">
        <f t="shared" si="298"/>
        <v>0.4</v>
      </c>
      <c r="H2131" s="168">
        <f t="shared" si="299"/>
        <v>0.8</v>
      </c>
      <c r="I2131" s="168">
        <f t="shared" si="300"/>
        <v>0.6</v>
      </c>
      <c r="J2131" s="168">
        <f t="shared" si="301"/>
        <v>1</v>
      </c>
      <c r="K2131" s="168">
        <f t="shared" si="302"/>
        <v>1</v>
      </c>
      <c r="L2131" s="168">
        <f t="shared" si="303"/>
        <v>1</v>
      </c>
      <c r="M2131" s="168">
        <f t="shared" si="304"/>
        <v>4.166666666666667</v>
      </c>
      <c r="N2131" s="241" t="s">
        <v>453</v>
      </c>
    </row>
    <row r="2132" spans="1:14" ht="15" customHeight="1">
      <c r="A2132" s="58">
        <v>2131</v>
      </c>
      <c r="B2132" s="61" t="s">
        <v>52</v>
      </c>
      <c r="C2132" s="61" t="s">
        <v>10</v>
      </c>
      <c r="D2132" s="292" t="s">
        <v>3948</v>
      </c>
      <c r="E2132" s="301">
        <v>0</v>
      </c>
      <c r="F2132" s="301">
        <v>750</v>
      </c>
      <c r="G2132" s="168">
        <f t="shared" si="298"/>
        <v>4.6857142857142859</v>
      </c>
      <c r="H2132" s="168">
        <f t="shared" si="299"/>
        <v>9.3714285714285719</v>
      </c>
      <c r="I2132" s="168">
        <f t="shared" si="300"/>
        <v>7.0285714285714276</v>
      </c>
      <c r="J2132" s="168">
        <f t="shared" si="301"/>
        <v>11.714285714285714</v>
      </c>
      <c r="K2132" s="168">
        <f t="shared" si="302"/>
        <v>11.714285714285714</v>
      </c>
      <c r="L2132" s="168">
        <f t="shared" si="303"/>
        <v>1.1875</v>
      </c>
      <c r="M2132" s="168">
        <f t="shared" si="304"/>
        <v>0</v>
      </c>
      <c r="N2132" s="241" t="s">
        <v>453</v>
      </c>
    </row>
    <row r="2133" spans="1:14" ht="15" customHeight="1">
      <c r="A2133" s="58">
        <v>2132</v>
      </c>
      <c r="B2133" s="61" t="s">
        <v>49</v>
      </c>
      <c r="C2133" s="61" t="s">
        <v>10</v>
      </c>
      <c r="D2133" s="292" t="s">
        <v>3949</v>
      </c>
      <c r="E2133" s="301">
        <v>173</v>
      </c>
      <c r="F2133" s="301">
        <v>757</v>
      </c>
      <c r="G2133" s="168">
        <f t="shared" si="298"/>
        <v>4.725714285714286</v>
      </c>
      <c r="H2133" s="168">
        <f t="shared" si="299"/>
        <v>9.451428571428572</v>
      </c>
      <c r="I2133" s="168">
        <f t="shared" si="300"/>
        <v>7.088571428571429</v>
      </c>
      <c r="J2133" s="168">
        <f t="shared" si="301"/>
        <v>11.814285714285715</v>
      </c>
      <c r="K2133" s="168">
        <f t="shared" si="302"/>
        <v>11.814285714285715</v>
      </c>
      <c r="L2133" s="168">
        <f t="shared" si="303"/>
        <v>1.1892499999999999</v>
      </c>
      <c r="M2133" s="168">
        <f t="shared" si="304"/>
        <v>2.8833333333333333</v>
      </c>
      <c r="N2133" s="241" t="s">
        <v>453</v>
      </c>
    </row>
    <row r="2134" spans="1:14" ht="15" customHeight="1">
      <c r="A2134" s="58">
        <v>2133</v>
      </c>
      <c r="B2134" s="61" t="s">
        <v>52</v>
      </c>
      <c r="C2134" s="61" t="s">
        <v>10</v>
      </c>
      <c r="D2134" s="292" t="s">
        <v>3950</v>
      </c>
      <c r="E2134" s="301">
        <v>100</v>
      </c>
      <c r="F2134" s="301">
        <v>1000</v>
      </c>
      <c r="G2134" s="168">
        <f t="shared" si="298"/>
        <v>6.1142857142857148</v>
      </c>
      <c r="H2134" s="168">
        <f t="shared" si="299"/>
        <v>12.22857142857143</v>
      </c>
      <c r="I2134" s="168">
        <f t="shared" si="300"/>
        <v>9.1714285714285708</v>
      </c>
      <c r="J2134" s="168">
        <f t="shared" si="301"/>
        <v>15.285714285714285</v>
      </c>
      <c r="K2134" s="168">
        <f t="shared" si="302"/>
        <v>15.285714285714285</v>
      </c>
      <c r="L2134" s="168">
        <f t="shared" si="303"/>
        <v>1.25</v>
      </c>
      <c r="M2134" s="168">
        <f t="shared" si="304"/>
        <v>1.6666666666666667</v>
      </c>
      <c r="N2134" s="241" t="s">
        <v>453</v>
      </c>
    </row>
    <row r="2135" spans="1:14" ht="15" customHeight="1">
      <c r="A2135" s="58">
        <v>2134</v>
      </c>
      <c r="B2135" s="61" t="s">
        <v>52</v>
      </c>
      <c r="C2135" s="61" t="s">
        <v>10</v>
      </c>
      <c r="D2135" s="292" t="s">
        <v>3951</v>
      </c>
      <c r="E2135" s="301">
        <v>200</v>
      </c>
      <c r="F2135" s="301">
        <v>1000</v>
      </c>
      <c r="G2135" s="168">
        <f t="shared" si="298"/>
        <v>6.1142857142857148</v>
      </c>
      <c r="H2135" s="168">
        <f t="shared" si="299"/>
        <v>12.22857142857143</v>
      </c>
      <c r="I2135" s="168">
        <f t="shared" si="300"/>
        <v>9.1714285714285708</v>
      </c>
      <c r="J2135" s="168">
        <f t="shared" si="301"/>
        <v>15.285714285714285</v>
      </c>
      <c r="K2135" s="168">
        <f t="shared" si="302"/>
        <v>15.285714285714285</v>
      </c>
      <c r="L2135" s="168">
        <f t="shared" si="303"/>
        <v>1.25</v>
      </c>
      <c r="M2135" s="168">
        <f t="shared" si="304"/>
        <v>3.3333333333333335</v>
      </c>
      <c r="N2135" s="241" t="s">
        <v>453</v>
      </c>
    </row>
    <row r="2136" spans="1:14" ht="15" customHeight="1">
      <c r="A2136" s="58">
        <v>2135</v>
      </c>
      <c r="B2136" s="61" t="s">
        <v>52</v>
      </c>
      <c r="C2136" s="61" t="s">
        <v>10</v>
      </c>
      <c r="D2136" s="292" t="s">
        <v>3952</v>
      </c>
      <c r="E2136" s="301">
        <v>75</v>
      </c>
      <c r="F2136" s="301">
        <v>0</v>
      </c>
      <c r="G2136" s="168">
        <f t="shared" si="298"/>
        <v>0.4</v>
      </c>
      <c r="H2136" s="168">
        <f t="shared" si="299"/>
        <v>0.8</v>
      </c>
      <c r="I2136" s="168">
        <f t="shared" si="300"/>
        <v>0.6</v>
      </c>
      <c r="J2136" s="168">
        <f t="shared" si="301"/>
        <v>1</v>
      </c>
      <c r="K2136" s="168">
        <f t="shared" si="302"/>
        <v>1</v>
      </c>
      <c r="L2136" s="168">
        <f t="shared" si="303"/>
        <v>1</v>
      </c>
      <c r="M2136" s="168">
        <f t="shared" si="304"/>
        <v>1.25</v>
      </c>
      <c r="N2136" s="241" t="s">
        <v>453</v>
      </c>
    </row>
    <row r="2137" spans="1:14" ht="15" customHeight="1">
      <c r="A2137" s="58">
        <v>2136</v>
      </c>
      <c r="B2137" s="61" t="s">
        <v>52</v>
      </c>
      <c r="C2137" s="61" t="s">
        <v>10</v>
      </c>
      <c r="D2137" s="292" t="s">
        <v>3953</v>
      </c>
      <c r="E2137" s="301">
        <v>100</v>
      </c>
      <c r="F2137" s="301">
        <v>850</v>
      </c>
      <c r="G2137" s="168">
        <f t="shared" si="298"/>
        <v>5.2571428571428571</v>
      </c>
      <c r="H2137" s="168">
        <f t="shared" si="299"/>
        <v>10.514285714285714</v>
      </c>
      <c r="I2137" s="168">
        <f t="shared" si="300"/>
        <v>7.8857142857142852</v>
      </c>
      <c r="J2137" s="168">
        <f t="shared" si="301"/>
        <v>13.142857142857142</v>
      </c>
      <c r="K2137" s="168">
        <f t="shared" si="302"/>
        <v>13.142857142857142</v>
      </c>
      <c r="L2137" s="168">
        <f t="shared" si="303"/>
        <v>1.2124999999999999</v>
      </c>
      <c r="M2137" s="168">
        <f t="shared" si="304"/>
        <v>1.6666666666666667</v>
      </c>
      <c r="N2137" s="241" t="s">
        <v>453</v>
      </c>
    </row>
    <row r="2138" spans="1:14" ht="15" customHeight="1">
      <c r="A2138" s="58">
        <v>2137</v>
      </c>
      <c r="B2138" s="61" t="s">
        <v>52</v>
      </c>
      <c r="C2138" s="61" t="s">
        <v>10</v>
      </c>
      <c r="D2138" s="292" t="s">
        <v>3954</v>
      </c>
      <c r="E2138" s="301">
        <v>0</v>
      </c>
      <c r="F2138" s="301">
        <v>736</v>
      </c>
      <c r="G2138" s="168">
        <f t="shared" si="298"/>
        <v>4.6057142857142859</v>
      </c>
      <c r="H2138" s="168">
        <f t="shared" si="299"/>
        <v>9.2114285714285717</v>
      </c>
      <c r="I2138" s="168">
        <f t="shared" si="300"/>
        <v>6.9085714285714284</v>
      </c>
      <c r="J2138" s="168">
        <f t="shared" si="301"/>
        <v>11.514285714285714</v>
      </c>
      <c r="K2138" s="168">
        <f t="shared" si="302"/>
        <v>11.514285714285714</v>
      </c>
      <c r="L2138" s="168">
        <f t="shared" si="303"/>
        <v>1.1839999999999999</v>
      </c>
      <c r="M2138" s="168">
        <f t="shared" si="304"/>
        <v>0</v>
      </c>
      <c r="N2138" s="241" t="s">
        <v>453</v>
      </c>
    </row>
    <row r="2139" spans="1:14" ht="15" customHeight="1">
      <c r="A2139" s="58">
        <v>2138</v>
      </c>
      <c r="B2139" s="61" t="s">
        <v>52</v>
      </c>
      <c r="C2139" s="61" t="s">
        <v>10</v>
      </c>
      <c r="D2139" s="292" t="s">
        <v>3955</v>
      </c>
      <c r="E2139" s="301">
        <v>162</v>
      </c>
      <c r="F2139" s="301">
        <v>0</v>
      </c>
      <c r="G2139" s="168">
        <f t="shared" si="298"/>
        <v>0.4</v>
      </c>
      <c r="H2139" s="168">
        <f t="shared" si="299"/>
        <v>0.8</v>
      </c>
      <c r="I2139" s="168">
        <f t="shared" si="300"/>
        <v>0.6</v>
      </c>
      <c r="J2139" s="168">
        <f t="shared" si="301"/>
        <v>1</v>
      </c>
      <c r="K2139" s="168">
        <f t="shared" si="302"/>
        <v>1</v>
      </c>
      <c r="L2139" s="168">
        <f t="shared" si="303"/>
        <v>1</v>
      </c>
      <c r="M2139" s="168">
        <f t="shared" si="304"/>
        <v>2.7</v>
      </c>
      <c r="N2139" s="241" t="s">
        <v>453</v>
      </c>
    </row>
    <row r="2140" spans="1:14" ht="15" customHeight="1">
      <c r="A2140" s="58">
        <v>2139</v>
      </c>
      <c r="B2140" s="61" t="s">
        <v>52</v>
      </c>
      <c r="C2140" s="61" t="s">
        <v>10</v>
      </c>
      <c r="D2140" s="292" t="s">
        <v>3956</v>
      </c>
      <c r="E2140" s="301">
        <v>238</v>
      </c>
      <c r="F2140" s="301">
        <v>0</v>
      </c>
      <c r="G2140" s="168">
        <f t="shared" si="298"/>
        <v>0.4</v>
      </c>
      <c r="H2140" s="168">
        <f t="shared" si="299"/>
        <v>0.8</v>
      </c>
      <c r="I2140" s="168">
        <f t="shared" si="300"/>
        <v>0.6</v>
      </c>
      <c r="J2140" s="168">
        <f t="shared" si="301"/>
        <v>1</v>
      </c>
      <c r="K2140" s="168">
        <f t="shared" si="302"/>
        <v>1</v>
      </c>
      <c r="L2140" s="168">
        <f t="shared" si="303"/>
        <v>1</v>
      </c>
      <c r="M2140" s="168">
        <f t="shared" si="304"/>
        <v>3.9666666666666668</v>
      </c>
      <c r="N2140" s="241" t="s">
        <v>453</v>
      </c>
    </row>
    <row r="2141" spans="1:14" ht="15" customHeight="1">
      <c r="A2141" s="58">
        <v>2140</v>
      </c>
      <c r="B2141" s="61" t="s">
        <v>52</v>
      </c>
      <c r="C2141" s="61" t="s">
        <v>10</v>
      </c>
      <c r="D2141" s="292" t="s">
        <v>3957</v>
      </c>
      <c r="E2141" s="301">
        <v>252</v>
      </c>
      <c r="F2141" s="301">
        <v>0</v>
      </c>
      <c r="G2141" s="168" t="s">
        <v>3535</v>
      </c>
      <c r="H2141" s="168" t="s">
        <v>3535</v>
      </c>
      <c r="I2141" s="168" t="s">
        <v>3535</v>
      </c>
      <c r="J2141" s="168" t="s">
        <v>3535</v>
      </c>
      <c r="K2141" s="168" t="s">
        <v>3535</v>
      </c>
      <c r="L2141" s="168" t="s">
        <v>3535</v>
      </c>
      <c r="M2141" s="168">
        <f t="shared" ref="M2141" si="314">E2141/40</f>
        <v>6.3</v>
      </c>
      <c r="N2141" s="241" t="s">
        <v>453</v>
      </c>
    </row>
    <row r="2142" spans="1:14" ht="15" customHeight="1">
      <c r="A2142" s="58">
        <v>2141</v>
      </c>
      <c r="B2142" s="61" t="s">
        <v>52</v>
      </c>
      <c r="C2142" s="61" t="s">
        <v>10</v>
      </c>
      <c r="D2142" s="292" t="s">
        <v>3958</v>
      </c>
      <c r="E2142" s="301">
        <v>0</v>
      </c>
      <c r="F2142" s="301">
        <v>155</v>
      </c>
      <c r="G2142" s="168">
        <f t="shared" si="298"/>
        <v>1.2857142857142858</v>
      </c>
      <c r="H2142" s="168">
        <f t="shared" si="299"/>
        <v>2.5714285714285716</v>
      </c>
      <c r="I2142" s="168">
        <f t="shared" si="300"/>
        <v>1.9285714285714286</v>
      </c>
      <c r="J2142" s="168">
        <f t="shared" si="301"/>
        <v>3.2142857142857144</v>
      </c>
      <c r="K2142" s="168">
        <f t="shared" si="302"/>
        <v>3.2142857142857144</v>
      </c>
      <c r="L2142" s="168">
        <f t="shared" si="303"/>
        <v>1.0387500000000001</v>
      </c>
      <c r="M2142" s="168">
        <f t="shared" si="304"/>
        <v>0</v>
      </c>
      <c r="N2142" s="241" t="s">
        <v>453</v>
      </c>
    </row>
    <row r="2143" spans="1:14" ht="15" customHeight="1">
      <c r="A2143" s="58">
        <v>2142</v>
      </c>
      <c r="B2143" s="61" t="s">
        <v>52</v>
      </c>
      <c r="C2143" s="61" t="s">
        <v>10</v>
      </c>
      <c r="D2143" s="292" t="s">
        <v>3959</v>
      </c>
      <c r="E2143" s="301">
        <v>233</v>
      </c>
      <c r="F2143" s="301">
        <v>347</v>
      </c>
      <c r="G2143" s="168" t="s">
        <v>3535</v>
      </c>
      <c r="H2143" s="168" t="s">
        <v>3535</v>
      </c>
      <c r="I2143" s="168" t="s">
        <v>3535</v>
      </c>
      <c r="J2143" s="168" t="s">
        <v>3535</v>
      </c>
      <c r="K2143" s="168" t="s">
        <v>3535</v>
      </c>
      <c r="L2143" s="168" t="s">
        <v>3535</v>
      </c>
      <c r="M2143" s="168">
        <f t="shared" ref="M2143:M2144" si="315">E2143/40</f>
        <v>5.8250000000000002</v>
      </c>
      <c r="N2143" s="241" t="s">
        <v>453</v>
      </c>
    </row>
    <row r="2144" spans="1:14" ht="15" customHeight="1">
      <c r="A2144" s="58">
        <v>2143</v>
      </c>
      <c r="B2144" s="61" t="s">
        <v>52</v>
      </c>
      <c r="C2144" s="61" t="s">
        <v>10</v>
      </c>
      <c r="D2144" s="292" t="s">
        <v>3960</v>
      </c>
      <c r="E2144" s="301">
        <v>0</v>
      </c>
      <c r="F2144" s="301">
        <v>349</v>
      </c>
      <c r="G2144" s="168" t="s">
        <v>3535</v>
      </c>
      <c r="H2144" s="168" t="s">
        <v>3535</v>
      </c>
      <c r="I2144" s="168" t="s">
        <v>3535</v>
      </c>
      <c r="J2144" s="168" t="s">
        <v>3535</v>
      </c>
      <c r="K2144" s="168" t="s">
        <v>3535</v>
      </c>
      <c r="L2144" s="168" t="s">
        <v>3535</v>
      </c>
      <c r="M2144" s="168">
        <f t="shared" si="315"/>
        <v>0</v>
      </c>
      <c r="N2144" s="241" t="s">
        <v>453</v>
      </c>
    </row>
    <row r="2145" spans="1:14" ht="15" customHeight="1">
      <c r="A2145" s="58">
        <v>2144</v>
      </c>
      <c r="B2145" s="61" t="s">
        <v>52</v>
      </c>
      <c r="C2145" s="61" t="s">
        <v>10</v>
      </c>
      <c r="D2145" s="292" t="s">
        <v>3961</v>
      </c>
      <c r="E2145" s="301">
        <v>24</v>
      </c>
      <c r="F2145" s="301">
        <v>200</v>
      </c>
      <c r="G2145" s="168">
        <f t="shared" si="298"/>
        <v>1.5428571428571429</v>
      </c>
      <c r="H2145" s="168">
        <f t="shared" si="299"/>
        <v>3.0857142857142859</v>
      </c>
      <c r="I2145" s="168">
        <f t="shared" si="300"/>
        <v>2.3142857142857141</v>
      </c>
      <c r="J2145" s="168">
        <f t="shared" si="301"/>
        <v>3.8571428571428568</v>
      </c>
      <c r="K2145" s="168">
        <f t="shared" si="302"/>
        <v>3.8571428571428568</v>
      </c>
      <c r="L2145" s="168">
        <f t="shared" si="303"/>
        <v>1.05</v>
      </c>
      <c r="M2145" s="168">
        <f t="shared" si="304"/>
        <v>0.4</v>
      </c>
      <c r="N2145" s="241" t="s">
        <v>453</v>
      </c>
    </row>
    <row r="2146" spans="1:14" ht="15" customHeight="1">
      <c r="A2146" s="58">
        <v>2145</v>
      </c>
      <c r="B2146" s="61" t="s">
        <v>49</v>
      </c>
      <c r="C2146" s="61" t="s">
        <v>10</v>
      </c>
      <c r="D2146" s="292" t="s">
        <v>3962</v>
      </c>
      <c r="E2146" s="301">
        <v>100</v>
      </c>
      <c r="F2146" s="302">
        <v>700</v>
      </c>
      <c r="G2146" s="168">
        <f t="shared" si="298"/>
        <v>4.4000000000000004</v>
      </c>
      <c r="H2146" s="168">
        <f t="shared" si="299"/>
        <v>8.8000000000000007</v>
      </c>
      <c r="I2146" s="168">
        <f t="shared" si="300"/>
        <v>6.6</v>
      </c>
      <c r="J2146" s="168">
        <f t="shared" si="301"/>
        <v>11</v>
      </c>
      <c r="K2146" s="168">
        <f t="shared" si="302"/>
        <v>11</v>
      </c>
      <c r="L2146" s="168">
        <f t="shared" si="303"/>
        <v>1.175</v>
      </c>
      <c r="M2146" s="168">
        <f t="shared" si="304"/>
        <v>1.6666666666666667</v>
      </c>
      <c r="N2146" s="241" t="s">
        <v>453</v>
      </c>
    </row>
    <row r="2147" spans="1:14" ht="15" customHeight="1">
      <c r="A2147" s="58">
        <v>2146</v>
      </c>
      <c r="B2147" s="61" t="s">
        <v>52</v>
      </c>
      <c r="C2147" s="61" t="s">
        <v>10</v>
      </c>
      <c r="D2147" s="292" t="s">
        <v>3963</v>
      </c>
      <c r="E2147" s="301">
        <v>0</v>
      </c>
      <c r="F2147" s="301">
        <v>0</v>
      </c>
      <c r="G2147" s="168">
        <f t="shared" si="298"/>
        <v>0.4</v>
      </c>
      <c r="H2147" s="168">
        <f t="shared" si="299"/>
        <v>0.8</v>
      </c>
      <c r="I2147" s="168">
        <f t="shared" si="300"/>
        <v>0.6</v>
      </c>
      <c r="J2147" s="168">
        <f t="shared" si="301"/>
        <v>1</v>
      </c>
      <c r="K2147" s="168">
        <f t="shared" si="302"/>
        <v>1</v>
      </c>
      <c r="L2147" s="168">
        <f t="shared" si="303"/>
        <v>1</v>
      </c>
      <c r="M2147" s="168">
        <f t="shared" si="304"/>
        <v>0</v>
      </c>
      <c r="N2147" s="241" t="s">
        <v>453</v>
      </c>
    </row>
    <row r="2148" spans="1:14" ht="15" customHeight="1">
      <c r="A2148" s="58">
        <v>2147</v>
      </c>
      <c r="B2148" s="61" t="s">
        <v>52</v>
      </c>
      <c r="C2148" s="61" t="s">
        <v>10</v>
      </c>
      <c r="D2148" s="292" t="s">
        <v>3964</v>
      </c>
      <c r="E2148" s="301">
        <v>477</v>
      </c>
      <c r="F2148" s="301">
        <v>0</v>
      </c>
      <c r="G2148" s="168">
        <f t="shared" si="298"/>
        <v>0.4</v>
      </c>
      <c r="H2148" s="168">
        <f t="shared" si="299"/>
        <v>0.8</v>
      </c>
      <c r="I2148" s="168">
        <f t="shared" si="300"/>
        <v>0.6</v>
      </c>
      <c r="J2148" s="168">
        <f t="shared" si="301"/>
        <v>1</v>
      </c>
      <c r="K2148" s="168">
        <f t="shared" si="302"/>
        <v>1</v>
      </c>
      <c r="L2148" s="168">
        <f t="shared" si="303"/>
        <v>1</v>
      </c>
      <c r="M2148" s="168">
        <f t="shared" si="304"/>
        <v>7.95</v>
      </c>
      <c r="N2148" s="241" t="s">
        <v>453</v>
      </c>
    </row>
    <row r="2149" spans="1:14" ht="15" customHeight="1">
      <c r="A2149" s="58">
        <v>2148</v>
      </c>
      <c r="B2149" s="61" t="s">
        <v>52</v>
      </c>
      <c r="C2149" s="61" t="s">
        <v>10</v>
      </c>
      <c r="D2149" s="292" t="s">
        <v>3965</v>
      </c>
      <c r="E2149" s="301">
        <v>370</v>
      </c>
      <c r="F2149" s="301">
        <v>0</v>
      </c>
      <c r="G2149" s="168" t="s">
        <v>3535</v>
      </c>
      <c r="H2149" s="168" t="s">
        <v>3535</v>
      </c>
      <c r="I2149" s="168" t="s">
        <v>3535</v>
      </c>
      <c r="J2149" s="168" t="s">
        <v>3535</v>
      </c>
      <c r="K2149" s="168" t="s">
        <v>3535</v>
      </c>
      <c r="L2149" s="168" t="s">
        <v>3535</v>
      </c>
      <c r="M2149" s="168">
        <f>E2149/40</f>
        <v>9.25</v>
      </c>
      <c r="N2149" s="241" t="s">
        <v>453</v>
      </c>
    </row>
    <row r="2150" spans="1:14" ht="15" customHeight="1">
      <c r="A2150" s="58">
        <v>2149</v>
      </c>
      <c r="B2150" s="61" t="s">
        <v>52</v>
      </c>
      <c r="C2150" s="61" t="s">
        <v>10</v>
      </c>
      <c r="D2150" s="292" t="s">
        <v>3966</v>
      </c>
      <c r="E2150" s="301">
        <v>173</v>
      </c>
      <c r="F2150" s="301">
        <v>756</v>
      </c>
      <c r="G2150" s="168">
        <f t="shared" ref="G2150:G2211" si="316">(((F2150/70)+1)*0.4)</f>
        <v>4.7200000000000006</v>
      </c>
      <c r="H2150" s="168">
        <f t="shared" ref="H2150:H2211" si="317">G2150*2</f>
        <v>9.4400000000000013</v>
      </c>
      <c r="I2150" s="168">
        <f t="shared" ref="I2150:I2211" si="318">(((F2150/70)+1)*0.6)</f>
        <v>7.08</v>
      </c>
      <c r="J2150" s="168">
        <f t="shared" ref="J2150:J2211" si="319">I2150+G2150</f>
        <v>11.8</v>
      </c>
      <c r="K2150" s="168">
        <f t="shared" ref="K2150:K2211" si="320">J2150</f>
        <v>11.8</v>
      </c>
      <c r="L2150" s="168">
        <f t="shared" ref="L2150:L2211" si="321">(F2150/4000)+1</f>
        <v>1.1890000000000001</v>
      </c>
      <c r="M2150" s="168">
        <f t="shared" ref="M2150:M2211" si="322">E2150/60</f>
        <v>2.8833333333333333</v>
      </c>
      <c r="N2150" s="241" t="s">
        <v>453</v>
      </c>
    </row>
    <row r="2151" spans="1:14" ht="15" customHeight="1">
      <c r="A2151" s="58">
        <v>2150</v>
      </c>
      <c r="B2151" s="61" t="s">
        <v>52</v>
      </c>
      <c r="C2151" s="61" t="s">
        <v>10</v>
      </c>
      <c r="D2151" s="292" t="s">
        <v>3967</v>
      </c>
      <c r="E2151" s="301">
        <v>40</v>
      </c>
      <c r="F2151" s="301">
        <v>0</v>
      </c>
      <c r="G2151" s="168">
        <f t="shared" si="316"/>
        <v>0.4</v>
      </c>
      <c r="H2151" s="168">
        <f t="shared" si="317"/>
        <v>0.8</v>
      </c>
      <c r="I2151" s="168">
        <f t="shared" si="318"/>
        <v>0.6</v>
      </c>
      <c r="J2151" s="168">
        <f t="shared" si="319"/>
        <v>1</v>
      </c>
      <c r="K2151" s="168">
        <f t="shared" si="320"/>
        <v>1</v>
      </c>
      <c r="L2151" s="168">
        <f t="shared" si="321"/>
        <v>1</v>
      </c>
      <c r="M2151" s="168">
        <f t="shared" si="322"/>
        <v>0.66666666666666663</v>
      </c>
      <c r="N2151" s="241" t="s">
        <v>453</v>
      </c>
    </row>
    <row r="2152" spans="1:14" ht="15" customHeight="1">
      <c r="A2152" s="58">
        <v>2151</v>
      </c>
      <c r="B2152" s="61" t="s">
        <v>52</v>
      </c>
      <c r="C2152" s="61" t="s">
        <v>10</v>
      </c>
      <c r="D2152" s="292" t="s">
        <v>3968</v>
      </c>
      <c r="E2152" s="301">
        <v>114</v>
      </c>
      <c r="F2152" s="301">
        <v>0</v>
      </c>
      <c r="G2152" s="168" t="s">
        <v>3535</v>
      </c>
      <c r="H2152" s="168" t="s">
        <v>3535</v>
      </c>
      <c r="I2152" s="168" t="s">
        <v>3535</v>
      </c>
      <c r="J2152" s="168" t="s">
        <v>3535</v>
      </c>
      <c r="K2152" s="168" t="s">
        <v>3535</v>
      </c>
      <c r="L2152" s="168" t="s">
        <v>3535</v>
      </c>
      <c r="M2152" s="168">
        <f t="shared" ref="M2152" si="323">E2152/40</f>
        <v>2.85</v>
      </c>
      <c r="N2152" s="241" t="s">
        <v>453</v>
      </c>
    </row>
    <row r="2153" spans="1:14" ht="15" customHeight="1">
      <c r="A2153" s="58">
        <v>2152</v>
      </c>
      <c r="B2153" s="61" t="s">
        <v>52</v>
      </c>
      <c r="C2153" s="61" t="s">
        <v>10</v>
      </c>
      <c r="D2153" s="292" t="s">
        <v>3969</v>
      </c>
      <c r="E2153" s="301">
        <v>17</v>
      </c>
      <c r="F2153" s="301">
        <v>0</v>
      </c>
      <c r="G2153" s="168">
        <f t="shared" si="316"/>
        <v>0.4</v>
      </c>
      <c r="H2153" s="168">
        <f t="shared" si="317"/>
        <v>0.8</v>
      </c>
      <c r="I2153" s="168">
        <f t="shared" si="318"/>
        <v>0.6</v>
      </c>
      <c r="J2153" s="168">
        <f t="shared" si="319"/>
        <v>1</v>
      </c>
      <c r="K2153" s="168">
        <f t="shared" si="320"/>
        <v>1</v>
      </c>
      <c r="L2153" s="168">
        <f t="shared" si="321"/>
        <v>1</v>
      </c>
      <c r="M2153" s="168">
        <f t="shared" si="322"/>
        <v>0.28333333333333333</v>
      </c>
      <c r="N2153" s="241" t="s">
        <v>453</v>
      </c>
    </row>
    <row r="2154" spans="1:14" ht="15" customHeight="1">
      <c r="A2154" s="58">
        <v>2153</v>
      </c>
      <c r="B2154" s="61" t="s">
        <v>52</v>
      </c>
      <c r="C2154" s="61" t="s">
        <v>10</v>
      </c>
      <c r="D2154" s="292" t="s">
        <v>3970</v>
      </c>
      <c r="E2154" s="301">
        <v>0</v>
      </c>
      <c r="F2154" s="301">
        <v>0</v>
      </c>
      <c r="G2154" s="168">
        <f t="shared" si="316"/>
        <v>0.4</v>
      </c>
      <c r="H2154" s="168">
        <f t="shared" si="317"/>
        <v>0.8</v>
      </c>
      <c r="I2154" s="168">
        <f t="shared" si="318"/>
        <v>0.6</v>
      </c>
      <c r="J2154" s="168">
        <f t="shared" si="319"/>
        <v>1</v>
      </c>
      <c r="K2154" s="168">
        <f t="shared" si="320"/>
        <v>1</v>
      </c>
      <c r="L2154" s="168">
        <f t="shared" si="321"/>
        <v>1</v>
      </c>
      <c r="M2154" s="168">
        <f t="shared" si="322"/>
        <v>0</v>
      </c>
      <c r="N2154" s="241" t="s">
        <v>453</v>
      </c>
    </row>
    <row r="2155" spans="1:14" ht="15" customHeight="1">
      <c r="A2155" s="58">
        <v>2154</v>
      </c>
      <c r="B2155" s="61" t="s">
        <v>53</v>
      </c>
      <c r="C2155" s="61" t="s">
        <v>10</v>
      </c>
      <c r="D2155" s="292" t="s">
        <v>3971</v>
      </c>
      <c r="E2155" s="301">
        <v>0</v>
      </c>
      <c r="F2155" s="301">
        <v>368</v>
      </c>
      <c r="G2155" s="168">
        <f t="shared" si="316"/>
        <v>2.5028571428571431</v>
      </c>
      <c r="H2155" s="168">
        <f t="shared" si="317"/>
        <v>5.0057142857142862</v>
      </c>
      <c r="I2155" s="168">
        <f t="shared" si="318"/>
        <v>3.754285714285714</v>
      </c>
      <c r="J2155" s="168">
        <f t="shared" si="319"/>
        <v>6.2571428571428571</v>
      </c>
      <c r="K2155" s="168">
        <f t="shared" si="320"/>
        <v>6.2571428571428571</v>
      </c>
      <c r="L2155" s="168">
        <f t="shared" si="321"/>
        <v>1.0920000000000001</v>
      </c>
      <c r="M2155" s="168">
        <f t="shared" si="322"/>
        <v>0</v>
      </c>
      <c r="N2155" s="241" t="s">
        <v>453</v>
      </c>
    </row>
    <row r="2156" spans="1:14" ht="15" customHeight="1">
      <c r="A2156" s="58">
        <v>2155</v>
      </c>
      <c r="B2156" s="61" t="s">
        <v>49</v>
      </c>
      <c r="C2156" s="61" t="s">
        <v>10</v>
      </c>
      <c r="D2156" s="292" t="s">
        <v>3972</v>
      </c>
      <c r="E2156" s="301">
        <v>0</v>
      </c>
      <c r="F2156" s="301">
        <v>0</v>
      </c>
      <c r="G2156" s="168">
        <f t="shared" ref="G2156" si="324">(((F2156/70)+1)*0.4)</f>
        <v>0.4</v>
      </c>
      <c r="H2156" s="168">
        <f t="shared" ref="H2156" si="325">G2156*2</f>
        <v>0.8</v>
      </c>
      <c r="I2156" s="168">
        <f t="shared" ref="I2156" si="326">(((F2156/70)+1)*0.6)</f>
        <v>0.6</v>
      </c>
      <c r="J2156" s="168">
        <f t="shared" ref="J2156" si="327">I2156+G2156</f>
        <v>1</v>
      </c>
      <c r="K2156" s="168">
        <f t="shared" ref="K2156" si="328">J2156</f>
        <v>1</v>
      </c>
      <c r="L2156" s="168">
        <f t="shared" ref="L2156" si="329">(F2156/4000)+1</f>
        <v>1</v>
      </c>
      <c r="M2156" s="168">
        <f t="shared" ref="M2156" si="330">E2156/60</f>
        <v>0</v>
      </c>
      <c r="N2156" s="241" t="s">
        <v>453</v>
      </c>
    </row>
    <row r="2157" spans="1:14" ht="15" customHeight="1">
      <c r="A2157" s="58">
        <v>2156</v>
      </c>
      <c r="B2157" s="61" t="s">
        <v>52</v>
      </c>
      <c r="C2157" s="61" t="s">
        <v>10</v>
      </c>
      <c r="D2157" s="292" t="s">
        <v>3973</v>
      </c>
      <c r="E2157" s="301">
        <v>0</v>
      </c>
      <c r="F2157" s="301">
        <v>1500</v>
      </c>
      <c r="G2157" s="168">
        <f t="shared" ref="G2157" si="331">(((F2157/70)+1)*0.4)</f>
        <v>8.9714285714285715</v>
      </c>
      <c r="H2157" s="168">
        <f t="shared" ref="H2157" si="332">G2157*2</f>
        <v>17.942857142857143</v>
      </c>
      <c r="I2157" s="168">
        <f t="shared" ref="I2157" si="333">(((F2157/70)+1)*0.6)</f>
        <v>13.457142857142856</v>
      </c>
      <c r="J2157" s="168">
        <f t="shared" ref="J2157" si="334">I2157+G2157</f>
        <v>22.428571428571427</v>
      </c>
      <c r="K2157" s="168">
        <f t="shared" ref="K2157" si="335">J2157</f>
        <v>22.428571428571427</v>
      </c>
      <c r="L2157" s="168">
        <f t="shared" ref="L2157" si="336">(F2157/4000)+1</f>
        <v>1.375</v>
      </c>
      <c r="M2157" s="168">
        <f t="shared" ref="M2157" si="337">E2157/60</f>
        <v>0</v>
      </c>
      <c r="N2157" s="241" t="s">
        <v>453</v>
      </c>
    </row>
    <row r="2158" spans="1:14" ht="15" customHeight="1">
      <c r="A2158" s="58">
        <v>2157</v>
      </c>
      <c r="B2158" s="61" t="s">
        <v>53</v>
      </c>
      <c r="C2158" s="61" t="s">
        <v>10</v>
      </c>
      <c r="D2158" s="292" t="s">
        <v>3974</v>
      </c>
      <c r="E2158" s="301">
        <v>150</v>
      </c>
      <c r="F2158" s="301">
        <v>0</v>
      </c>
      <c r="G2158" s="168">
        <f t="shared" ref="G2158" si="338">(((F2158/70)+1)*0.4)</f>
        <v>0.4</v>
      </c>
      <c r="H2158" s="168">
        <f t="shared" ref="H2158" si="339">G2158*2</f>
        <v>0.8</v>
      </c>
      <c r="I2158" s="168">
        <f t="shared" ref="I2158" si="340">(((F2158/70)+1)*0.6)</f>
        <v>0.6</v>
      </c>
      <c r="J2158" s="168">
        <f t="shared" ref="J2158" si="341">I2158+G2158</f>
        <v>1</v>
      </c>
      <c r="K2158" s="168">
        <f t="shared" ref="K2158" si="342">J2158</f>
        <v>1</v>
      </c>
      <c r="L2158" s="168">
        <f t="shared" ref="L2158" si="343">(F2158/4000)+1</f>
        <v>1</v>
      </c>
      <c r="M2158" s="168">
        <f t="shared" ref="M2158" si="344">E2158/60</f>
        <v>2.5</v>
      </c>
      <c r="N2158" s="241" t="s">
        <v>453</v>
      </c>
    </row>
    <row r="2159" spans="1:14" ht="15" customHeight="1">
      <c r="A2159" s="58">
        <v>2158</v>
      </c>
      <c r="B2159" s="61" t="s">
        <v>52</v>
      </c>
      <c r="C2159" s="61" t="s">
        <v>10</v>
      </c>
      <c r="D2159" s="292" t="s">
        <v>3975</v>
      </c>
      <c r="E2159" s="301">
        <v>0</v>
      </c>
      <c r="F2159" s="301">
        <v>253</v>
      </c>
      <c r="G2159" s="168">
        <f t="shared" si="316"/>
        <v>1.8457142857142856</v>
      </c>
      <c r="H2159" s="168">
        <f t="shared" si="317"/>
        <v>3.6914285714285713</v>
      </c>
      <c r="I2159" s="168">
        <f t="shared" si="318"/>
        <v>2.7685714285714282</v>
      </c>
      <c r="J2159" s="168">
        <f t="shared" si="319"/>
        <v>4.6142857142857139</v>
      </c>
      <c r="K2159" s="168">
        <f t="shared" si="320"/>
        <v>4.6142857142857139</v>
      </c>
      <c r="L2159" s="168">
        <f t="shared" si="321"/>
        <v>1.06325</v>
      </c>
      <c r="M2159" s="168">
        <f t="shared" si="322"/>
        <v>0</v>
      </c>
      <c r="N2159" s="241" t="s">
        <v>453</v>
      </c>
    </row>
    <row r="2160" spans="1:14" ht="15" customHeight="1">
      <c r="A2160" s="58">
        <v>2159</v>
      </c>
      <c r="B2160" s="61" t="s">
        <v>52</v>
      </c>
      <c r="C2160" s="61" t="s">
        <v>10</v>
      </c>
      <c r="D2160" s="292" t="s">
        <v>3976</v>
      </c>
      <c r="E2160" s="301">
        <v>40</v>
      </c>
      <c r="F2160" s="301">
        <v>0</v>
      </c>
      <c r="G2160" s="168">
        <f t="shared" si="316"/>
        <v>0.4</v>
      </c>
      <c r="H2160" s="168">
        <f t="shared" si="317"/>
        <v>0.8</v>
      </c>
      <c r="I2160" s="168">
        <f t="shared" si="318"/>
        <v>0.6</v>
      </c>
      <c r="J2160" s="168">
        <f t="shared" si="319"/>
        <v>1</v>
      </c>
      <c r="K2160" s="168">
        <f t="shared" si="320"/>
        <v>1</v>
      </c>
      <c r="L2160" s="168">
        <f t="shared" si="321"/>
        <v>1</v>
      </c>
      <c r="M2160" s="168">
        <f t="shared" si="322"/>
        <v>0.66666666666666663</v>
      </c>
      <c r="N2160" s="241" t="s">
        <v>453</v>
      </c>
    </row>
    <row r="2161" spans="1:14" ht="15" customHeight="1">
      <c r="A2161" s="58">
        <v>2160</v>
      </c>
      <c r="B2161" s="61" t="s">
        <v>64</v>
      </c>
      <c r="C2161" s="61" t="s">
        <v>11</v>
      </c>
      <c r="D2161" s="292" t="s">
        <v>3977</v>
      </c>
      <c r="E2161" s="301">
        <v>50</v>
      </c>
      <c r="F2161" s="301">
        <v>0</v>
      </c>
      <c r="G2161" s="168" t="s">
        <v>3535</v>
      </c>
      <c r="H2161" s="168" t="s">
        <v>3535</v>
      </c>
      <c r="I2161" s="168" t="s">
        <v>3535</v>
      </c>
      <c r="J2161" s="168" t="s">
        <v>3535</v>
      </c>
      <c r="K2161" s="168" t="s">
        <v>3535</v>
      </c>
      <c r="L2161" s="168" t="s">
        <v>3535</v>
      </c>
      <c r="M2161" s="168">
        <f t="shared" ref="M2161:M2164" si="345">E2161/40</f>
        <v>1.25</v>
      </c>
      <c r="N2161" s="241" t="s">
        <v>453</v>
      </c>
    </row>
    <row r="2162" spans="1:14" ht="15" customHeight="1">
      <c r="A2162" s="58">
        <v>2161</v>
      </c>
      <c r="B2162" s="61" t="s">
        <v>61</v>
      </c>
      <c r="C2162" s="61" t="s">
        <v>11</v>
      </c>
      <c r="D2162" s="292" t="s">
        <v>3978</v>
      </c>
      <c r="E2162" s="301">
        <v>0</v>
      </c>
      <c r="F2162" s="301">
        <v>377</v>
      </c>
      <c r="G2162" s="168" t="s">
        <v>3535</v>
      </c>
      <c r="H2162" s="168" t="s">
        <v>3535</v>
      </c>
      <c r="I2162" s="168" t="s">
        <v>3535</v>
      </c>
      <c r="J2162" s="168" t="s">
        <v>3535</v>
      </c>
      <c r="K2162" s="168" t="s">
        <v>3535</v>
      </c>
      <c r="L2162" s="168" t="s">
        <v>3535</v>
      </c>
      <c r="M2162" s="168">
        <f t="shared" si="345"/>
        <v>0</v>
      </c>
      <c r="N2162" s="241" t="s">
        <v>453</v>
      </c>
    </row>
    <row r="2163" spans="1:14" ht="15" customHeight="1">
      <c r="A2163" s="58">
        <v>2162</v>
      </c>
      <c r="B2163" s="61" t="s">
        <v>49</v>
      </c>
      <c r="C2163" s="61" t="s">
        <v>10</v>
      </c>
      <c r="D2163" s="292" t="s">
        <v>3979</v>
      </c>
      <c r="E2163" s="301">
        <v>200</v>
      </c>
      <c r="F2163" s="301">
        <v>964</v>
      </c>
      <c r="G2163" s="168">
        <f t="shared" ref="G2163" si="346">(((F2163/70)+1)*0.4)</f>
        <v>5.9085714285714293</v>
      </c>
      <c r="H2163" s="168">
        <f t="shared" ref="H2163" si="347">G2163*2</f>
        <v>11.817142857142859</v>
      </c>
      <c r="I2163" s="168">
        <f t="shared" ref="I2163" si="348">(((F2163/70)+1)*0.6)</f>
        <v>8.862857142857143</v>
      </c>
      <c r="J2163" s="168">
        <f t="shared" ref="J2163" si="349">I2163+G2163</f>
        <v>14.771428571428572</v>
      </c>
      <c r="K2163" s="168">
        <f t="shared" ref="K2163" si="350">J2163</f>
        <v>14.771428571428572</v>
      </c>
      <c r="L2163" s="168">
        <f t="shared" ref="L2163" si="351">(F2163/4000)+1</f>
        <v>1.2410000000000001</v>
      </c>
      <c r="M2163" s="168">
        <f t="shared" ref="M2163" si="352">E2163/60</f>
        <v>3.3333333333333335</v>
      </c>
      <c r="N2163" s="241" t="s">
        <v>453</v>
      </c>
    </row>
    <row r="2164" spans="1:14" ht="15" customHeight="1">
      <c r="A2164" s="58">
        <v>2163</v>
      </c>
      <c r="B2164" s="61" t="s">
        <v>52</v>
      </c>
      <c r="C2164" s="61" t="s">
        <v>10</v>
      </c>
      <c r="D2164" s="292" t="s">
        <v>3980</v>
      </c>
      <c r="E2164" s="301">
        <v>235</v>
      </c>
      <c r="F2164" s="301">
        <v>0</v>
      </c>
      <c r="G2164" s="168" t="s">
        <v>3535</v>
      </c>
      <c r="H2164" s="168" t="s">
        <v>3535</v>
      </c>
      <c r="I2164" s="168" t="s">
        <v>3535</v>
      </c>
      <c r="J2164" s="168" t="s">
        <v>3535</v>
      </c>
      <c r="K2164" s="168" t="s">
        <v>3535</v>
      </c>
      <c r="L2164" s="168" t="s">
        <v>3535</v>
      </c>
      <c r="M2164" s="168">
        <f t="shared" si="345"/>
        <v>5.875</v>
      </c>
      <c r="N2164" s="241" t="s">
        <v>453</v>
      </c>
    </row>
    <row r="2165" spans="1:14" ht="15" customHeight="1">
      <c r="A2165" s="58">
        <v>2164</v>
      </c>
      <c r="B2165" s="61" t="s">
        <v>52</v>
      </c>
      <c r="C2165" s="61" t="s">
        <v>10</v>
      </c>
      <c r="D2165" s="292" t="s">
        <v>3981</v>
      </c>
      <c r="E2165" s="301">
        <v>74</v>
      </c>
      <c r="F2165" s="301">
        <v>0</v>
      </c>
      <c r="G2165" s="168">
        <f t="shared" si="316"/>
        <v>0.4</v>
      </c>
      <c r="H2165" s="168">
        <f t="shared" si="317"/>
        <v>0.8</v>
      </c>
      <c r="I2165" s="168">
        <f t="shared" si="318"/>
        <v>0.6</v>
      </c>
      <c r="J2165" s="168">
        <f t="shared" si="319"/>
        <v>1</v>
      </c>
      <c r="K2165" s="168">
        <f t="shared" si="320"/>
        <v>1</v>
      </c>
      <c r="L2165" s="168">
        <f t="shared" si="321"/>
        <v>1</v>
      </c>
      <c r="M2165" s="168">
        <f t="shared" si="322"/>
        <v>1.2333333333333334</v>
      </c>
      <c r="N2165" s="241" t="s">
        <v>453</v>
      </c>
    </row>
    <row r="2166" spans="1:14" ht="15" customHeight="1">
      <c r="A2166" s="58">
        <v>2165</v>
      </c>
      <c r="B2166" s="61" t="s">
        <v>52</v>
      </c>
      <c r="C2166" s="61" t="s">
        <v>10</v>
      </c>
      <c r="D2166" s="292" t="s">
        <v>3982</v>
      </c>
      <c r="E2166" s="301">
        <v>161</v>
      </c>
      <c r="F2166" s="301">
        <v>600</v>
      </c>
      <c r="G2166" s="168">
        <f t="shared" si="316"/>
        <v>3.8285714285714287</v>
      </c>
      <c r="H2166" s="168">
        <f t="shared" si="317"/>
        <v>7.6571428571428575</v>
      </c>
      <c r="I2166" s="168">
        <f t="shared" si="318"/>
        <v>5.7428571428571429</v>
      </c>
      <c r="J2166" s="168">
        <f t="shared" si="319"/>
        <v>9.5714285714285712</v>
      </c>
      <c r="K2166" s="168">
        <f t="shared" si="320"/>
        <v>9.5714285714285712</v>
      </c>
      <c r="L2166" s="168">
        <f t="shared" si="321"/>
        <v>1.1499999999999999</v>
      </c>
      <c r="M2166" s="168">
        <f t="shared" si="322"/>
        <v>2.6833333333333331</v>
      </c>
      <c r="N2166" s="241" t="s">
        <v>453</v>
      </c>
    </row>
    <row r="2167" spans="1:14" ht="15" customHeight="1">
      <c r="A2167" s="58">
        <v>2166</v>
      </c>
      <c r="B2167" s="61" t="s">
        <v>52</v>
      </c>
      <c r="C2167" s="61" t="s">
        <v>10</v>
      </c>
      <c r="D2167" s="292" t="s">
        <v>3983</v>
      </c>
      <c r="E2167" s="301">
        <v>150</v>
      </c>
      <c r="F2167" s="301">
        <v>348</v>
      </c>
      <c r="G2167" s="168">
        <f t="shared" si="316"/>
        <v>2.3885714285714288</v>
      </c>
      <c r="H2167" s="168">
        <f t="shared" si="317"/>
        <v>4.7771428571428576</v>
      </c>
      <c r="I2167" s="168">
        <f t="shared" si="318"/>
        <v>3.5828571428571427</v>
      </c>
      <c r="J2167" s="168">
        <f t="shared" si="319"/>
        <v>5.9714285714285715</v>
      </c>
      <c r="K2167" s="168">
        <f t="shared" si="320"/>
        <v>5.9714285714285715</v>
      </c>
      <c r="L2167" s="168">
        <f t="shared" si="321"/>
        <v>1.087</v>
      </c>
      <c r="M2167" s="168">
        <f t="shared" si="322"/>
        <v>2.5</v>
      </c>
      <c r="N2167" s="241" t="s">
        <v>453</v>
      </c>
    </row>
    <row r="2168" spans="1:14" ht="15" customHeight="1">
      <c r="A2168" s="58">
        <v>2167</v>
      </c>
      <c r="B2168" s="61" t="s">
        <v>52</v>
      </c>
      <c r="C2168" s="61" t="s">
        <v>10</v>
      </c>
      <c r="D2168" s="292" t="s">
        <v>3984</v>
      </c>
      <c r="E2168" s="301">
        <v>478</v>
      </c>
      <c r="F2168" s="301">
        <v>0</v>
      </c>
      <c r="G2168" s="168">
        <f t="shared" si="316"/>
        <v>0.4</v>
      </c>
      <c r="H2168" s="168">
        <f t="shared" si="317"/>
        <v>0.8</v>
      </c>
      <c r="I2168" s="168">
        <f t="shared" si="318"/>
        <v>0.6</v>
      </c>
      <c r="J2168" s="168">
        <f t="shared" si="319"/>
        <v>1</v>
      </c>
      <c r="K2168" s="168">
        <f t="shared" si="320"/>
        <v>1</v>
      </c>
      <c r="L2168" s="168">
        <f t="shared" si="321"/>
        <v>1</v>
      </c>
      <c r="M2168" s="168">
        <f t="shared" si="322"/>
        <v>7.9666666666666668</v>
      </c>
      <c r="N2168" s="241" t="s">
        <v>453</v>
      </c>
    </row>
    <row r="2169" spans="1:14" ht="15" customHeight="1">
      <c r="A2169" s="58">
        <v>2168</v>
      </c>
      <c r="B2169" s="61" t="s">
        <v>52</v>
      </c>
      <c r="C2169" s="61" t="s">
        <v>10</v>
      </c>
      <c r="D2169" s="292" t="s">
        <v>3985</v>
      </c>
      <c r="E2169" s="301">
        <v>197</v>
      </c>
      <c r="F2169" s="301">
        <v>0</v>
      </c>
      <c r="G2169" s="168" t="s">
        <v>3535</v>
      </c>
      <c r="H2169" s="168" t="s">
        <v>3535</v>
      </c>
      <c r="I2169" s="168" t="s">
        <v>3535</v>
      </c>
      <c r="J2169" s="168" t="s">
        <v>3535</v>
      </c>
      <c r="K2169" s="168" t="s">
        <v>3535</v>
      </c>
      <c r="L2169" s="168" t="s">
        <v>3535</v>
      </c>
      <c r="M2169" s="168">
        <f>E2169/40</f>
        <v>4.9249999999999998</v>
      </c>
      <c r="N2169" s="241" t="s">
        <v>453</v>
      </c>
    </row>
    <row r="2170" spans="1:14" ht="15" customHeight="1">
      <c r="A2170" s="58">
        <v>2169</v>
      </c>
      <c r="B2170" s="61" t="s">
        <v>52</v>
      </c>
      <c r="C2170" s="61" t="s">
        <v>10</v>
      </c>
      <c r="D2170" s="292" t="s">
        <v>3986</v>
      </c>
      <c r="E2170" s="301">
        <v>51</v>
      </c>
      <c r="F2170" s="301">
        <v>0</v>
      </c>
      <c r="G2170" s="168">
        <f t="shared" si="316"/>
        <v>0.4</v>
      </c>
      <c r="H2170" s="168">
        <f t="shared" si="317"/>
        <v>0.8</v>
      </c>
      <c r="I2170" s="168">
        <f t="shared" si="318"/>
        <v>0.6</v>
      </c>
      <c r="J2170" s="168">
        <f t="shared" si="319"/>
        <v>1</v>
      </c>
      <c r="K2170" s="168">
        <f t="shared" si="320"/>
        <v>1</v>
      </c>
      <c r="L2170" s="168">
        <f t="shared" si="321"/>
        <v>1</v>
      </c>
      <c r="M2170" s="168">
        <f t="shared" si="322"/>
        <v>0.85</v>
      </c>
      <c r="N2170" s="241" t="s">
        <v>453</v>
      </c>
    </row>
    <row r="2171" spans="1:14" ht="15" customHeight="1">
      <c r="A2171" s="58">
        <v>2170</v>
      </c>
      <c r="B2171" s="61" t="s">
        <v>52</v>
      </c>
      <c r="C2171" s="61" t="s">
        <v>10</v>
      </c>
      <c r="D2171" s="292" t="s">
        <v>3987</v>
      </c>
      <c r="E2171" s="301">
        <v>348</v>
      </c>
      <c r="F2171" s="301">
        <v>0</v>
      </c>
      <c r="G2171" s="168">
        <f t="shared" si="316"/>
        <v>0.4</v>
      </c>
      <c r="H2171" s="168">
        <f t="shared" si="317"/>
        <v>0.8</v>
      </c>
      <c r="I2171" s="168">
        <f t="shared" si="318"/>
        <v>0.6</v>
      </c>
      <c r="J2171" s="168">
        <f t="shared" si="319"/>
        <v>1</v>
      </c>
      <c r="K2171" s="168">
        <f t="shared" si="320"/>
        <v>1</v>
      </c>
      <c r="L2171" s="168">
        <f t="shared" si="321"/>
        <v>1</v>
      </c>
      <c r="M2171" s="168">
        <f t="shared" si="322"/>
        <v>5.8</v>
      </c>
      <c r="N2171" s="241" t="s">
        <v>453</v>
      </c>
    </row>
    <row r="2172" spans="1:14" ht="15" customHeight="1">
      <c r="A2172" s="58">
        <v>2171</v>
      </c>
      <c r="B2172" s="61" t="s">
        <v>4235</v>
      </c>
      <c r="C2172" s="61" t="s">
        <v>11</v>
      </c>
      <c r="D2172" s="292" t="s">
        <v>3988</v>
      </c>
      <c r="E2172" s="301">
        <v>150</v>
      </c>
      <c r="F2172" s="301">
        <v>0</v>
      </c>
      <c r="G2172" s="168">
        <f t="shared" si="316"/>
        <v>0.4</v>
      </c>
      <c r="H2172" s="168">
        <f t="shared" si="317"/>
        <v>0.8</v>
      </c>
      <c r="I2172" s="168">
        <f t="shared" si="318"/>
        <v>0.6</v>
      </c>
      <c r="J2172" s="168">
        <f t="shared" si="319"/>
        <v>1</v>
      </c>
      <c r="K2172" s="168">
        <f t="shared" si="320"/>
        <v>1</v>
      </c>
      <c r="L2172" s="168">
        <f t="shared" si="321"/>
        <v>1</v>
      </c>
      <c r="M2172" s="168">
        <f t="shared" si="322"/>
        <v>2.5</v>
      </c>
      <c r="N2172" s="241" t="s">
        <v>453</v>
      </c>
    </row>
    <row r="2173" spans="1:14" ht="15" customHeight="1">
      <c r="A2173" s="58">
        <v>2172</v>
      </c>
      <c r="B2173" s="61" t="s">
        <v>52</v>
      </c>
      <c r="C2173" s="61" t="s">
        <v>10</v>
      </c>
      <c r="D2173" s="292" t="s">
        <v>3989</v>
      </c>
      <c r="E2173" s="301">
        <v>0</v>
      </c>
      <c r="F2173" s="301">
        <v>331</v>
      </c>
      <c r="G2173" s="168" t="s">
        <v>3535</v>
      </c>
      <c r="H2173" s="168" t="s">
        <v>3535</v>
      </c>
      <c r="I2173" s="168" t="s">
        <v>3535</v>
      </c>
      <c r="J2173" s="168" t="s">
        <v>3535</v>
      </c>
      <c r="K2173" s="168" t="s">
        <v>3535</v>
      </c>
      <c r="L2173" s="168" t="s">
        <v>3535</v>
      </c>
      <c r="M2173" s="168">
        <f t="shared" ref="M2173:M2174" si="353">E2173/40</f>
        <v>0</v>
      </c>
      <c r="N2173" s="241" t="s">
        <v>453</v>
      </c>
    </row>
    <row r="2174" spans="1:14" ht="15" customHeight="1">
      <c r="A2174" s="58">
        <v>2173</v>
      </c>
      <c r="B2174" s="61" t="s">
        <v>52</v>
      </c>
      <c r="C2174" s="61" t="s">
        <v>10</v>
      </c>
      <c r="D2174" s="292" t="s">
        <v>3990</v>
      </c>
      <c r="E2174" s="301">
        <v>250</v>
      </c>
      <c r="F2174" s="301">
        <v>2500</v>
      </c>
      <c r="G2174" s="168" t="s">
        <v>3535</v>
      </c>
      <c r="H2174" s="168" t="s">
        <v>3535</v>
      </c>
      <c r="I2174" s="168" t="s">
        <v>3535</v>
      </c>
      <c r="J2174" s="168" t="s">
        <v>3535</v>
      </c>
      <c r="K2174" s="168" t="s">
        <v>3535</v>
      </c>
      <c r="L2174" s="168" t="s">
        <v>3535</v>
      </c>
      <c r="M2174" s="168">
        <f t="shared" si="353"/>
        <v>6.25</v>
      </c>
      <c r="N2174" s="241" t="s">
        <v>453</v>
      </c>
    </row>
    <row r="2175" spans="1:14" ht="15" customHeight="1">
      <c r="A2175" s="58">
        <v>2174</v>
      </c>
      <c r="B2175" s="61" t="s">
        <v>52</v>
      </c>
      <c r="C2175" s="61" t="s">
        <v>10</v>
      </c>
      <c r="D2175" s="292" t="s">
        <v>3991</v>
      </c>
      <c r="E2175" s="301">
        <v>550</v>
      </c>
      <c r="F2175" s="301">
        <v>0</v>
      </c>
      <c r="G2175" s="168">
        <f t="shared" si="316"/>
        <v>0.4</v>
      </c>
      <c r="H2175" s="168">
        <f t="shared" si="317"/>
        <v>0.8</v>
      </c>
      <c r="I2175" s="168">
        <f t="shared" si="318"/>
        <v>0.6</v>
      </c>
      <c r="J2175" s="168">
        <f t="shared" si="319"/>
        <v>1</v>
      </c>
      <c r="K2175" s="168">
        <f t="shared" si="320"/>
        <v>1</v>
      </c>
      <c r="L2175" s="168">
        <f t="shared" si="321"/>
        <v>1</v>
      </c>
      <c r="M2175" s="168">
        <f t="shared" si="322"/>
        <v>9.1666666666666661</v>
      </c>
      <c r="N2175" s="241" t="s">
        <v>453</v>
      </c>
    </row>
    <row r="2176" spans="1:14" ht="15" customHeight="1">
      <c r="A2176" s="58">
        <v>2175</v>
      </c>
      <c r="B2176" s="61" t="s">
        <v>52</v>
      </c>
      <c r="C2176" s="61" t="s">
        <v>10</v>
      </c>
      <c r="D2176" s="292" t="s">
        <v>3992</v>
      </c>
      <c r="E2176" s="301">
        <v>0</v>
      </c>
      <c r="F2176" s="301">
        <v>0</v>
      </c>
      <c r="G2176" s="168">
        <f t="shared" si="316"/>
        <v>0.4</v>
      </c>
      <c r="H2176" s="168">
        <f t="shared" si="317"/>
        <v>0.8</v>
      </c>
      <c r="I2176" s="168">
        <f t="shared" si="318"/>
        <v>0.6</v>
      </c>
      <c r="J2176" s="168">
        <f t="shared" si="319"/>
        <v>1</v>
      </c>
      <c r="K2176" s="168">
        <f t="shared" si="320"/>
        <v>1</v>
      </c>
      <c r="L2176" s="168">
        <f t="shared" si="321"/>
        <v>1</v>
      </c>
      <c r="M2176" s="168">
        <f t="shared" si="322"/>
        <v>0</v>
      </c>
      <c r="N2176" s="241" t="s">
        <v>453</v>
      </c>
    </row>
    <row r="2177" spans="1:14" ht="15" customHeight="1">
      <c r="A2177" s="58">
        <v>2176</v>
      </c>
      <c r="B2177" s="61" t="s">
        <v>52</v>
      </c>
      <c r="C2177" s="61" t="s">
        <v>10</v>
      </c>
      <c r="D2177" s="292" t="s">
        <v>3993</v>
      </c>
      <c r="E2177" s="301">
        <v>666</v>
      </c>
      <c r="F2177" s="301">
        <v>0</v>
      </c>
      <c r="G2177" s="168">
        <f t="shared" si="316"/>
        <v>0.4</v>
      </c>
      <c r="H2177" s="168">
        <f t="shared" si="317"/>
        <v>0.8</v>
      </c>
      <c r="I2177" s="168">
        <f t="shared" si="318"/>
        <v>0.6</v>
      </c>
      <c r="J2177" s="168">
        <f t="shared" si="319"/>
        <v>1</v>
      </c>
      <c r="K2177" s="168">
        <f t="shared" si="320"/>
        <v>1</v>
      </c>
      <c r="L2177" s="168">
        <f t="shared" si="321"/>
        <v>1</v>
      </c>
      <c r="M2177" s="168">
        <f t="shared" si="322"/>
        <v>11.1</v>
      </c>
      <c r="N2177" s="241" t="s">
        <v>453</v>
      </c>
    </row>
    <row r="2178" spans="1:14" ht="15" customHeight="1">
      <c r="A2178" s="58">
        <v>2177</v>
      </c>
      <c r="B2178" s="61" t="s">
        <v>52</v>
      </c>
      <c r="C2178" s="61" t="s">
        <v>10</v>
      </c>
      <c r="D2178" s="292" t="s">
        <v>3994</v>
      </c>
      <c r="E2178" s="301">
        <v>0</v>
      </c>
      <c r="F2178" s="301">
        <v>200</v>
      </c>
      <c r="G2178" s="168">
        <f t="shared" si="316"/>
        <v>1.5428571428571429</v>
      </c>
      <c r="H2178" s="168">
        <f t="shared" si="317"/>
        <v>3.0857142857142859</v>
      </c>
      <c r="I2178" s="168">
        <f t="shared" si="318"/>
        <v>2.3142857142857141</v>
      </c>
      <c r="J2178" s="168">
        <f t="shared" si="319"/>
        <v>3.8571428571428568</v>
      </c>
      <c r="K2178" s="168">
        <f t="shared" si="320"/>
        <v>3.8571428571428568</v>
      </c>
      <c r="L2178" s="168">
        <f t="shared" si="321"/>
        <v>1.05</v>
      </c>
      <c r="M2178" s="168">
        <f t="shared" si="322"/>
        <v>0</v>
      </c>
      <c r="N2178" s="241" t="s">
        <v>453</v>
      </c>
    </row>
    <row r="2179" spans="1:14" ht="15" customHeight="1">
      <c r="A2179" s="58">
        <v>2178</v>
      </c>
      <c r="B2179" s="61" t="s">
        <v>52</v>
      </c>
      <c r="C2179" s="61" t="s">
        <v>10</v>
      </c>
      <c r="D2179" s="292" t="s">
        <v>3995</v>
      </c>
      <c r="E2179" s="301">
        <v>437</v>
      </c>
      <c r="F2179" s="301">
        <v>0</v>
      </c>
      <c r="G2179" s="168">
        <f t="shared" si="316"/>
        <v>0.4</v>
      </c>
      <c r="H2179" s="168">
        <f t="shared" si="317"/>
        <v>0.8</v>
      </c>
      <c r="I2179" s="168">
        <f t="shared" si="318"/>
        <v>0.6</v>
      </c>
      <c r="J2179" s="168">
        <f t="shared" si="319"/>
        <v>1</v>
      </c>
      <c r="K2179" s="168">
        <f t="shared" si="320"/>
        <v>1</v>
      </c>
      <c r="L2179" s="168">
        <f t="shared" si="321"/>
        <v>1</v>
      </c>
      <c r="M2179" s="168">
        <f t="shared" si="322"/>
        <v>7.2833333333333332</v>
      </c>
      <c r="N2179" s="241" t="s">
        <v>453</v>
      </c>
    </row>
    <row r="2180" spans="1:14" ht="15" customHeight="1">
      <c r="A2180" s="58">
        <v>2179</v>
      </c>
      <c r="B2180" s="61" t="s">
        <v>52</v>
      </c>
      <c r="C2180" s="61" t="s">
        <v>10</v>
      </c>
      <c r="D2180" s="292" t="s">
        <v>3996</v>
      </c>
      <c r="E2180" s="301">
        <v>245</v>
      </c>
      <c r="F2180" s="301">
        <v>0</v>
      </c>
      <c r="G2180" s="168" t="s">
        <v>3535</v>
      </c>
      <c r="H2180" s="168" t="s">
        <v>3535</v>
      </c>
      <c r="I2180" s="168" t="s">
        <v>3535</v>
      </c>
      <c r="J2180" s="168" t="s">
        <v>3535</v>
      </c>
      <c r="K2180" s="168" t="s">
        <v>3535</v>
      </c>
      <c r="L2180" s="168" t="s">
        <v>3535</v>
      </c>
      <c r="M2180" s="168">
        <f t="shared" ref="M2180:M2182" si="354">E2180/40</f>
        <v>6.125</v>
      </c>
      <c r="N2180" s="241" t="s">
        <v>453</v>
      </c>
    </row>
    <row r="2181" spans="1:14" ht="15" customHeight="1">
      <c r="A2181" s="58">
        <v>2180</v>
      </c>
      <c r="B2181" s="61" t="s">
        <v>52</v>
      </c>
      <c r="C2181" s="61" t="s">
        <v>10</v>
      </c>
      <c r="D2181" s="292" t="s">
        <v>3997</v>
      </c>
      <c r="E2181" s="301">
        <v>86</v>
      </c>
      <c r="F2181" s="301">
        <v>0</v>
      </c>
      <c r="G2181" s="168" t="s">
        <v>3535</v>
      </c>
      <c r="H2181" s="168" t="s">
        <v>3535</v>
      </c>
      <c r="I2181" s="168" t="s">
        <v>3535</v>
      </c>
      <c r="J2181" s="168" t="s">
        <v>3535</v>
      </c>
      <c r="K2181" s="168" t="s">
        <v>3535</v>
      </c>
      <c r="L2181" s="168" t="s">
        <v>3535</v>
      </c>
      <c r="M2181" s="168">
        <f t="shared" si="354"/>
        <v>2.15</v>
      </c>
      <c r="N2181" s="241" t="s">
        <v>453</v>
      </c>
    </row>
    <row r="2182" spans="1:14" ht="15" customHeight="1">
      <c r="A2182" s="58">
        <v>2181</v>
      </c>
      <c r="B2182" s="61" t="s">
        <v>52</v>
      </c>
      <c r="C2182" s="61" t="s">
        <v>10</v>
      </c>
      <c r="D2182" s="292" t="s">
        <v>3998</v>
      </c>
      <c r="E2182" s="301">
        <v>0</v>
      </c>
      <c r="F2182" s="301">
        <v>200</v>
      </c>
      <c r="G2182" s="168" t="s">
        <v>3535</v>
      </c>
      <c r="H2182" s="168" t="s">
        <v>3535</v>
      </c>
      <c r="I2182" s="168" t="s">
        <v>3535</v>
      </c>
      <c r="J2182" s="168" t="s">
        <v>3535</v>
      </c>
      <c r="K2182" s="168" t="s">
        <v>3535</v>
      </c>
      <c r="L2182" s="168" t="s">
        <v>3535</v>
      </c>
      <c r="M2182" s="168">
        <f t="shared" si="354"/>
        <v>0</v>
      </c>
      <c r="N2182" s="241" t="s">
        <v>453</v>
      </c>
    </row>
    <row r="2183" spans="1:14" ht="15" customHeight="1">
      <c r="A2183" s="58">
        <v>2182</v>
      </c>
      <c r="B2183" s="61" t="s">
        <v>52</v>
      </c>
      <c r="C2183" s="61" t="s">
        <v>10</v>
      </c>
      <c r="D2183" s="292" t="s">
        <v>3999</v>
      </c>
      <c r="E2183" s="301">
        <v>597</v>
      </c>
      <c r="F2183" s="301">
        <v>0</v>
      </c>
      <c r="G2183" s="168">
        <f t="shared" si="316"/>
        <v>0.4</v>
      </c>
      <c r="H2183" s="168">
        <f t="shared" si="317"/>
        <v>0.8</v>
      </c>
      <c r="I2183" s="168">
        <f t="shared" si="318"/>
        <v>0.6</v>
      </c>
      <c r="J2183" s="168">
        <f t="shared" si="319"/>
        <v>1</v>
      </c>
      <c r="K2183" s="168">
        <f t="shared" si="320"/>
        <v>1</v>
      </c>
      <c r="L2183" s="168">
        <f t="shared" si="321"/>
        <v>1</v>
      </c>
      <c r="M2183" s="168">
        <f t="shared" si="322"/>
        <v>9.9499999999999993</v>
      </c>
      <c r="N2183" s="241" t="s">
        <v>453</v>
      </c>
    </row>
    <row r="2184" spans="1:14" ht="15" customHeight="1">
      <c r="A2184" s="58">
        <v>2183</v>
      </c>
      <c r="B2184" s="61" t="s">
        <v>52</v>
      </c>
      <c r="C2184" s="61" t="s">
        <v>10</v>
      </c>
      <c r="D2184" s="292" t="s">
        <v>4000</v>
      </c>
      <c r="E2184" s="301">
        <v>308</v>
      </c>
      <c r="F2184" s="301">
        <v>0</v>
      </c>
      <c r="G2184" s="168" t="s">
        <v>3535</v>
      </c>
      <c r="H2184" s="168" t="s">
        <v>3535</v>
      </c>
      <c r="I2184" s="168" t="s">
        <v>3535</v>
      </c>
      <c r="J2184" s="168" t="s">
        <v>3535</v>
      </c>
      <c r="K2184" s="168" t="s">
        <v>3535</v>
      </c>
      <c r="L2184" s="168" t="s">
        <v>3535</v>
      </c>
      <c r="M2184" s="168">
        <f t="shared" ref="M2184:M2185" si="355">E2184/40</f>
        <v>7.7</v>
      </c>
      <c r="N2184" s="241" t="s">
        <v>453</v>
      </c>
    </row>
    <row r="2185" spans="1:14" ht="15" customHeight="1">
      <c r="A2185" s="58">
        <v>2184</v>
      </c>
      <c r="B2185" s="61" t="s">
        <v>52</v>
      </c>
      <c r="C2185" s="61" t="s">
        <v>10</v>
      </c>
      <c r="D2185" s="292" t="s">
        <v>4001</v>
      </c>
      <c r="E2185" s="301">
        <v>271</v>
      </c>
      <c r="F2185" s="301">
        <v>723</v>
      </c>
      <c r="G2185" s="168" t="s">
        <v>3535</v>
      </c>
      <c r="H2185" s="168" t="s">
        <v>3535</v>
      </c>
      <c r="I2185" s="168" t="s">
        <v>3535</v>
      </c>
      <c r="J2185" s="168" t="s">
        <v>3535</v>
      </c>
      <c r="K2185" s="168" t="s">
        <v>3535</v>
      </c>
      <c r="L2185" s="168" t="s">
        <v>3535</v>
      </c>
      <c r="M2185" s="168">
        <f t="shared" si="355"/>
        <v>6.7750000000000004</v>
      </c>
      <c r="N2185" s="241" t="s">
        <v>453</v>
      </c>
    </row>
    <row r="2186" spans="1:14" ht="15" customHeight="1">
      <c r="A2186" s="58">
        <v>2185</v>
      </c>
      <c r="B2186" s="61" t="s">
        <v>55</v>
      </c>
      <c r="C2186" s="61" t="s">
        <v>10</v>
      </c>
      <c r="D2186" s="292" t="s">
        <v>4002</v>
      </c>
      <c r="E2186" s="301">
        <v>0</v>
      </c>
      <c r="F2186" s="301">
        <v>12000</v>
      </c>
      <c r="G2186" s="168">
        <f t="shared" ref="G2186" si="356">(((F2186/70)+1)*0.4)</f>
        <v>68.971428571428575</v>
      </c>
      <c r="H2186" s="168">
        <f t="shared" ref="H2186" si="357">G2186*2</f>
        <v>137.94285714285715</v>
      </c>
      <c r="I2186" s="168">
        <f t="shared" ref="I2186" si="358">(((F2186/70)+1)*0.6)</f>
        <v>103.45714285714284</v>
      </c>
      <c r="J2186" s="168">
        <f t="shared" ref="J2186" si="359">I2186+G2186</f>
        <v>172.42857142857142</v>
      </c>
      <c r="K2186" s="168">
        <f t="shared" ref="K2186" si="360">J2186</f>
        <v>172.42857142857142</v>
      </c>
      <c r="L2186" s="168">
        <f t="shared" ref="L2186" si="361">(F2186/4000)+1</f>
        <v>4</v>
      </c>
      <c r="M2186" s="168">
        <f t="shared" ref="M2186" si="362">E2186/60</f>
        <v>0</v>
      </c>
      <c r="N2186" s="241" t="s">
        <v>453</v>
      </c>
    </row>
    <row r="2187" spans="1:14" ht="15" customHeight="1">
      <c r="A2187" s="58">
        <v>2186</v>
      </c>
      <c r="B2187" s="61" t="s">
        <v>49</v>
      </c>
      <c r="C2187" s="61" t="s">
        <v>10</v>
      </c>
      <c r="D2187" s="292" t="s">
        <v>4003</v>
      </c>
      <c r="E2187" s="301">
        <v>150</v>
      </c>
      <c r="F2187" s="301">
        <v>0</v>
      </c>
      <c r="G2187" s="168">
        <f t="shared" si="316"/>
        <v>0.4</v>
      </c>
      <c r="H2187" s="168">
        <f t="shared" si="317"/>
        <v>0.8</v>
      </c>
      <c r="I2187" s="168">
        <f t="shared" si="318"/>
        <v>0.6</v>
      </c>
      <c r="J2187" s="168">
        <f t="shared" si="319"/>
        <v>1</v>
      </c>
      <c r="K2187" s="168">
        <f t="shared" si="320"/>
        <v>1</v>
      </c>
      <c r="L2187" s="168">
        <f t="shared" si="321"/>
        <v>1</v>
      </c>
      <c r="M2187" s="168">
        <f t="shared" si="322"/>
        <v>2.5</v>
      </c>
      <c r="N2187" s="241" t="s">
        <v>453</v>
      </c>
    </row>
    <row r="2188" spans="1:14" ht="15" customHeight="1">
      <c r="A2188" s="58">
        <v>2187</v>
      </c>
      <c r="B2188" s="61" t="s">
        <v>52</v>
      </c>
      <c r="C2188" s="61" t="s">
        <v>10</v>
      </c>
      <c r="D2188" s="292" t="s">
        <v>4004</v>
      </c>
      <c r="E2188" s="301">
        <v>453</v>
      </c>
      <c r="F2188" s="301">
        <v>0</v>
      </c>
      <c r="G2188" s="168">
        <f t="shared" si="316"/>
        <v>0.4</v>
      </c>
      <c r="H2188" s="168">
        <f t="shared" si="317"/>
        <v>0.8</v>
      </c>
      <c r="I2188" s="168">
        <f t="shared" si="318"/>
        <v>0.6</v>
      </c>
      <c r="J2188" s="168">
        <f t="shared" si="319"/>
        <v>1</v>
      </c>
      <c r="K2188" s="168">
        <f t="shared" si="320"/>
        <v>1</v>
      </c>
      <c r="L2188" s="168">
        <f t="shared" si="321"/>
        <v>1</v>
      </c>
      <c r="M2188" s="168">
        <f t="shared" si="322"/>
        <v>7.55</v>
      </c>
      <c r="N2188" s="241" t="s">
        <v>453</v>
      </c>
    </row>
    <row r="2189" spans="1:14" ht="15" customHeight="1">
      <c r="A2189" s="58">
        <v>2188</v>
      </c>
      <c r="B2189" s="61" t="s">
        <v>52</v>
      </c>
      <c r="C2189" s="61" t="s">
        <v>10</v>
      </c>
      <c r="D2189" s="292" t="s">
        <v>4005</v>
      </c>
      <c r="E2189" s="301">
        <v>281</v>
      </c>
      <c r="F2189" s="301">
        <v>0</v>
      </c>
      <c r="G2189" s="168">
        <f t="shared" si="316"/>
        <v>0.4</v>
      </c>
      <c r="H2189" s="168">
        <f t="shared" si="317"/>
        <v>0.8</v>
      </c>
      <c r="I2189" s="168">
        <f t="shared" si="318"/>
        <v>0.6</v>
      </c>
      <c r="J2189" s="168">
        <f t="shared" si="319"/>
        <v>1</v>
      </c>
      <c r="K2189" s="168">
        <f t="shared" si="320"/>
        <v>1</v>
      </c>
      <c r="L2189" s="168">
        <f t="shared" si="321"/>
        <v>1</v>
      </c>
      <c r="M2189" s="168">
        <f t="shared" si="322"/>
        <v>4.6833333333333336</v>
      </c>
      <c r="N2189" s="241" t="s">
        <v>453</v>
      </c>
    </row>
    <row r="2190" spans="1:14" ht="15" customHeight="1">
      <c r="A2190" s="58">
        <v>2189</v>
      </c>
      <c r="B2190" s="61" t="s">
        <v>52</v>
      </c>
      <c r="C2190" s="61" t="s">
        <v>10</v>
      </c>
      <c r="D2190" s="292" t="s">
        <v>4006</v>
      </c>
      <c r="E2190" s="301">
        <v>109</v>
      </c>
      <c r="F2190" s="301">
        <v>0</v>
      </c>
      <c r="G2190" s="168">
        <f t="shared" si="316"/>
        <v>0.4</v>
      </c>
      <c r="H2190" s="168">
        <f t="shared" si="317"/>
        <v>0.8</v>
      </c>
      <c r="I2190" s="168">
        <f t="shared" si="318"/>
        <v>0.6</v>
      </c>
      <c r="J2190" s="168">
        <f t="shared" si="319"/>
        <v>1</v>
      </c>
      <c r="K2190" s="168">
        <f t="shared" si="320"/>
        <v>1</v>
      </c>
      <c r="L2190" s="168">
        <f t="shared" si="321"/>
        <v>1</v>
      </c>
      <c r="M2190" s="168">
        <f t="shared" si="322"/>
        <v>1.8166666666666667</v>
      </c>
      <c r="N2190" s="241" t="s">
        <v>453</v>
      </c>
    </row>
    <row r="2191" spans="1:14" ht="15" customHeight="1">
      <c r="A2191" s="58">
        <v>2190</v>
      </c>
      <c r="B2191" s="61" t="s">
        <v>53</v>
      </c>
      <c r="C2191" s="61" t="s">
        <v>10</v>
      </c>
      <c r="D2191" s="292" t="s">
        <v>4007</v>
      </c>
      <c r="E2191" s="301">
        <v>328</v>
      </c>
      <c r="F2191" s="301">
        <v>0</v>
      </c>
      <c r="G2191" s="168">
        <f t="shared" si="316"/>
        <v>0.4</v>
      </c>
      <c r="H2191" s="168">
        <f t="shared" si="317"/>
        <v>0.8</v>
      </c>
      <c r="I2191" s="168">
        <f t="shared" si="318"/>
        <v>0.6</v>
      </c>
      <c r="J2191" s="168">
        <f t="shared" si="319"/>
        <v>1</v>
      </c>
      <c r="K2191" s="168">
        <f t="shared" si="320"/>
        <v>1</v>
      </c>
      <c r="L2191" s="168">
        <f t="shared" si="321"/>
        <v>1</v>
      </c>
      <c r="M2191" s="168">
        <f t="shared" si="322"/>
        <v>5.4666666666666668</v>
      </c>
      <c r="N2191" s="241" t="s">
        <v>453</v>
      </c>
    </row>
    <row r="2192" spans="1:14" ht="15" customHeight="1">
      <c r="A2192" s="58">
        <v>2191</v>
      </c>
      <c r="B2192" s="61" t="s">
        <v>52</v>
      </c>
      <c r="C2192" s="61" t="s">
        <v>10</v>
      </c>
      <c r="D2192" s="292" t="s">
        <v>4008</v>
      </c>
      <c r="E2192" s="301">
        <v>245</v>
      </c>
      <c r="F2192" s="301">
        <v>500</v>
      </c>
      <c r="G2192" s="168">
        <f t="shared" si="316"/>
        <v>3.2571428571428571</v>
      </c>
      <c r="H2192" s="168">
        <f t="shared" si="317"/>
        <v>6.5142857142857142</v>
      </c>
      <c r="I2192" s="168">
        <f t="shared" si="318"/>
        <v>4.8857142857142852</v>
      </c>
      <c r="J2192" s="168">
        <f t="shared" si="319"/>
        <v>8.1428571428571423</v>
      </c>
      <c r="K2192" s="168">
        <f t="shared" si="320"/>
        <v>8.1428571428571423</v>
      </c>
      <c r="L2192" s="168">
        <f t="shared" si="321"/>
        <v>1.125</v>
      </c>
      <c r="M2192" s="168">
        <f t="shared" si="322"/>
        <v>4.083333333333333</v>
      </c>
      <c r="N2192" s="241" t="s">
        <v>453</v>
      </c>
    </row>
    <row r="2193" spans="1:14" ht="15" customHeight="1">
      <c r="A2193" s="58">
        <v>2192</v>
      </c>
      <c r="B2193" s="61" t="s">
        <v>52</v>
      </c>
      <c r="C2193" s="61" t="s">
        <v>10</v>
      </c>
      <c r="D2193" s="292" t="s">
        <v>4009</v>
      </c>
      <c r="E2193" s="301">
        <v>34</v>
      </c>
      <c r="F2193" s="301">
        <v>0</v>
      </c>
      <c r="G2193" s="168" t="s">
        <v>3535</v>
      </c>
      <c r="H2193" s="168" t="s">
        <v>3535</v>
      </c>
      <c r="I2193" s="168" t="s">
        <v>3535</v>
      </c>
      <c r="J2193" s="168" t="s">
        <v>3535</v>
      </c>
      <c r="K2193" s="168" t="s">
        <v>3535</v>
      </c>
      <c r="L2193" s="168" t="s">
        <v>3535</v>
      </c>
      <c r="M2193" s="168">
        <f>E2193/40</f>
        <v>0.85</v>
      </c>
      <c r="N2193" s="241" t="s">
        <v>453</v>
      </c>
    </row>
    <row r="2194" spans="1:14" ht="15" customHeight="1">
      <c r="A2194" s="58">
        <v>2193</v>
      </c>
      <c r="B2194" s="61" t="s">
        <v>52</v>
      </c>
      <c r="C2194" s="61" t="s">
        <v>10</v>
      </c>
      <c r="D2194" s="292" t="s">
        <v>4010</v>
      </c>
      <c r="E2194" s="301">
        <v>50</v>
      </c>
      <c r="F2194" s="301">
        <v>0</v>
      </c>
      <c r="G2194" s="168">
        <f t="shared" si="316"/>
        <v>0.4</v>
      </c>
      <c r="H2194" s="168">
        <f t="shared" si="317"/>
        <v>0.8</v>
      </c>
      <c r="I2194" s="168">
        <f t="shared" si="318"/>
        <v>0.6</v>
      </c>
      <c r="J2194" s="168">
        <f t="shared" si="319"/>
        <v>1</v>
      </c>
      <c r="K2194" s="168">
        <f t="shared" si="320"/>
        <v>1</v>
      </c>
      <c r="L2194" s="168">
        <f t="shared" si="321"/>
        <v>1</v>
      </c>
      <c r="M2194" s="168">
        <f t="shared" si="322"/>
        <v>0.83333333333333337</v>
      </c>
      <c r="N2194" s="241" t="s">
        <v>453</v>
      </c>
    </row>
    <row r="2195" spans="1:14" ht="15" customHeight="1">
      <c r="A2195" s="58">
        <v>2194</v>
      </c>
      <c r="B2195" s="61" t="s">
        <v>52</v>
      </c>
      <c r="C2195" s="61" t="s">
        <v>10</v>
      </c>
      <c r="D2195" s="292" t="s">
        <v>4011</v>
      </c>
      <c r="E2195" s="301">
        <v>351</v>
      </c>
      <c r="F2195" s="301">
        <v>450</v>
      </c>
      <c r="G2195" s="168">
        <f t="shared" si="316"/>
        <v>2.9714285714285715</v>
      </c>
      <c r="H2195" s="168">
        <f t="shared" si="317"/>
        <v>5.9428571428571431</v>
      </c>
      <c r="I2195" s="168">
        <f t="shared" si="318"/>
        <v>4.4571428571428573</v>
      </c>
      <c r="J2195" s="168">
        <f t="shared" si="319"/>
        <v>7.4285714285714288</v>
      </c>
      <c r="K2195" s="168">
        <f t="shared" si="320"/>
        <v>7.4285714285714288</v>
      </c>
      <c r="L2195" s="168">
        <f t="shared" si="321"/>
        <v>1.1125</v>
      </c>
      <c r="M2195" s="168">
        <f t="shared" si="322"/>
        <v>5.85</v>
      </c>
      <c r="N2195" s="241" t="s">
        <v>453</v>
      </c>
    </row>
    <row r="2196" spans="1:14" ht="15" customHeight="1">
      <c r="A2196" s="58">
        <v>2195</v>
      </c>
      <c r="B2196" s="61" t="s">
        <v>52</v>
      </c>
      <c r="C2196" s="61" t="s">
        <v>10</v>
      </c>
      <c r="D2196" s="292" t="s">
        <v>4012</v>
      </c>
      <c r="E2196" s="301">
        <v>266</v>
      </c>
      <c r="F2196" s="301">
        <v>0</v>
      </c>
      <c r="G2196" s="168">
        <f t="shared" si="316"/>
        <v>0.4</v>
      </c>
      <c r="H2196" s="168">
        <f t="shared" si="317"/>
        <v>0.8</v>
      </c>
      <c r="I2196" s="168">
        <f t="shared" si="318"/>
        <v>0.6</v>
      </c>
      <c r="J2196" s="168">
        <f t="shared" si="319"/>
        <v>1</v>
      </c>
      <c r="K2196" s="168">
        <f t="shared" si="320"/>
        <v>1</v>
      </c>
      <c r="L2196" s="168">
        <f t="shared" si="321"/>
        <v>1</v>
      </c>
      <c r="M2196" s="168">
        <f t="shared" si="322"/>
        <v>4.4333333333333336</v>
      </c>
      <c r="N2196" s="241" t="s">
        <v>453</v>
      </c>
    </row>
    <row r="2197" spans="1:14" ht="15" customHeight="1">
      <c r="A2197" s="58">
        <v>2196</v>
      </c>
      <c r="B2197" s="61" t="s">
        <v>49</v>
      </c>
      <c r="C2197" s="61" t="s">
        <v>10</v>
      </c>
      <c r="D2197" s="292" t="s">
        <v>4013</v>
      </c>
      <c r="E2197" s="301">
        <v>0</v>
      </c>
      <c r="F2197" s="301">
        <v>439</v>
      </c>
      <c r="G2197" s="168" t="s">
        <v>3535</v>
      </c>
      <c r="H2197" s="168" t="s">
        <v>3535</v>
      </c>
      <c r="I2197" s="168" t="s">
        <v>3535</v>
      </c>
      <c r="J2197" s="168" t="s">
        <v>3535</v>
      </c>
      <c r="K2197" s="168" t="s">
        <v>3535</v>
      </c>
      <c r="L2197" s="168" t="s">
        <v>3535</v>
      </c>
      <c r="M2197" s="168">
        <f t="shared" ref="M2197" si="363">E2197/40</f>
        <v>0</v>
      </c>
      <c r="N2197" s="241" t="s">
        <v>453</v>
      </c>
    </row>
    <row r="2198" spans="1:14" ht="15" customHeight="1">
      <c r="A2198" s="58">
        <v>2197</v>
      </c>
      <c r="B2198" s="61" t="s">
        <v>52</v>
      </c>
      <c r="C2198" s="61" t="s">
        <v>10</v>
      </c>
      <c r="D2198" s="292" t="s">
        <v>4014</v>
      </c>
      <c r="E2198" s="301">
        <v>0</v>
      </c>
      <c r="F2198" s="301">
        <v>272</v>
      </c>
      <c r="G2198" s="168">
        <f t="shared" ref="G2198" si="364">(((F2198/70)+1)*0.4)</f>
        <v>1.9542857142857146</v>
      </c>
      <c r="H2198" s="168">
        <f t="shared" ref="H2198" si="365">G2198*2</f>
        <v>3.9085714285714293</v>
      </c>
      <c r="I2198" s="168">
        <f t="shared" ref="I2198" si="366">(((F2198/70)+1)*0.6)</f>
        <v>2.9314285714285715</v>
      </c>
      <c r="J2198" s="168">
        <f t="shared" ref="J2198" si="367">I2198+G2198</f>
        <v>4.8857142857142861</v>
      </c>
      <c r="K2198" s="168">
        <f t="shared" ref="K2198" si="368">J2198</f>
        <v>4.8857142857142861</v>
      </c>
      <c r="L2198" s="168">
        <f t="shared" ref="L2198" si="369">(F2198/4000)+1</f>
        <v>1.0680000000000001</v>
      </c>
      <c r="M2198" s="168">
        <f t="shared" ref="M2198" si="370">E2198/60</f>
        <v>0</v>
      </c>
      <c r="N2198" s="241" t="s">
        <v>453</v>
      </c>
    </row>
    <row r="2199" spans="1:14" ht="15" customHeight="1">
      <c r="A2199" s="58">
        <v>2198</v>
      </c>
      <c r="B2199" s="61" t="s">
        <v>52</v>
      </c>
      <c r="C2199" s="61" t="s">
        <v>10</v>
      </c>
      <c r="D2199" s="292" t="s">
        <v>4015</v>
      </c>
      <c r="E2199" s="301">
        <v>321</v>
      </c>
      <c r="F2199" s="301">
        <v>0</v>
      </c>
      <c r="G2199" s="168">
        <f t="shared" si="316"/>
        <v>0.4</v>
      </c>
      <c r="H2199" s="168">
        <f t="shared" si="317"/>
        <v>0.8</v>
      </c>
      <c r="I2199" s="168">
        <f t="shared" si="318"/>
        <v>0.6</v>
      </c>
      <c r="J2199" s="168">
        <f t="shared" si="319"/>
        <v>1</v>
      </c>
      <c r="K2199" s="168">
        <f t="shared" si="320"/>
        <v>1</v>
      </c>
      <c r="L2199" s="168">
        <f t="shared" si="321"/>
        <v>1</v>
      </c>
      <c r="M2199" s="168">
        <f t="shared" si="322"/>
        <v>5.35</v>
      </c>
      <c r="N2199" s="241" t="s">
        <v>453</v>
      </c>
    </row>
    <row r="2200" spans="1:14" ht="15" customHeight="1">
      <c r="A2200" s="58">
        <v>2199</v>
      </c>
      <c r="B2200" s="61" t="s">
        <v>52</v>
      </c>
      <c r="C2200" s="61" t="s">
        <v>10</v>
      </c>
      <c r="D2200" s="292" t="s">
        <v>4016</v>
      </c>
      <c r="E2200" s="301">
        <v>242</v>
      </c>
      <c r="F2200" s="301">
        <v>0</v>
      </c>
      <c r="G2200" s="168">
        <f t="shared" si="316"/>
        <v>0.4</v>
      </c>
      <c r="H2200" s="168">
        <f t="shared" si="317"/>
        <v>0.8</v>
      </c>
      <c r="I2200" s="168">
        <f t="shared" si="318"/>
        <v>0.6</v>
      </c>
      <c r="J2200" s="168">
        <f t="shared" si="319"/>
        <v>1</v>
      </c>
      <c r="K2200" s="168">
        <f t="shared" si="320"/>
        <v>1</v>
      </c>
      <c r="L2200" s="168">
        <f t="shared" si="321"/>
        <v>1</v>
      </c>
      <c r="M2200" s="168">
        <f t="shared" si="322"/>
        <v>4.0333333333333332</v>
      </c>
      <c r="N2200" s="241" t="s">
        <v>453</v>
      </c>
    </row>
    <row r="2201" spans="1:14" ht="15" customHeight="1">
      <c r="A2201" s="58">
        <v>2200</v>
      </c>
      <c r="B2201" s="61" t="s">
        <v>52</v>
      </c>
      <c r="C2201" s="61" t="s">
        <v>10</v>
      </c>
      <c r="D2201" s="292" t="s">
        <v>4017</v>
      </c>
      <c r="E2201" s="301">
        <v>319</v>
      </c>
      <c r="F2201" s="301">
        <v>0</v>
      </c>
      <c r="G2201" s="168" t="s">
        <v>3535</v>
      </c>
      <c r="H2201" s="168" t="s">
        <v>3535</v>
      </c>
      <c r="I2201" s="168" t="s">
        <v>3535</v>
      </c>
      <c r="J2201" s="168" t="s">
        <v>3535</v>
      </c>
      <c r="K2201" s="168" t="s">
        <v>3535</v>
      </c>
      <c r="L2201" s="168" t="s">
        <v>3535</v>
      </c>
      <c r="M2201" s="168">
        <f t="shared" ref="M2201:M2204" si="371">E2201/40</f>
        <v>7.9749999999999996</v>
      </c>
      <c r="N2201" s="241" t="s">
        <v>453</v>
      </c>
    </row>
    <row r="2202" spans="1:14" ht="15" customHeight="1">
      <c r="A2202" s="58">
        <v>2201</v>
      </c>
      <c r="B2202" s="61" t="s">
        <v>52</v>
      </c>
      <c r="C2202" s="61" t="s">
        <v>10</v>
      </c>
      <c r="D2202" s="292" t="s">
        <v>4018</v>
      </c>
      <c r="E2202" s="301">
        <v>100</v>
      </c>
      <c r="F2202" s="301">
        <v>0</v>
      </c>
      <c r="G2202" s="168" t="s">
        <v>3535</v>
      </c>
      <c r="H2202" s="168" t="s">
        <v>3535</v>
      </c>
      <c r="I2202" s="168" t="s">
        <v>3535</v>
      </c>
      <c r="J2202" s="168" t="s">
        <v>3535</v>
      </c>
      <c r="K2202" s="168" t="s">
        <v>3535</v>
      </c>
      <c r="L2202" s="168" t="s">
        <v>3535</v>
      </c>
      <c r="M2202" s="168">
        <f t="shared" si="371"/>
        <v>2.5</v>
      </c>
      <c r="N2202" s="241" t="s">
        <v>453</v>
      </c>
    </row>
    <row r="2203" spans="1:14" ht="15" customHeight="1">
      <c r="A2203" s="58">
        <v>2202</v>
      </c>
      <c r="B2203" s="61" t="s">
        <v>52</v>
      </c>
      <c r="C2203" s="61" t="s">
        <v>10</v>
      </c>
      <c r="D2203" s="292" t="s">
        <v>4019</v>
      </c>
      <c r="E2203" s="301">
        <v>80</v>
      </c>
      <c r="F2203" s="301">
        <v>0</v>
      </c>
      <c r="G2203" s="168" t="s">
        <v>3535</v>
      </c>
      <c r="H2203" s="168" t="s">
        <v>3535</v>
      </c>
      <c r="I2203" s="168" t="s">
        <v>3535</v>
      </c>
      <c r="J2203" s="168" t="s">
        <v>3535</v>
      </c>
      <c r="K2203" s="168" t="s">
        <v>3535</v>
      </c>
      <c r="L2203" s="168" t="s">
        <v>3535</v>
      </c>
      <c r="M2203" s="168">
        <f t="shared" si="371"/>
        <v>2</v>
      </c>
      <c r="N2203" s="241" t="s">
        <v>453</v>
      </c>
    </row>
    <row r="2204" spans="1:14" ht="15" customHeight="1">
      <c r="A2204" s="58">
        <v>2203</v>
      </c>
      <c r="B2204" s="61" t="s">
        <v>52</v>
      </c>
      <c r="C2204" s="61" t="s">
        <v>10</v>
      </c>
      <c r="D2204" s="292" t="s">
        <v>4020</v>
      </c>
      <c r="E2204" s="301">
        <v>255</v>
      </c>
      <c r="F2204" s="301">
        <v>545</v>
      </c>
      <c r="G2204" s="168" t="s">
        <v>3535</v>
      </c>
      <c r="H2204" s="168" t="s">
        <v>3535</v>
      </c>
      <c r="I2204" s="168" t="s">
        <v>3535</v>
      </c>
      <c r="J2204" s="168" t="s">
        <v>3535</v>
      </c>
      <c r="K2204" s="168" t="s">
        <v>3535</v>
      </c>
      <c r="L2204" s="168" t="s">
        <v>3535</v>
      </c>
      <c r="M2204" s="168">
        <f t="shared" si="371"/>
        <v>6.375</v>
      </c>
      <c r="N2204" s="241" t="s">
        <v>453</v>
      </c>
    </row>
    <row r="2205" spans="1:14" ht="15" customHeight="1">
      <c r="A2205" s="58">
        <v>2204</v>
      </c>
      <c r="B2205" s="61" t="s">
        <v>49</v>
      </c>
      <c r="C2205" s="61" t="s">
        <v>10</v>
      </c>
      <c r="D2205" s="292" t="s">
        <v>4021</v>
      </c>
      <c r="E2205" s="301">
        <v>0</v>
      </c>
      <c r="F2205" s="301">
        <v>1754</v>
      </c>
      <c r="G2205" s="168">
        <f t="shared" ref="G2205" si="372">(((F2205/70)+1)*0.4)</f>
        <v>10.422857142857143</v>
      </c>
      <c r="H2205" s="168">
        <f t="shared" ref="H2205" si="373">G2205*2</f>
        <v>20.845714285714287</v>
      </c>
      <c r="I2205" s="168">
        <f t="shared" ref="I2205" si="374">(((F2205/70)+1)*0.6)</f>
        <v>15.634285714285713</v>
      </c>
      <c r="J2205" s="168">
        <f t="shared" ref="J2205" si="375">I2205+G2205</f>
        <v>26.057142857142857</v>
      </c>
      <c r="K2205" s="168">
        <f t="shared" ref="K2205" si="376">J2205</f>
        <v>26.057142857142857</v>
      </c>
      <c r="L2205" s="168">
        <f t="shared" ref="L2205" si="377">(F2205/4000)+1</f>
        <v>1.4384999999999999</v>
      </c>
      <c r="M2205" s="168">
        <f t="shared" ref="M2205" si="378">E2205/60</f>
        <v>0</v>
      </c>
      <c r="N2205" s="241" t="s">
        <v>453</v>
      </c>
    </row>
    <row r="2206" spans="1:14" ht="15" customHeight="1">
      <c r="A2206" s="58">
        <v>2205</v>
      </c>
      <c r="B2206" s="61" t="s">
        <v>61</v>
      </c>
      <c r="C2206" s="61" t="s">
        <v>11</v>
      </c>
      <c r="D2206" s="292" t="s">
        <v>4022</v>
      </c>
      <c r="E2206" s="301">
        <v>0</v>
      </c>
      <c r="F2206" s="301">
        <v>1100</v>
      </c>
      <c r="G2206" s="168">
        <f t="shared" si="316"/>
        <v>6.6857142857142868</v>
      </c>
      <c r="H2206" s="168">
        <f t="shared" si="317"/>
        <v>13.371428571428574</v>
      </c>
      <c r="I2206" s="168">
        <f t="shared" si="318"/>
        <v>10.028571428571428</v>
      </c>
      <c r="J2206" s="168">
        <f t="shared" si="319"/>
        <v>16.714285714285715</v>
      </c>
      <c r="K2206" s="168">
        <f t="shared" si="320"/>
        <v>16.714285714285715</v>
      </c>
      <c r="L2206" s="168">
        <f t="shared" si="321"/>
        <v>1.2749999999999999</v>
      </c>
      <c r="M2206" s="168">
        <f t="shared" si="322"/>
        <v>0</v>
      </c>
      <c r="N2206" s="241" t="s">
        <v>453</v>
      </c>
    </row>
    <row r="2207" spans="1:14" ht="15" customHeight="1">
      <c r="A2207" s="58">
        <v>2206</v>
      </c>
      <c r="B2207" s="61" t="s">
        <v>52</v>
      </c>
      <c r="C2207" s="61" t="s">
        <v>10</v>
      </c>
      <c r="D2207" s="292" t="s">
        <v>4023</v>
      </c>
      <c r="E2207" s="301">
        <v>59</v>
      </c>
      <c r="F2207" s="301">
        <v>948</v>
      </c>
      <c r="G2207" s="168">
        <f t="shared" si="316"/>
        <v>5.8171428571428576</v>
      </c>
      <c r="H2207" s="168">
        <f t="shared" si="317"/>
        <v>11.634285714285715</v>
      </c>
      <c r="I2207" s="168">
        <f t="shared" si="318"/>
        <v>8.725714285714286</v>
      </c>
      <c r="J2207" s="168">
        <f t="shared" si="319"/>
        <v>14.542857142857144</v>
      </c>
      <c r="K2207" s="168">
        <f t="shared" si="320"/>
        <v>14.542857142857144</v>
      </c>
      <c r="L2207" s="168">
        <f t="shared" si="321"/>
        <v>1.2370000000000001</v>
      </c>
      <c r="M2207" s="168">
        <f t="shared" si="322"/>
        <v>0.98333333333333328</v>
      </c>
      <c r="N2207" s="241" t="s">
        <v>453</v>
      </c>
    </row>
    <row r="2208" spans="1:14" ht="15" customHeight="1">
      <c r="A2208" s="58">
        <v>2207</v>
      </c>
      <c r="B2208" s="61" t="s">
        <v>52</v>
      </c>
      <c r="C2208" s="61" t="s">
        <v>10</v>
      </c>
      <c r="D2208" s="292" t="s">
        <v>4024</v>
      </c>
      <c r="E2208" s="301">
        <v>121</v>
      </c>
      <c r="F2208" s="301">
        <v>0</v>
      </c>
      <c r="G2208" s="168">
        <f t="shared" si="316"/>
        <v>0.4</v>
      </c>
      <c r="H2208" s="168">
        <f t="shared" si="317"/>
        <v>0.8</v>
      </c>
      <c r="I2208" s="168">
        <f t="shared" si="318"/>
        <v>0.6</v>
      </c>
      <c r="J2208" s="168">
        <f t="shared" si="319"/>
        <v>1</v>
      </c>
      <c r="K2208" s="168">
        <f t="shared" si="320"/>
        <v>1</v>
      </c>
      <c r="L2208" s="168">
        <f t="shared" si="321"/>
        <v>1</v>
      </c>
      <c r="M2208" s="168">
        <f t="shared" si="322"/>
        <v>2.0166666666666666</v>
      </c>
      <c r="N2208" s="241" t="s">
        <v>453</v>
      </c>
    </row>
    <row r="2209" spans="1:14" ht="15" customHeight="1">
      <c r="A2209" s="58">
        <v>2208</v>
      </c>
      <c r="B2209" s="61" t="s">
        <v>52</v>
      </c>
      <c r="C2209" s="61" t="s">
        <v>10</v>
      </c>
      <c r="D2209" s="292" t="s">
        <v>4025</v>
      </c>
      <c r="E2209" s="301">
        <v>195</v>
      </c>
      <c r="F2209" s="301">
        <v>0</v>
      </c>
      <c r="G2209" s="168" t="s">
        <v>3535</v>
      </c>
      <c r="H2209" s="168" t="s">
        <v>3535</v>
      </c>
      <c r="I2209" s="168" t="s">
        <v>3535</v>
      </c>
      <c r="J2209" s="168" t="s">
        <v>3535</v>
      </c>
      <c r="K2209" s="168" t="s">
        <v>3535</v>
      </c>
      <c r="L2209" s="168" t="s">
        <v>3535</v>
      </c>
      <c r="M2209" s="168">
        <f t="shared" ref="M2209" si="379">E2209/40</f>
        <v>4.875</v>
      </c>
      <c r="N2209" s="241" t="s">
        <v>453</v>
      </c>
    </row>
    <row r="2210" spans="1:14" ht="15" customHeight="1">
      <c r="A2210" s="58">
        <v>2209</v>
      </c>
      <c r="B2210" s="61" t="s">
        <v>52</v>
      </c>
      <c r="C2210" s="61" t="s">
        <v>10</v>
      </c>
      <c r="D2210" s="292" t="s">
        <v>3907</v>
      </c>
      <c r="E2210" s="301">
        <v>319</v>
      </c>
      <c r="F2210" s="301">
        <v>0</v>
      </c>
      <c r="G2210" s="168">
        <f t="shared" ref="G2210" si="380">(((F2210/70)+1)*0.4)</f>
        <v>0.4</v>
      </c>
      <c r="H2210" s="168">
        <f t="shared" ref="H2210" si="381">G2210*2</f>
        <v>0.8</v>
      </c>
      <c r="I2210" s="168">
        <f t="shared" ref="I2210" si="382">(((F2210/70)+1)*0.6)</f>
        <v>0.6</v>
      </c>
      <c r="J2210" s="168">
        <f t="shared" ref="J2210" si="383">I2210+G2210</f>
        <v>1</v>
      </c>
      <c r="K2210" s="168">
        <f t="shared" ref="K2210" si="384">J2210</f>
        <v>1</v>
      </c>
      <c r="L2210" s="168">
        <f t="shared" ref="L2210" si="385">(F2210/4000)+1</f>
        <v>1</v>
      </c>
      <c r="M2210" s="168">
        <f t="shared" ref="M2210" si="386">E2210/60</f>
        <v>5.3166666666666664</v>
      </c>
      <c r="N2210" s="241" t="s">
        <v>453</v>
      </c>
    </row>
    <row r="2211" spans="1:14" ht="15" customHeight="1">
      <c r="A2211" s="58">
        <v>2210</v>
      </c>
      <c r="B2211" s="61" t="s">
        <v>52</v>
      </c>
      <c r="C2211" s="61" t="s">
        <v>10</v>
      </c>
      <c r="D2211" s="292" t="s">
        <v>4026</v>
      </c>
      <c r="E2211" s="301">
        <v>505</v>
      </c>
      <c r="F2211" s="301">
        <v>0</v>
      </c>
      <c r="G2211" s="168">
        <f t="shared" si="316"/>
        <v>0.4</v>
      </c>
      <c r="H2211" s="168">
        <f t="shared" si="317"/>
        <v>0.8</v>
      </c>
      <c r="I2211" s="168">
        <f t="shared" si="318"/>
        <v>0.6</v>
      </c>
      <c r="J2211" s="168">
        <f t="shared" si="319"/>
        <v>1</v>
      </c>
      <c r="K2211" s="168">
        <f t="shared" si="320"/>
        <v>1</v>
      </c>
      <c r="L2211" s="168">
        <f t="shared" si="321"/>
        <v>1</v>
      </c>
      <c r="M2211" s="168">
        <f t="shared" si="322"/>
        <v>8.4166666666666661</v>
      </c>
      <c r="N2211" s="241" t="s">
        <v>453</v>
      </c>
    </row>
    <row r="2212" spans="1:14" ht="15" customHeight="1">
      <c r="A2212" s="58">
        <v>2211</v>
      </c>
      <c r="B2212" s="61" t="s">
        <v>52</v>
      </c>
      <c r="C2212" s="61" t="s">
        <v>10</v>
      </c>
      <c r="D2212" s="292" t="s">
        <v>4027</v>
      </c>
      <c r="E2212" s="301">
        <v>365</v>
      </c>
      <c r="F2212" s="301">
        <v>0</v>
      </c>
      <c r="G2212" s="168" t="s">
        <v>3535</v>
      </c>
      <c r="H2212" s="168" t="s">
        <v>3535</v>
      </c>
      <c r="I2212" s="168" t="s">
        <v>3535</v>
      </c>
      <c r="J2212" s="168" t="s">
        <v>3535</v>
      </c>
      <c r="K2212" s="168" t="s">
        <v>3535</v>
      </c>
      <c r="L2212" s="168" t="s">
        <v>3535</v>
      </c>
      <c r="M2212" s="168">
        <f t="shared" ref="M2212:M2214" si="387">E2212/40</f>
        <v>9.125</v>
      </c>
      <c r="N2212" s="241" t="s">
        <v>453</v>
      </c>
    </row>
    <row r="2213" spans="1:14" ht="15" customHeight="1">
      <c r="A2213" s="58">
        <v>2212</v>
      </c>
      <c r="B2213" s="61" t="s">
        <v>52</v>
      </c>
      <c r="C2213" s="61" t="s">
        <v>10</v>
      </c>
      <c r="D2213" s="292" t="s">
        <v>4028</v>
      </c>
      <c r="E2213" s="301">
        <v>473</v>
      </c>
      <c r="F2213" s="301">
        <v>0</v>
      </c>
      <c r="G2213" s="168" t="s">
        <v>3535</v>
      </c>
      <c r="H2213" s="168" t="s">
        <v>3535</v>
      </c>
      <c r="I2213" s="168" t="s">
        <v>3535</v>
      </c>
      <c r="J2213" s="168" t="s">
        <v>3535</v>
      </c>
      <c r="K2213" s="168" t="s">
        <v>3535</v>
      </c>
      <c r="L2213" s="168" t="s">
        <v>3535</v>
      </c>
      <c r="M2213" s="168">
        <f t="shared" si="387"/>
        <v>11.824999999999999</v>
      </c>
      <c r="N2213" s="241" t="s">
        <v>453</v>
      </c>
    </row>
    <row r="2214" spans="1:14" ht="15" customHeight="1">
      <c r="A2214" s="58">
        <v>2213</v>
      </c>
      <c r="B2214" s="61" t="s">
        <v>49</v>
      </c>
      <c r="C2214" s="61" t="s">
        <v>10</v>
      </c>
      <c r="D2214" s="292" t="s">
        <v>4029</v>
      </c>
      <c r="E2214" s="301">
        <v>308</v>
      </c>
      <c r="F2214" s="301">
        <v>0</v>
      </c>
      <c r="G2214" s="168" t="s">
        <v>3535</v>
      </c>
      <c r="H2214" s="168" t="s">
        <v>3535</v>
      </c>
      <c r="I2214" s="168" t="s">
        <v>3535</v>
      </c>
      <c r="J2214" s="168" t="s">
        <v>3535</v>
      </c>
      <c r="K2214" s="168" t="s">
        <v>3535</v>
      </c>
      <c r="L2214" s="168" t="s">
        <v>3535</v>
      </c>
      <c r="M2214" s="168">
        <f t="shared" si="387"/>
        <v>7.7</v>
      </c>
      <c r="N2214" s="241" t="s">
        <v>453</v>
      </c>
    </row>
    <row r="2215" spans="1:14" ht="15" customHeight="1">
      <c r="A2215" s="58">
        <v>2214</v>
      </c>
      <c r="B2215" s="61" t="s">
        <v>52</v>
      </c>
      <c r="C2215" s="61" t="s">
        <v>10</v>
      </c>
      <c r="D2215" s="292" t="s">
        <v>4030</v>
      </c>
      <c r="E2215" s="301">
        <v>0</v>
      </c>
      <c r="F2215" s="301">
        <v>200</v>
      </c>
      <c r="G2215" s="168">
        <f t="shared" ref="G2215:G2277" si="388">(((F2215/70)+1)*0.4)</f>
        <v>1.5428571428571429</v>
      </c>
      <c r="H2215" s="168">
        <f t="shared" ref="H2215:H2277" si="389">G2215*2</f>
        <v>3.0857142857142859</v>
      </c>
      <c r="I2215" s="168">
        <f t="shared" ref="I2215:I2277" si="390">(((F2215/70)+1)*0.6)</f>
        <v>2.3142857142857141</v>
      </c>
      <c r="J2215" s="168">
        <f t="shared" ref="J2215:J2277" si="391">I2215+G2215</f>
        <v>3.8571428571428568</v>
      </c>
      <c r="K2215" s="168">
        <f t="shared" ref="K2215:K2277" si="392">J2215</f>
        <v>3.8571428571428568</v>
      </c>
      <c r="L2215" s="168">
        <f t="shared" ref="L2215:L2277" si="393">(F2215/4000)+1</f>
        <v>1.05</v>
      </c>
      <c r="M2215" s="168">
        <f t="shared" ref="M2215:M2277" si="394">E2215/60</f>
        <v>0</v>
      </c>
      <c r="N2215" s="241" t="s">
        <v>453</v>
      </c>
    </row>
    <row r="2216" spans="1:14" ht="15" customHeight="1">
      <c r="A2216" s="58">
        <v>2215</v>
      </c>
      <c r="B2216" s="61" t="s">
        <v>52</v>
      </c>
      <c r="C2216" s="61" t="s">
        <v>10</v>
      </c>
      <c r="D2216" s="292" t="s">
        <v>4031</v>
      </c>
      <c r="E2216" s="301">
        <v>0</v>
      </c>
      <c r="F2216" s="301">
        <v>858</v>
      </c>
      <c r="G2216" s="168" t="s">
        <v>3535</v>
      </c>
      <c r="H2216" s="168" t="s">
        <v>3535</v>
      </c>
      <c r="I2216" s="168" t="s">
        <v>3535</v>
      </c>
      <c r="J2216" s="168" t="s">
        <v>3535</v>
      </c>
      <c r="K2216" s="168" t="s">
        <v>3535</v>
      </c>
      <c r="L2216" s="168" t="s">
        <v>3535</v>
      </c>
      <c r="M2216" s="168">
        <f t="shared" ref="M2216" si="395">E2216/40</f>
        <v>0</v>
      </c>
      <c r="N2216" s="241" t="s">
        <v>453</v>
      </c>
    </row>
    <row r="2217" spans="1:14" ht="15" customHeight="1">
      <c r="A2217" s="58">
        <v>2216</v>
      </c>
      <c r="B2217" s="61" t="s">
        <v>52</v>
      </c>
      <c r="C2217" s="61" t="s">
        <v>10</v>
      </c>
      <c r="D2217" s="292" t="s">
        <v>4032</v>
      </c>
      <c r="E2217" s="301">
        <v>0</v>
      </c>
      <c r="F2217" s="301">
        <v>3142</v>
      </c>
      <c r="G2217" s="168">
        <f t="shared" ref="G2217" si="396">(((F2217/70)+1)*0.4)</f>
        <v>18.354285714285716</v>
      </c>
      <c r="H2217" s="168">
        <f t="shared" ref="H2217" si="397">G2217*2</f>
        <v>36.708571428571432</v>
      </c>
      <c r="I2217" s="168">
        <f t="shared" ref="I2217" si="398">(((F2217/70)+1)*0.6)</f>
        <v>27.53142857142857</v>
      </c>
      <c r="J2217" s="168">
        <f t="shared" ref="J2217" si="399">I2217+G2217</f>
        <v>45.885714285714286</v>
      </c>
      <c r="K2217" s="168">
        <f t="shared" ref="K2217" si="400">J2217</f>
        <v>45.885714285714286</v>
      </c>
      <c r="L2217" s="168">
        <f t="shared" ref="L2217" si="401">(F2217/4000)+1</f>
        <v>1.7854999999999999</v>
      </c>
      <c r="M2217" s="168">
        <f t="shared" ref="M2217" si="402">E2217/60</f>
        <v>0</v>
      </c>
      <c r="N2217" s="241" t="s">
        <v>453</v>
      </c>
    </row>
    <row r="2218" spans="1:14" ht="15" customHeight="1">
      <c r="A2218" s="58">
        <v>2217</v>
      </c>
      <c r="B2218" s="61" t="s">
        <v>52</v>
      </c>
      <c r="C2218" s="61" t="s">
        <v>10</v>
      </c>
      <c r="D2218" s="292" t="s">
        <v>4033</v>
      </c>
      <c r="E2218" s="301">
        <v>0</v>
      </c>
      <c r="F2218" s="301">
        <v>0</v>
      </c>
      <c r="G2218" s="168">
        <f t="shared" si="388"/>
        <v>0.4</v>
      </c>
      <c r="H2218" s="168">
        <f t="shared" si="389"/>
        <v>0.8</v>
      </c>
      <c r="I2218" s="168">
        <f t="shared" si="390"/>
        <v>0.6</v>
      </c>
      <c r="J2218" s="168">
        <f t="shared" si="391"/>
        <v>1</v>
      </c>
      <c r="K2218" s="168">
        <f t="shared" si="392"/>
        <v>1</v>
      </c>
      <c r="L2218" s="168">
        <f t="shared" si="393"/>
        <v>1</v>
      </c>
      <c r="M2218" s="168">
        <f t="shared" si="394"/>
        <v>0</v>
      </c>
      <c r="N2218" s="241" t="s">
        <v>453</v>
      </c>
    </row>
    <row r="2219" spans="1:14" ht="15" customHeight="1">
      <c r="A2219" s="58">
        <v>2218</v>
      </c>
      <c r="B2219" s="61" t="s">
        <v>52</v>
      </c>
      <c r="C2219" s="61" t="s">
        <v>10</v>
      </c>
      <c r="D2219" s="292" t="s">
        <v>4034</v>
      </c>
      <c r="E2219" s="301">
        <v>90</v>
      </c>
      <c r="F2219" s="301">
        <v>0</v>
      </c>
      <c r="G2219" s="168">
        <f t="shared" si="388"/>
        <v>0.4</v>
      </c>
      <c r="H2219" s="168">
        <f t="shared" si="389"/>
        <v>0.8</v>
      </c>
      <c r="I2219" s="168">
        <f t="shared" si="390"/>
        <v>0.6</v>
      </c>
      <c r="J2219" s="168">
        <f t="shared" si="391"/>
        <v>1</v>
      </c>
      <c r="K2219" s="168">
        <f t="shared" si="392"/>
        <v>1</v>
      </c>
      <c r="L2219" s="168">
        <f t="shared" si="393"/>
        <v>1</v>
      </c>
      <c r="M2219" s="168">
        <f t="shared" si="394"/>
        <v>1.5</v>
      </c>
      <c r="N2219" s="241" t="s">
        <v>453</v>
      </c>
    </row>
    <row r="2220" spans="1:14" ht="15" customHeight="1">
      <c r="A2220" s="58">
        <v>2219</v>
      </c>
      <c r="B2220" s="61" t="s">
        <v>49</v>
      </c>
      <c r="C2220" s="61" t="s">
        <v>10</v>
      </c>
      <c r="D2220" s="292" t="s">
        <v>4035</v>
      </c>
      <c r="E2220" s="301">
        <v>150</v>
      </c>
      <c r="F2220" s="301">
        <v>2535</v>
      </c>
      <c r="G2220" s="168">
        <f t="shared" si="388"/>
        <v>14.885714285714286</v>
      </c>
      <c r="H2220" s="168">
        <f t="shared" si="389"/>
        <v>29.771428571428572</v>
      </c>
      <c r="I2220" s="168">
        <f t="shared" si="390"/>
        <v>22.328571428571429</v>
      </c>
      <c r="J2220" s="168">
        <f t="shared" si="391"/>
        <v>37.214285714285715</v>
      </c>
      <c r="K2220" s="168">
        <f t="shared" si="392"/>
        <v>37.214285714285715</v>
      </c>
      <c r="L2220" s="168">
        <f t="shared" si="393"/>
        <v>1.63375</v>
      </c>
      <c r="M2220" s="168">
        <f t="shared" si="394"/>
        <v>2.5</v>
      </c>
      <c r="N2220" s="241" t="s">
        <v>453</v>
      </c>
    </row>
    <row r="2221" spans="1:14" ht="15" customHeight="1">
      <c r="A2221" s="58">
        <v>2220</v>
      </c>
      <c r="B2221" s="61" t="s">
        <v>64</v>
      </c>
      <c r="C2221" s="61" t="s">
        <v>11</v>
      </c>
      <c r="D2221" s="292" t="s">
        <v>4036</v>
      </c>
      <c r="E2221" s="301">
        <v>0</v>
      </c>
      <c r="F2221" s="301">
        <v>600</v>
      </c>
      <c r="G2221" s="168" t="s">
        <v>3535</v>
      </c>
      <c r="H2221" s="168" t="s">
        <v>3535</v>
      </c>
      <c r="I2221" s="168" t="s">
        <v>3535</v>
      </c>
      <c r="J2221" s="168" t="s">
        <v>3535</v>
      </c>
      <c r="K2221" s="168" t="s">
        <v>3535</v>
      </c>
      <c r="L2221" s="168" t="s">
        <v>3535</v>
      </c>
      <c r="M2221" s="168">
        <f t="shared" ref="M2221:M2224" si="403">E2221/40</f>
        <v>0</v>
      </c>
      <c r="N2221" s="241" t="s">
        <v>453</v>
      </c>
    </row>
    <row r="2222" spans="1:14" ht="15" customHeight="1">
      <c r="A2222" s="58">
        <v>2221</v>
      </c>
      <c r="B2222" s="61" t="s">
        <v>52</v>
      </c>
      <c r="C2222" s="61" t="s">
        <v>10</v>
      </c>
      <c r="D2222" s="292" t="s">
        <v>4037</v>
      </c>
      <c r="E2222" s="301">
        <v>621</v>
      </c>
      <c r="F2222" s="301">
        <v>0</v>
      </c>
      <c r="G2222" s="168" t="s">
        <v>3535</v>
      </c>
      <c r="H2222" s="168" t="s">
        <v>3535</v>
      </c>
      <c r="I2222" s="168" t="s">
        <v>3535</v>
      </c>
      <c r="J2222" s="168" t="s">
        <v>3535</v>
      </c>
      <c r="K2222" s="168" t="s">
        <v>3535</v>
      </c>
      <c r="L2222" s="168" t="s">
        <v>3535</v>
      </c>
      <c r="M2222" s="168">
        <f t="shared" si="403"/>
        <v>15.525</v>
      </c>
      <c r="N2222" s="241" t="s">
        <v>453</v>
      </c>
    </row>
    <row r="2223" spans="1:14" ht="15" customHeight="1">
      <c r="A2223" s="58">
        <v>2222</v>
      </c>
      <c r="B2223" s="61" t="s">
        <v>52</v>
      </c>
      <c r="C2223" s="61" t="s">
        <v>10</v>
      </c>
      <c r="D2223" s="292" t="s">
        <v>4038</v>
      </c>
      <c r="E2223" s="301">
        <v>73</v>
      </c>
      <c r="F2223" s="301">
        <v>0</v>
      </c>
      <c r="G2223" s="168" t="s">
        <v>3535</v>
      </c>
      <c r="H2223" s="168" t="s">
        <v>3535</v>
      </c>
      <c r="I2223" s="168" t="s">
        <v>3535</v>
      </c>
      <c r="J2223" s="168" t="s">
        <v>3535</v>
      </c>
      <c r="K2223" s="168" t="s">
        <v>3535</v>
      </c>
      <c r="L2223" s="168" t="s">
        <v>3535</v>
      </c>
      <c r="M2223" s="168">
        <f t="shared" si="403"/>
        <v>1.825</v>
      </c>
      <c r="N2223" s="241" t="s">
        <v>453</v>
      </c>
    </row>
    <row r="2224" spans="1:14" ht="15" customHeight="1">
      <c r="A2224" s="58">
        <v>2223</v>
      </c>
      <c r="B2224" s="61" t="s">
        <v>52</v>
      </c>
      <c r="C2224" s="61" t="s">
        <v>10</v>
      </c>
      <c r="D2224" s="292" t="s">
        <v>4039</v>
      </c>
      <c r="E2224" s="301">
        <v>80</v>
      </c>
      <c r="F2224" s="301">
        <v>0</v>
      </c>
      <c r="G2224" s="168" t="s">
        <v>3535</v>
      </c>
      <c r="H2224" s="168" t="s">
        <v>3535</v>
      </c>
      <c r="I2224" s="168" t="s">
        <v>3535</v>
      </c>
      <c r="J2224" s="168" t="s">
        <v>3535</v>
      </c>
      <c r="K2224" s="168" t="s">
        <v>3535</v>
      </c>
      <c r="L2224" s="168" t="s">
        <v>3535</v>
      </c>
      <c r="M2224" s="168">
        <f t="shared" si="403"/>
        <v>2</v>
      </c>
      <c r="N2224" s="241" t="s">
        <v>453</v>
      </c>
    </row>
    <row r="2225" spans="1:14" ht="15" customHeight="1">
      <c r="A2225" s="58">
        <v>2224</v>
      </c>
      <c r="B2225" s="61" t="s">
        <v>52</v>
      </c>
      <c r="C2225" s="61" t="s">
        <v>10</v>
      </c>
      <c r="D2225" s="292" t="s">
        <v>4040</v>
      </c>
      <c r="E2225" s="301">
        <v>150</v>
      </c>
      <c r="F2225" s="301">
        <v>0</v>
      </c>
      <c r="G2225" s="168">
        <f t="shared" si="388"/>
        <v>0.4</v>
      </c>
      <c r="H2225" s="168">
        <f t="shared" si="389"/>
        <v>0.8</v>
      </c>
      <c r="I2225" s="168">
        <f t="shared" si="390"/>
        <v>0.6</v>
      </c>
      <c r="J2225" s="168">
        <f t="shared" si="391"/>
        <v>1</v>
      </c>
      <c r="K2225" s="168">
        <f t="shared" si="392"/>
        <v>1</v>
      </c>
      <c r="L2225" s="168">
        <f t="shared" si="393"/>
        <v>1</v>
      </c>
      <c r="M2225" s="168">
        <f t="shared" si="394"/>
        <v>2.5</v>
      </c>
      <c r="N2225" s="241" t="s">
        <v>453</v>
      </c>
    </row>
    <row r="2226" spans="1:14" ht="15" customHeight="1">
      <c r="A2226" s="58">
        <v>2225</v>
      </c>
      <c r="B2226" s="61" t="s">
        <v>52</v>
      </c>
      <c r="C2226" s="61" t="s">
        <v>10</v>
      </c>
      <c r="D2226" s="292" t="s">
        <v>4041</v>
      </c>
      <c r="E2226" s="301">
        <v>152</v>
      </c>
      <c r="F2226" s="301">
        <v>0</v>
      </c>
      <c r="G2226" s="168" t="s">
        <v>3535</v>
      </c>
      <c r="H2226" s="168" t="s">
        <v>3535</v>
      </c>
      <c r="I2226" s="168" t="s">
        <v>3535</v>
      </c>
      <c r="J2226" s="168" t="s">
        <v>3535</v>
      </c>
      <c r="K2226" s="168" t="s">
        <v>3535</v>
      </c>
      <c r="L2226" s="168" t="s">
        <v>3535</v>
      </c>
      <c r="M2226" s="168">
        <f t="shared" ref="M2226:M2227" si="404">E2226/40</f>
        <v>3.8</v>
      </c>
      <c r="N2226" s="241" t="s">
        <v>453</v>
      </c>
    </row>
    <row r="2227" spans="1:14" ht="15" customHeight="1">
      <c r="A2227" s="58">
        <v>2226</v>
      </c>
      <c r="B2227" s="61" t="s">
        <v>52</v>
      </c>
      <c r="C2227" s="61" t="s">
        <v>10</v>
      </c>
      <c r="D2227" s="292" t="s">
        <v>4042</v>
      </c>
      <c r="E2227" s="301">
        <v>0</v>
      </c>
      <c r="F2227" s="301">
        <v>0</v>
      </c>
      <c r="G2227" s="168" t="s">
        <v>3535</v>
      </c>
      <c r="H2227" s="168" t="s">
        <v>3535</v>
      </c>
      <c r="I2227" s="168" t="s">
        <v>3535</v>
      </c>
      <c r="J2227" s="168" t="s">
        <v>3535</v>
      </c>
      <c r="K2227" s="168" t="s">
        <v>3535</v>
      </c>
      <c r="L2227" s="168" t="s">
        <v>3535</v>
      </c>
      <c r="M2227" s="168">
        <f t="shared" si="404"/>
        <v>0</v>
      </c>
      <c r="N2227" s="241" t="s">
        <v>453</v>
      </c>
    </row>
    <row r="2228" spans="1:14" ht="15" customHeight="1">
      <c r="A2228" s="58">
        <v>2227</v>
      </c>
      <c r="B2228" s="61" t="s">
        <v>52</v>
      </c>
      <c r="C2228" s="61" t="s">
        <v>10</v>
      </c>
      <c r="D2228" s="292" t="s">
        <v>4043</v>
      </c>
      <c r="E2228" s="301">
        <v>408</v>
      </c>
      <c r="F2228" s="301">
        <v>0</v>
      </c>
      <c r="G2228" s="168">
        <f t="shared" si="388"/>
        <v>0.4</v>
      </c>
      <c r="H2228" s="168">
        <f t="shared" si="389"/>
        <v>0.8</v>
      </c>
      <c r="I2228" s="168">
        <f t="shared" si="390"/>
        <v>0.6</v>
      </c>
      <c r="J2228" s="168">
        <f t="shared" si="391"/>
        <v>1</v>
      </c>
      <c r="K2228" s="168">
        <f t="shared" si="392"/>
        <v>1</v>
      </c>
      <c r="L2228" s="168">
        <f t="shared" si="393"/>
        <v>1</v>
      </c>
      <c r="M2228" s="168">
        <f t="shared" si="394"/>
        <v>6.8</v>
      </c>
      <c r="N2228" s="241" t="s">
        <v>453</v>
      </c>
    </row>
    <row r="2229" spans="1:14" ht="15" customHeight="1">
      <c r="A2229" s="58">
        <v>2228</v>
      </c>
      <c r="B2229" s="61" t="s">
        <v>52</v>
      </c>
      <c r="C2229" s="61" t="s">
        <v>10</v>
      </c>
      <c r="D2229" s="292" t="s">
        <v>4044</v>
      </c>
      <c r="E2229" s="301">
        <v>0</v>
      </c>
      <c r="F2229" s="301">
        <v>214</v>
      </c>
      <c r="G2229" s="168">
        <f t="shared" si="388"/>
        <v>1.6228571428571428</v>
      </c>
      <c r="H2229" s="168">
        <f t="shared" si="389"/>
        <v>3.2457142857142856</v>
      </c>
      <c r="I2229" s="168">
        <f t="shared" si="390"/>
        <v>2.4342857142857142</v>
      </c>
      <c r="J2229" s="168">
        <f t="shared" si="391"/>
        <v>4.0571428571428569</v>
      </c>
      <c r="K2229" s="168">
        <f t="shared" si="392"/>
        <v>4.0571428571428569</v>
      </c>
      <c r="L2229" s="168">
        <f t="shared" si="393"/>
        <v>1.0535000000000001</v>
      </c>
      <c r="M2229" s="168">
        <f t="shared" si="394"/>
        <v>0</v>
      </c>
      <c r="N2229" s="241" t="s">
        <v>453</v>
      </c>
    </row>
    <row r="2230" spans="1:14" ht="15" customHeight="1">
      <c r="A2230" s="58">
        <v>2229</v>
      </c>
      <c r="B2230" s="61" t="s">
        <v>52</v>
      </c>
      <c r="C2230" s="61" t="s">
        <v>10</v>
      </c>
      <c r="D2230" s="292" t="s">
        <v>4045</v>
      </c>
      <c r="E2230" s="301">
        <v>0</v>
      </c>
      <c r="F2230" s="301">
        <v>0</v>
      </c>
      <c r="G2230" s="168">
        <f t="shared" si="388"/>
        <v>0.4</v>
      </c>
      <c r="H2230" s="168">
        <f t="shared" si="389"/>
        <v>0.8</v>
      </c>
      <c r="I2230" s="168">
        <f t="shared" si="390"/>
        <v>0.6</v>
      </c>
      <c r="J2230" s="168">
        <f t="shared" si="391"/>
        <v>1</v>
      </c>
      <c r="K2230" s="168">
        <f t="shared" si="392"/>
        <v>1</v>
      </c>
      <c r="L2230" s="168">
        <f t="shared" si="393"/>
        <v>1</v>
      </c>
      <c r="M2230" s="168">
        <f t="shared" si="394"/>
        <v>0</v>
      </c>
      <c r="N2230" s="241" t="s">
        <v>453</v>
      </c>
    </row>
    <row r="2231" spans="1:14" ht="15" customHeight="1">
      <c r="A2231" s="58">
        <v>2230</v>
      </c>
      <c r="B2231" s="61" t="s">
        <v>52</v>
      </c>
      <c r="C2231" s="61" t="s">
        <v>10</v>
      </c>
      <c r="D2231" s="292" t="s">
        <v>4046</v>
      </c>
      <c r="E2231" s="301">
        <v>82</v>
      </c>
      <c r="F2231" s="301">
        <v>0</v>
      </c>
      <c r="G2231" s="168">
        <f t="shared" si="388"/>
        <v>0.4</v>
      </c>
      <c r="H2231" s="168">
        <f t="shared" si="389"/>
        <v>0.8</v>
      </c>
      <c r="I2231" s="168">
        <f t="shared" si="390"/>
        <v>0.6</v>
      </c>
      <c r="J2231" s="168">
        <f t="shared" si="391"/>
        <v>1</v>
      </c>
      <c r="K2231" s="168">
        <f t="shared" si="392"/>
        <v>1</v>
      </c>
      <c r="L2231" s="168">
        <f t="shared" si="393"/>
        <v>1</v>
      </c>
      <c r="M2231" s="168">
        <f t="shared" si="394"/>
        <v>1.3666666666666667</v>
      </c>
      <c r="N2231" s="241" t="s">
        <v>453</v>
      </c>
    </row>
    <row r="2232" spans="1:14" ht="15" customHeight="1">
      <c r="A2232" s="58">
        <v>2231</v>
      </c>
      <c r="B2232" s="61" t="s">
        <v>52</v>
      </c>
      <c r="C2232" s="61" t="s">
        <v>10</v>
      </c>
      <c r="D2232" s="292" t="s">
        <v>4047</v>
      </c>
      <c r="E2232" s="301">
        <v>99</v>
      </c>
      <c r="F2232" s="301">
        <v>0</v>
      </c>
      <c r="G2232" s="168" t="s">
        <v>3535</v>
      </c>
      <c r="H2232" s="168" t="s">
        <v>3535</v>
      </c>
      <c r="I2232" s="168" t="s">
        <v>3535</v>
      </c>
      <c r="J2232" s="168" t="s">
        <v>3535</v>
      </c>
      <c r="K2232" s="168" t="s">
        <v>3535</v>
      </c>
      <c r="L2232" s="168" t="s">
        <v>3535</v>
      </c>
      <c r="M2232" s="168">
        <f t="shared" ref="M2232:M2236" si="405">E2232/40</f>
        <v>2.4750000000000001</v>
      </c>
      <c r="N2232" s="241" t="s">
        <v>453</v>
      </c>
    </row>
    <row r="2233" spans="1:14" ht="15" customHeight="1">
      <c r="A2233" s="58">
        <v>2232</v>
      </c>
      <c r="B2233" s="61" t="s">
        <v>52</v>
      </c>
      <c r="C2233" s="61" t="s">
        <v>10</v>
      </c>
      <c r="D2233" s="292" t="s">
        <v>4048</v>
      </c>
      <c r="E2233" s="301">
        <v>103</v>
      </c>
      <c r="F2233" s="301">
        <v>0</v>
      </c>
      <c r="G2233" s="168">
        <f t="shared" ref="G2233" si="406">(((F2233/70)+1)*0.4)</f>
        <v>0.4</v>
      </c>
      <c r="H2233" s="168">
        <f t="shared" ref="H2233" si="407">G2233*2</f>
        <v>0.8</v>
      </c>
      <c r="I2233" s="168">
        <f t="shared" ref="I2233" si="408">(((F2233/70)+1)*0.6)</f>
        <v>0.6</v>
      </c>
      <c r="J2233" s="168">
        <f t="shared" ref="J2233" si="409">I2233+G2233</f>
        <v>1</v>
      </c>
      <c r="K2233" s="168">
        <f t="shared" ref="K2233" si="410">J2233</f>
        <v>1</v>
      </c>
      <c r="L2233" s="168">
        <f t="shared" ref="L2233" si="411">(F2233/4000)+1</f>
        <v>1</v>
      </c>
      <c r="M2233" s="168">
        <f t="shared" ref="M2233" si="412">E2233/60</f>
        <v>1.7166666666666666</v>
      </c>
      <c r="N2233" s="241" t="s">
        <v>453</v>
      </c>
    </row>
    <row r="2234" spans="1:14" ht="15" customHeight="1">
      <c r="A2234" s="58">
        <v>2233</v>
      </c>
      <c r="B2234" s="61" t="s">
        <v>52</v>
      </c>
      <c r="C2234" s="61" t="s">
        <v>10</v>
      </c>
      <c r="D2234" s="292" t="s">
        <v>4049</v>
      </c>
      <c r="E2234" s="301">
        <v>212</v>
      </c>
      <c r="F2234" s="301">
        <v>0</v>
      </c>
      <c r="G2234" s="168">
        <f t="shared" ref="G2234" si="413">(((F2234/70)+1)*0.4)</f>
        <v>0.4</v>
      </c>
      <c r="H2234" s="168">
        <f t="shared" ref="H2234" si="414">G2234*2</f>
        <v>0.8</v>
      </c>
      <c r="I2234" s="168">
        <f t="shared" ref="I2234" si="415">(((F2234/70)+1)*0.6)</f>
        <v>0.6</v>
      </c>
      <c r="J2234" s="168">
        <f t="shared" ref="J2234" si="416">I2234+G2234</f>
        <v>1</v>
      </c>
      <c r="K2234" s="168">
        <f t="shared" ref="K2234" si="417">J2234</f>
        <v>1</v>
      </c>
      <c r="L2234" s="168">
        <f t="shared" ref="L2234" si="418">(F2234/4000)+1</f>
        <v>1</v>
      </c>
      <c r="M2234" s="168">
        <f t="shared" ref="M2234" si="419">E2234/60</f>
        <v>3.5333333333333332</v>
      </c>
      <c r="N2234" s="241" t="s">
        <v>453</v>
      </c>
    </row>
    <row r="2235" spans="1:14" ht="15" customHeight="1">
      <c r="A2235" s="58">
        <v>2234</v>
      </c>
      <c r="B2235" s="61" t="s">
        <v>52</v>
      </c>
      <c r="C2235" s="61" t="s">
        <v>10</v>
      </c>
      <c r="D2235" s="292" t="s">
        <v>4050</v>
      </c>
      <c r="E2235" s="301">
        <v>89</v>
      </c>
      <c r="F2235" s="301">
        <v>0</v>
      </c>
      <c r="G2235" s="168" t="s">
        <v>3535</v>
      </c>
      <c r="H2235" s="168" t="s">
        <v>3535</v>
      </c>
      <c r="I2235" s="168" t="s">
        <v>3535</v>
      </c>
      <c r="J2235" s="168" t="s">
        <v>3535</v>
      </c>
      <c r="K2235" s="168" t="s">
        <v>3535</v>
      </c>
      <c r="L2235" s="168" t="s">
        <v>3535</v>
      </c>
      <c r="M2235" s="168">
        <f t="shared" si="405"/>
        <v>2.2250000000000001</v>
      </c>
      <c r="N2235" s="241" t="s">
        <v>453</v>
      </c>
    </row>
    <row r="2236" spans="1:14" ht="15" customHeight="1">
      <c r="A2236" s="58">
        <v>2235</v>
      </c>
      <c r="B2236" s="61" t="s">
        <v>52</v>
      </c>
      <c r="C2236" s="61" t="s">
        <v>10</v>
      </c>
      <c r="D2236" s="292" t="s">
        <v>4051</v>
      </c>
      <c r="E2236" s="301">
        <v>0</v>
      </c>
      <c r="F2236" s="301">
        <v>1215</v>
      </c>
      <c r="G2236" s="168" t="s">
        <v>3535</v>
      </c>
      <c r="H2236" s="168" t="s">
        <v>3535</v>
      </c>
      <c r="I2236" s="168" t="s">
        <v>3535</v>
      </c>
      <c r="J2236" s="168" t="s">
        <v>3535</v>
      </c>
      <c r="K2236" s="168" t="s">
        <v>3535</v>
      </c>
      <c r="L2236" s="168" t="s">
        <v>3535</v>
      </c>
      <c r="M2236" s="168">
        <f t="shared" si="405"/>
        <v>0</v>
      </c>
      <c r="N2236" s="241" t="s">
        <v>453</v>
      </c>
    </row>
    <row r="2237" spans="1:14" ht="15" customHeight="1">
      <c r="A2237" s="58">
        <v>2236</v>
      </c>
      <c r="B2237" s="61" t="s">
        <v>52</v>
      </c>
      <c r="C2237" s="61" t="s">
        <v>10</v>
      </c>
      <c r="D2237" s="292" t="s">
        <v>4052</v>
      </c>
      <c r="E2237" s="301">
        <v>59</v>
      </c>
      <c r="F2237" s="301">
        <v>0</v>
      </c>
      <c r="G2237" s="168">
        <f t="shared" si="388"/>
        <v>0.4</v>
      </c>
      <c r="H2237" s="168">
        <f t="shared" si="389"/>
        <v>0.8</v>
      </c>
      <c r="I2237" s="168">
        <f t="shared" si="390"/>
        <v>0.6</v>
      </c>
      <c r="J2237" s="168">
        <f t="shared" si="391"/>
        <v>1</v>
      </c>
      <c r="K2237" s="168">
        <f t="shared" si="392"/>
        <v>1</v>
      </c>
      <c r="L2237" s="168">
        <f t="shared" si="393"/>
        <v>1</v>
      </c>
      <c r="M2237" s="168">
        <f t="shared" si="394"/>
        <v>0.98333333333333328</v>
      </c>
      <c r="N2237" s="241" t="s">
        <v>453</v>
      </c>
    </row>
    <row r="2238" spans="1:14" ht="15" customHeight="1">
      <c r="A2238" s="58">
        <v>2237</v>
      </c>
      <c r="B2238" s="61" t="s">
        <v>52</v>
      </c>
      <c r="C2238" s="61" t="s">
        <v>10</v>
      </c>
      <c r="D2238" s="292" t="s">
        <v>4053</v>
      </c>
      <c r="E2238" s="301">
        <v>800</v>
      </c>
      <c r="F2238" s="301">
        <v>0</v>
      </c>
      <c r="G2238" s="168">
        <f t="shared" si="388"/>
        <v>0.4</v>
      </c>
      <c r="H2238" s="168">
        <f t="shared" si="389"/>
        <v>0.8</v>
      </c>
      <c r="I2238" s="168">
        <f t="shared" si="390"/>
        <v>0.6</v>
      </c>
      <c r="J2238" s="168">
        <f t="shared" si="391"/>
        <v>1</v>
      </c>
      <c r="K2238" s="168">
        <f t="shared" si="392"/>
        <v>1</v>
      </c>
      <c r="L2238" s="168">
        <f t="shared" si="393"/>
        <v>1</v>
      </c>
      <c r="M2238" s="168">
        <f t="shared" si="394"/>
        <v>13.333333333333334</v>
      </c>
      <c r="N2238" s="241" t="s">
        <v>453</v>
      </c>
    </row>
    <row r="2239" spans="1:14" ht="15" customHeight="1">
      <c r="A2239" s="58">
        <v>2238</v>
      </c>
      <c r="B2239" s="61" t="s">
        <v>52</v>
      </c>
      <c r="C2239" s="61" t="s">
        <v>10</v>
      </c>
      <c r="D2239" s="292" t="s">
        <v>4054</v>
      </c>
      <c r="E2239" s="301">
        <v>348</v>
      </c>
      <c r="F2239" s="301">
        <v>0</v>
      </c>
      <c r="G2239" s="168">
        <f t="shared" si="388"/>
        <v>0.4</v>
      </c>
      <c r="H2239" s="168">
        <f t="shared" si="389"/>
        <v>0.8</v>
      </c>
      <c r="I2239" s="168">
        <f t="shared" si="390"/>
        <v>0.6</v>
      </c>
      <c r="J2239" s="168">
        <f t="shared" si="391"/>
        <v>1</v>
      </c>
      <c r="K2239" s="168">
        <f t="shared" si="392"/>
        <v>1</v>
      </c>
      <c r="L2239" s="168">
        <f t="shared" si="393"/>
        <v>1</v>
      </c>
      <c r="M2239" s="168">
        <f t="shared" si="394"/>
        <v>5.8</v>
      </c>
      <c r="N2239" s="241" t="s">
        <v>453</v>
      </c>
    </row>
    <row r="2240" spans="1:14" ht="15" customHeight="1">
      <c r="A2240" s="58">
        <v>2239</v>
      </c>
      <c r="B2240" s="61" t="s">
        <v>52</v>
      </c>
      <c r="C2240" s="61" t="s">
        <v>10</v>
      </c>
      <c r="D2240" s="292" t="s">
        <v>4055</v>
      </c>
      <c r="E2240" s="301">
        <v>100</v>
      </c>
      <c r="F2240" s="301">
        <v>0</v>
      </c>
      <c r="G2240" s="168">
        <f t="shared" si="388"/>
        <v>0.4</v>
      </c>
      <c r="H2240" s="168">
        <f t="shared" si="389"/>
        <v>0.8</v>
      </c>
      <c r="I2240" s="168">
        <f t="shared" si="390"/>
        <v>0.6</v>
      </c>
      <c r="J2240" s="168">
        <f t="shared" si="391"/>
        <v>1</v>
      </c>
      <c r="K2240" s="168">
        <f t="shared" si="392"/>
        <v>1</v>
      </c>
      <c r="L2240" s="168">
        <f t="shared" si="393"/>
        <v>1</v>
      </c>
      <c r="M2240" s="168">
        <f>E2240/60</f>
        <v>1.6666666666666667</v>
      </c>
      <c r="N2240" s="241" t="s">
        <v>453</v>
      </c>
    </row>
    <row r="2241" spans="1:14" ht="15" customHeight="1">
      <c r="A2241" s="58">
        <v>2240</v>
      </c>
      <c r="B2241" s="61" t="s">
        <v>52</v>
      </c>
      <c r="C2241" s="61" t="s">
        <v>10</v>
      </c>
      <c r="D2241" s="292" t="s">
        <v>4056</v>
      </c>
      <c r="E2241" s="301">
        <v>157</v>
      </c>
      <c r="F2241" s="301">
        <v>0</v>
      </c>
      <c r="G2241" s="168" t="s">
        <v>3535</v>
      </c>
      <c r="H2241" s="168" t="s">
        <v>3535</v>
      </c>
      <c r="I2241" s="168" t="s">
        <v>3535</v>
      </c>
      <c r="J2241" s="168" t="s">
        <v>3535</v>
      </c>
      <c r="K2241" s="168" t="s">
        <v>3535</v>
      </c>
      <c r="L2241" s="168" t="s">
        <v>3535</v>
      </c>
      <c r="M2241" s="168">
        <f t="shared" ref="M2241:M2247" si="420">E2241/40</f>
        <v>3.9249999999999998</v>
      </c>
      <c r="N2241" s="241" t="s">
        <v>453</v>
      </c>
    </row>
    <row r="2242" spans="1:14" ht="15" customHeight="1">
      <c r="A2242" s="58">
        <v>2241</v>
      </c>
      <c r="B2242" s="61" t="s">
        <v>52</v>
      </c>
      <c r="C2242" s="61" t="s">
        <v>10</v>
      </c>
      <c r="D2242" s="292" t="s">
        <v>4057</v>
      </c>
      <c r="E2242" s="301">
        <v>0</v>
      </c>
      <c r="F2242" s="301">
        <v>852</v>
      </c>
      <c r="G2242" s="168">
        <f t="shared" ref="G2242" si="421">(((F2242/70)+1)*0.4)</f>
        <v>5.2685714285714287</v>
      </c>
      <c r="H2242" s="168">
        <f t="shared" ref="H2242" si="422">G2242*2</f>
        <v>10.537142857142857</v>
      </c>
      <c r="I2242" s="168">
        <f t="shared" ref="I2242" si="423">(((F2242/70)+1)*0.6)</f>
        <v>7.9028571428571421</v>
      </c>
      <c r="J2242" s="168">
        <f t="shared" ref="J2242" si="424">I2242+G2242</f>
        <v>13.171428571428571</v>
      </c>
      <c r="K2242" s="168">
        <f t="shared" ref="K2242" si="425">J2242</f>
        <v>13.171428571428571</v>
      </c>
      <c r="L2242" s="168">
        <f t="shared" ref="L2242" si="426">(F2242/4000)+1</f>
        <v>1.2130000000000001</v>
      </c>
      <c r="M2242" s="168">
        <f t="shared" ref="M2242" si="427">E2242/60</f>
        <v>0</v>
      </c>
      <c r="N2242" s="241" t="s">
        <v>453</v>
      </c>
    </row>
    <row r="2243" spans="1:14" ht="15" customHeight="1">
      <c r="A2243" s="58">
        <v>2242</v>
      </c>
      <c r="B2243" s="61" t="s">
        <v>49</v>
      </c>
      <c r="C2243" s="61" t="s">
        <v>10</v>
      </c>
      <c r="D2243" s="292" t="s">
        <v>4058</v>
      </c>
      <c r="E2243" s="301">
        <v>350</v>
      </c>
      <c r="F2243" s="301">
        <v>0</v>
      </c>
      <c r="G2243" s="168" t="s">
        <v>3535</v>
      </c>
      <c r="H2243" s="168" t="s">
        <v>3535</v>
      </c>
      <c r="I2243" s="168" t="s">
        <v>3535</v>
      </c>
      <c r="J2243" s="168" t="s">
        <v>3535</v>
      </c>
      <c r="K2243" s="168" t="s">
        <v>3535</v>
      </c>
      <c r="L2243" s="168" t="s">
        <v>3535</v>
      </c>
      <c r="M2243" s="168">
        <f t="shared" si="420"/>
        <v>8.75</v>
      </c>
      <c r="N2243" s="241" t="s">
        <v>453</v>
      </c>
    </row>
    <row r="2244" spans="1:14" ht="15" customHeight="1">
      <c r="A2244" s="58">
        <v>2243</v>
      </c>
      <c r="B2244" s="61" t="s">
        <v>49</v>
      </c>
      <c r="C2244" s="61" t="s">
        <v>10</v>
      </c>
      <c r="D2244" s="292" t="s">
        <v>4059</v>
      </c>
      <c r="E2244" s="301">
        <v>250</v>
      </c>
      <c r="F2244" s="301">
        <v>0</v>
      </c>
      <c r="G2244" s="168" t="s">
        <v>3535</v>
      </c>
      <c r="H2244" s="168" t="s">
        <v>3535</v>
      </c>
      <c r="I2244" s="168" t="s">
        <v>3535</v>
      </c>
      <c r="J2244" s="168" t="s">
        <v>3535</v>
      </c>
      <c r="K2244" s="168" t="s">
        <v>3535</v>
      </c>
      <c r="L2244" s="168" t="s">
        <v>3535</v>
      </c>
      <c r="M2244" s="168">
        <f t="shared" si="420"/>
        <v>6.25</v>
      </c>
      <c r="N2244" s="241" t="s">
        <v>453</v>
      </c>
    </row>
    <row r="2245" spans="1:14" ht="15" customHeight="1">
      <c r="A2245" s="58">
        <v>2244</v>
      </c>
      <c r="B2245" s="61" t="s">
        <v>52</v>
      </c>
      <c r="C2245" s="61" t="s">
        <v>10</v>
      </c>
      <c r="D2245" s="292" t="s">
        <v>4060</v>
      </c>
      <c r="E2245" s="301">
        <v>0</v>
      </c>
      <c r="F2245" s="301">
        <v>0</v>
      </c>
      <c r="G2245" s="168" t="s">
        <v>3535</v>
      </c>
      <c r="H2245" s="168" t="s">
        <v>3535</v>
      </c>
      <c r="I2245" s="168" t="s">
        <v>3535</v>
      </c>
      <c r="J2245" s="168" t="s">
        <v>3535</v>
      </c>
      <c r="K2245" s="168" t="s">
        <v>3535</v>
      </c>
      <c r="L2245" s="168" t="s">
        <v>3535</v>
      </c>
      <c r="M2245" s="168">
        <f t="shared" si="420"/>
        <v>0</v>
      </c>
      <c r="N2245" s="241" t="s">
        <v>453</v>
      </c>
    </row>
    <row r="2246" spans="1:14" ht="15" customHeight="1">
      <c r="A2246" s="58">
        <v>2245</v>
      </c>
      <c r="B2246" s="61" t="s">
        <v>52</v>
      </c>
      <c r="C2246" s="61" t="s">
        <v>10</v>
      </c>
      <c r="D2246" s="292" t="s">
        <v>4061</v>
      </c>
      <c r="E2246" s="301">
        <v>0</v>
      </c>
      <c r="F2246" s="301">
        <v>0</v>
      </c>
      <c r="G2246" s="168" t="s">
        <v>3535</v>
      </c>
      <c r="H2246" s="168" t="s">
        <v>3535</v>
      </c>
      <c r="I2246" s="168" t="s">
        <v>3535</v>
      </c>
      <c r="J2246" s="168" t="s">
        <v>3535</v>
      </c>
      <c r="K2246" s="168" t="s">
        <v>3535</v>
      </c>
      <c r="L2246" s="168" t="s">
        <v>3535</v>
      </c>
      <c r="M2246" s="168">
        <f t="shared" si="420"/>
        <v>0</v>
      </c>
      <c r="N2246" s="241" t="s">
        <v>453</v>
      </c>
    </row>
    <row r="2247" spans="1:14" ht="15" customHeight="1">
      <c r="A2247" s="58">
        <v>2246</v>
      </c>
      <c r="B2247" s="61" t="s">
        <v>52</v>
      </c>
      <c r="C2247" s="61" t="s">
        <v>10</v>
      </c>
      <c r="D2247" s="292" t="s">
        <v>4062</v>
      </c>
      <c r="E2247" s="301">
        <v>0</v>
      </c>
      <c r="F2247" s="301">
        <v>684</v>
      </c>
      <c r="G2247" s="168" t="s">
        <v>3535</v>
      </c>
      <c r="H2247" s="168" t="s">
        <v>3535</v>
      </c>
      <c r="I2247" s="168" t="s">
        <v>3535</v>
      </c>
      <c r="J2247" s="168" t="s">
        <v>3535</v>
      </c>
      <c r="K2247" s="168" t="s">
        <v>3535</v>
      </c>
      <c r="L2247" s="168" t="s">
        <v>3535</v>
      </c>
      <c r="M2247" s="168">
        <f t="shared" si="420"/>
        <v>0</v>
      </c>
      <c r="N2247" s="241" t="s">
        <v>453</v>
      </c>
    </row>
    <row r="2248" spans="1:14" ht="15" customHeight="1">
      <c r="A2248" s="58">
        <v>2247</v>
      </c>
      <c r="B2248" s="61" t="s">
        <v>53</v>
      </c>
      <c r="C2248" s="61" t="s">
        <v>10</v>
      </c>
      <c r="D2248" s="292" t="s">
        <v>4063</v>
      </c>
      <c r="E2248" s="301">
        <v>577</v>
      </c>
      <c r="F2248" s="301">
        <v>0</v>
      </c>
      <c r="G2248" s="168">
        <f t="shared" si="388"/>
        <v>0.4</v>
      </c>
      <c r="H2248" s="168">
        <f t="shared" si="389"/>
        <v>0.8</v>
      </c>
      <c r="I2248" s="168">
        <f t="shared" si="390"/>
        <v>0.6</v>
      </c>
      <c r="J2248" s="168">
        <f t="shared" si="391"/>
        <v>1</v>
      </c>
      <c r="K2248" s="168">
        <f t="shared" si="392"/>
        <v>1</v>
      </c>
      <c r="L2248" s="168">
        <f t="shared" si="393"/>
        <v>1</v>
      </c>
      <c r="M2248" s="168">
        <f t="shared" si="394"/>
        <v>9.6166666666666671</v>
      </c>
      <c r="N2248" s="241" t="s">
        <v>453</v>
      </c>
    </row>
    <row r="2249" spans="1:14" ht="15" customHeight="1">
      <c r="A2249" s="58">
        <v>2248</v>
      </c>
      <c r="B2249" s="61" t="s">
        <v>4235</v>
      </c>
      <c r="C2249" s="61" t="s">
        <v>11</v>
      </c>
      <c r="D2249" s="292" t="s">
        <v>4064</v>
      </c>
      <c r="E2249" s="301">
        <v>99</v>
      </c>
      <c r="F2249" s="301">
        <v>0</v>
      </c>
      <c r="G2249" s="168">
        <f t="shared" si="388"/>
        <v>0.4</v>
      </c>
      <c r="H2249" s="168">
        <f t="shared" si="389"/>
        <v>0.8</v>
      </c>
      <c r="I2249" s="168">
        <f t="shared" si="390"/>
        <v>0.6</v>
      </c>
      <c r="J2249" s="168">
        <f t="shared" si="391"/>
        <v>1</v>
      </c>
      <c r="K2249" s="168">
        <f t="shared" si="392"/>
        <v>1</v>
      </c>
      <c r="L2249" s="168">
        <f t="shared" si="393"/>
        <v>1</v>
      </c>
      <c r="M2249" s="168">
        <f t="shared" si="394"/>
        <v>1.65</v>
      </c>
      <c r="N2249" s="241" t="s">
        <v>453</v>
      </c>
    </row>
    <row r="2250" spans="1:14" ht="15" customHeight="1">
      <c r="A2250" s="58">
        <v>2249</v>
      </c>
      <c r="B2250" s="61" t="s">
        <v>52</v>
      </c>
      <c r="C2250" s="61" t="s">
        <v>10</v>
      </c>
      <c r="D2250" s="292" t="s">
        <v>4065</v>
      </c>
      <c r="E2250" s="301">
        <v>0</v>
      </c>
      <c r="F2250" s="301">
        <v>681</v>
      </c>
      <c r="G2250" s="168">
        <f t="shared" si="388"/>
        <v>4.2914285714285709</v>
      </c>
      <c r="H2250" s="168">
        <f t="shared" si="389"/>
        <v>8.5828571428571419</v>
      </c>
      <c r="I2250" s="168">
        <f t="shared" si="390"/>
        <v>6.4371428571428568</v>
      </c>
      <c r="J2250" s="168">
        <f t="shared" si="391"/>
        <v>10.728571428571428</v>
      </c>
      <c r="K2250" s="168">
        <f t="shared" si="392"/>
        <v>10.728571428571428</v>
      </c>
      <c r="L2250" s="168">
        <f t="shared" si="393"/>
        <v>1.17025</v>
      </c>
      <c r="M2250" s="168">
        <f t="shared" si="394"/>
        <v>0</v>
      </c>
      <c r="N2250" s="241" t="s">
        <v>453</v>
      </c>
    </row>
    <row r="2251" spans="1:14" ht="15" customHeight="1">
      <c r="A2251" s="58">
        <v>2250</v>
      </c>
      <c r="B2251" s="61" t="s">
        <v>52</v>
      </c>
      <c r="C2251" s="61" t="s">
        <v>10</v>
      </c>
      <c r="D2251" s="292" t="s">
        <v>4066</v>
      </c>
      <c r="E2251" s="301">
        <v>0</v>
      </c>
      <c r="F2251" s="301">
        <v>1942</v>
      </c>
      <c r="G2251" s="168" t="s">
        <v>3535</v>
      </c>
      <c r="H2251" s="168" t="s">
        <v>3535</v>
      </c>
      <c r="I2251" s="168" t="s">
        <v>3535</v>
      </c>
      <c r="J2251" s="168" t="s">
        <v>3535</v>
      </c>
      <c r="K2251" s="168" t="s">
        <v>3535</v>
      </c>
      <c r="L2251" s="168" t="s">
        <v>3535</v>
      </c>
      <c r="M2251" s="168">
        <f t="shared" ref="M2251:M2252" si="428">E2251/40</f>
        <v>0</v>
      </c>
      <c r="N2251" s="241" t="s">
        <v>453</v>
      </c>
    </row>
    <row r="2252" spans="1:14" ht="15" customHeight="1">
      <c r="A2252" s="58">
        <v>2251</v>
      </c>
      <c r="B2252" s="61" t="s">
        <v>63</v>
      </c>
      <c r="C2252" s="61" t="s">
        <v>11</v>
      </c>
      <c r="D2252" s="292" t="s">
        <v>4067</v>
      </c>
      <c r="E2252" s="301">
        <v>502</v>
      </c>
      <c r="F2252" s="301">
        <v>2241</v>
      </c>
      <c r="G2252" s="168" t="s">
        <v>3535</v>
      </c>
      <c r="H2252" s="168" t="s">
        <v>3535</v>
      </c>
      <c r="I2252" s="168" t="s">
        <v>3535</v>
      </c>
      <c r="J2252" s="168" t="s">
        <v>3535</v>
      </c>
      <c r="K2252" s="168" t="s">
        <v>3535</v>
      </c>
      <c r="L2252" s="168" t="s">
        <v>3535</v>
      </c>
      <c r="M2252" s="168">
        <f t="shared" si="428"/>
        <v>12.55</v>
      </c>
      <c r="N2252" s="241" t="s">
        <v>453</v>
      </c>
    </row>
    <row r="2253" spans="1:14" ht="15" customHeight="1">
      <c r="A2253" s="58">
        <v>2252</v>
      </c>
      <c r="B2253" s="61" t="s">
        <v>52</v>
      </c>
      <c r="C2253" s="61" t="s">
        <v>10</v>
      </c>
      <c r="D2253" s="292" t="s">
        <v>4068</v>
      </c>
      <c r="E2253" s="301">
        <v>166</v>
      </c>
      <c r="F2253" s="301">
        <v>0</v>
      </c>
      <c r="G2253" s="168">
        <f t="shared" si="388"/>
        <v>0.4</v>
      </c>
      <c r="H2253" s="168">
        <f t="shared" si="389"/>
        <v>0.8</v>
      </c>
      <c r="I2253" s="168">
        <f t="shared" si="390"/>
        <v>0.6</v>
      </c>
      <c r="J2253" s="168">
        <f t="shared" si="391"/>
        <v>1</v>
      </c>
      <c r="K2253" s="168">
        <f t="shared" si="392"/>
        <v>1</v>
      </c>
      <c r="L2253" s="168">
        <f t="shared" si="393"/>
        <v>1</v>
      </c>
      <c r="M2253" s="168">
        <f t="shared" si="394"/>
        <v>2.7666666666666666</v>
      </c>
      <c r="N2253" s="241" t="s">
        <v>453</v>
      </c>
    </row>
    <row r="2254" spans="1:14" ht="15" customHeight="1">
      <c r="A2254" s="58">
        <v>2253</v>
      </c>
      <c r="B2254" s="61" t="s">
        <v>52</v>
      </c>
      <c r="C2254" s="61" t="s">
        <v>10</v>
      </c>
      <c r="D2254" s="292" t="s">
        <v>4069</v>
      </c>
      <c r="E2254" s="301">
        <v>0</v>
      </c>
      <c r="F2254" s="301">
        <v>498</v>
      </c>
      <c r="G2254" s="168">
        <f t="shared" si="388"/>
        <v>3.2457142857142856</v>
      </c>
      <c r="H2254" s="168">
        <f t="shared" si="389"/>
        <v>6.4914285714285711</v>
      </c>
      <c r="I2254" s="168">
        <f t="shared" si="390"/>
        <v>4.8685714285714283</v>
      </c>
      <c r="J2254" s="168">
        <f t="shared" si="391"/>
        <v>8.1142857142857139</v>
      </c>
      <c r="K2254" s="168">
        <f t="shared" si="392"/>
        <v>8.1142857142857139</v>
      </c>
      <c r="L2254" s="168">
        <f t="shared" si="393"/>
        <v>1.1245000000000001</v>
      </c>
      <c r="M2254" s="168">
        <f t="shared" si="394"/>
        <v>0</v>
      </c>
      <c r="N2254" s="241" t="s">
        <v>453</v>
      </c>
    </row>
    <row r="2255" spans="1:14" ht="15" customHeight="1">
      <c r="A2255" s="58">
        <v>2254</v>
      </c>
      <c r="B2255" s="61" t="s">
        <v>55</v>
      </c>
      <c r="C2255" s="61" t="s">
        <v>10</v>
      </c>
      <c r="D2255" s="292" t="s">
        <v>4070</v>
      </c>
      <c r="E2255" s="301">
        <v>0</v>
      </c>
      <c r="F2255" s="301">
        <v>745</v>
      </c>
      <c r="G2255" s="168">
        <f t="shared" si="388"/>
        <v>4.6571428571428575</v>
      </c>
      <c r="H2255" s="168">
        <f t="shared" si="389"/>
        <v>9.3142857142857149</v>
      </c>
      <c r="I2255" s="168">
        <f t="shared" si="390"/>
        <v>6.9857142857142849</v>
      </c>
      <c r="J2255" s="168">
        <f t="shared" si="391"/>
        <v>11.642857142857142</v>
      </c>
      <c r="K2255" s="168">
        <f t="shared" si="392"/>
        <v>11.642857142857142</v>
      </c>
      <c r="L2255" s="168">
        <f t="shared" si="393"/>
        <v>1.18625</v>
      </c>
      <c r="M2255" s="168">
        <f t="shared" si="394"/>
        <v>0</v>
      </c>
      <c r="N2255" s="241" t="s">
        <v>453</v>
      </c>
    </row>
    <row r="2256" spans="1:14" ht="15" customHeight="1">
      <c r="A2256" s="58">
        <v>2255</v>
      </c>
      <c r="B2256" s="61" t="s">
        <v>52</v>
      </c>
      <c r="C2256" s="61" t="s">
        <v>10</v>
      </c>
      <c r="D2256" s="292" t="s">
        <v>4071</v>
      </c>
      <c r="E2256" s="301">
        <v>200</v>
      </c>
      <c r="F2256" s="301">
        <v>0</v>
      </c>
      <c r="G2256" s="168" t="s">
        <v>3535</v>
      </c>
      <c r="H2256" s="168" t="s">
        <v>3535</v>
      </c>
      <c r="I2256" s="168" t="s">
        <v>3535</v>
      </c>
      <c r="J2256" s="168" t="s">
        <v>3535</v>
      </c>
      <c r="K2256" s="168" t="s">
        <v>3535</v>
      </c>
      <c r="L2256" s="168" t="s">
        <v>3535</v>
      </c>
      <c r="M2256" s="168">
        <f t="shared" ref="M2256:M2261" si="429">E2256/40</f>
        <v>5</v>
      </c>
      <c r="N2256" s="241" t="s">
        <v>453</v>
      </c>
    </row>
    <row r="2257" spans="1:14" ht="15" customHeight="1">
      <c r="A2257" s="58">
        <v>2256</v>
      </c>
      <c r="B2257" s="61" t="s">
        <v>52</v>
      </c>
      <c r="C2257" s="61" t="s">
        <v>10</v>
      </c>
      <c r="D2257" s="292" t="s">
        <v>4072</v>
      </c>
      <c r="E2257" s="301">
        <v>166</v>
      </c>
      <c r="F2257" s="301">
        <v>0</v>
      </c>
      <c r="G2257" s="168" t="s">
        <v>3535</v>
      </c>
      <c r="H2257" s="168" t="s">
        <v>3535</v>
      </c>
      <c r="I2257" s="168" t="s">
        <v>3535</v>
      </c>
      <c r="J2257" s="168" t="s">
        <v>3535</v>
      </c>
      <c r="K2257" s="168" t="s">
        <v>3535</v>
      </c>
      <c r="L2257" s="168" t="s">
        <v>3535</v>
      </c>
      <c r="M2257" s="168">
        <f t="shared" si="429"/>
        <v>4.1500000000000004</v>
      </c>
      <c r="N2257" s="241" t="s">
        <v>453</v>
      </c>
    </row>
    <row r="2258" spans="1:14" ht="15" customHeight="1">
      <c r="A2258" s="58">
        <v>2257</v>
      </c>
      <c r="B2258" s="61" t="s">
        <v>52</v>
      </c>
      <c r="C2258" s="61" t="s">
        <v>10</v>
      </c>
      <c r="D2258" s="292" t="s">
        <v>4073</v>
      </c>
      <c r="E2258" s="301">
        <v>135</v>
      </c>
      <c r="F2258" s="301">
        <v>0</v>
      </c>
      <c r="G2258" s="168" t="s">
        <v>3535</v>
      </c>
      <c r="H2258" s="168" t="s">
        <v>3535</v>
      </c>
      <c r="I2258" s="168" t="s">
        <v>3535</v>
      </c>
      <c r="J2258" s="168" t="s">
        <v>3535</v>
      </c>
      <c r="K2258" s="168" t="s">
        <v>3535</v>
      </c>
      <c r="L2258" s="168" t="s">
        <v>3535</v>
      </c>
      <c r="M2258" s="168">
        <f t="shared" si="429"/>
        <v>3.375</v>
      </c>
      <c r="N2258" s="241" t="s">
        <v>453</v>
      </c>
    </row>
    <row r="2259" spans="1:14" ht="15" customHeight="1">
      <c r="A2259" s="58">
        <v>2258</v>
      </c>
      <c r="B2259" s="61" t="s">
        <v>52</v>
      </c>
      <c r="C2259" s="61" t="s">
        <v>10</v>
      </c>
      <c r="D2259" s="292" t="s">
        <v>4074</v>
      </c>
      <c r="E2259" s="301">
        <v>45</v>
      </c>
      <c r="F2259" s="301">
        <v>350</v>
      </c>
      <c r="G2259" s="168" t="s">
        <v>3535</v>
      </c>
      <c r="H2259" s="168" t="s">
        <v>3535</v>
      </c>
      <c r="I2259" s="168" t="s">
        <v>3535</v>
      </c>
      <c r="J2259" s="168" t="s">
        <v>3535</v>
      </c>
      <c r="K2259" s="168" t="s">
        <v>3535</v>
      </c>
      <c r="L2259" s="168" t="s">
        <v>3535</v>
      </c>
      <c r="M2259" s="168">
        <f t="shared" si="429"/>
        <v>1.125</v>
      </c>
      <c r="N2259" s="241" t="s">
        <v>453</v>
      </c>
    </row>
    <row r="2260" spans="1:14" ht="15" customHeight="1">
      <c r="A2260" s="58">
        <v>2259</v>
      </c>
      <c r="B2260" s="61" t="s">
        <v>52</v>
      </c>
      <c r="C2260" s="61" t="s">
        <v>10</v>
      </c>
      <c r="D2260" s="292" t="s">
        <v>4075</v>
      </c>
      <c r="E2260" s="301">
        <v>90</v>
      </c>
      <c r="F2260" s="301">
        <v>0</v>
      </c>
      <c r="G2260" s="168">
        <f t="shared" ref="G2260" si="430">(((F2260/70)+1)*0.4)</f>
        <v>0.4</v>
      </c>
      <c r="H2260" s="168">
        <f t="shared" ref="H2260" si="431">G2260*2</f>
        <v>0.8</v>
      </c>
      <c r="I2260" s="168">
        <f t="shared" ref="I2260" si="432">(((F2260/70)+1)*0.6)</f>
        <v>0.6</v>
      </c>
      <c r="J2260" s="168">
        <f t="shared" ref="J2260" si="433">I2260+G2260</f>
        <v>1</v>
      </c>
      <c r="K2260" s="168">
        <f t="shared" ref="K2260" si="434">J2260</f>
        <v>1</v>
      </c>
      <c r="L2260" s="168">
        <f t="shared" ref="L2260" si="435">(F2260/4000)+1</f>
        <v>1</v>
      </c>
      <c r="M2260" s="168">
        <f t="shared" ref="M2260" si="436">E2260/60</f>
        <v>1.5</v>
      </c>
      <c r="N2260" s="241" t="s">
        <v>453</v>
      </c>
    </row>
    <row r="2261" spans="1:14" ht="15" customHeight="1">
      <c r="A2261" s="58">
        <v>2260</v>
      </c>
      <c r="B2261" s="61" t="s">
        <v>52</v>
      </c>
      <c r="C2261" s="61" t="s">
        <v>10</v>
      </c>
      <c r="D2261" s="292" t="s">
        <v>4076</v>
      </c>
      <c r="E2261" s="301">
        <v>135</v>
      </c>
      <c r="F2261" s="301">
        <v>0</v>
      </c>
      <c r="G2261" s="168" t="s">
        <v>3535</v>
      </c>
      <c r="H2261" s="168" t="s">
        <v>3535</v>
      </c>
      <c r="I2261" s="168" t="s">
        <v>3535</v>
      </c>
      <c r="J2261" s="168" t="s">
        <v>3535</v>
      </c>
      <c r="K2261" s="168" t="s">
        <v>3535</v>
      </c>
      <c r="L2261" s="168" t="s">
        <v>3535</v>
      </c>
      <c r="M2261" s="168">
        <f t="shared" si="429"/>
        <v>3.375</v>
      </c>
      <c r="N2261" s="241" t="s">
        <v>453</v>
      </c>
    </row>
    <row r="2262" spans="1:14" ht="15" customHeight="1">
      <c r="A2262" s="58">
        <v>2261</v>
      </c>
      <c r="B2262" s="61" t="s">
        <v>52</v>
      </c>
      <c r="C2262" s="61" t="s">
        <v>10</v>
      </c>
      <c r="D2262" s="292" t="s">
        <v>4077</v>
      </c>
      <c r="E2262" s="301">
        <v>180</v>
      </c>
      <c r="F2262" s="301">
        <v>0</v>
      </c>
      <c r="G2262" s="168">
        <f t="shared" si="388"/>
        <v>0.4</v>
      </c>
      <c r="H2262" s="168">
        <f t="shared" si="389"/>
        <v>0.8</v>
      </c>
      <c r="I2262" s="168">
        <f t="shared" si="390"/>
        <v>0.6</v>
      </c>
      <c r="J2262" s="168">
        <f t="shared" si="391"/>
        <v>1</v>
      </c>
      <c r="K2262" s="168">
        <f t="shared" si="392"/>
        <v>1</v>
      </c>
      <c r="L2262" s="168">
        <f t="shared" si="393"/>
        <v>1</v>
      </c>
      <c r="M2262" s="168">
        <f t="shared" si="394"/>
        <v>3</v>
      </c>
      <c r="N2262" s="241" t="s">
        <v>453</v>
      </c>
    </row>
    <row r="2263" spans="1:14" ht="15" customHeight="1">
      <c r="A2263" s="58">
        <v>2262</v>
      </c>
      <c r="B2263" s="61" t="s">
        <v>61</v>
      </c>
      <c r="C2263" s="61" t="s">
        <v>11</v>
      </c>
      <c r="D2263" s="292" t="s">
        <v>4078</v>
      </c>
      <c r="E2263" s="301">
        <v>140</v>
      </c>
      <c r="F2263" s="301">
        <v>1677</v>
      </c>
      <c r="G2263" s="168">
        <f t="shared" si="388"/>
        <v>9.9828571428571422</v>
      </c>
      <c r="H2263" s="168">
        <f t="shared" si="389"/>
        <v>19.965714285714284</v>
      </c>
      <c r="I2263" s="168">
        <f t="shared" si="390"/>
        <v>14.974285714285713</v>
      </c>
      <c r="J2263" s="168">
        <f t="shared" si="391"/>
        <v>24.957142857142856</v>
      </c>
      <c r="K2263" s="168">
        <f t="shared" si="392"/>
        <v>24.957142857142856</v>
      </c>
      <c r="L2263" s="168">
        <f t="shared" si="393"/>
        <v>1.4192499999999999</v>
      </c>
      <c r="M2263" s="168">
        <f t="shared" si="394"/>
        <v>2.3333333333333335</v>
      </c>
      <c r="N2263" s="241" t="s">
        <v>453</v>
      </c>
    </row>
    <row r="2264" spans="1:14" ht="15" customHeight="1">
      <c r="A2264" s="58">
        <v>2263</v>
      </c>
      <c r="B2264" s="61" t="s">
        <v>49</v>
      </c>
      <c r="C2264" s="61" t="s">
        <v>10</v>
      </c>
      <c r="D2264" s="292" t="s">
        <v>4079</v>
      </c>
      <c r="E2264" s="301">
        <v>504</v>
      </c>
      <c r="F2264" s="301">
        <v>4500</v>
      </c>
      <c r="G2264" s="168">
        <f t="shared" si="388"/>
        <v>26.114285714285717</v>
      </c>
      <c r="H2264" s="168">
        <f t="shared" si="389"/>
        <v>52.228571428571435</v>
      </c>
      <c r="I2264" s="168">
        <f t="shared" si="390"/>
        <v>39.171428571428571</v>
      </c>
      <c r="J2264" s="168">
        <f t="shared" si="391"/>
        <v>65.285714285714292</v>
      </c>
      <c r="K2264" s="168">
        <f t="shared" si="392"/>
        <v>65.285714285714292</v>
      </c>
      <c r="L2264" s="168">
        <f t="shared" si="393"/>
        <v>2.125</v>
      </c>
      <c r="M2264" s="168">
        <f t="shared" si="394"/>
        <v>8.4</v>
      </c>
      <c r="N2264" s="241" t="s">
        <v>453</v>
      </c>
    </row>
    <row r="2265" spans="1:14" ht="15" customHeight="1">
      <c r="A2265" s="58">
        <v>2264</v>
      </c>
      <c r="B2265" s="61" t="s">
        <v>52</v>
      </c>
      <c r="C2265" s="61" t="s">
        <v>10</v>
      </c>
      <c r="D2265" s="292" t="s">
        <v>4080</v>
      </c>
      <c r="E2265" s="301">
        <v>100</v>
      </c>
      <c r="F2265" s="301">
        <v>0</v>
      </c>
      <c r="G2265" s="168">
        <f t="shared" si="388"/>
        <v>0.4</v>
      </c>
      <c r="H2265" s="168">
        <f t="shared" si="389"/>
        <v>0.8</v>
      </c>
      <c r="I2265" s="168">
        <f t="shared" si="390"/>
        <v>0.6</v>
      </c>
      <c r="J2265" s="168">
        <f t="shared" si="391"/>
        <v>1</v>
      </c>
      <c r="K2265" s="168">
        <f t="shared" si="392"/>
        <v>1</v>
      </c>
      <c r="L2265" s="168">
        <f t="shared" si="393"/>
        <v>1</v>
      </c>
      <c r="M2265" s="168">
        <f t="shared" si="394"/>
        <v>1.6666666666666667</v>
      </c>
      <c r="N2265" s="241" t="s">
        <v>453</v>
      </c>
    </row>
    <row r="2266" spans="1:14" ht="15" customHeight="1">
      <c r="A2266" s="58">
        <v>2265</v>
      </c>
      <c r="B2266" s="61" t="s">
        <v>55</v>
      </c>
      <c r="C2266" s="61" t="s">
        <v>10</v>
      </c>
      <c r="D2266" s="292" t="s">
        <v>4081</v>
      </c>
      <c r="E2266" s="301">
        <v>0</v>
      </c>
      <c r="F2266" s="301">
        <v>550</v>
      </c>
      <c r="G2266" s="168" t="s">
        <v>3535</v>
      </c>
      <c r="H2266" s="168" t="s">
        <v>3535</v>
      </c>
      <c r="I2266" s="168" t="s">
        <v>3535</v>
      </c>
      <c r="J2266" s="168" t="s">
        <v>3535</v>
      </c>
      <c r="K2266" s="168" t="s">
        <v>3535</v>
      </c>
      <c r="L2266" s="168" t="s">
        <v>3535</v>
      </c>
      <c r="M2266" s="168">
        <f t="shared" ref="M2266" si="437">E2266/40</f>
        <v>0</v>
      </c>
      <c r="N2266" s="241" t="s">
        <v>453</v>
      </c>
    </row>
    <row r="2267" spans="1:14" ht="15" customHeight="1">
      <c r="A2267" s="58">
        <v>2266</v>
      </c>
      <c r="B2267" s="61" t="s">
        <v>52</v>
      </c>
      <c r="C2267" s="61" t="s">
        <v>10</v>
      </c>
      <c r="D2267" s="292" t="s">
        <v>4082</v>
      </c>
      <c r="E2267" s="301">
        <v>51</v>
      </c>
      <c r="F2267" s="301">
        <v>0</v>
      </c>
      <c r="G2267" s="168">
        <f t="shared" ref="G2267:G2268" si="438">(((F2267/70)+1)*0.4)</f>
        <v>0.4</v>
      </c>
      <c r="H2267" s="168">
        <f t="shared" ref="H2267:H2268" si="439">G2267*2</f>
        <v>0.8</v>
      </c>
      <c r="I2267" s="168">
        <f t="shared" ref="I2267:I2268" si="440">(((F2267/70)+1)*0.6)</f>
        <v>0.6</v>
      </c>
      <c r="J2267" s="168">
        <f t="shared" ref="J2267:J2268" si="441">I2267+G2267</f>
        <v>1</v>
      </c>
      <c r="K2267" s="168">
        <f t="shared" ref="K2267:K2268" si="442">J2267</f>
        <v>1</v>
      </c>
      <c r="L2267" s="168">
        <f t="shared" ref="L2267:L2268" si="443">(F2267/4000)+1</f>
        <v>1</v>
      </c>
      <c r="M2267" s="168">
        <f t="shared" ref="M2267:M2268" si="444">E2267/60</f>
        <v>0.85</v>
      </c>
      <c r="N2267" s="241" t="s">
        <v>453</v>
      </c>
    </row>
    <row r="2268" spans="1:14" ht="15" customHeight="1">
      <c r="A2268" s="58">
        <v>2267</v>
      </c>
      <c r="B2268" s="61" t="s">
        <v>52</v>
      </c>
      <c r="C2268" s="61" t="s">
        <v>10</v>
      </c>
      <c r="D2268" s="292" t="s">
        <v>4083</v>
      </c>
      <c r="E2268" s="301">
        <v>241</v>
      </c>
      <c r="F2268" s="301">
        <v>0</v>
      </c>
      <c r="G2268" s="168">
        <f t="shared" si="438"/>
        <v>0.4</v>
      </c>
      <c r="H2268" s="168">
        <f t="shared" si="439"/>
        <v>0.8</v>
      </c>
      <c r="I2268" s="168">
        <f t="shared" si="440"/>
        <v>0.6</v>
      </c>
      <c r="J2268" s="168">
        <f t="shared" si="441"/>
        <v>1</v>
      </c>
      <c r="K2268" s="168">
        <f t="shared" si="442"/>
        <v>1</v>
      </c>
      <c r="L2268" s="168">
        <f t="shared" si="443"/>
        <v>1</v>
      </c>
      <c r="M2268" s="168">
        <f t="shared" si="444"/>
        <v>4.0166666666666666</v>
      </c>
      <c r="N2268" s="241" t="s">
        <v>453</v>
      </c>
    </row>
    <row r="2269" spans="1:14" ht="15" customHeight="1">
      <c r="A2269" s="58">
        <v>2268</v>
      </c>
      <c r="B2269" s="61" t="s">
        <v>52</v>
      </c>
      <c r="C2269" s="61" t="s">
        <v>10</v>
      </c>
      <c r="D2269" s="292" t="s">
        <v>4084</v>
      </c>
      <c r="E2269" s="301">
        <v>200</v>
      </c>
      <c r="F2269" s="301">
        <v>0</v>
      </c>
      <c r="G2269" s="168">
        <f t="shared" si="388"/>
        <v>0.4</v>
      </c>
      <c r="H2269" s="168">
        <f t="shared" si="389"/>
        <v>0.8</v>
      </c>
      <c r="I2269" s="168">
        <f t="shared" si="390"/>
        <v>0.6</v>
      </c>
      <c r="J2269" s="168">
        <f t="shared" si="391"/>
        <v>1</v>
      </c>
      <c r="K2269" s="168">
        <f t="shared" si="392"/>
        <v>1</v>
      </c>
      <c r="L2269" s="168">
        <f t="shared" si="393"/>
        <v>1</v>
      </c>
      <c r="M2269" s="168">
        <f t="shared" si="394"/>
        <v>3.3333333333333335</v>
      </c>
      <c r="N2269" s="241" t="s">
        <v>453</v>
      </c>
    </row>
    <row r="2270" spans="1:14" ht="15" customHeight="1">
      <c r="A2270" s="58">
        <v>2269</v>
      </c>
      <c r="B2270" s="61" t="s">
        <v>52</v>
      </c>
      <c r="C2270" s="61" t="s">
        <v>10</v>
      </c>
      <c r="D2270" s="292" t="s">
        <v>4085</v>
      </c>
      <c r="E2270" s="301">
        <v>372</v>
      </c>
      <c r="F2270" s="301">
        <v>1800</v>
      </c>
      <c r="G2270" s="168" t="s">
        <v>3535</v>
      </c>
      <c r="H2270" s="168" t="s">
        <v>3535</v>
      </c>
      <c r="I2270" s="168" t="s">
        <v>3535</v>
      </c>
      <c r="J2270" s="168" t="s">
        <v>3535</v>
      </c>
      <c r="K2270" s="168" t="s">
        <v>3535</v>
      </c>
      <c r="L2270" s="168" t="s">
        <v>3535</v>
      </c>
      <c r="M2270" s="168">
        <f>E2270/40</f>
        <v>9.3000000000000007</v>
      </c>
      <c r="N2270" s="241" t="s">
        <v>453</v>
      </c>
    </row>
    <row r="2271" spans="1:14" ht="15" customHeight="1">
      <c r="A2271" s="58">
        <v>2270</v>
      </c>
      <c r="B2271" s="61" t="s">
        <v>52</v>
      </c>
      <c r="C2271" s="61" t="s">
        <v>10</v>
      </c>
      <c r="D2271" s="292" t="s">
        <v>4086</v>
      </c>
      <c r="E2271" s="301">
        <v>311</v>
      </c>
      <c r="F2271" s="301">
        <v>0</v>
      </c>
      <c r="G2271" s="168">
        <f t="shared" si="388"/>
        <v>0.4</v>
      </c>
      <c r="H2271" s="168">
        <f t="shared" si="389"/>
        <v>0.8</v>
      </c>
      <c r="I2271" s="168">
        <f t="shared" si="390"/>
        <v>0.6</v>
      </c>
      <c r="J2271" s="168">
        <f t="shared" si="391"/>
        <v>1</v>
      </c>
      <c r="K2271" s="168">
        <f t="shared" si="392"/>
        <v>1</v>
      </c>
      <c r="L2271" s="168">
        <f t="shared" si="393"/>
        <v>1</v>
      </c>
      <c r="M2271" s="168">
        <f t="shared" si="394"/>
        <v>5.1833333333333336</v>
      </c>
      <c r="N2271" s="241" t="s">
        <v>453</v>
      </c>
    </row>
    <row r="2272" spans="1:14" ht="15" customHeight="1">
      <c r="A2272" s="58">
        <v>2271</v>
      </c>
      <c r="B2272" s="61" t="s">
        <v>52</v>
      </c>
      <c r="C2272" s="61" t="s">
        <v>10</v>
      </c>
      <c r="D2272" s="292" t="s">
        <v>4087</v>
      </c>
      <c r="E2272" s="301">
        <v>0</v>
      </c>
      <c r="F2272" s="301">
        <v>0</v>
      </c>
      <c r="G2272" s="168">
        <f t="shared" si="388"/>
        <v>0.4</v>
      </c>
      <c r="H2272" s="168">
        <f t="shared" si="389"/>
        <v>0.8</v>
      </c>
      <c r="I2272" s="168">
        <f t="shared" si="390"/>
        <v>0.6</v>
      </c>
      <c r="J2272" s="168">
        <f t="shared" si="391"/>
        <v>1</v>
      </c>
      <c r="K2272" s="168">
        <f t="shared" si="392"/>
        <v>1</v>
      </c>
      <c r="L2272" s="168">
        <f t="shared" si="393"/>
        <v>1</v>
      </c>
      <c r="M2272" s="168">
        <f t="shared" si="394"/>
        <v>0</v>
      </c>
      <c r="N2272" s="241" t="s">
        <v>453</v>
      </c>
    </row>
    <row r="2273" spans="1:14" ht="15" customHeight="1">
      <c r="A2273" s="58">
        <v>2272</v>
      </c>
      <c r="B2273" s="61" t="s">
        <v>52</v>
      </c>
      <c r="C2273" s="61" t="s">
        <v>10</v>
      </c>
      <c r="D2273" s="292" t="s">
        <v>4088</v>
      </c>
      <c r="E2273" s="301">
        <v>0</v>
      </c>
      <c r="F2273" s="301">
        <v>879</v>
      </c>
      <c r="G2273" s="168" t="s">
        <v>3535</v>
      </c>
      <c r="H2273" s="168" t="s">
        <v>3535</v>
      </c>
      <c r="I2273" s="168" t="s">
        <v>3535</v>
      </c>
      <c r="J2273" s="168" t="s">
        <v>3535</v>
      </c>
      <c r="K2273" s="168" t="s">
        <v>3535</v>
      </c>
      <c r="L2273" s="168" t="s">
        <v>3535</v>
      </c>
      <c r="M2273" s="168">
        <f t="shared" ref="M2273:M2274" si="445">E2273/40</f>
        <v>0</v>
      </c>
      <c r="N2273" s="241" t="s">
        <v>453</v>
      </c>
    </row>
    <row r="2274" spans="1:14" ht="15" customHeight="1">
      <c r="A2274" s="58">
        <v>2273</v>
      </c>
      <c r="B2274" s="61" t="s">
        <v>52</v>
      </c>
      <c r="C2274" s="61" t="s">
        <v>10</v>
      </c>
      <c r="D2274" s="292" t="s">
        <v>4089</v>
      </c>
      <c r="E2274" s="301">
        <v>90</v>
      </c>
      <c r="F2274" s="301">
        <v>511</v>
      </c>
      <c r="G2274" s="168" t="s">
        <v>3535</v>
      </c>
      <c r="H2274" s="168" t="s">
        <v>3535</v>
      </c>
      <c r="I2274" s="168" t="s">
        <v>3535</v>
      </c>
      <c r="J2274" s="168" t="s">
        <v>3535</v>
      </c>
      <c r="K2274" s="168" t="s">
        <v>3535</v>
      </c>
      <c r="L2274" s="168" t="s">
        <v>3535</v>
      </c>
      <c r="M2274" s="168">
        <f t="shared" si="445"/>
        <v>2.25</v>
      </c>
      <c r="N2274" s="241" t="s">
        <v>453</v>
      </c>
    </row>
    <row r="2275" spans="1:14" ht="15" customHeight="1">
      <c r="A2275" s="58">
        <v>2274</v>
      </c>
      <c r="B2275" s="61" t="s">
        <v>52</v>
      </c>
      <c r="C2275" s="61" t="s">
        <v>10</v>
      </c>
      <c r="D2275" s="292" t="s">
        <v>4090</v>
      </c>
      <c r="E2275" s="301">
        <v>250</v>
      </c>
      <c r="F2275" s="301">
        <v>1866</v>
      </c>
      <c r="G2275" s="168">
        <f t="shared" si="388"/>
        <v>11.062857142857144</v>
      </c>
      <c r="H2275" s="168">
        <f t="shared" si="389"/>
        <v>22.125714285714288</v>
      </c>
      <c r="I2275" s="168">
        <f t="shared" si="390"/>
        <v>16.594285714285714</v>
      </c>
      <c r="J2275" s="168">
        <f t="shared" si="391"/>
        <v>27.657142857142858</v>
      </c>
      <c r="K2275" s="168">
        <f t="shared" si="392"/>
        <v>27.657142857142858</v>
      </c>
      <c r="L2275" s="168">
        <f t="shared" si="393"/>
        <v>1.4664999999999999</v>
      </c>
      <c r="M2275" s="168">
        <f t="shared" si="394"/>
        <v>4.166666666666667</v>
      </c>
      <c r="N2275" s="241" t="s">
        <v>453</v>
      </c>
    </row>
    <row r="2276" spans="1:14" ht="15" customHeight="1">
      <c r="A2276" s="58">
        <v>2275</v>
      </c>
      <c r="B2276" s="61" t="s">
        <v>51</v>
      </c>
      <c r="C2276" s="61" t="s">
        <v>10</v>
      </c>
      <c r="D2276" s="292" t="s">
        <v>4091</v>
      </c>
      <c r="E2276" s="301">
        <v>0</v>
      </c>
      <c r="F2276" s="301">
        <v>800</v>
      </c>
      <c r="G2276" s="168">
        <f t="shared" si="388"/>
        <v>4.9714285714285715</v>
      </c>
      <c r="H2276" s="168">
        <f t="shared" si="389"/>
        <v>9.9428571428571431</v>
      </c>
      <c r="I2276" s="168">
        <f t="shared" si="390"/>
        <v>7.4571428571428573</v>
      </c>
      <c r="J2276" s="168">
        <f t="shared" si="391"/>
        <v>12.428571428571429</v>
      </c>
      <c r="K2276" s="168">
        <f t="shared" si="392"/>
        <v>12.428571428571429</v>
      </c>
      <c r="L2276" s="168">
        <f t="shared" si="393"/>
        <v>1.2</v>
      </c>
      <c r="M2276" s="168">
        <f t="shared" si="394"/>
        <v>0</v>
      </c>
      <c r="N2276" s="241" t="s">
        <v>453</v>
      </c>
    </row>
    <row r="2277" spans="1:14" ht="15" customHeight="1">
      <c r="A2277" s="58">
        <v>2276</v>
      </c>
      <c r="B2277" s="61" t="s">
        <v>52</v>
      </c>
      <c r="C2277" s="61" t="s">
        <v>10</v>
      </c>
      <c r="D2277" s="292" t="s">
        <v>4092</v>
      </c>
      <c r="E2277" s="301">
        <v>0</v>
      </c>
      <c r="F2277" s="301">
        <v>600</v>
      </c>
      <c r="G2277" s="168">
        <f t="shared" si="388"/>
        <v>3.8285714285714287</v>
      </c>
      <c r="H2277" s="168">
        <f t="shared" si="389"/>
        <v>7.6571428571428575</v>
      </c>
      <c r="I2277" s="168">
        <f t="shared" si="390"/>
        <v>5.7428571428571429</v>
      </c>
      <c r="J2277" s="168">
        <f t="shared" si="391"/>
        <v>9.5714285714285712</v>
      </c>
      <c r="K2277" s="168">
        <f t="shared" si="392"/>
        <v>9.5714285714285712</v>
      </c>
      <c r="L2277" s="168">
        <f t="shared" si="393"/>
        <v>1.1499999999999999</v>
      </c>
      <c r="M2277" s="168">
        <f t="shared" si="394"/>
        <v>0</v>
      </c>
      <c r="N2277" s="241" t="s">
        <v>453</v>
      </c>
    </row>
    <row r="2278" spans="1:14" ht="15" customHeight="1">
      <c r="A2278" s="58">
        <v>2277</v>
      </c>
      <c r="B2278" s="61" t="s">
        <v>52</v>
      </c>
      <c r="C2278" s="61" t="s">
        <v>10</v>
      </c>
      <c r="D2278" s="292" t="s">
        <v>4093</v>
      </c>
      <c r="E2278" s="301">
        <v>250</v>
      </c>
      <c r="F2278" s="301">
        <v>0</v>
      </c>
      <c r="G2278" s="168" t="s">
        <v>3535</v>
      </c>
      <c r="H2278" s="168" t="s">
        <v>3535</v>
      </c>
      <c r="I2278" s="168" t="s">
        <v>3535</v>
      </c>
      <c r="J2278" s="168" t="s">
        <v>3535</v>
      </c>
      <c r="K2278" s="168" t="s">
        <v>3535</v>
      </c>
      <c r="L2278" s="168" t="s">
        <v>3535</v>
      </c>
      <c r="M2278" s="168">
        <f t="shared" ref="M2278" si="446">E2278/40</f>
        <v>6.25</v>
      </c>
      <c r="N2278" s="241" t="s">
        <v>453</v>
      </c>
    </row>
    <row r="2279" spans="1:14" ht="15" customHeight="1">
      <c r="A2279" s="58">
        <v>2278</v>
      </c>
      <c r="B2279" s="61" t="s">
        <v>55</v>
      </c>
      <c r="C2279" s="61" t="s">
        <v>10</v>
      </c>
      <c r="D2279" s="292" t="s">
        <v>4094</v>
      </c>
      <c r="E2279" s="301">
        <v>0</v>
      </c>
      <c r="F2279" s="301">
        <v>250</v>
      </c>
      <c r="G2279" s="168">
        <f t="shared" ref="G2279" si="447">(((F2279/70)+1)*0.4)</f>
        <v>1.8285714285714285</v>
      </c>
      <c r="H2279" s="168">
        <f t="shared" ref="H2279" si="448">G2279*2</f>
        <v>3.657142857142857</v>
      </c>
      <c r="I2279" s="168">
        <f t="shared" ref="I2279" si="449">(((F2279/70)+1)*0.6)</f>
        <v>2.7428571428571424</v>
      </c>
      <c r="J2279" s="168">
        <f t="shared" ref="J2279" si="450">I2279+G2279</f>
        <v>4.5714285714285712</v>
      </c>
      <c r="K2279" s="168">
        <f t="shared" ref="K2279" si="451">J2279</f>
        <v>4.5714285714285712</v>
      </c>
      <c r="L2279" s="168">
        <f t="shared" ref="L2279" si="452">(F2279/4000)+1</f>
        <v>1.0625</v>
      </c>
      <c r="M2279" s="168">
        <f t="shared" ref="M2279" si="453">E2279/60</f>
        <v>0</v>
      </c>
      <c r="N2279" s="241" t="s">
        <v>453</v>
      </c>
    </row>
    <row r="2280" spans="1:14" ht="15" customHeight="1">
      <c r="A2280" s="58">
        <v>2279</v>
      </c>
      <c r="B2280" s="61" t="s">
        <v>53</v>
      </c>
      <c r="C2280" s="61" t="s">
        <v>10</v>
      </c>
      <c r="D2280" s="292" t="s">
        <v>4095</v>
      </c>
      <c r="E2280" s="301">
        <v>375</v>
      </c>
      <c r="F2280" s="301">
        <v>0</v>
      </c>
      <c r="G2280" s="168">
        <f t="shared" ref="G2280:G2308" si="454">(((F2280/70)+1)*0.4)</f>
        <v>0.4</v>
      </c>
      <c r="H2280" s="168">
        <f t="shared" ref="H2280:H2308" si="455">G2280*2</f>
        <v>0.8</v>
      </c>
      <c r="I2280" s="168">
        <f t="shared" ref="I2280:I2308" si="456">(((F2280/70)+1)*0.6)</f>
        <v>0.6</v>
      </c>
      <c r="J2280" s="168">
        <f t="shared" ref="J2280:J2308" si="457">I2280+G2280</f>
        <v>1</v>
      </c>
      <c r="K2280" s="168">
        <f t="shared" ref="K2280:K2308" si="458">J2280</f>
        <v>1</v>
      </c>
      <c r="L2280" s="168">
        <f t="shared" ref="L2280:L2308" si="459">(F2280/4000)+1</f>
        <v>1</v>
      </c>
      <c r="M2280" s="168">
        <f t="shared" ref="M2280:M2308" si="460">E2280/60</f>
        <v>6.25</v>
      </c>
      <c r="N2280" s="241" t="s">
        <v>453</v>
      </c>
    </row>
    <row r="2281" spans="1:14" ht="15" customHeight="1">
      <c r="A2281" s="58">
        <v>2280</v>
      </c>
      <c r="B2281" s="61" t="s">
        <v>52</v>
      </c>
      <c r="C2281" s="61" t="s">
        <v>10</v>
      </c>
      <c r="D2281" s="292" t="s">
        <v>4096</v>
      </c>
      <c r="E2281" s="301">
        <v>0</v>
      </c>
      <c r="F2281" s="301">
        <v>885</v>
      </c>
      <c r="G2281" s="168" t="s">
        <v>3535</v>
      </c>
      <c r="H2281" s="168" t="s">
        <v>3535</v>
      </c>
      <c r="I2281" s="168" t="s">
        <v>3535</v>
      </c>
      <c r="J2281" s="168" t="s">
        <v>3535</v>
      </c>
      <c r="K2281" s="168" t="s">
        <v>3535</v>
      </c>
      <c r="L2281" s="168" t="s">
        <v>3535</v>
      </c>
      <c r="M2281" s="168">
        <f t="shared" ref="M2281:M2282" si="461">E2281/40</f>
        <v>0</v>
      </c>
      <c r="N2281" s="241" t="s">
        <v>453</v>
      </c>
    </row>
    <row r="2282" spans="1:14" ht="15" customHeight="1">
      <c r="A2282" s="58">
        <v>2281</v>
      </c>
      <c r="B2282" s="61" t="s">
        <v>52</v>
      </c>
      <c r="C2282" s="61" t="s">
        <v>10</v>
      </c>
      <c r="D2282" s="292" t="s">
        <v>4097</v>
      </c>
      <c r="E2282" s="301">
        <v>0</v>
      </c>
      <c r="F2282" s="301">
        <v>605</v>
      </c>
      <c r="G2282" s="168" t="s">
        <v>3535</v>
      </c>
      <c r="H2282" s="168" t="s">
        <v>3535</v>
      </c>
      <c r="I2282" s="168" t="s">
        <v>3535</v>
      </c>
      <c r="J2282" s="168" t="s">
        <v>3535</v>
      </c>
      <c r="K2282" s="168" t="s">
        <v>3535</v>
      </c>
      <c r="L2282" s="168" t="s">
        <v>3535</v>
      </c>
      <c r="M2282" s="168">
        <f t="shared" si="461"/>
        <v>0</v>
      </c>
      <c r="N2282" s="241" t="s">
        <v>453</v>
      </c>
    </row>
    <row r="2283" spans="1:14" ht="15" customHeight="1">
      <c r="A2283" s="58">
        <v>2282</v>
      </c>
      <c r="B2283" s="61" t="s">
        <v>52</v>
      </c>
      <c r="C2283" s="61" t="s">
        <v>10</v>
      </c>
      <c r="D2283" s="292" t="s">
        <v>4098</v>
      </c>
      <c r="E2283" s="301">
        <v>559</v>
      </c>
      <c r="F2283" s="301">
        <v>0</v>
      </c>
      <c r="G2283" s="168">
        <f t="shared" si="454"/>
        <v>0.4</v>
      </c>
      <c r="H2283" s="168">
        <f t="shared" si="455"/>
        <v>0.8</v>
      </c>
      <c r="I2283" s="168">
        <f t="shared" si="456"/>
        <v>0.6</v>
      </c>
      <c r="J2283" s="168">
        <f t="shared" si="457"/>
        <v>1</v>
      </c>
      <c r="K2283" s="168">
        <f t="shared" si="458"/>
        <v>1</v>
      </c>
      <c r="L2283" s="168">
        <f t="shared" si="459"/>
        <v>1</v>
      </c>
      <c r="M2283" s="168">
        <f t="shared" si="460"/>
        <v>9.3166666666666664</v>
      </c>
      <c r="N2283" s="241" t="s">
        <v>453</v>
      </c>
    </row>
    <row r="2284" spans="1:14" ht="15" customHeight="1">
      <c r="A2284" s="58">
        <v>2283</v>
      </c>
      <c r="B2284" s="61" t="s">
        <v>52</v>
      </c>
      <c r="C2284" s="61" t="s">
        <v>10</v>
      </c>
      <c r="D2284" s="292" t="s">
        <v>4099</v>
      </c>
      <c r="E2284" s="301">
        <v>200</v>
      </c>
      <c r="F2284" s="301">
        <v>0</v>
      </c>
      <c r="G2284" s="168">
        <f t="shared" si="454"/>
        <v>0.4</v>
      </c>
      <c r="H2284" s="168">
        <f t="shared" si="455"/>
        <v>0.8</v>
      </c>
      <c r="I2284" s="168">
        <f t="shared" si="456"/>
        <v>0.6</v>
      </c>
      <c r="J2284" s="168">
        <f t="shared" si="457"/>
        <v>1</v>
      </c>
      <c r="K2284" s="168">
        <f t="shared" si="458"/>
        <v>1</v>
      </c>
      <c r="L2284" s="168">
        <f t="shared" si="459"/>
        <v>1</v>
      </c>
      <c r="M2284" s="168">
        <f t="shared" si="460"/>
        <v>3.3333333333333335</v>
      </c>
      <c r="N2284" s="241" t="s">
        <v>453</v>
      </c>
    </row>
    <row r="2285" spans="1:14" ht="15" customHeight="1">
      <c r="A2285" s="58">
        <v>2284</v>
      </c>
      <c r="B2285" s="61" t="s">
        <v>52</v>
      </c>
      <c r="C2285" s="61" t="s">
        <v>10</v>
      </c>
      <c r="D2285" s="292" t="s">
        <v>4100</v>
      </c>
      <c r="E2285" s="301">
        <v>0</v>
      </c>
      <c r="F2285" s="301">
        <v>1225</v>
      </c>
      <c r="G2285" s="168">
        <f t="shared" si="454"/>
        <v>7.4</v>
      </c>
      <c r="H2285" s="168">
        <f t="shared" si="455"/>
        <v>14.8</v>
      </c>
      <c r="I2285" s="168">
        <f t="shared" si="456"/>
        <v>11.1</v>
      </c>
      <c r="J2285" s="168">
        <f t="shared" si="457"/>
        <v>18.5</v>
      </c>
      <c r="K2285" s="168">
        <f t="shared" si="458"/>
        <v>18.5</v>
      </c>
      <c r="L2285" s="168">
        <f t="shared" si="459"/>
        <v>1.3062499999999999</v>
      </c>
      <c r="M2285" s="168">
        <f t="shared" si="460"/>
        <v>0</v>
      </c>
      <c r="N2285" s="241" t="s">
        <v>453</v>
      </c>
    </row>
    <row r="2286" spans="1:14" ht="15" customHeight="1">
      <c r="A2286" s="58">
        <v>2285</v>
      </c>
      <c r="B2286" s="61" t="s">
        <v>52</v>
      </c>
      <c r="C2286" s="61" t="s">
        <v>10</v>
      </c>
      <c r="D2286" s="292" t="s">
        <v>4101</v>
      </c>
      <c r="E2286" s="301">
        <v>119</v>
      </c>
      <c r="F2286" s="301">
        <v>0</v>
      </c>
      <c r="G2286" s="168">
        <f t="shared" si="454"/>
        <v>0.4</v>
      </c>
      <c r="H2286" s="168">
        <f t="shared" si="455"/>
        <v>0.8</v>
      </c>
      <c r="I2286" s="168">
        <f t="shared" si="456"/>
        <v>0.6</v>
      </c>
      <c r="J2286" s="168">
        <f t="shared" si="457"/>
        <v>1</v>
      </c>
      <c r="K2286" s="168">
        <f t="shared" si="458"/>
        <v>1</v>
      </c>
      <c r="L2286" s="168">
        <f t="shared" si="459"/>
        <v>1</v>
      </c>
      <c r="M2286" s="168">
        <f t="shared" si="460"/>
        <v>1.9833333333333334</v>
      </c>
      <c r="N2286" s="241" t="s">
        <v>453</v>
      </c>
    </row>
    <row r="2287" spans="1:14" ht="15" customHeight="1">
      <c r="A2287" s="58">
        <v>2286</v>
      </c>
      <c r="B2287" s="61" t="s">
        <v>52</v>
      </c>
      <c r="C2287" s="61" t="s">
        <v>10</v>
      </c>
      <c r="D2287" s="292" t="s">
        <v>4102</v>
      </c>
      <c r="E2287" s="301">
        <v>157</v>
      </c>
      <c r="F2287" s="301">
        <v>0</v>
      </c>
      <c r="G2287" s="168">
        <f t="shared" si="454"/>
        <v>0.4</v>
      </c>
      <c r="H2287" s="168">
        <f t="shared" si="455"/>
        <v>0.8</v>
      </c>
      <c r="I2287" s="168">
        <f t="shared" si="456"/>
        <v>0.6</v>
      </c>
      <c r="J2287" s="168">
        <f t="shared" si="457"/>
        <v>1</v>
      </c>
      <c r="K2287" s="168">
        <f t="shared" si="458"/>
        <v>1</v>
      </c>
      <c r="L2287" s="168">
        <f t="shared" si="459"/>
        <v>1</v>
      </c>
      <c r="M2287" s="168">
        <f t="shared" si="460"/>
        <v>2.6166666666666667</v>
      </c>
      <c r="N2287" s="241" t="s">
        <v>453</v>
      </c>
    </row>
    <row r="2288" spans="1:14" ht="15" customHeight="1">
      <c r="A2288" s="58">
        <v>2287</v>
      </c>
      <c r="B2288" s="61" t="s">
        <v>52</v>
      </c>
      <c r="C2288" s="61" t="s">
        <v>10</v>
      </c>
      <c r="D2288" s="292" t="s">
        <v>4103</v>
      </c>
      <c r="E2288" s="301">
        <v>69</v>
      </c>
      <c r="F2288" s="301">
        <v>0</v>
      </c>
      <c r="G2288" s="168">
        <f>(((F2288/70)+1)*0.4)</f>
        <v>0.4</v>
      </c>
      <c r="H2288" s="168">
        <f t="shared" si="455"/>
        <v>0.8</v>
      </c>
      <c r="I2288" s="168">
        <f t="shared" si="456"/>
        <v>0.6</v>
      </c>
      <c r="J2288" s="168">
        <f t="shared" si="457"/>
        <v>1</v>
      </c>
      <c r="K2288" s="168">
        <f t="shared" si="458"/>
        <v>1</v>
      </c>
      <c r="L2288" s="168">
        <f t="shared" si="459"/>
        <v>1</v>
      </c>
      <c r="M2288" s="168">
        <f t="shared" si="460"/>
        <v>1.1499999999999999</v>
      </c>
      <c r="N2288" s="241" t="s">
        <v>453</v>
      </c>
    </row>
    <row r="2289" spans="1:14" ht="15" customHeight="1">
      <c r="A2289" s="58">
        <v>2288</v>
      </c>
      <c r="B2289" s="61" t="s">
        <v>52</v>
      </c>
      <c r="C2289" s="61" t="s">
        <v>10</v>
      </c>
      <c r="D2289" s="292" t="s">
        <v>4104</v>
      </c>
      <c r="E2289" s="301">
        <v>280</v>
      </c>
      <c r="F2289" s="301">
        <v>0</v>
      </c>
      <c r="G2289" s="168">
        <f t="shared" ref="G2289:G2291" si="462">(((F2289/70)+1)*0.4)</f>
        <v>0.4</v>
      </c>
      <c r="H2289" s="168">
        <f t="shared" ref="H2289:H2291" si="463">G2289*2</f>
        <v>0.8</v>
      </c>
      <c r="I2289" s="168">
        <f t="shared" ref="I2289:I2291" si="464">(((F2289/70)+1)*0.6)</f>
        <v>0.6</v>
      </c>
      <c r="J2289" s="168">
        <f t="shared" ref="J2289:J2291" si="465">I2289+G2289</f>
        <v>1</v>
      </c>
      <c r="K2289" s="168">
        <f t="shared" ref="K2289:K2291" si="466">J2289</f>
        <v>1</v>
      </c>
      <c r="L2289" s="168">
        <f t="shared" ref="L2289:L2291" si="467">(F2289/4000)+1</f>
        <v>1</v>
      </c>
      <c r="M2289" s="168">
        <f t="shared" ref="M2289:M2291" si="468">E2289/60</f>
        <v>4.666666666666667</v>
      </c>
      <c r="N2289" s="241" t="s">
        <v>453</v>
      </c>
    </row>
    <row r="2290" spans="1:14" ht="15" customHeight="1">
      <c r="A2290" s="58">
        <v>2289</v>
      </c>
      <c r="B2290" s="61" t="s">
        <v>52</v>
      </c>
      <c r="C2290" s="61" t="s">
        <v>10</v>
      </c>
      <c r="D2290" s="292" t="s">
        <v>4105</v>
      </c>
      <c r="E2290" s="301">
        <v>540</v>
      </c>
      <c r="F2290" s="301">
        <v>45</v>
      </c>
      <c r="G2290" s="168">
        <f t="shared" si="462"/>
        <v>0.65714285714285714</v>
      </c>
      <c r="H2290" s="168">
        <f t="shared" si="463"/>
        <v>1.3142857142857143</v>
      </c>
      <c r="I2290" s="168">
        <f t="shared" si="464"/>
        <v>0.98571428571428565</v>
      </c>
      <c r="J2290" s="168">
        <f t="shared" si="465"/>
        <v>1.6428571428571428</v>
      </c>
      <c r="K2290" s="168">
        <f t="shared" si="466"/>
        <v>1.6428571428571428</v>
      </c>
      <c r="L2290" s="168">
        <f t="shared" si="467"/>
        <v>1.01125</v>
      </c>
      <c r="M2290" s="168">
        <f t="shared" si="468"/>
        <v>9</v>
      </c>
      <c r="N2290" s="241" t="s">
        <v>453</v>
      </c>
    </row>
    <row r="2291" spans="1:14" ht="15" customHeight="1">
      <c r="A2291" s="58">
        <v>2290</v>
      </c>
      <c r="B2291" s="61" t="s">
        <v>52</v>
      </c>
      <c r="C2291" s="61" t="s">
        <v>10</v>
      </c>
      <c r="D2291" s="292" t="s">
        <v>4106</v>
      </c>
      <c r="E2291" s="301">
        <v>292</v>
      </c>
      <c r="F2291" s="301">
        <v>0</v>
      </c>
      <c r="G2291" s="168">
        <f t="shared" si="462"/>
        <v>0.4</v>
      </c>
      <c r="H2291" s="168">
        <f t="shared" si="463"/>
        <v>0.8</v>
      </c>
      <c r="I2291" s="168">
        <f t="shared" si="464"/>
        <v>0.6</v>
      </c>
      <c r="J2291" s="168">
        <f t="shared" si="465"/>
        <v>1</v>
      </c>
      <c r="K2291" s="168">
        <f t="shared" si="466"/>
        <v>1</v>
      </c>
      <c r="L2291" s="168">
        <f t="shared" si="467"/>
        <v>1</v>
      </c>
      <c r="M2291" s="168">
        <f t="shared" si="468"/>
        <v>4.8666666666666663</v>
      </c>
      <c r="N2291" s="241" t="s">
        <v>453</v>
      </c>
    </row>
    <row r="2292" spans="1:14" ht="15" customHeight="1">
      <c r="A2292" s="58">
        <v>2291</v>
      </c>
      <c r="B2292" s="61" t="s">
        <v>53</v>
      </c>
      <c r="C2292" s="61" t="s">
        <v>10</v>
      </c>
      <c r="D2292" s="292" t="s">
        <v>4107</v>
      </c>
      <c r="E2292" s="301">
        <v>0</v>
      </c>
      <c r="F2292" s="301">
        <v>1700</v>
      </c>
      <c r="G2292" s="168">
        <f t="shared" si="454"/>
        <v>10.114285714285714</v>
      </c>
      <c r="H2292" s="168">
        <f t="shared" si="455"/>
        <v>20.228571428571428</v>
      </c>
      <c r="I2292" s="168">
        <f t="shared" si="456"/>
        <v>15.171428571428571</v>
      </c>
      <c r="J2292" s="168">
        <f t="shared" si="457"/>
        <v>25.285714285714285</v>
      </c>
      <c r="K2292" s="168">
        <f t="shared" si="458"/>
        <v>25.285714285714285</v>
      </c>
      <c r="L2292" s="168">
        <f t="shared" si="459"/>
        <v>1.425</v>
      </c>
      <c r="M2292" s="168">
        <f t="shared" si="460"/>
        <v>0</v>
      </c>
      <c r="N2292" s="241" t="s">
        <v>453</v>
      </c>
    </row>
    <row r="2293" spans="1:14" ht="15" customHeight="1">
      <c r="A2293" s="58">
        <v>2292</v>
      </c>
      <c r="B2293" s="61" t="s">
        <v>52</v>
      </c>
      <c r="C2293" s="61" t="s">
        <v>10</v>
      </c>
      <c r="D2293" s="292" t="s">
        <v>4108</v>
      </c>
      <c r="E2293" s="301">
        <v>211</v>
      </c>
      <c r="F2293" s="301">
        <v>0</v>
      </c>
      <c r="G2293" s="168">
        <f t="shared" si="454"/>
        <v>0.4</v>
      </c>
      <c r="H2293" s="168">
        <f t="shared" ref="H2293:H2295" si="469">G2293*2</f>
        <v>0.8</v>
      </c>
      <c r="I2293" s="168">
        <f t="shared" ref="I2293:I2295" si="470">(((F2293/70)+1)*0.6)</f>
        <v>0.6</v>
      </c>
      <c r="J2293" s="168">
        <f t="shared" ref="J2293:J2295" si="471">I2293+G2293</f>
        <v>1</v>
      </c>
      <c r="K2293" s="168">
        <f t="shared" ref="K2293:K2295" si="472">J2293</f>
        <v>1</v>
      </c>
      <c r="L2293" s="168">
        <f t="shared" ref="L2293:L2295" si="473">(F2293/4000)+1</f>
        <v>1</v>
      </c>
      <c r="M2293" s="168">
        <f t="shared" ref="M2293:M2295" si="474">E2293/60</f>
        <v>3.5166666666666666</v>
      </c>
      <c r="N2293" s="241" t="s">
        <v>453</v>
      </c>
    </row>
    <row r="2294" spans="1:14" ht="15" customHeight="1">
      <c r="A2294" s="58">
        <v>2293</v>
      </c>
      <c r="B2294" s="61" t="s">
        <v>52</v>
      </c>
      <c r="C2294" s="61" t="s">
        <v>10</v>
      </c>
      <c r="D2294" s="292" t="s">
        <v>4109</v>
      </c>
      <c r="E2294" s="301">
        <v>355</v>
      </c>
      <c r="F2294" s="301">
        <v>0</v>
      </c>
      <c r="G2294" s="168">
        <f t="shared" si="454"/>
        <v>0.4</v>
      </c>
      <c r="H2294" s="168">
        <f t="shared" si="469"/>
        <v>0.8</v>
      </c>
      <c r="I2294" s="168">
        <f t="shared" si="470"/>
        <v>0.6</v>
      </c>
      <c r="J2294" s="168">
        <f t="shared" si="471"/>
        <v>1</v>
      </c>
      <c r="K2294" s="168">
        <f t="shared" si="472"/>
        <v>1</v>
      </c>
      <c r="L2294" s="168">
        <f t="shared" si="473"/>
        <v>1</v>
      </c>
      <c r="M2294" s="168">
        <f t="shared" si="474"/>
        <v>5.916666666666667</v>
      </c>
      <c r="N2294" s="241" t="s">
        <v>453</v>
      </c>
    </row>
    <row r="2295" spans="1:14" ht="15" customHeight="1">
      <c r="A2295" s="58">
        <v>2294</v>
      </c>
      <c r="B2295" s="61" t="s">
        <v>49</v>
      </c>
      <c r="C2295" s="61" t="s">
        <v>10</v>
      </c>
      <c r="D2295" s="292" t="s">
        <v>4110</v>
      </c>
      <c r="E2295" s="301">
        <v>290</v>
      </c>
      <c r="F2295" s="301">
        <v>0</v>
      </c>
      <c r="G2295" s="168">
        <f t="shared" si="454"/>
        <v>0.4</v>
      </c>
      <c r="H2295" s="168">
        <f t="shared" si="469"/>
        <v>0.8</v>
      </c>
      <c r="I2295" s="168">
        <f t="shared" si="470"/>
        <v>0.6</v>
      </c>
      <c r="J2295" s="168">
        <f t="shared" si="471"/>
        <v>1</v>
      </c>
      <c r="K2295" s="168">
        <f t="shared" si="472"/>
        <v>1</v>
      </c>
      <c r="L2295" s="168">
        <f t="shared" si="473"/>
        <v>1</v>
      </c>
      <c r="M2295" s="168">
        <f t="shared" si="474"/>
        <v>4.833333333333333</v>
      </c>
      <c r="N2295" s="241" t="s">
        <v>453</v>
      </c>
    </row>
    <row r="2296" spans="1:14" ht="15" customHeight="1">
      <c r="A2296" s="58">
        <v>2295</v>
      </c>
      <c r="B2296" s="61" t="s">
        <v>52</v>
      </c>
      <c r="C2296" s="61" t="s">
        <v>10</v>
      </c>
      <c r="D2296" s="292" t="s">
        <v>4111</v>
      </c>
      <c r="E2296" s="301">
        <v>0</v>
      </c>
      <c r="F2296" s="301">
        <v>636</v>
      </c>
      <c r="G2296" s="168">
        <f t="shared" si="454"/>
        <v>4.0342857142857147</v>
      </c>
      <c r="H2296" s="168">
        <f t="shared" si="455"/>
        <v>8.0685714285714294</v>
      </c>
      <c r="I2296" s="168">
        <f t="shared" si="456"/>
        <v>6.0514285714285707</v>
      </c>
      <c r="J2296" s="168">
        <f t="shared" si="457"/>
        <v>10.085714285714285</v>
      </c>
      <c r="K2296" s="168">
        <f t="shared" si="458"/>
        <v>10.085714285714285</v>
      </c>
      <c r="L2296" s="168">
        <f t="shared" si="459"/>
        <v>1.159</v>
      </c>
      <c r="M2296" s="168">
        <f t="shared" si="460"/>
        <v>0</v>
      </c>
      <c r="N2296" s="241" t="s">
        <v>453</v>
      </c>
    </row>
    <row r="2297" spans="1:14" ht="15" customHeight="1">
      <c r="A2297" s="58">
        <v>2296</v>
      </c>
      <c r="B2297" s="61" t="s">
        <v>61</v>
      </c>
      <c r="C2297" s="61" t="s">
        <v>11</v>
      </c>
      <c r="D2297" s="292" t="s">
        <v>4112</v>
      </c>
      <c r="E2297" s="301">
        <v>0</v>
      </c>
      <c r="F2297" s="301">
        <v>463</v>
      </c>
      <c r="G2297" s="168">
        <f t="shared" si="454"/>
        <v>3.0457142857142858</v>
      </c>
      <c r="H2297" s="168">
        <f t="shared" si="455"/>
        <v>6.0914285714285716</v>
      </c>
      <c r="I2297" s="168">
        <f t="shared" si="456"/>
        <v>4.5685714285714285</v>
      </c>
      <c r="J2297" s="168">
        <f t="shared" si="457"/>
        <v>7.6142857142857139</v>
      </c>
      <c r="K2297" s="168">
        <f t="shared" si="458"/>
        <v>7.6142857142857139</v>
      </c>
      <c r="L2297" s="168">
        <f t="shared" si="459"/>
        <v>1.11575</v>
      </c>
      <c r="M2297" s="168">
        <f t="shared" si="460"/>
        <v>0</v>
      </c>
      <c r="N2297" s="241" t="s">
        <v>453</v>
      </c>
    </row>
    <row r="2298" spans="1:14" ht="15" customHeight="1">
      <c r="A2298" s="58">
        <v>2297</v>
      </c>
      <c r="B2298" s="61" t="s">
        <v>4238</v>
      </c>
      <c r="C2298" s="61" t="s">
        <v>11</v>
      </c>
      <c r="D2298" s="292" t="s">
        <v>4113</v>
      </c>
      <c r="E2298" s="301">
        <v>0</v>
      </c>
      <c r="F2298" s="301">
        <v>1500</v>
      </c>
      <c r="G2298" s="168" t="s">
        <v>3535</v>
      </c>
      <c r="H2298" s="168" t="s">
        <v>3535</v>
      </c>
      <c r="I2298" s="168" t="s">
        <v>3535</v>
      </c>
      <c r="J2298" s="168" t="s">
        <v>3535</v>
      </c>
      <c r="K2298" s="168" t="s">
        <v>3535</v>
      </c>
      <c r="L2298" s="168" t="s">
        <v>3535</v>
      </c>
      <c r="M2298" s="168">
        <f>E2298/40</f>
        <v>0</v>
      </c>
      <c r="N2298" s="241" t="s">
        <v>453</v>
      </c>
    </row>
    <row r="2299" spans="1:14" ht="15" customHeight="1">
      <c r="A2299" s="58">
        <v>2298</v>
      </c>
      <c r="B2299" s="61" t="s">
        <v>52</v>
      </c>
      <c r="C2299" s="61" t="s">
        <v>10</v>
      </c>
      <c r="D2299" s="292" t="s">
        <v>4114</v>
      </c>
      <c r="E2299" s="301">
        <v>0</v>
      </c>
      <c r="F2299" s="301">
        <v>605</v>
      </c>
      <c r="G2299" s="168">
        <f t="shared" si="454"/>
        <v>3.8571428571428572</v>
      </c>
      <c r="H2299" s="168">
        <f t="shared" si="455"/>
        <v>7.7142857142857144</v>
      </c>
      <c r="I2299" s="168">
        <f t="shared" si="456"/>
        <v>5.7857142857142856</v>
      </c>
      <c r="J2299" s="168">
        <f t="shared" si="457"/>
        <v>9.6428571428571423</v>
      </c>
      <c r="K2299" s="168">
        <f t="shared" si="458"/>
        <v>9.6428571428571423</v>
      </c>
      <c r="L2299" s="168">
        <f t="shared" si="459"/>
        <v>1.1512500000000001</v>
      </c>
      <c r="M2299" s="168">
        <f t="shared" si="460"/>
        <v>0</v>
      </c>
      <c r="N2299" s="241" t="s">
        <v>453</v>
      </c>
    </row>
    <row r="2300" spans="1:14" ht="15" customHeight="1">
      <c r="A2300" s="58">
        <v>2299</v>
      </c>
      <c r="B2300" s="61" t="s">
        <v>52</v>
      </c>
      <c r="C2300" s="61" t="s">
        <v>10</v>
      </c>
      <c r="D2300" s="292" t="s">
        <v>4115</v>
      </c>
      <c r="E2300" s="301">
        <v>0</v>
      </c>
      <c r="F2300" s="301">
        <v>0</v>
      </c>
      <c r="G2300" s="168" t="s">
        <v>3535</v>
      </c>
      <c r="H2300" s="168" t="s">
        <v>3535</v>
      </c>
      <c r="I2300" s="168" t="s">
        <v>3535</v>
      </c>
      <c r="J2300" s="168" t="s">
        <v>3535</v>
      </c>
      <c r="K2300" s="168" t="s">
        <v>3535</v>
      </c>
      <c r="L2300" s="168" t="s">
        <v>3535</v>
      </c>
      <c r="M2300" s="168">
        <f t="shared" ref="M2300:M2302" si="475">E2300/40</f>
        <v>0</v>
      </c>
      <c r="N2300" s="241" t="s">
        <v>453</v>
      </c>
    </row>
    <row r="2301" spans="1:14" ht="15" customHeight="1">
      <c r="A2301" s="58">
        <v>2300</v>
      </c>
      <c r="B2301" s="61" t="s">
        <v>52</v>
      </c>
      <c r="C2301" s="61" t="s">
        <v>10</v>
      </c>
      <c r="D2301" s="292" t="s">
        <v>4116</v>
      </c>
      <c r="E2301" s="301">
        <v>0</v>
      </c>
      <c r="F2301" s="301">
        <v>900</v>
      </c>
      <c r="G2301" s="168" t="s">
        <v>3535</v>
      </c>
      <c r="H2301" s="168" t="s">
        <v>3535</v>
      </c>
      <c r="I2301" s="168" t="s">
        <v>3535</v>
      </c>
      <c r="J2301" s="168" t="s">
        <v>3535</v>
      </c>
      <c r="K2301" s="168" t="s">
        <v>3535</v>
      </c>
      <c r="L2301" s="168" t="s">
        <v>3535</v>
      </c>
      <c r="M2301" s="168">
        <f t="shared" si="475"/>
        <v>0</v>
      </c>
      <c r="N2301" s="241" t="s">
        <v>453</v>
      </c>
    </row>
    <row r="2302" spans="1:14" ht="15" customHeight="1">
      <c r="A2302" s="58">
        <v>2301</v>
      </c>
      <c r="B2302" s="61" t="s">
        <v>52</v>
      </c>
      <c r="C2302" s="61" t="s">
        <v>10</v>
      </c>
      <c r="D2302" s="292" t="s">
        <v>4117</v>
      </c>
      <c r="E2302" s="301">
        <v>165</v>
      </c>
      <c r="F2302" s="301">
        <v>0</v>
      </c>
      <c r="G2302" s="168" t="s">
        <v>3535</v>
      </c>
      <c r="H2302" s="168" t="s">
        <v>3535</v>
      </c>
      <c r="I2302" s="168" t="s">
        <v>3535</v>
      </c>
      <c r="J2302" s="168" t="s">
        <v>3535</v>
      </c>
      <c r="K2302" s="168" t="s">
        <v>3535</v>
      </c>
      <c r="L2302" s="168" t="s">
        <v>3535</v>
      </c>
      <c r="M2302" s="168">
        <f t="shared" si="475"/>
        <v>4.125</v>
      </c>
      <c r="N2302" s="241" t="s">
        <v>453</v>
      </c>
    </row>
    <row r="2303" spans="1:14" ht="15" customHeight="1">
      <c r="A2303" s="58">
        <v>2302</v>
      </c>
      <c r="B2303" s="61" t="s">
        <v>52</v>
      </c>
      <c r="C2303" s="61" t="s">
        <v>10</v>
      </c>
      <c r="D2303" s="292" t="s">
        <v>4118</v>
      </c>
      <c r="E2303" s="301">
        <v>579</v>
      </c>
      <c r="F2303" s="301">
        <v>0</v>
      </c>
      <c r="G2303" s="168">
        <f t="shared" si="454"/>
        <v>0.4</v>
      </c>
      <c r="H2303" s="168">
        <f t="shared" si="455"/>
        <v>0.8</v>
      </c>
      <c r="I2303" s="168">
        <f t="shared" si="456"/>
        <v>0.6</v>
      </c>
      <c r="J2303" s="168">
        <f t="shared" si="457"/>
        <v>1</v>
      </c>
      <c r="K2303" s="168">
        <f t="shared" si="458"/>
        <v>1</v>
      </c>
      <c r="L2303" s="168">
        <f t="shared" si="459"/>
        <v>1</v>
      </c>
      <c r="M2303" s="168">
        <f t="shared" si="460"/>
        <v>9.65</v>
      </c>
      <c r="N2303" s="241" t="s">
        <v>453</v>
      </c>
    </row>
    <row r="2304" spans="1:14" ht="15" customHeight="1">
      <c r="A2304" s="58">
        <v>2303</v>
      </c>
      <c r="B2304" s="61" t="s">
        <v>52</v>
      </c>
      <c r="C2304" s="61" t="s">
        <v>10</v>
      </c>
      <c r="D2304" s="292" t="s">
        <v>4119</v>
      </c>
      <c r="E2304" s="301">
        <v>250</v>
      </c>
      <c r="F2304" s="301">
        <v>0</v>
      </c>
      <c r="G2304" s="168" t="s">
        <v>3535</v>
      </c>
      <c r="H2304" s="168" t="s">
        <v>3535</v>
      </c>
      <c r="I2304" s="168" t="s">
        <v>3535</v>
      </c>
      <c r="J2304" s="168" t="s">
        <v>3535</v>
      </c>
      <c r="K2304" s="168" t="s">
        <v>3535</v>
      </c>
      <c r="L2304" s="168" t="s">
        <v>3535</v>
      </c>
      <c r="M2304" s="168">
        <f t="shared" ref="M2304:M2305" si="476">E2304/40</f>
        <v>6.25</v>
      </c>
      <c r="N2304" s="241" t="s">
        <v>453</v>
      </c>
    </row>
    <row r="2305" spans="1:14" ht="15" customHeight="1">
      <c r="A2305" s="58">
        <v>2304</v>
      </c>
      <c r="B2305" s="61" t="s">
        <v>52</v>
      </c>
      <c r="C2305" s="61" t="s">
        <v>10</v>
      </c>
      <c r="D2305" s="292" t="s">
        <v>4120</v>
      </c>
      <c r="E2305" s="301">
        <v>150</v>
      </c>
      <c r="F2305" s="301">
        <v>0</v>
      </c>
      <c r="G2305" s="168" t="s">
        <v>3535</v>
      </c>
      <c r="H2305" s="168" t="s">
        <v>3535</v>
      </c>
      <c r="I2305" s="168" t="s">
        <v>3535</v>
      </c>
      <c r="J2305" s="168" t="s">
        <v>3535</v>
      </c>
      <c r="K2305" s="168" t="s">
        <v>3535</v>
      </c>
      <c r="L2305" s="168" t="s">
        <v>3535</v>
      </c>
      <c r="M2305" s="168">
        <f t="shared" si="476"/>
        <v>3.75</v>
      </c>
      <c r="N2305" s="241" t="s">
        <v>453</v>
      </c>
    </row>
    <row r="2306" spans="1:14" ht="15" customHeight="1">
      <c r="A2306" s="58">
        <v>2305</v>
      </c>
      <c r="B2306" s="61" t="s">
        <v>52</v>
      </c>
      <c r="C2306" s="61" t="s">
        <v>10</v>
      </c>
      <c r="D2306" s="292" t="s">
        <v>4121</v>
      </c>
      <c r="E2306" s="301">
        <v>590</v>
      </c>
      <c r="F2306" s="301">
        <v>0</v>
      </c>
      <c r="G2306" s="168">
        <f t="shared" si="454"/>
        <v>0.4</v>
      </c>
      <c r="H2306" s="168">
        <f t="shared" si="455"/>
        <v>0.8</v>
      </c>
      <c r="I2306" s="168">
        <f t="shared" si="456"/>
        <v>0.6</v>
      </c>
      <c r="J2306" s="168">
        <f t="shared" si="457"/>
        <v>1</v>
      </c>
      <c r="K2306" s="168">
        <f t="shared" si="458"/>
        <v>1</v>
      </c>
      <c r="L2306" s="168">
        <f t="shared" si="459"/>
        <v>1</v>
      </c>
      <c r="M2306" s="168">
        <f t="shared" si="460"/>
        <v>9.8333333333333339</v>
      </c>
      <c r="N2306" s="241" t="s">
        <v>453</v>
      </c>
    </row>
    <row r="2307" spans="1:14" ht="15" customHeight="1">
      <c r="A2307" s="58">
        <v>2306</v>
      </c>
      <c r="B2307" s="331" t="s">
        <v>61</v>
      </c>
      <c r="C2307" s="331" t="s">
        <v>11</v>
      </c>
      <c r="D2307" t="s">
        <v>4868</v>
      </c>
      <c r="E2307" s="301">
        <v>0</v>
      </c>
      <c r="F2307" s="301">
        <v>678</v>
      </c>
      <c r="G2307" s="168">
        <f t="shared" ref="G2307" si="477">(((F2307/70)+1)*0.4)</f>
        <v>4.274285714285714</v>
      </c>
      <c r="H2307" s="168">
        <f t="shared" ref="H2307" si="478">G2307*2</f>
        <v>8.548571428571428</v>
      </c>
      <c r="I2307" s="168">
        <f t="shared" ref="I2307" si="479">(((F2307/70)+1)*0.6)</f>
        <v>6.411428571428571</v>
      </c>
      <c r="J2307" s="168">
        <f t="shared" ref="J2307" si="480">I2307+G2307</f>
        <v>10.685714285714285</v>
      </c>
      <c r="K2307" s="168">
        <f t="shared" ref="K2307" si="481">J2307</f>
        <v>10.685714285714285</v>
      </c>
      <c r="L2307" s="168">
        <f t="shared" ref="L2307" si="482">(F2307/4000)+1</f>
        <v>1.1695</v>
      </c>
      <c r="M2307" s="168">
        <f t="shared" ref="M2307" si="483">E2307/60</f>
        <v>0</v>
      </c>
      <c r="N2307" s="241" t="s">
        <v>453</v>
      </c>
    </row>
    <row r="2308" spans="1:14" ht="15" customHeight="1">
      <c r="A2308" s="58">
        <v>2307</v>
      </c>
      <c r="B2308" s="61" t="s">
        <v>52</v>
      </c>
      <c r="C2308" s="61" t="s">
        <v>10</v>
      </c>
      <c r="D2308" s="292" t="s">
        <v>4123</v>
      </c>
      <c r="E2308" s="301">
        <v>161</v>
      </c>
      <c r="F2308" s="301">
        <v>0</v>
      </c>
      <c r="G2308" s="168">
        <f t="shared" si="454"/>
        <v>0.4</v>
      </c>
      <c r="H2308" s="168">
        <f t="shared" si="455"/>
        <v>0.8</v>
      </c>
      <c r="I2308" s="168">
        <f t="shared" si="456"/>
        <v>0.6</v>
      </c>
      <c r="J2308" s="168">
        <f t="shared" si="457"/>
        <v>1</v>
      </c>
      <c r="K2308" s="168">
        <f t="shared" si="458"/>
        <v>1</v>
      </c>
      <c r="L2308" s="168">
        <f t="shared" si="459"/>
        <v>1</v>
      </c>
      <c r="M2308" s="168">
        <f t="shared" si="460"/>
        <v>2.6833333333333331</v>
      </c>
      <c r="N2308" s="241" t="s">
        <v>453</v>
      </c>
    </row>
    <row r="2309" spans="1:14" ht="15" customHeight="1">
      <c r="A2309" s="58">
        <v>2308</v>
      </c>
      <c r="B2309" s="331" t="s">
        <v>52</v>
      </c>
      <c r="C2309" s="331" t="s">
        <v>10</v>
      </c>
      <c r="D2309" s="292" t="s">
        <v>4122</v>
      </c>
      <c r="E2309" s="301">
        <v>0</v>
      </c>
      <c r="F2309" s="301">
        <v>1500</v>
      </c>
      <c r="G2309" s="168">
        <f t="shared" ref="G2309" si="484">(((F2309/70)+1)*0.4)</f>
        <v>8.9714285714285715</v>
      </c>
      <c r="H2309" s="168">
        <f t="shared" ref="H2309" si="485">G2309*2</f>
        <v>17.942857142857143</v>
      </c>
      <c r="I2309" s="168">
        <f t="shared" ref="I2309" si="486">(((F2309/70)+1)*0.6)</f>
        <v>13.457142857142856</v>
      </c>
      <c r="J2309" s="168">
        <f t="shared" ref="J2309" si="487">I2309+G2309</f>
        <v>22.428571428571427</v>
      </c>
      <c r="K2309" s="168">
        <f t="shared" ref="K2309" si="488">J2309</f>
        <v>22.428571428571427</v>
      </c>
      <c r="L2309" s="168">
        <f t="shared" ref="L2309" si="489">(F2309/4000)+1</f>
        <v>1.375</v>
      </c>
      <c r="M2309" s="168">
        <f t="shared" ref="M2309" si="490">E2309/60</f>
        <v>0</v>
      </c>
      <c r="N2309" s="241" t="s">
        <v>453</v>
      </c>
    </row>
    <row r="2310" spans="1:14" ht="15" customHeight="1">
      <c r="A2310" s="58">
        <v>2309</v>
      </c>
      <c r="B2310" s="331" t="s">
        <v>51</v>
      </c>
      <c r="C2310" s="331" t="s">
        <v>10</v>
      </c>
      <c r="D2310" s="292" t="s">
        <v>4124</v>
      </c>
      <c r="E2310" s="301">
        <v>0</v>
      </c>
      <c r="F2310" s="301">
        <v>2500</v>
      </c>
      <c r="G2310" s="168">
        <f t="shared" ref="G2310" si="491">(((F2310/70)+1)*0.4)</f>
        <v>14.685714285714287</v>
      </c>
      <c r="H2310" s="168">
        <f t="shared" ref="H2310" si="492">G2310*2</f>
        <v>29.371428571428574</v>
      </c>
      <c r="I2310" s="168">
        <f t="shared" ref="I2310" si="493">(((F2310/70)+1)*0.6)</f>
        <v>22.028571428571428</v>
      </c>
      <c r="J2310" s="168">
        <f t="shared" ref="J2310" si="494">I2310+G2310</f>
        <v>36.714285714285715</v>
      </c>
      <c r="K2310" s="168">
        <f t="shared" ref="K2310" si="495">J2310</f>
        <v>36.714285714285715</v>
      </c>
      <c r="L2310" s="168">
        <f t="shared" ref="L2310" si="496">(F2310/4000)+1</f>
        <v>1.625</v>
      </c>
      <c r="M2310" s="168">
        <f t="shared" ref="M2310" si="497">E2310/60</f>
        <v>0</v>
      </c>
      <c r="N2310" s="241" t="s">
        <v>453</v>
      </c>
    </row>
    <row r="2311" spans="1:14" ht="15" customHeight="1">
      <c r="A2311" s="58">
        <v>2310</v>
      </c>
      <c r="B2311" s="331" t="s">
        <v>49</v>
      </c>
      <c r="C2311" s="331" t="s">
        <v>10</v>
      </c>
      <c r="D2311" s="292" t="s">
        <v>4724</v>
      </c>
      <c r="E2311" s="301">
        <v>0</v>
      </c>
      <c r="F2311" s="301">
        <v>2600</v>
      </c>
      <c r="G2311" s="168">
        <f t="shared" ref="G2311:G2374" si="498">(((F2311/70)+1)*0.4)</f>
        <v>15.25714285714286</v>
      </c>
      <c r="H2311" s="168">
        <f t="shared" ref="H2311:H2374" si="499">G2311*2</f>
        <v>30.51428571428572</v>
      </c>
      <c r="I2311" s="168">
        <f t="shared" ref="I2311:I2374" si="500">(((F2311/70)+1)*0.6)</f>
        <v>22.885714285714286</v>
      </c>
      <c r="J2311" s="168">
        <f t="shared" ref="J2311:J2374" si="501">I2311+G2311</f>
        <v>38.142857142857146</v>
      </c>
      <c r="K2311" s="168">
        <f t="shared" ref="K2311:K2374" si="502">J2311</f>
        <v>38.142857142857146</v>
      </c>
      <c r="L2311" s="168">
        <f t="shared" ref="L2311:L2374" si="503">(F2311/4000)+1</f>
        <v>1.65</v>
      </c>
      <c r="M2311" s="168">
        <f t="shared" ref="M2311:M2374" si="504">E2311/60</f>
        <v>0</v>
      </c>
      <c r="N2311" s="241" t="s">
        <v>453</v>
      </c>
    </row>
    <row r="2312" spans="1:14" ht="15" customHeight="1">
      <c r="A2312" s="58">
        <v>2311</v>
      </c>
      <c r="B2312" s="331" t="s">
        <v>52</v>
      </c>
      <c r="C2312" s="331" t="s">
        <v>10</v>
      </c>
      <c r="D2312" s="292" t="s">
        <v>4725</v>
      </c>
      <c r="E2312" s="301">
        <v>0</v>
      </c>
      <c r="F2312" s="301">
        <v>700</v>
      </c>
      <c r="G2312" s="168">
        <f t="shared" si="498"/>
        <v>4.4000000000000004</v>
      </c>
      <c r="H2312" s="168">
        <f t="shared" si="499"/>
        <v>8.8000000000000007</v>
      </c>
      <c r="I2312" s="168">
        <f t="shared" si="500"/>
        <v>6.6</v>
      </c>
      <c r="J2312" s="168">
        <f t="shared" si="501"/>
        <v>11</v>
      </c>
      <c r="K2312" s="168">
        <f t="shared" si="502"/>
        <v>11</v>
      </c>
      <c r="L2312" s="168">
        <f t="shared" si="503"/>
        <v>1.175</v>
      </c>
      <c r="M2312" s="168">
        <f t="shared" si="504"/>
        <v>0</v>
      </c>
      <c r="N2312" s="241" t="s">
        <v>453</v>
      </c>
    </row>
    <row r="2313" spans="1:14" ht="15" customHeight="1">
      <c r="A2313" s="58">
        <v>2312</v>
      </c>
      <c r="B2313" s="331" t="s">
        <v>52</v>
      </c>
      <c r="C2313" s="331" t="s">
        <v>10</v>
      </c>
      <c r="D2313" s="292" t="s">
        <v>4726</v>
      </c>
      <c r="E2313" s="301">
        <v>0</v>
      </c>
      <c r="F2313" s="301">
        <v>1000</v>
      </c>
      <c r="G2313" s="168">
        <f t="shared" si="498"/>
        <v>6.1142857142857148</v>
      </c>
      <c r="H2313" s="168">
        <f t="shared" si="499"/>
        <v>12.22857142857143</v>
      </c>
      <c r="I2313" s="168">
        <f t="shared" si="500"/>
        <v>9.1714285714285708</v>
      </c>
      <c r="J2313" s="168">
        <f t="shared" si="501"/>
        <v>15.285714285714285</v>
      </c>
      <c r="K2313" s="168">
        <f t="shared" si="502"/>
        <v>15.285714285714285</v>
      </c>
      <c r="L2313" s="168">
        <f t="shared" si="503"/>
        <v>1.25</v>
      </c>
      <c r="M2313" s="168">
        <f t="shared" si="504"/>
        <v>0</v>
      </c>
      <c r="N2313" s="241" t="s">
        <v>453</v>
      </c>
    </row>
    <row r="2314" spans="1:14" ht="15" customHeight="1">
      <c r="A2314" s="58">
        <v>2313</v>
      </c>
      <c r="B2314" s="331" t="s">
        <v>53</v>
      </c>
      <c r="C2314" s="331" t="s">
        <v>10</v>
      </c>
      <c r="D2314" s="292" t="s">
        <v>4727</v>
      </c>
      <c r="E2314" s="301">
        <v>0</v>
      </c>
      <c r="F2314" s="301">
        <v>0</v>
      </c>
      <c r="G2314" s="168">
        <f t="shared" si="498"/>
        <v>0.4</v>
      </c>
      <c r="H2314" s="168">
        <f t="shared" si="499"/>
        <v>0.8</v>
      </c>
      <c r="I2314" s="168">
        <f t="shared" si="500"/>
        <v>0.6</v>
      </c>
      <c r="J2314" s="168">
        <f t="shared" si="501"/>
        <v>1</v>
      </c>
      <c r="K2314" s="168">
        <f t="shared" si="502"/>
        <v>1</v>
      </c>
      <c r="L2314" s="168">
        <f t="shared" si="503"/>
        <v>1</v>
      </c>
      <c r="M2314" s="168">
        <f t="shared" si="504"/>
        <v>0</v>
      </c>
      <c r="N2314" s="241" t="s">
        <v>453</v>
      </c>
    </row>
    <row r="2315" spans="1:14" ht="15" customHeight="1">
      <c r="A2315" s="58">
        <v>2314</v>
      </c>
      <c r="B2315" s="331" t="s">
        <v>52</v>
      </c>
      <c r="C2315" s="331" t="s">
        <v>10</v>
      </c>
      <c r="D2315" s="292" t="s">
        <v>4728</v>
      </c>
      <c r="E2315" s="301">
        <v>0</v>
      </c>
      <c r="F2315" s="301">
        <v>424</v>
      </c>
      <c r="G2315" s="168">
        <f t="shared" si="498"/>
        <v>2.822857142857143</v>
      </c>
      <c r="H2315" s="168">
        <f t="shared" si="499"/>
        <v>5.6457142857142859</v>
      </c>
      <c r="I2315" s="168">
        <f t="shared" si="500"/>
        <v>4.234285714285714</v>
      </c>
      <c r="J2315" s="168">
        <f t="shared" si="501"/>
        <v>7.0571428571428569</v>
      </c>
      <c r="K2315" s="168">
        <f t="shared" si="502"/>
        <v>7.0571428571428569</v>
      </c>
      <c r="L2315" s="168">
        <f t="shared" si="503"/>
        <v>1.1060000000000001</v>
      </c>
      <c r="M2315" s="168">
        <f t="shared" si="504"/>
        <v>0</v>
      </c>
      <c r="N2315" s="241" t="s">
        <v>453</v>
      </c>
    </row>
    <row r="2316" spans="1:14" ht="15" customHeight="1">
      <c r="A2316" s="58">
        <v>2315</v>
      </c>
      <c r="B2316" s="331" t="s">
        <v>52</v>
      </c>
      <c r="C2316" s="331" t="s">
        <v>10</v>
      </c>
      <c r="D2316" s="292" t="s">
        <v>4729</v>
      </c>
      <c r="E2316" s="301">
        <v>0</v>
      </c>
      <c r="F2316" s="301">
        <v>1900</v>
      </c>
      <c r="G2316" s="168">
        <f t="shared" si="498"/>
        <v>11.257142857142858</v>
      </c>
      <c r="H2316" s="168">
        <f t="shared" si="499"/>
        <v>22.514285714285716</v>
      </c>
      <c r="I2316" s="168">
        <f t="shared" si="500"/>
        <v>16.885714285714286</v>
      </c>
      <c r="J2316" s="168">
        <f t="shared" si="501"/>
        <v>28.142857142857146</v>
      </c>
      <c r="K2316" s="168">
        <f t="shared" si="502"/>
        <v>28.142857142857146</v>
      </c>
      <c r="L2316" s="168">
        <f t="shared" si="503"/>
        <v>1.4750000000000001</v>
      </c>
      <c r="M2316" s="168">
        <f t="shared" si="504"/>
        <v>0</v>
      </c>
      <c r="N2316" s="241" t="s">
        <v>453</v>
      </c>
    </row>
    <row r="2317" spans="1:14" ht="15" customHeight="1">
      <c r="A2317" s="58">
        <v>2316</v>
      </c>
      <c r="B2317" s="331" t="s">
        <v>52</v>
      </c>
      <c r="C2317" s="331" t="s">
        <v>10</v>
      </c>
      <c r="D2317" s="292" t="s">
        <v>4730</v>
      </c>
      <c r="E2317" s="301">
        <v>0</v>
      </c>
      <c r="F2317" s="301">
        <v>350</v>
      </c>
      <c r="G2317" s="168">
        <f t="shared" si="498"/>
        <v>2.4000000000000004</v>
      </c>
      <c r="H2317" s="168">
        <f t="shared" si="499"/>
        <v>4.8000000000000007</v>
      </c>
      <c r="I2317" s="168">
        <f t="shared" si="500"/>
        <v>3.5999999999999996</v>
      </c>
      <c r="J2317" s="168">
        <f t="shared" si="501"/>
        <v>6</v>
      </c>
      <c r="K2317" s="168">
        <f t="shared" si="502"/>
        <v>6</v>
      </c>
      <c r="L2317" s="168">
        <f t="shared" si="503"/>
        <v>1.0874999999999999</v>
      </c>
      <c r="M2317" s="168">
        <f t="shared" si="504"/>
        <v>0</v>
      </c>
      <c r="N2317" s="241" t="s">
        <v>453</v>
      </c>
    </row>
    <row r="2318" spans="1:14" ht="15" customHeight="1">
      <c r="A2318" s="58">
        <v>2317</v>
      </c>
      <c r="B2318" s="331" t="s">
        <v>53</v>
      </c>
      <c r="C2318" s="331" t="s">
        <v>10</v>
      </c>
      <c r="D2318" s="292" t="s">
        <v>4731</v>
      </c>
      <c r="E2318" s="301">
        <v>0</v>
      </c>
      <c r="F2318" s="301">
        <v>250</v>
      </c>
      <c r="G2318" s="168">
        <f t="shared" si="498"/>
        <v>1.8285714285714285</v>
      </c>
      <c r="H2318" s="168">
        <f t="shared" si="499"/>
        <v>3.657142857142857</v>
      </c>
      <c r="I2318" s="168">
        <f t="shared" si="500"/>
        <v>2.7428571428571424</v>
      </c>
      <c r="J2318" s="168">
        <f t="shared" si="501"/>
        <v>4.5714285714285712</v>
      </c>
      <c r="K2318" s="168">
        <f t="shared" si="502"/>
        <v>4.5714285714285712</v>
      </c>
      <c r="L2318" s="168">
        <f t="shared" si="503"/>
        <v>1.0625</v>
      </c>
      <c r="M2318" s="168">
        <f t="shared" si="504"/>
        <v>0</v>
      </c>
      <c r="N2318" s="241" t="s">
        <v>453</v>
      </c>
    </row>
    <row r="2319" spans="1:14" ht="15" customHeight="1">
      <c r="A2319" s="58">
        <v>2318</v>
      </c>
      <c r="B2319" s="331" t="s">
        <v>52</v>
      </c>
      <c r="C2319" s="331" t="s">
        <v>10</v>
      </c>
      <c r="D2319" s="292" t="s">
        <v>4732</v>
      </c>
      <c r="E2319" s="301">
        <v>454</v>
      </c>
      <c r="F2319" s="301">
        <v>0</v>
      </c>
      <c r="G2319" s="168">
        <f t="shared" si="498"/>
        <v>0.4</v>
      </c>
      <c r="H2319" s="168">
        <f t="shared" si="499"/>
        <v>0.8</v>
      </c>
      <c r="I2319" s="168">
        <f t="shared" si="500"/>
        <v>0.6</v>
      </c>
      <c r="J2319" s="168">
        <f t="shared" si="501"/>
        <v>1</v>
      </c>
      <c r="K2319" s="168">
        <f t="shared" si="502"/>
        <v>1</v>
      </c>
      <c r="L2319" s="168">
        <f t="shared" si="503"/>
        <v>1</v>
      </c>
      <c r="M2319" s="168">
        <f t="shared" si="504"/>
        <v>7.5666666666666664</v>
      </c>
      <c r="N2319" s="241" t="s">
        <v>453</v>
      </c>
    </row>
    <row r="2320" spans="1:14" ht="15" customHeight="1">
      <c r="A2320" s="58">
        <v>2319</v>
      </c>
      <c r="B2320" s="331" t="s">
        <v>52</v>
      </c>
      <c r="C2320" s="331" t="s">
        <v>10</v>
      </c>
      <c r="D2320" s="292" t="s">
        <v>4733</v>
      </c>
      <c r="E2320" s="301">
        <v>232</v>
      </c>
      <c r="F2320" s="301">
        <v>0</v>
      </c>
      <c r="G2320" s="168">
        <f t="shared" si="498"/>
        <v>0.4</v>
      </c>
      <c r="H2320" s="168">
        <f t="shared" si="499"/>
        <v>0.8</v>
      </c>
      <c r="I2320" s="168">
        <f t="shared" si="500"/>
        <v>0.6</v>
      </c>
      <c r="J2320" s="168">
        <f t="shared" si="501"/>
        <v>1</v>
      </c>
      <c r="K2320" s="168">
        <f t="shared" si="502"/>
        <v>1</v>
      </c>
      <c r="L2320" s="168">
        <f t="shared" si="503"/>
        <v>1</v>
      </c>
      <c r="M2320" s="168">
        <f t="shared" si="504"/>
        <v>3.8666666666666667</v>
      </c>
      <c r="N2320" s="241" t="s">
        <v>453</v>
      </c>
    </row>
    <row r="2321" spans="1:14" ht="15" customHeight="1">
      <c r="A2321" s="58">
        <v>2320</v>
      </c>
      <c r="B2321" s="331" t="s">
        <v>52</v>
      </c>
      <c r="C2321" s="331" t="s">
        <v>10</v>
      </c>
      <c r="D2321" s="292" t="s">
        <v>4734</v>
      </c>
      <c r="E2321" s="301">
        <v>214</v>
      </c>
      <c r="F2321" s="301">
        <v>0</v>
      </c>
      <c r="G2321" s="168">
        <f t="shared" si="498"/>
        <v>0.4</v>
      </c>
      <c r="H2321" s="168">
        <f t="shared" si="499"/>
        <v>0.8</v>
      </c>
      <c r="I2321" s="168">
        <f t="shared" si="500"/>
        <v>0.6</v>
      </c>
      <c r="J2321" s="168">
        <f t="shared" si="501"/>
        <v>1</v>
      </c>
      <c r="K2321" s="168">
        <f t="shared" si="502"/>
        <v>1</v>
      </c>
      <c r="L2321" s="168">
        <f t="shared" si="503"/>
        <v>1</v>
      </c>
      <c r="M2321" s="168">
        <f t="shared" si="504"/>
        <v>3.5666666666666669</v>
      </c>
      <c r="N2321" s="241" t="s">
        <v>453</v>
      </c>
    </row>
    <row r="2322" spans="1:14" ht="15" customHeight="1">
      <c r="A2322" s="58">
        <v>2321</v>
      </c>
      <c r="B2322" s="331" t="s">
        <v>52</v>
      </c>
      <c r="C2322" s="331" t="s">
        <v>10</v>
      </c>
      <c r="D2322" s="292" t="s">
        <v>4735</v>
      </c>
      <c r="E2322" s="301">
        <v>123</v>
      </c>
      <c r="F2322" s="301">
        <v>0</v>
      </c>
      <c r="G2322" s="168">
        <f t="shared" si="498"/>
        <v>0.4</v>
      </c>
      <c r="H2322" s="168">
        <f t="shared" si="499"/>
        <v>0.8</v>
      </c>
      <c r="I2322" s="168">
        <f t="shared" si="500"/>
        <v>0.6</v>
      </c>
      <c r="J2322" s="168">
        <f t="shared" si="501"/>
        <v>1</v>
      </c>
      <c r="K2322" s="168">
        <f t="shared" si="502"/>
        <v>1</v>
      </c>
      <c r="L2322" s="168">
        <f t="shared" si="503"/>
        <v>1</v>
      </c>
      <c r="M2322" s="168">
        <f t="shared" si="504"/>
        <v>2.0499999999999998</v>
      </c>
      <c r="N2322" s="241" t="s">
        <v>453</v>
      </c>
    </row>
    <row r="2323" spans="1:14" ht="15" customHeight="1">
      <c r="A2323" s="58">
        <v>2322</v>
      </c>
      <c r="B2323" s="331" t="s">
        <v>52</v>
      </c>
      <c r="C2323" s="331" t="s">
        <v>10</v>
      </c>
      <c r="D2323" s="292" t="s">
        <v>4736</v>
      </c>
      <c r="E2323" s="301">
        <v>0</v>
      </c>
      <c r="F2323" s="301">
        <v>0</v>
      </c>
      <c r="G2323" s="168">
        <f t="shared" si="498"/>
        <v>0.4</v>
      </c>
      <c r="H2323" s="168">
        <f t="shared" si="499"/>
        <v>0.8</v>
      </c>
      <c r="I2323" s="168">
        <f t="shared" si="500"/>
        <v>0.6</v>
      </c>
      <c r="J2323" s="168">
        <f t="shared" si="501"/>
        <v>1</v>
      </c>
      <c r="K2323" s="168">
        <f t="shared" si="502"/>
        <v>1</v>
      </c>
      <c r="L2323" s="168">
        <f t="shared" si="503"/>
        <v>1</v>
      </c>
      <c r="M2323" s="168">
        <f t="shared" si="504"/>
        <v>0</v>
      </c>
      <c r="N2323" s="241" t="s">
        <v>453</v>
      </c>
    </row>
    <row r="2324" spans="1:14" ht="15" customHeight="1">
      <c r="A2324" s="58">
        <v>2323</v>
      </c>
      <c r="B2324" s="331" t="s">
        <v>52</v>
      </c>
      <c r="C2324" s="331" t="s">
        <v>10</v>
      </c>
      <c r="D2324" s="292" t="s">
        <v>4737</v>
      </c>
      <c r="E2324" s="301">
        <v>256</v>
      </c>
      <c r="F2324" s="301">
        <v>0</v>
      </c>
      <c r="G2324" s="168">
        <f t="shared" si="498"/>
        <v>0.4</v>
      </c>
      <c r="H2324" s="168">
        <f t="shared" si="499"/>
        <v>0.8</v>
      </c>
      <c r="I2324" s="168">
        <f t="shared" si="500"/>
        <v>0.6</v>
      </c>
      <c r="J2324" s="168">
        <f t="shared" si="501"/>
        <v>1</v>
      </c>
      <c r="K2324" s="168">
        <f t="shared" si="502"/>
        <v>1</v>
      </c>
      <c r="L2324" s="168">
        <f t="shared" si="503"/>
        <v>1</v>
      </c>
      <c r="M2324" s="168">
        <f t="shared" si="504"/>
        <v>4.2666666666666666</v>
      </c>
      <c r="N2324" s="241" t="s">
        <v>453</v>
      </c>
    </row>
    <row r="2325" spans="1:14" ht="15" customHeight="1">
      <c r="A2325" s="58">
        <v>2324</v>
      </c>
      <c r="B2325" s="331" t="s">
        <v>52</v>
      </c>
      <c r="C2325" s="331" t="s">
        <v>10</v>
      </c>
      <c r="D2325" s="292" t="s">
        <v>4738</v>
      </c>
      <c r="E2325" s="301">
        <v>337</v>
      </c>
      <c r="F2325" s="301">
        <v>0</v>
      </c>
      <c r="G2325" s="168">
        <f t="shared" si="498"/>
        <v>0.4</v>
      </c>
      <c r="H2325" s="168">
        <f t="shared" si="499"/>
        <v>0.8</v>
      </c>
      <c r="I2325" s="168">
        <f t="shared" si="500"/>
        <v>0.6</v>
      </c>
      <c r="J2325" s="168">
        <f t="shared" si="501"/>
        <v>1</v>
      </c>
      <c r="K2325" s="168">
        <f t="shared" si="502"/>
        <v>1</v>
      </c>
      <c r="L2325" s="168">
        <f t="shared" si="503"/>
        <v>1</v>
      </c>
      <c r="M2325" s="168">
        <f t="shared" si="504"/>
        <v>5.6166666666666663</v>
      </c>
      <c r="N2325" s="241" t="s">
        <v>453</v>
      </c>
    </row>
    <row r="2326" spans="1:14" ht="15" customHeight="1">
      <c r="A2326" s="58">
        <v>2325</v>
      </c>
      <c r="B2326" s="331" t="s">
        <v>52</v>
      </c>
      <c r="C2326" s="331" t="s">
        <v>10</v>
      </c>
      <c r="D2326" s="292" t="s">
        <v>4739</v>
      </c>
      <c r="E2326" s="301">
        <v>58</v>
      </c>
      <c r="F2326" s="301">
        <v>0</v>
      </c>
      <c r="G2326" s="168">
        <f t="shared" si="498"/>
        <v>0.4</v>
      </c>
      <c r="H2326" s="168">
        <f t="shared" si="499"/>
        <v>0.8</v>
      </c>
      <c r="I2326" s="168">
        <f t="shared" si="500"/>
        <v>0.6</v>
      </c>
      <c r="J2326" s="168">
        <f t="shared" si="501"/>
        <v>1</v>
      </c>
      <c r="K2326" s="168">
        <f t="shared" si="502"/>
        <v>1</v>
      </c>
      <c r="L2326" s="168">
        <f t="shared" si="503"/>
        <v>1</v>
      </c>
      <c r="M2326" s="168">
        <f t="shared" si="504"/>
        <v>0.96666666666666667</v>
      </c>
      <c r="N2326" s="241" t="s">
        <v>453</v>
      </c>
    </row>
    <row r="2327" spans="1:14" ht="15" customHeight="1">
      <c r="A2327" s="58">
        <v>2326</v>
      </c>
      <c r="B2327" s="331" t="s">
        <v>52</v>
      </c>
      <c r="C2327" s="331" t="s">
        <v>10</v>
      </c>
      <c r="D2327" s="292" t="s">
        <v>4740</v>
      </c>
      <c r="E2327" s="301">
        <v>319</v>
      </c>
      <c r="F2327" s="301">
        <v>0</v>
      </c>
      <c r="G2327" s="168">
        <f t="shared" si="498"/>
        <v>0.4</v>
      </c>
      <c r="H2327" s="168">
        <f t="shared" si="499"/>
        <v>0.8</v>
      </c>
      <c r="I2327" s="168">
        <f t="shared" si="500"/>
        <v>0.6</v>
      </c>
      <c r="J2327" s="168">
        <f t="shared" si="501"/>
        <v>1</v>
      </c>
      <c r="K2327" s="168">
        <f t="shared" si="502"/>
        <v>1</v>
      </c>
      <c r="L2327" s="168">
        <f t="shared" si="503"/>
        <v>1</v>
      </c>
      <c r="M2327" s="168">
        <f t="shared" si="504"/>
        <v>5.3166666666666664</v>
      </c>
      <c r="N2327" s="241" t="s">
        <v>453</v>
      </c>
    </row>
    <row r="2328" spans="1:14" ht="15" customHeight="1">
      <c r="A2328" s="58">
        <v>2327</v>
      </c>
      <c r="B2328" s="331" t="s">
        <v>52</v>
      </c>
      <c r="C2328" s="331" t="s">
        <v>10</v>
      </c>
      <c r="D2328" s="292" t="s">
        <v>4741</v>
      </c>
      <c r="E2328" s="301">
        <v>120</v>
      </c>
      <c r="F2328" s="301">
        <v>0</v>
      </c>
      <c r="G2328" s="168">
        <f t="shared" si="498"/>
        <v>0.4</v>
      </c>
      <c r="H2328" s="168">
        <f t="shared" si="499"/>
        <v>0.8</v>
      </c>
      <c r="I2328" s="168">
        <f t="shared" si="500"/>
        <v>0.6</v>
      </c>
      <c r="J2328" s="168">
        <f t="shared" si="501"/>
        <v>1</v>
      </c>
      <c r="K2328" s="168">
        <f t="shared" si="502"/>
        <v>1</v>
      </c>
      <c r="L2328" s="168">
        <f t="shared" si="503"/>
        <v>1</v>
      </c>
      <c r="M2328" s="168">
        <f t="shared" si="504"/>
        <v>2</v>
      </c>
      <c r="N2328" s="241" t="s">
        <v>453</v>
      </c>
    </row>
    <row r="2329" spans="1:14" ht="15" customHeight="1">
      <c r="A2329" s="58">
        <v>2328</v>
      </c>
      <c r="B2329" s="331" t="s">
        <v>52</v>
      </c>
      <c r="C2329" s="331" t="s">
        <v>10</v>
      </c>
      <c r="D2329" s="292" t="s">
        <v>4742</v>
      </c>
      <c r="E2329" s="301">
        <v>313</v>
      </c>
      <c r="F2329" s="301">
        <v>0</v>
      </c>
      <c r="G2329" s="168">
        <f t="shared" si="498"/>
        <v>0.4</v>
      </c>
      <c r="H2329" s="168">
        <f t="shared" si="499"/>
        <v>0.8</v>
      </c>
      <c r="I2329" s="168">
        <f t="shared" si="500"/>
        <v>0.6</v>
      </c>
      <c r="J2329" s="168">
        <f t="shared" si="501"/>
        <v>1</v>
      </c>
      <c r="K2329" s="168">
        <f t="shared" si="502"/>
        <v>1</v>
      </c>
      <c r="L2329" s="168">
        <f t="shared" si="503"/>
        <v>1</v>
      </c>
      <c r="M2329" s="168">
        <f t="shared" si="504"/>
        <v>5.2166666666666668</v>
      </c>
      <c r="N2329" s="241" t="s">
        <v>453</v>
      </c>
    </row>
    <row r="2330" spans="1:14" ht="15" customHeight="1">
      <c r="A2330" s="58">
        <v>2329</v>
      </c>
      <c r="B2330" s="331" t="s">
        <v>52</v>
      </c>
      <c r="C2330" s="331" t="s">
        <v>10</v>
      </c>
      <c r="D2330" s="292" t="s">
        <v>4743</v>
      </c>
      <c r="E2330" s="301">
        <v>136</v>
      </c>
      <c r="F2330" s="301">
        <v>0</v>
      </c>
      <c r="G2330" s="168">
        <f t="shared" si="498"/>
        <v>0.4</v>
      </c>
      <c r="H2330" s="168">
        <f t="shared" si="499"/>
        <v>0.8</v>
      </c>
      <c r="I2330" s="168">
        <f t="shared" si="500"/>
        <v>0.6</v>
      </c>
      <c r="J2330" s="168">
        <f t="shared" si="501"/>
        <v>1</v>
      </c>
      <c r="K2330" s="168">
        <f t="shared" si="502"/>
        <v>1</v>
      </c>
      <c r="L2330" s="168">
        <f t="shared" si="503"/>
        <v>1</v>
      </c>
      <c r="M2330" s="168">
        <f t="shared" si="504"/>
        <v>2.2666666666666666</v>
      </c>
      <c r="N2330" s="241" t="s">
        <v>453</v>
      </c>
    </row>
    <row r="2331" spans="1:14" ht="15" customHeight="1">
      <c r="A2331" s="58">
        <v>2330</v>
      </c>
      <c r="B2331" s="331" t="s">
        <v>52</v>
      </c>
      <c r="C2331" s="331" t="s">
        <v>10</v>
      </c>
      <c r="D2331" s="292" t="s">
        <v>4744</v>
      </c>
      <c r="E2331" s="301">
        <v>0</v>
      </c>
      <c r="F2331" s="301">
        <v>295</v>
      </c>
      <c r="G2331" s="168">
        <f t="shared" si="498"/>
        <v>2.0857142857142859</v>
      </c>
      <c r="H2331" s="168">
        <f t="shared" si="499"/>
        <v>4.1714285714285717</v>
      </c>
      <c r="I2331" s="168">
        <f t="shared" si="500"/>
        <v>3.1285714285714286</v>
      </c>
      <c r="J2331" s="168">
        <f t="shared" si="501"/>
        <v>5.2142857142857144</v>
      </c>
      <c r="K2331" s="168">
        <f t="shared" si="502"/>
        <v>5.2142857142857144</v>
      </c>
      <c r="L2331" s="168">
        <f t="shared" si="503"/>
        <v>1.07375</v>
      </c>
      <c r="M2331" s="168">
        <f t="shared" si="504"/>
        <v>0</v>
      </c>
      <c r="N2331" s="241" t="s">
        <v>453</v>
      </c>
    </row>
    <row r="2332" spans="1:14" ht="15" customHeight="1">
      <c r="A2332" s="58">
        <v>2331</v>
      </c>
      <c r="B2332" s="331" t="s">
        <v>52</v>
      </c>
      <c r="C2332" s="331" t="s">
        <v>10</v>
      </c>
      <c r="D2332" s="292" t="s">
        <v>4745</v>
      </c>
      <c r="E2332" s="301">
        <v>313</v>
      </c>
      <c r="F2332" s="301">
        <v>0</v>
      </c>
      <c r="G2332" s="168">
        <f t="shared" si="498"/>
        <v>0.4</v>
      </c>
      <c r="H2332" s="168">
        <f t="shared" si="499"/>
        <v>0.8</v>
      </c>
      <c r="I2332" s="168">
        <f t="shared" si="500"/>
        <v>0.6</v>
      </c>
      <c r="J2332" s="168">
        <f t="shared" si="501"/>
        <v>1</v>
      </c>
      <c r="K2332" s="168">
        <f t="shared" si="502"/>
        <v>1</v>
      </c>
      <c r="L2332" s="168">
        <f t="shared" si="503"/>
        <v>1</v>
      </c>
      <c r="M2332" s="168">
        <f t="shared" si="504"/>
        <v>5.2166666666666668</v>
      </c>
      <c r="N2332" s="241" t="s">
        <v>453</v>
      </c>
    </row>
    <row r="2333" spans="1:14" ht="15" customHeight="1">
      <c r="A2333" s="58">
        <v>2332</v>
      </c>
      <c r="B2333" s="331" t="s">
        <v>52</v>
      </c>
      <c r="C2333" s="331" t="s">
        <v>10</v>
      </c>
      <c r="D2333" s="292" t="s">
        <v>4746</v>
      </c>
      <c r="E2333" s="301">
        <v>50</v>
      </c>
      <c r="F2333" s="301">
        <v>0</v>
      </c>
      <c r="G2333" s="168">
        <f t="shared" si="498"/>
        <v>0.4</v>
      </c>
      <c r="H2333" s="168">
        <f t="shared" si="499"/>
        <v>0.8</v>
      </c>
      <c r="I2333" s="168">
        <f t="shared" si="500"/>
        <v>0.6</v>
      </c>
      <c r="J2333" s="168">
        <f t="shared" si="501"/>
        <v>1</v>
      </c>
      <c r="K2333" s="168">
        <f t="shared" si="502"/>
        <v>1</v>
      </c>
      <c r="L2333" s="168">
        <f t="shared" si="503"/>
        <v>1</v>
      </c>
      <c r="M2333" s="168">
        <f t="shared" si="504"/>
        <v>0.83333333333333337</v>
      </c>
      <c r="N2333" s="241" t="s">
        <v>453</v>
      </c>
    </row>
    <row r="2334" spans="1:14" ht="15" customHeight="1">
      <c r="A2334" s="58">
        <v>2333</v>
      </c>
      <c r="B2334" s="331" t="s">
        <v>52</v>
      </c>
      <c r="C2334" s="331" t="s">
        <v>10</v>
      </c>
      <c r="D2334" s="292" t="s">
        <v>4747</v>
      </c>
      <c r="E2334" s="301">
        <v>0</v>
      </c>
      <c r="F2334" s="301">
        <v>350</v>
      </c>
      <c r="G2334" s="168">
        <f t="shared" si="498"/>
        <v>2.4000000000000004</v>
      </c>
      <c r="H2334" s="168">
        <f t="shared" si="499"/>
        <v>4.8000000000000007</v>
      </c>
      <c r="I2334" s="168">
        <f t="shared" si="500"/>
        <v>3.5999999999999996</v>
      </c>
      <c r="J2334" s="168">
        <f t="shared" si="501"/>
        <v>6</v>
      </c>
      <c r="K2334" s="168">
        <f t="shared" si="502"/>
        <v>6</v>
      </c>
      <c r="L2334" s="168">
        <f t="shared" si="503"/>
        <v>1.0874999999999999</v>
      </c>
      <c r="M2334" s="168">
        <f t="shared" si="504"/>
        <v>0</v>
      </c>
      <c r="N2334" s="241" t="s">
        <v>453</v>
      </c>
    </row>
    <row r="2335" spans="1:14" ht="15" customHeight="1">
      <c r="A2335" s="58">
        <v>2334</v>
      </c>
      <c r="B2335" s="331" t="s">
        <v>52</v>
      </c>
      <c r="C2335" s="331" t="s">
        <v>10</v>
      </c>
      <c r="D2335" s="292" t="s">
        <v>4748</v>
      </c>
      <c r="E2335" s="301">
        <v>297</v>
      </c>
      <c r="F2335" s="301">
        <v>0</v>
      </c>
      <c r="G2335" s="168">
        <f t="shared" si="498"/>
        <v>0.4</v>
      </c>
      <c r="H2335" s="168">
        <f t="shared" si="499"/>
        <v>0.8</v>
      </c>
      <c r="I2335" s="168">
        <f t="shared" si="500"/>
        <v>0.6</v>
      </c>
      <c r="J2335" s="168">
        <f t="shared" si="501"/>
        <v>1</v>
      </c>
      <c r="K2335" s="168">
        <f t="shared" si="502"/>
        <v>1</v>
      </c>
      <c r="L2335" s="168">
        <f t="shared" si="503"/>
        <v>1</v>
      </c>
      <c r="M2335" s="168">
        <f t="shared" si="504"/>
        <v>4.95</v>
      </c>
      <c r="N2335" s="241" t="s">
        <v>453</v>
      </c>
    </row>
    <row r="2336" spans="1:14" ht="15" customHeight="1">
      <c r="A2336" s="58">
        <v>2335</v>
      </c>
      <c r="B2336" s="331" t="s">
        <v>52</v>
      </c>
      <c r="C2336" s="331" t="s">
        <v>10</v>
      </c>
      <c r="D2336" s="292" t="s">
        <v>4749</v>
      </c>
      <c r="E2336" s="301">
        <v>173</v>
      </c>
      <c r="F2336" s="301">
        <v>0</v>
      </c>
      <c r="G2336" s="168">
        <f t="shared" si="498"/>
        <v>0.4</v>
      </c>
      <c r="H2336" s="168">
        <f t="shared" si="499"/>
        <v>0.8</v>
      </c>
      <c r="I2336" s="168">
        <f t="shared" si="500"/>
        <v>0.6</v>
      </c>
      <c r="J2336" s="168">
        <f t="shared" si="501"/>
        <v>1</v>
      </c>
      <c r="K2336" s="168">
        <f t="shared" si="502"/>
        <v>1</v>
      </c>
      <c r="L2336" s="168">
        <f t="shared" si="503"/>
        <v>1</v>
      </c>
      <c r="M2336" s="168">
        <f t="shared" si="504"/>
        <v>2.8833333333333333</v>
      </c>
      <c r="N2336" s="241" t="s">
        <v>453</v>
      </c>
    </row>
    <row r="2337" spans="1:14" ht="15" customHeight="1">
      <c r="A2337" s="58">
        <v>2336</v>
      </c>
      <c r="B2337" s="331" t="s">
        <v>52</v>
      </c>
      <c r="C2337" s="331" t="s">
        <v>10</v>
      </c>
      <c r="D2337" s="292" t="s">
        <v>4750</v>
      </c>
      <c r="E2337" s="301">
        <v>579</v>
      </c>
      <c r="F2337" s="301">
        <v>0</v>
      </c>
      <c r="G2337" s="168">
        <f t="shared" si="498"/>
        <v>0.4</v>
      </c>
      <c r="H2337" s="168">
        <f t="shared" si="499"/>
        <v>0.8</v>
      </c>
      <c r="I2337" s="168">
        <f t="shared" si="500"/>
        <v>0.6</v>
      </c>
      <c r="J2337" s="168">
        <f t="shared" si="501"/>
        <v>1</v>
      </c>
      <c r="K2337" s="168">
        <f t="shared" si="502"/>
        <v>1</v>
      </c>
      <c r="L2337" s="168">
        <f t="shared" si="503"/>
        <v>1</v>
      </c>
      <c r="M2337" s="168">
        <f t="shared" si="504"/>
        <v>9.65</v>
      </c>
      <c r="N2337" s="241" t="s">
        <v>453</v>
      </c>
    </row>
    <row r="2338" spans="1:14" ht="15" customHeight="1">
      <c r="A2338" s="58">
        <v>2337</v>
      </c>
      <c r="B2338" s="331" t="s">
        <v>52</v>
      </c>
      <c r="C2338" s="331" t="s">
        <v>10</v>
      </c>
      <c r="D2338" s="292" t="s">
        <v>4751</v>
      </c>
      <c r="E2338" s="301">
        <v>0</v>
      </c>
      <c r="F2338" s="301">
        <v>562</v>
      </c>
      <c r="G2338" s="168">
        <f t="shared" si="498"/>
        <v>3.6114285714285717</v>
      </c>
      <c r="H2338" s="168">
        <f t="shared" si="499"/>
        <v>7.2228571428571433</v>
      </c>
      <c r="I2338" s="168">
        <f t="shared" si="500"/>
        <v>5.4171428571428573</v>
      </c>
      <c r="J2338" s="168">
        <f t="shared" si="501"/>
        <v>9.0285714285714285</v>
      </c>
      <c r="K2338" s="168">
        <f t="shared" si="502"/>
        <v>9.0285714285714285</v>
      </c>
      <c r="L2338" s="168">
        <f t="shared" si="503"/>
        <v>1.1405000000000001</v>
      </c>
      <c r="M2338" s="168">
        <f t="shared" si="504"/>
        <v>0</v>
      </c>
      <c r="N2338" s="241" t="s">
        <v>453</v>
      </c>
    </row>
    <row r="2339" spans="1:14" ht="15" customHeight="1">
      <c r="A2339" s="58">
        <v>2338</v>
      </c>
      <c r="B2339" s="331" t="s">
        <v>52</v>
      </c>
      <c r="C2339" s="331" t="s">
        <v>10</v>
      </c>
      <c r="D2339" s="292" t="s">
        <v>4752</v>
      </c>
      <c r="E2339" s="301">
        <v>0</v>
      </c>
      <c r="F2339" s="301">
        <v>100</v>
      </c>
      <c r="G2339" s="168">
        <f t="shared" si="498"/>
        <v>0.97142857142857153</v>
      </c>
      <c r="H2339" s="168">
        <f t="shared" si="499"/>
        <v>1.9428571428571431</v>
      </c>
      <c r="I2339" s="168">
        <f t="shared" si="500"/>
        <v>1.4571428571428573</v>
      </c>
      <c r="J2339" s="168">
        <f t="shared" si="501"/>
        <v>2.4285714285714288</v>
      </c>
      <c r="K2339" s="168">
        <f t="shared" si="502"/>
        <v>2.4285714285714288</v>
      </c>
      <c r="L2339" s="168">
        <f t="shared" si="503"/>
        <v>1.0249999999999999</v>
      </c>
      <c r="M2339" s="168">
        <f t="shared" si="504"/>
        <v>0</v>
      </c>
      <c r="N2339" s="241" t="s">
        <v>453</v>
      </c>
    </row>
    <row r="2340" spans="1:14" ht="15" customHeight="1">
      <c r="A2340" s="58">
        <v>2339</v>
      </c>
      <c r="B2340" s="331" t="s">
        <v>52</v>
      </c>
      <c r="C2340" s="331" t="s">
        <v>10</v>
      </c>
      <c r="D2340" s="292" t="s">
        <v>4753</v>
      </c>
      <c r="E2340" s="301">
        <v>0</v>
      </c>
      <c r="F2340" s="301">
        <v>166</v>
      </c>
      <c r="G2340" s="168">
        <f t="shared" si="498"/>
        <v>1.3485714285714288</v>
      </c>
      <c r="H2340" s="168">
        <f t="shared" si="499"/>
        <v>2.6971428571428575</v>
      </c>
      <c r="I2340" s="168">
        <f t="shared" si="500"/>
        <v>2.0228571428571427</v>
      </c>
      <c r="J2340" s="168">
        <f t="shared" si="501"/>
        <v>3.3714285714285714</v>
      </c>
      <c r="K2340" s="168">
        <f t="shared" si="502"/>
        <v>3.3714285714285714</v>
      </c>
      <c r="L2340" s="168">
        <f t="shared" si="503"/>
        <v>1.0415000000000001</v>
      </c>
      <c r="M2340" s="168">
        <f t="shared" si="504"/>
        <v>0</v>
      </c>
      <c r="N2340" s="241" t="s">
        <v>453</v>
      </c>
    </row>
    <row r="2341" spans="1:14" ht="15" customHeight="1">
      <c r="A2341" s="58">
        <v>2340</v>
      </c>
      <c r="B2341" s="331" t="s">
        <v>52</v>
      </c>
      <c r="C2341" s="331" t="s">
        <v>10</v>
      </c>
      <c r="D2341" s="292" t="s">
        <v>4754</v>
      </c>
      <c r="E2341" s="301">
        <v>0</v>
      </c>
      <c r="F2341" s="301">
        <v>100</v>
      </c>
      <c r="G2341" s="168">
        <f t="shared" si="498"/>
        <v>0.97142857142857153</v>
      </c>
      <c r="H2341" s="168">
        <f t="shared" si="499"/>
        <v>1.9428571428571431</v>
      </c>
      <c r="I2341" s="168">
        <f t="shared" si="500"/>
        <v>1.4571428571428573</v>
      </c>
      <c r="J2341" s="168">
        <f t="shared" si="501"/>
        <v>2.4285714285714288</v>
      </c>
      <c r="K2341" s="168">
        <f t="shared" si="502"/>
        <v>2.4285714285714288</v>
      </c>
      <c r="L2341" s="168">
        <f t="shared" si="503"/>
        <v>1.0249999999999999</v>
      </c>
      <c r="M2341" s="168">
        <f t="shared" si="504"/>
        <v>0</v>
      </c>
      <c r="N2341" s="241" t="s">
        <v>453</v>
      </c>
    </row>
    <row r="2342" spans="1:14" ht="15" customHeight="1">
      <c r="A2342" s="58">
        <v>2341</v>
      </c>
      <c r="B2342" s="331" t="s">
        <v>52</v>
      </c>
      <c r="C2342" s="331" t="s">
        <v>10</v>
      </c>
      <c r="D2342" s="292" t="s">
        <v>4755</v>
      </c>
      <c r="E2342" s="301">
        <v>0</v>
      </c>
      <c r="F2342" s="301">
        <v>89</v>
      </c>
      <c r="G2342" s="168">
        <f t="shared" si="498"/>
        <v>0.90857142857142859</v>
      </c>
      <c r="H2342" s="168">
        <f t="shared" si="499"/>
        <v>1.8171428571428572</v>
      </c>
      <c r="I2342" s="168">
        <f t="shared" si="500"/>
        <v>1.3628571428571428</v>
      </c>
      <c r="J2342" s="168">
        <f t="shared" si="501"/>
        <v>2.2714285714285714</v>
      </c>
      <c r="K2342" s="168">
        <f t="shared" si="502"/>
        <v>2.2714285714285714</v>
      </c>
      <c r="L2342" s="168">
        <f t="shared" si="503"/>
        <v>1.0222500000000001</v>
      </c>
      <c r="M2342" s="168">
        <f t="shared" si="504"/>
        <v>0</v>
      </c>
      <c r="N2342" s="241" t="s">
        <v>453</v>
      </c>
    </row>
    <row r="2343" spans="1:14" ht="15" customHeight="1">
      <c r="A2343" s="58">
        <v>2342</v>
      </c>
      <c r="B2343" s="331" t="s">
        <v>52</v>
      </c>
      <c r="C2343" s="331" t="s">
        <v>10</v>
      </c>
      <c r="D2343" s="292" t="s">
        <v>4756</v>
      </c>
      <c r="E2343" s="301">
        <v>0</v>
      </c>
      <c r="F2343" s="301">
        <v>590</v>
      </c>
      <c r="G2343" s="168">
        <f t="shared" si="498"/>
        <v>3.7714285714285718</v>
      </c>
      <c r="H2343" s="168">
        <f t="shared" si="499"/>
        <v>7.5428571428571436</v>
      </c>
      <c r="I2343" s="168">
        <f t="shared" si="500"/>
        <v>5.6571428571428575</v>
      </c>
      <c r="J2343" s="168">
        <f t="shared" si="501"/>
        <v>9.4285714285714288</v>
      </c>
      <c r="K2343" s="168">
        <f t="shared" si="502"/>
        <v>9.4285714285714288</v>
      </c>
      <c r="L2343" s="168">
        <f t="shared" si="503"/>
        <v>1.1475</v>
      </c>
      <c r="M2343" s="168">
        <f t="shared" si="504"/>
        <v>0</v>
      </c>
      <c r="N2343" s="241" t="s">
        <v>453</v>
      </c>
    </row>
    <row r="2344" spans="1:14" ht="15" customHeight="1">
      <c r="A2344" s="58">
        <v>2343</v>
      </c>
      <c r="B2344" s="331" t="s">
        <v>49</v>
      </c>
      <c r="C2344" s="331" t="s">
        <v>10</v>
      </c>
      <c r="D2344" s="292" t="s">
        <v>4757</v>
      </c>
      <c r="E2344" s="301">
        <v>0</v>
      </c>
      <c r="F2344" s="301">
        <v>500</v>
      </c>
      <c r="G2344" s="168">
        <f t="shared" si="498"/>
        <v>3.2571428571428571</v>
      </c>
      <c r="H2344" s="168">
        <f t="shared" si="499"/>
        <v>6.5142857142857142</v>
      </c>
      <c r="I2344" s="168">
        <f t="shared" si="500"/>
        <v>4.8857142857142852</v>
      </c>
      <c r="J2344" s="168">
        <f t="shared" si="501"/>
        <v>8.1428571428571423</v>
      </c>
      <c r="K2344" s="168">
        <f t="shared" si="502"/>
        <v>8.1428571428571423</v>
      </c>
      <c r="L2344" s="168">
        <f t="shared" si="503"/>
        <v>1.125</v>
      </c>
      <c r="M2344" s="168">
        <f t="shared" si="504"/>
        <v>0</v>
      </c>
      <c r="N2344" s="241" t="s">
        <v>453</v>
      </c>
    </row>
    <row r="2345" spans="1:14" ht="15" customHeight="1">
      <c r="A2345" s="58">
        <v>2344</v>
      </c>
      <c r="B2345" s="331" t="s">
        <v>53</v>
      </c>
      <c r="C2345" s="331" t="s">
        <v>10</v>
      </c>
      <c r="D2345" s="292" t="s">
        <v>4758</v>
      </c>
      <c r="E2345" s="301">
        <v>0</v>
      </c>
      <c r="F2345" s="301">
        <v>300</v>
      </c>
      <c r="G2345" s="168">
        <f t="shared" si="498"/>
        <v>2.1142857142857143</v>
      </c>
      <c r="H2345" s="168">
        <f t="shared" si="499"/>
        <v>4.2285714285714286</v>
      </c>
      <c r="I2345" s="168">
        <f t="shared" si="500"/>
        <v>3.1714285714285713</v>
      </c>
      <c r="J2345" s="168">
        <f t="shared" si="501"/>
        <v>5.2857142857142856</v>
      </c>
      <c r="K2345" s="168">
        <f t="shared" si="502"/>
        <v>5.2857142857142856</v>
      </c>
      <c r="L2345" s="168">
        <f t="shared" si="503"/>
        <v>1.075</v>
      </c>
      <c r="M2345" s="168">
        <f t="shared" si="504"/>
        <v>0</v>
      </c>
      <c r="N2345" s="241" t="s">
        <v>453</v>
      </c>
    </row>
    <row r="2346" spans="1:14" ht="15" customHeight="1">
      <c r="A2346" s="58">
        <v>2345</v>
      </c>
      <c r="B2346" s="331" t="s">
        <v>55</v>
      </c>
      <c r="C2346" s="331" t="s">
        <v>10</v>
      </c>
      <c r="D2346" s="292" t="s">
        <v>4759</v>
      </c>
      <c r="E2346" s="301">
        <v>300</v>
      </c>
      <c r="F2346" s="301">
        <v>0</v>
      </c>
      <c r="G2346" s="168">
        <f t="shared" si="498"/>
        <v>0.4</v>
      </c>
      <c r="H2346" s="168">
        <f t="shared" si="499"/>
        <v>0.8</v>
      </c>
      <c r="I2346" s="168">
        <f t="shared" si="500"/>
        <v>0.6</v>
      </c>
      <c r="J2346" s="168">
        <f t="shared" si="501"/>
        <v>1</v>
      </c>
      <c r="K2346" s="168">
        <f t="shared" si="502"/>
        <v>1</v>
      </c>
      <c r="L2346" s="168">
        <f t="shared" si="503"/>
        <v>1</v>
      </c>
      <c r="M2346" s="168">
        <f t="shared" si="504"/>
        <v>5</v>
      </c>
      <c r="N2346" s="241" t="s">
        <v>453</v>
      </c>
    </row>
    <row r="2347" spans="1:14" ht="15" customHeight="1">
      <c r="A2347" s="58">
        <v>2346</v>
      </c>
      <c r="B2347" s="331" t="s">
        <v>52</v>
      </c>
      <c r="C2347" s="331" t="s">
        <v>10</v>
      </c>
      <c r="D2347" s="292" t="s">
        <v>4760</v>
      </c>
      <c r="E2347" s="301">
        <v>250</v>
      </c>
      <c r="F2347" s="301">
        <v>550</v>
      </c>
      <c r="G2347" s="168">
        <f t="shared" si="498"/>
        <v>3.5428571428571431</v>
      </c>
      <c r="H2347" s="168">
        <f t="shared" si="499"/>
        <v>7.0857142857142863</v>
      </c>
      <c r="I2347" s="168">
        <f t="shared" si="500"/>
        <v>5.3142857142857141</v>
      </c>
      <c r="J2347" s="168">
        <f t="shared" si="501"/>
        <v>8.8571428571428577</v>
      </c>
      <c r="K2347" s="168">
        <f t="shared" si="502"/>
        <v>8.8571428571428577</v>
      </c>
      <c r="L2347" s="168">
        <f t="shared" si="503"/>
        <v>1.1375</v>
      </c>
      <c r="M2347" s="168">
        <f t="shared" si="504"/>
        <v>4.166666666666667</v>
      </c>
      <c r="N2347" s="241" t="s">
        <v>453</v>
      </c>
    </row>
    <row r="2348" spans="1:14" ht="15" customHeight="1">
      <c r="A2348" s="58">
        <v>2347</v>
      </c>
      <c r="B2348" s="331" t="s">
        <v>52</v>
      </c>
      <c r="C2348" s="331" t="s">
        <v>10</v>
      </c>
      <c r="D2348" s="292" t="s">
        <v>4761</v>
      </c>
      <c r="E2348" s="301">
        <v>150</v>
      </c>
      <c r="F2348" s="301">
        <v>0</v>
      </c>
      <c r="G2348" s="168">
        <f t="shared" si="498"/>
        <v>0.4</v>
      </c>
      <c r="H2348" s="168">
        <f t="shared" si="499"/>
        <v>0.8</v>
      </c>
      <c r="I2348" s="168">
        <f t="shared" si="500"/>
        <v>0.6</v>
      </c>
      <c r="J2348" s="168">
        <f t="shared" si="501"/>
        <v>1</v>
      </c>
      <c r="K2348" s="168">
        <f t="shared" si="502"/>
        <v>1</v>
      </c>
      <c r="L2348" s="168">
        <f t="shared" si="503"/>
        <v>1</v>
      </c>
      <c r="M2348" s="168">
        <f t="shared" si="504"/>
        <v>2.5</v>
      </c>
      <c r="N2348" s="241" t="s">
        <v>453</v>
      </c>
    </row>
    <row r="2349" spans="1:14" ht="15" customHeight="1">
      <c r="A2349" s="58">
        <v>2348</v>
      </c>
      <c r="B2349" s="331" t="s">
        <v>52</v>
      </c>
      <c r="C2349" s="331" t="s">
        <v>10</v>
      </c>
      <c r="D2349" s="292" t="s">
        <v>4762</v>
      </c>
      <c r="E2349" s="301">
        <v>420</v>
      </c>
      <c r="F2349" s="301">
        <v>0</v>
      </c>
      <c r="G2349" s="168">
        <f t="shared" si="498"/>
        <v>0.4</v>
      </c>
      <c r="H2349" s="168">
        <f t="shared" si="499"/>
        <v>0.8</v>
      </c>
      <c r="I2349" s="168">
        <f t="shared" si="500"/>
        <v>0.6</v>
      </c>
      <c r="J2349" s="168">
        <f t="shared" si="501"/>
        <v>1</v>
      </c>
      <c r="K2349" s="168">
        <f t="shared" si="502"/>
        <v>1</v>
      </c>
      <c r="L2349" s="168">
        <f t="shared" si="503"/>
        <v>1</v>
      </c>
      <c r="M2349" s="168">
        <f t="shared" si="504"/>
        <v>7</v>
      </c>
      <c r="N2349" s="241" t="s">
        <v>453</v>
      </c>
    </row>
    <row r="2350" spans="1:14" ht="15" customHeight="1">
      <c r="A2350" s="58">
        <v>2349</v>
      </c>
      <c r="B2350" s="331" t="s">
        <v>52</v>
      </c>
      <c r="C2350" s="331" t="s">
        <v>10</v>
      </c>
      <c r="D2350" s="292" t="s">
        <v>4763</v>
      </c>
      <c r="E2350" s="301">
        <v>0</v>
      </c>
      <c r="F2350" s="301">
        <v>400</v>
      </c>
      <c r="G2350" s="168">
        <f t="shared" si="498"/>
        <v>2.6857142857142859</v>
      </c>
      <c r="H2350" s="168">
        <f t="shared" si="499"/>
        <v>5.3714285714285719</v>
      </c>
      <c r="I2350" s="168">
        <f t="shared" si="500"/>
        <v>4.0285714285714285</v>
      </c>
      <c r="J2350" s="168">
        <f t="shared" si="501"/>
        <v>6.7142857142857144</v>
      </c>
      <c r="K2350" s="168">
        <f t="shared" si="502"/>
        <v>6.7142857142857144</v>
      </c>
      <c r="L2350" s="168">
        <f t="shared" si="503"/>
        <v>1.1000000000000001</v>
      </c>
      <c r="M2350" s="168">
        <f t="shared" si="504"/>
        <v>0</v>
      </c>
      <c r="N2350" s="241" t="s">
        <v>453</v>
      </c>
    </row>
    <row r="2351" spans="1:14" ht="15" customHeight="1">
      <c r="A2351" s="58">
        <v>2350</v>
      </c>
      <c r="B2351" s="331" t="s">
        <v>49</v>
      </c>
      <c r="C2351" s="331" t="s">
        <v>10</v>
      </c>
      <c r="D2351" s="292" t="s">
        <v>4764</v>
      </c>
      <c r="E2351" s="301">
        <v>0</v>
      </c>
      <c r="F2351" s="301">
        <v>650</v>
      </c>
      <c r="G2351" s="168">
        <f t="shared" si="498"/>
        <v>4.1142857142857148</v>
      </c>
      <c r="H2351" s="168">
        <f t="shared" si="499"/>
        <v>8.2285714285714295</v>
      </c>
      <c r="I2351" s="168">
        <f t="shared" si="500"/>
        <v>6.1714285714285717</v>
      </c>
      <c r="J2351" s="168">
        <f t="shared" si="501"/>
        <v>10.285714285714286</v>
      </c>
      <c r="K2351" s="168">
        <f t="shared" si="502"/>
        <v>10.285714285714286</v>
      </c>
      <c r="L2351" s="168">
        <f t="shared" si="503"/>
        <v>1.1625000000000001</v>
      </c>
      <c r="M2351" s="168">
        <f t="shared" si="504"/>
        <v>0</v>
      </c>
      <c r="N2351" s="241" t="s">
        <v>453</v>
      </c>
    </row>
    <row r="2352" spans="1:14" ht="15" customHeight="1">
      <c r="A2352" s="58">
        <v>2351</v>
      </c>
      <c r="B2352" s="331" t="s">
        <v>49</v>
      </c>
      <c r="C2352" s="331" t="s">
        <v>10</v>
      </c>
      <c r="D2352" s="292" t="s">
        <v>4765</v>
      </c>
      <c r="E2352" s="301">
        <v>0</v>
      </c>
      <c r="F2352" s="301">
        <v>0</v>
      </c>
      <c r="G2352" s="168">
        <f t="shared" si="498"/>
        <v>0.4</v>
      </c>
      <c r="H2352" s="168">
        <f t="shared" si="499"/>
        <v>0.8</v>
      </c>
      <c r="I2352" s="168">
        <f t="shared" si="500"/>
        <v>0.6</v>
      </c>
      <c r="J2352" s="168">
        <f t="shared" si="501"/>
        <v>1</v>
      </c>
      <c r="K2352" s="168">
        <f t="shared" si="502"/>
        <v>1</v>
      </c>
      <c r="L2352" s="168">
        <f t="shared" si="503"/>
        <v>1</v>
      </c>
      <c r="M2352" s="168">
        <f t="shared" si="504"/>
        <v>0</v>
      </c>
      <c r="N2352" s="241" t="s">
        <v>453</v>
      </c>
    </row>
    <row r="2353" spans="1:14" ht="15" customHeight="1">
      <c r="A2353" s="58">
        <v>2352</v>
      </c>
      <c r="B2353" s="331" t="s">
        <v>53</v>
      </c>
      <c r="C2353" s="331" t="s">
        <v>10</v>
      </c>
      <c r="D2353" s="292" t="s">
        <v>4766</v>
      </c>
      <c r="E2353" s="301">
        <v>0</v>
      </c>
      <c r="F2353" s="301">
        <v>0</v>
      </c>
      <c r="G2353" s="168">
        <f t="shared" si="498"/>
        <v>0.4</v>
      </c>
      <c r="H2353" s="168">
        <f t="shared" si="499"/>
        <v>0.8</v>
      </c>
      <c r="I2353" s="168">
        <f t="shared" si="500"/>
        <v>0.6</v>
      </c>
      <c r="J2353" s="168">
        <f t="shared" si="501"/>
        <v>1</v>
      </c>
      <c r="K2353" s="168">
        <f t="shared" si="502"/>
        <v>1</v>
      </c>
      <c r="L2353" s="168">
        <f t="shared" si="503"/>
        <v>1</v>
      </c>
      <c r="M2353" s="168">
        <f t="shared" si="504"/>
        <v>0</v>
      </c>
      <c r="N2353" s="241" t="s">
        <v>453</v>
      </c>
    </row>
    <row r="2354" spans="1:14" ht="15" customHeight="1">
      <c r="A2354" s="58">
        <v>2353</v>
      </c>
      <c r="B2354" s="331" t="s">
        <v>52</v>
      </c>
      <c r="C2354" s="331" t="s">
        <v>10</v>
      </c>
      <c r="D2354" s="292" t="s">
        <v>4767</v>
      </c>
      <c r="E2354" s="301">
        <v>0</v>
      </c>
      <c r="F2354" s="301">
        <v>0</v>
      </c>
      <c r="G2354" s="168">
        <f t="shared" si="498"/>
        <v>0.4</v>
      </c>
      <c r="H2354" s="168">
        <f t="shared" si="499"/>
        <v>0.8</v>
      </c>
      <c r="I2354" s="168">
        <f t="shared" si="500"/>
        <v>0.6</v>
      </c>
      <c r="J2354" s="168">
        <f t="shared" si="501"/>
        <v>1</v>
      </c>
      <c r="K2354" s="168">
        <f t="shared" si="502"/>
        <v>1</v>
      </c>
      <c r="L2354" s="168">
        <f t="shared" si="503"/>
        <v>1</v>
      </c>
      <c r="M2354" s="168">
        <f t="shared" si="504"/>
        <v>0</v>
      </c>
      <c r="N2354" s="241" t="s">
        <v>453</v>
      </c>
    </row>
    <row r="2355" spans="1:14" ht="15" customHeight="1">
      <c r="A2355" s="58">
        <v>2354</v>
      </c>
      <c r="B2355" s="331" t="s">
        <v>52</v>
      </c>
      <c r="C2355" s="331" t="s">
        <v>10</v>
      </c>
      <c r="D2355" s="292" t="s">
        <v>4768</v>
      </c>
      <c r="E2355" s="301">
        <v>975</v>
      </c>
      <c r="F2355" s="301">
        <v>0</v>
      </c>
      <c r="G2355" s="168">
        <f t="shared" si="498"/>
        <v>0.4</v>
      </c>
      <c r="H2355" s="168">
        <f t="shared" si="499"/>
        <v>0.8</v>
      </c>
      <c r="I2355" s="168">
        <f t="shared" si="500"/>
        <v>0.6</v>
      </c>
      <c r="J2355" s="168">
        <f t="shared" si="501"/>
        <v>1</v>
      </c>
      <c r="K2355" s="168">
        <f t="shared" si="502"/>
        <v>1</v>
      </c>
      <c r="L2355" s="168">
        <f t="shared" si="503"/>
        <v>1</v>
      </c>
      <c r="M2355" s="168">
        <f t="shared" si="504"/>
        <v>16.25</v>
      </c>
      <c r="N2355" s="241" t="s">
        <v>453</v>
      </c>
    </row>
    <row r="2356" spans="1:14" ht="15" customHeight="1">
      <c r="A2356" s="58">
        <v>2355</v>
      </c>
      <c r="B2356" s="331" t="s">
        <v>52</v>
      </c>
      <c r="C2356" s="331" t="s">
        <v>10</v>
      </c>
      <c r="D2356" s="292" t="s">
        <v>4769</v>
      </c>
      <c r="E2356" s="301">
        <v>290</v>
      </c>
      <c r="F2356" s="301">
        <v>0</v>
      </c>
      <c r="G2356" s="168">
        <f t="shared" si="498"/>
        <v>0.4</v>
      </c>
      <c r="H2356" s="168">
        <f t="shared" si="499"/>
        <v>0.8</v>
      </c>
      <c r="I2356" s="168">
        <f t="shared" si="500"/>
        <v>0.6</v>
      </c>
      <c r="J2356" s="168">
        <f t="shared" si="501"/>
        <v>1</v>
      </c>
      <c r="K2356" s="168">
        <f t="shared" si="502"/>
        <v>1</v>
      </c>
      <c r="L2356" s="168">
        <f t="shared" si="503"/>
        <v>1</v>
      </c>
      <c r="M2356" s="168">
        <f t="shared" si="504"/>
        <v>4.833333333333333</v>
      </c>
      <c r="N2356" s="241" t="s">
        <v>453</v>
      </c>
    </row>
    <row r="2357" spans="1:14" ht="15" customHeight="1">
      <c r="A2357" s="58">
        <v>2356</v>
      </c>
      <c r="B2357" s="331" t="s">
        <v>52</v>
      </c>
      <c r="C2357" s="331" t="s">
        <v>10</v>
      </c>
      <c r="D2357" s="292" t="s">
        <v>4770</v>
      </c>
      <c r="E2357" s="301">
        <v>291</v>
      </c>
      <c r="F2357" s="301">
        <v>2447</v>
      </c>
      <c r="G2357" s="168">
        <f t="shared" si="498"/>
        <v>14.382857142857143</v>
      </c>
      <c r="H2357" s="168">
        <f t="shared" si="499"/>
        <v>28.765714285714285</v>
      </c>
      <c r="I2357" s="168">
        <f t="shared" si="500"/>
        <v>21.574285714285711</v>
      </c>
      <c r="J2357" s="168">
        <f t="shared" si="501"/>
        <v>35.957142857142856</v>
      </c>
      <c r="K2357" s="168">
        <f t="shared" si="502"/>
        <v>35.957142857142856</v>
      </c>
      <c r="L2357" s="168">
        <f t="shared" si="503"/>
        <v>1.61175</v>
      </c>
      <c r="M2357" s="168">
        <f t="shared" si="504"/>
        <v>4.8499999999999996</v>
      </c>
      <c r="N2357" s="241" t="s">
        <v>453</v>
      </c>
    </row>
    <row r="2358" spans="1:14" ht="15" customHeight="1">
      <c r="A2358" s="58">
        <v>2357</v>
      </c>
      <c r="B2358" s="331" t="s">
        <v>53</v>
      </c>
      <c r="C2358" s="331" t="s">
        <v>10</v>
      </c>
      <c r="D2358" s="292" t="s">
        <v>4771</v>
      </c>
      <c r="E2358" s="301">
        <v>0</v>
      </c>
      <c r="F2358" s="301">
        <v>2700</v>
      </c>
      <c r="G2358" s="168">
        <f t="shared" si="498"/>
        <v>15.828571428571429</v>
      </c>
      <c r="H2358" s="168">
        <f t="shared" si="499"/>
        <v>31.657142857142858</v>
      </c>
      <c r="I2358" s="168">
        <f t="shared" si="500"/>
        <v>23.74285714285714</v>
      </c>
      <c r="J2358" s="168">
        <f t="shared" si="501"/>
        <v>39.571428571428569</v>
      </c>
      <c r="K2358" s="168">
        <f t="shared" si="502"/>
        <v>39.571428571428569</v>
      </c>
      <c r="L2358" s="168">
        <f t="shared" si="503"/>
        <v>1.675</v>
      </c>
      <c r="M2358" s="168">
        <f t="shared" si="504"/>
        <v>0</v>
      </c>
      <c r="N2358" s="241" t="s">
        <v>453</v>
      </c>
    </row>
    <row r="2359" spans="1:14" ht="15" customHeight="1">
      <c r="A2359" s="58">
        <v>2358</v>
      </c>
      <c r="B2359" s="331" t="s">
        <v>52</v>
      </c>
      <c r="C2359" s="331" t="s">
        <v>10</v>
      </c>
      <c r="D2359" s="292" t="s">
        <v>4772</v>
      </c>
      <c r="E2359" s="301">
        <v>500</v>
      </c>
      <c r="F2359" s="301">
        <v>0</v>
      </c>
      <c r="G2359" s="168">
        <f t="shared" si="498"/>
        <v>0.4</v>
      </c>
      <c r="H2359" s="168">
        <f t="shared" si="499"/>
        <v>0.8</v>
      </c>
      <c r="I2359" s="168">
        <f t="shared" si="500"/>
        <v>0.6</v>
      </c>
      <c r="J2359" s="168">
        <f t="shared" si="501"/>
        <v>1</v>
      </c>
      <c r="K2359" s="168">
        <f t="shared" si="502"/>
        <v>1</v>
      </c>
      <c r="L2359" s="168">
        <f t="shared" si="503"/>
        <v>1</v>
      </c>
      <c r="M2359" s="168">
        <f t="shared" si="504"/>
        <v>8.3333333333333339</v>
      </c>
      <c r="N2359" s="241" t="s">
        <v>453</v>
      </c>
    </row>
    <row r="2360" spans="1:14" ht="15" customHeight="1">
      <c r="A2360" s="58">
        <v>2359</v>
      </c>
      <c r="B2360" s="331" t="s">
        <v>52</v>
      </c>
      <c r="C2360" s="331" t="s">
        <v>10</v>
      </c>
      <c r="D2360" s="292" t="s">
        <v>4773</v>
      </c>
      <c r="E2360" s="301">
        <v>450</v>
      </c>
      <c r="F2360" s="301">
        <v>0</v>
      </c>
      <c r="G2360" s="168">
        <f t="shared" si="498"/>
        <v>0.4</v>
      </c>
      <c r="H2360" s="168">
        <f t="shared" si="499"/>
        <v>0.8</v>
      </c>
      <c r="I2360" s="168">
        <f t="shared" si="500"/>
        <v>0.6</v>
      </c>
      <c r="J2360" s="168">
        <f t="shared" si="501"/>
        <v>1</v>
      </c>
      <c r="K2360" s="168">
        <f t="shared" si="502"/>
        <v>1</v>
      </c>
      <c r="L2360" s="168">
        <f t="shared" si="503"/>
        <v>1</v>
      </c>
      <c r="M2360" s="168">
        <f t="shared" si="504"/>
        <v>7.5</v>
      </c>
      <c r="N2360" s="241" t="s">
        <v>453</v>
      </c>
    </row>
    <row r="2361" spans="1:14" ht="15" customHeight="1">
      <c r="A2361" s="58">
        <v>2360</v>
      </c>
      <c r="B2361" s="331" t="s">
        <v>52</v>
      </c>
      <c r="C2361" s="331" t="s">
        <v>10</v>
      </c>
      <c r="D2361" s="292" t="s">
        <v>4774</v>
      </c>
      <c r="E2361" s="301">
        <v>0</v>
      </c>
      <c r="F2361" s="301">
        <v>0</v>
      </c>
      <c r="G2361" s="168">
        <f t="shared" si="498"/>
        <v>0.4</v>
      </c>
      <c r="H2361" s="168">
        <f t="shared" si="499"/>
        <v>0.8</v>
      </c>
      <c r="I2361" s="168">
        <f t="shared" si="500"/>
        <v>0.6</v>
      </c>
      <c r="J2361" s="168">
        <f t="shared" si="501"/>
        <v>1</v>
      </c>
      <c r="K2361" s="168">
        <f t="shared" si="502"/>
        <v>1</v>
      </c>
      <c r="L2361" s="168">
        <f t="shared" si="503"/>
        <v>1</v>
      </c>
      <c r="M2361" s="168">
        <f t="shared" si="504"/>
        <v>0</v>
      </c>
      <c r="N2361" s="241" t="s">
        <v>453</v>
      </c>
    </row>
    <row r="2362" spans="1:14" ht="15" customHeight="1">
      <c r="A2362" s="58">
        <v>2361</v>
      </c>
      <c r="B2362" s="331" t="s">
        <v>52</v>
      </c>
      <c r="C2362" s="331" t="s">
        <v>10</v>
      </c>
      <c r="D2362" s="292" t="s">
        <v>4775</v>
      </c>
      <c r="E2362" s="301">
        <v>101</v>
      </c>
      <c r="F2362" s="301">
        <v>0</v>
      </c>
      <c r="G2362" s="168">
        <f t="shared" si="498"/>
        <v>0.4</v>
      </c>
      <c r="H2362" s="168">
        <f t="shared" si="499"/>
        <v>0.8</v>
      </c>
      <c r="I2362" s="168">
        <f t="shared" si="500"/>
        <v>0.6</v>
      </c>
      <c r="J2362" s="168">
        <f t="shared" si="501"/>
        <v>1</v>
      </c>
      <c r="K2362" s="168">
        <f t="shared" si="502"/>
        <v>1</v>
      </c>
      <c r="L2362" s="168">
        <f t="shared" si="503"/>
        <v>1</v>
      </c>
      <c r="M2362" s="168">
        <f t="shared" si="504"/>
        <v>1.6833333333333333</v>
      </c>
      <c r="N2362" s="241" t="s">
        <v>453</v>
      </c>
    </row>
    <row r="2363" spans="1:14" ht="15" customHeight="1">
      <c r="A2363" s="58">
        <v>2362</v>
      </c>
      <c r="B2363" s="331" t="s">
        <v>52</v>
      </c>
      <c r="C2363" s="331" t="s">
        <v>10</v>
      </c>
      <c r="D2363" s="292" t="s">
        <v>4776</v>
      </c>
      <c r="E2363" s="301">
        <v>0</v>
      </c>
      <c r="F2363" s="301">
        <v>0</v>
      </c>
      <c r="G2363" s="168">
        <f t="shared" si="498"/>
        <v>0.4</v>
      </c>
      <c r="H2363" s="168">
        <f t="shared" si="499"/>
        <v>0.8</v>
      </c>
      <c r="I2363" s="168">
        <f t="shared" si="500"/>
        <v>0.6</v>
      </c>
      <c r="J2363" s="168">
        <f t="shared" si="501"/>
        <v>1</v>
      </c>
      <c r="K2363" s="168">
        <f t="shared" si="502"/>
        <v>1</v>
      </c>
      <c r="L2363" s="168">
        <f t="shared" si="503"/>
        <v>1</v>
      </c>
      <c r="M2363" s="168">
        <f t="shared" si="504"/>
        <v>0</v>
      </c>
      <c r="N2363" s="241" t="s">
        <v>453</v>
      </c>
    </row>
    <row r="2364" spans="1:14" ht="15" customHeight="1">
      <c r="A2364" s="58">
        <v>2363</v>
      </c>
      <c r="B2364" s="331" t="s">
        <v>52</v>
      </c>
      <c r="C2364" s="331" t="s">
        <v>10</v>
      </c>
      <c r="D2364" s="292" t="s">
        <v>4777</v>
      </c>
      <c r="E2364" s="301">
        <v>942</v>
      </c>
      <c r="F2364" s="301">
        <v>0</v>
      </c>
      <c r="G2364" s="168">
        <f t="shared" si="498"/>
        <v>0.4</v>
      </c>
      <c r="H2364" s="168">
        <f t="shared" si="499"/>
        <v>0.8</v>
      </c>
      <c r="I2364" s="168">
        <f t="shared" si="500"/>
        <v>0.6</v>
      </c>
      <c r="J2364" s="168">
        <f t="shared" si="501"/>
        <v>1</v>
      </c>
      <c r="K2364" s="168">
        <f t="shared" si="502"/>
        <v>1</v>
      </c>
      <c r="L2364" s="168">
        <f t="shared" si="503"/>
        <v>1</v>
      </c>
      <c r="M2364" s="168">
        <f t="shared" si="504"/>
        <v>15.7</v>
      </c>
      <c r="N2364" s="241" t="s">
        <v>453</v>
      </c>
    </row>
    <row r="2365" spans="1:14" ht="15" customHeight="1">
      <c r="A2365" s="58">
        <v>2364</v>
      </c>
      <c r="B2365" s="331" t="s">
        <v>52</v>
      </c>
      <c r="C2365" s="331" t="s">
        <v>10</v>
      </c>
      <c r="D2365" s="292" t="s">
        <v>4778</v>
      </c>
      <c r="E2365" s="301">
        <v>407</v>
      </c>
      <c r="F2365" s="301">
        <v>0</v>
      </c>
      <c r="G2365" s="168">
        <f t="shared" si="498"/>
        <v>0.4</v>
      </c>
      <c r="H2365" s="168">
        <f t="shared" si="499"/>
        <v>0.8</v>
      </c>
      <c r="I2365" s="168">
        <f t="shared" si="500"/>
        <v>0.6</v>
      </c>
      <c r="J2365" s="168">
        <f t="shared" si="501"/>
        <v>1</v>
      </c>
      <c r="K2365" s="168">
        <f t="shared" si="502"/>
        <v>1</v>
      </c>
      <c r="L2365" s="168">
        <f t="shared" si="503"/>
        <v>1</v>
      </c>
      <c r="M2365" s="168">
        <f t="shared" si="504"/>
        <v>6.7833333333333332</v>
      </c>
      <c r="N2365" s="241" t="s">
        <v>453</v>
      </c>
    </row>
    <row r="2366" spans="1:14" ht="15" customHeight="1">
      <c r="A2366" s="58">
        <v>2365</v>
      </c>
      <c r="B2366" s="331" t="s">
        <v>52</v>
      </c>
      <c r="C2366" s="331" t="s">
        <v>10</v>
      </c>
      <c r="D2366" s="292" t="s">
        <v>4779</v>
      </c>
      <c r="E2366" s="301">
        <v>350</v>
      </c>
      <c r="F2366" s="301">
        <v>625</v>
      </c>
      <c r="G2366" s="168">
        <f t="shared" si="498"/>
        <v>3.9714285714285715</v>
      </c>
      <c r="H2366" s="168">
        <f t="shared" si="499"/>
        <v>7.9428571428571431</v>
      </c>
      <c r="I2366" s="168">
        <f t="shared" si="500"/>
        <v>5.9571428571428573</v>
      </c>
      <c r="J2366" s="168">
        <f t="shared" si="501"/>
        <v>9.9285714285714288</v>
      </c>
      <c r="K2366" s="168">
        <f t="shared" si="502"/>
        <v>9.9285714285714288</v>
      </c>
      <c r="L2366" s="168">
        <f t="shared" si="503"/>
        <v>1.15625</v>
      </c>
      <c r="M2366" s="168">
        <f t="shared" si="504"/>
        <v>5.833333333333333</v>
      </c>
      <c r="N2366" s="241" t="s">
        <v>453</v>
      </c>
    </row>
    <row r="2367" spans="1:14" ht="15" customHeight="1">
      <c r="A2367" s="58">
        <v>2366</v>
      </c>
      <c r="B2367" s="331" t="s">
        <v>49</v>
      </c>
      <c r="C2367" s="331" t="s">
        <v>10</v>
      </c>
      <c r="D2367" s="292" t="s">
        <v>4780</v>
      </c>
      <c r="E2367" s="301">
        <v>0</v>
      </c>
      <c r="F2367" s="301">
        <v>500</v>
      </c>
      <c r="G2367" s="168">
        <f t="shared" si="498"/>
        <v>3.2571428571428571</v>
      </c>
      <c r="H2367" s="168">
        <f t="shared" si="499"/>
        <v>6.5142857142857142</v>
      </c>
      <c r="I2367" s="168">
        <f t="shared" si="500"/>
        <v>4.8857142857142852</v>
      </c>
      <c r="J2367" s="168">
        <f t="shared" si="501"/>
        <v>8.1428571428571423</v>
      </c>
      <c r="K2367" s="168">
        <f t="shared" si="502"/>
        <v>8.1428571428571423</v>
      </c>
      <c r="L2367" s="168">
        <f t="shared" si="503"/>
        <v>1.125</v>
      </c>
      <c r="M2367" s="168">
        <f t="shared" si="504"/>
        <v>0</v>
      </c>
      <c r="N2367" s="241" t="s">
        <v>453</v>
      </c>
    </row>
    <row r="2368" spans="1:14" ht="15" customHeight="1">
      <c r="A2368" s="58">
        <v>2367</v>
      </c>
      <c r="B2368" s="331" t="s">
        <v>52</v>
      </c>
      <c r="C2368" s="331" t="s">
        <v>10</v>
      </c>
      <c r="D2368" s="292" t="s">
        <v>4781</v>
      </c>
      <c r="E2368" s="301">
        <v>360</v>
      </c>
      <c r="F2368" s="301">
        <v>0</v>
      </c>
      <c r="G2368" s="168">
        <f t="shared" si="498"/>
        <v>0.4</v>
      </c>
      <c r="H2368" s="168">
        <f t="shared" si="499"/>
        <v>0.8</v>
      </c>
      <c r="I2368" s="168">
        <f t="shared" si="500"/>
        <v>0.6</v>
      </c>
      <c r="J2368" s="168">
        <f t="shared" si="501"/>
        <v>1</v>
      </c>
      <c r="K2368" s="168">
        <f t="shared" si="502"/>
        <v>1</v>
      </c>
      <c r="L2368" s="168">
        <f t="shared" si="503"/>
        <v>1</v>
      </c>
      <c r="M2368" s="168">
        <f t="shared" si="504"/>
        <v>6</v>
      </c>
      <c r="N2368" s="241" t="s">
        <v>453</v>
      </c>
    </row>
    <row r="2369" spans="1:14" ht="15" customHeight="1">
      <c r="A2369" s="58">
        <v>2368</v>
      </c>
      <c r="B2369" s="331" t="s">
        <v>52</v>
      </c>
      <c r="C2369" s="331" t="s">
        <v>10</v>
      </c>
      <c r="D2369" s="292" t="s">
        <v>4782</v>
      </c>
      <c r="E2369" s="301">
        <v>300</v>
      </c>
      <c r="F2369" s="301">
        <v>0</v>
      </c>
      <c r="G2369" s="168">
        <f t="shared" si="498"/>
        <v>0.4</v>
      </c>
      <c r="H2369" s="168">
        <f t="shared" si="499"/>
        <v>0.8</v>
      </c>
      <c r="I2369" s="168">
        <f t="shared" si="500"/>
        <v>0.6</v>
      </c>
      <c r="J2369" s="168">
        <f t="shared" si="501"/>
        <v>1</v>
      </c>
      <c r="K2369" s="168">
        <f t="shared" si="502"/>
        <v>1</v>
      </c>
      <c r="L2369" s="168">
        <f t="shared" si="503"/>
        <v>1</v>
      </c>
      <c r="M2369" s="168">
        <f t="shared" si="504"/>
        <v>5</v>
      </c>
      <c r="N2369" s="241" t="s">
        <v>453</v>
      </c>
    </row>
    <row r="2370" spans="1:14" ht="15" customHeight="1">
      <c r="A2370" s="58">
        <v>2369</v>
      </c>
      <c r="B2370" s="331" t="s">
        <v>52</v>
      </c>
      <c r="C2370" s="331" t="s">
        <v>10</v>
      </c>
      <c r="D2370" s="292" t="s">
        <v>4783</v>
      </c>
      <c r="E2370" s="301">
        <v>424</v>
      </c>
      <c r="F2370" s="301">
        <v>0</v>
      </c>
      <c r="G2370" s="168">
        <f t="shared" si="498"/>
        <v>0.4</v>
      </c>
      <c r="H2370" s="168">
        <f t="shared" si="499"/>
        <v>0.8</v>
      </c>
      <c r="I2370" s="168">
        <f t="shared" si="500"/>
        <v>0.6</v>
      </c>
      <c r="J2370" s="168">
        <f t="shared" si="501"/>
        <v>1</v>
      </c>
      <c r="K2370" s="168">
        <f t="shared" si="502"/>
        <v>1</v>
      </c>
      <c r="L2370" s="168">
        <f t="shared" si="503"/>
        <v>1</v>
      </c>
      <c r="M2370" s="168">
        <f t="shared" si="504"/>
        <v>7.0666666666666664</v>
      </c>
      <c r="N2370" s="241" t="s">
        <v>453</v>
      </c>
    </row>
    <row r="2371" spans="1:14" ht="15" customHeight="1">
      <c r="A2371" s="58">
        <v>2370</v>
      </c>
      <c r="B2371" s="331" t="s">
        <v>52</v>
      </c>
      <c r="C2371" s="331" t="s">
        <v>10</v>
      </c>
      <c r="D2371" s="292" t="s">
        <v>4784</v>
      </c>
      <c r="E2371" s="301">
        <v>200</v>
      </c>
      <c r="F2371" s="301">
        <v>0</v>
      </c>
      <c r="G2371" s="168">
        <f t="shared" si="498"/>
        <v>0.4</v>
      </c>
      <c r="H2371" s="168">
        <f t="shared" si="499"/>
        <v>0.8</v>
      </c>
      <c r="I2371" s="168">
        <f t="shared" si="500"/>
        <v>0.6</v>
      </c>
      <c r="J2371" s="168">
        <f t="shared" si="501"/>
        <v>1</v>
      </c>
      <c r="K2371" s="168">
        <f t="shared" si="502"/>
        <v>1</v>
      </c>
      <c r="L2371" s="168">
        <f t="shared" si="503"/>
        <v>1</v>
      </c>
      <c r="M2371" s="168">
        <f t="shared" si="504"/>
        <v>3.3333333333333335</v>
      </c>
      <c r="N2371" s="241" t="s">
        <v>453</v>
      </c>
    </row>
    <row r="2372" spans="1:14" ht="15" customHeight="1">
      <c r="A2372" s="58">
        <v>2371</v>
      </c>
      <c r="B2372" s="331" t="s">
        <v>52</v>
      </c>
      <c r="C2372" s="331" t="s">
        <v>10</v>
      </c>
      <c r="D2372" s="292" t="s">
        <v>4785</v>
      </c>
      <c r="E2372" s="301">
        <v>90</v>
      </c>
      <c r="F2372" s="301">
        <v>0</v>
      </c>
      <c r="G2372" s="168">
        <f t="shared" si="498"/>
        <v>0.4</v>
      </c>
      <c r="H2372" s="168">
        <f t="shared" si="499"/>
        <v>0.8</v>
      </c>
      <c r="I2372" s="168">
        <f t="shared" si="500"/>
        <v>0.6</v>
      </c>
      <c r="J2372" s="168">
        <f t="shared" si="501"/>
        <v>1</v>
      </c>
      <c r="K2372" s="168">
        <f t="shared" si="502"/>
        <v>1</v>
      </c>
      <c r="L2372" s="168">
        <f t="shared" si="503"/>
        <v>1</v>
      </c>
      <c r="M2372" s="168">
        <f t="shared" si="504"/>
        <v>1.5</v>
      </c>
      <c r="N2372" s="241" t="s">
        <v>453</v>
      </c>
    </row>
    <row r="2373" spans="1:14" ht="15" customHeight="1">
      <c r="A2373" s="58">
        <v>2372</v>
      </c>
      <c r="B2373" s="331" t="s">
        <v>52</v>
      </c>
      <c r="C2373" s="331" t="s">
        <v>10</v>
      </c>
      <c r="D2373" s="292" t="s">
        <v>4786</v>
      </c>
      <c r="E2373" s="301">
        <v>85</v>
      </c>
      <c r="F2373" s="301">
        <v>0</v>
      </c>
      <c r="G2373" s="168">
        <f t="shared" si="498"/>
        <v>0.4</v>
      </c>
      <c r="H2373" s="168">
        <f t="shared" si="499"/>
        <v>0.8</v>
      </c>
      <c r="I2373" s="168">
        <f t="shared" si="500"/>
        <v>0.6</v>
      </c>
      <c r="J2373" s="168">
        <f t="shared" si="501"/>
        <v>1</v>
      </c>
      <c r="K2373" s="168">
        <f t="shared" si="502"/>
        <v>1</v>
      </c>
      <c r="L2373" s="168">
        <f t="shared" si="503"/>
        <v>1</v>
      </c>
      <c r="M2373" s="168">
        <f t="shared" si="504"/>
        <v>1.4166666666666667</v>
      </c>
      <c r="N2373" s="241" t="s">
        <v>453</v>
      </c>
    </row>
    <row r="2374" spans="1:14" ht="15" customHeight="1">
      <c r="A2374" s="58">
        <v>2373</v>
      </c>
      <c r="B2374" s="331" t="s">
        <v>52</v>
      </c>
      <c r="C2374" s="331" t="s">
        <v>10</v>
      </c>
      <c r="D2374" s="292" t="s">
        <v>4787</v>
      </c>
      <c r="E2374" s="301">
        <v>124</v>
      </c>
      <c r="F2374" s="301">
        <v>0</v>
      </c>
      <c r="G2374" s="168">
        <f t="shared" si="498"/>
        <v>0.4</v>
      </c>
      <c r="H2374" s="168">
        <f t="shared" si="499"/>
        <v>0.8</v>
      </c>
      <c r="I2374" s="168">
        <f t="shared" si="500"/>
        <v>0.6</v>
      </c>
      <c r="J2374" s="168">
        <f t="shared" si="501"/>
        <v>1</v>
      </c>
      <c r="K2374" s="168">
        <f t="shared" si="502"/>
        <v>1</v>
      </c>
      <c r="L2374" s="168">
        <f t="shared" si="503"/>
        <v>1</v>
      </c>
      <c r="M2374" s="168">
        <f t="shared" si="504"/>
        <v>2.0666666666666669</v>
      </c>
      <c r="N2374" s="241" t="s">
        <v>453</v>
      </c>
    </row>
    <row r="2375" spans="1:14" ht="15" customHeight="1">
      <c r="A2375" s="58">
        <v>2374</v>
      </c>
      <c r="B2375" s="331" t="s">
        <v>52</v>
      </c>
      <c r="C2375" s="331" t="s">
        <v>10</v>
      </c>
      <c r="D2375" s="292" t="s">
        <v>4788</v>
      </c>
      <c r="E2375" s="301">
        <v>0</v>
      </c>
      <c r="F2375" s="301">
        <v>0</v>
      </c>
      <c r="G2375" s="168">
        <f t="shared" ref="G2375:G2420" si="505">(((F2375/70)+1)*0.4)</f>
        <v>0.4</v>
      </c>
      <c r="H2375" s="168">
        <f t="shared" ref="H2375:H2420" si="506">G2375*2</f>
        <v>0.8</v>
      </c>
      <c r="I2375" s="168">
        <f t="shared" ref="I2375:I2420" si="507">(((F2375/70)+1)*0.6)</f>
        <v>0.6</v>
      </c>
      <c r="J2375" s="168">
        <f t="shared" ref="J2375:J2420" si="508">I2375+G2375</f>
        <v>1</v>
      </c>
      <c r="K2375" s="168">
        <f t="shared" ref="K2375:K2420" si="509">J2375</f>
        <v>1</v>
      </c>
      <c r="L2375" s="168">
        <f t="shared" ref="L2375:L2420" si="510">(F2375/4000)+1</f>
        <v>1</v>
      </c>
      <c r="M2375" s="168">
        <f t="shared" ref="M2375:M2420" si="511">E2375/60</f>
        <v>0</v>
      </c>
      <c r="N2375" s="241" t="s">
        <v>453</v>
      </c>
    </row>
    <row r="2376" spans="1:14" ht="15" customHeight="1">
      <c r="A2376" s="58">
        <v>2375</v>
      </c>
      <c r="B2376" s="331" t="s">
        <v>53</v>
      </c>
      <c r="C2376" s="331" t="s">
        <v>10</v>
      </c>
      <c r="D2376" s="292" t="s">
        <v>4789</v>
      </c>
      <c r="E2376" s="301">
        <v>0</v>
      </c>
      <c r="F2376" s="301">
        <v>236</v>
      </c>
      <c r="G2376" s="168">
        <f t="shared" si="505"/>
        <v>1.7485714285714289</v>
      </c>
      <c r="H2376" s="168">
        <f t="shared" si="506"/>
        <v>3.4971428571428578</v>
      </c>
      <c r="I2376" s="168">
        <f t="shared" si="507"/>
        <v>2.6228571428571432</v>
      </c>
      <c r="J2376" s="168">
        <f t="shared" si="508"/>
        <v>4.3714285714285719</v>
      </c>
      <c r="K2376" s="168">
        <f t="shared" si="509"/>
        <v>4.3714285714285719</v>
      </c>
      <c r="L2376" s="168">
        <f t="shared" si="510"/>
        <v>1.0589999999999999</v>
      </c>
      <c r="M2376" s="168">
        <f t="shared" si="511"/>
        <v>0</v>
      </c>
      <c r="N2376" s="241" t="s">
        <v>453</v>
      </c>
    </row>
    <row r="2377" spans="1:14" ht="15" customHeight="1">
      <c r="A2377" s="58">
        <v>2376</v>
      </c>
      <c r="B2377" s="331" t="s">
        <v>52</v>
      </c>
      <c r="C2377" s="331" t="s">
        <v>10</v>
      </c>
      <c r="D2377" s="292" t="s">
        <v>4792</v>
      </c>
      <c r="E2377" s="301">
        <v>88</v>
      </c>
      <c r="F2377" s="301">
        <v>0</v>
      </c>
      <c r="G2377" s="168">
        <f t="shared" si="505"/>
        <v>0.4</v>
      </c>
      <c r="H2377" s="168">
        <f t="shared" si="506"/>
        <v>0.8</v>
      </c>
      <c r="I2377" s="168">
        <f t="shared" si="507"/>
        <v>0.6</v>
      </c>
      <c r="J2377" s="168">
        <f t="shared" si="508"/>
        <v>1</v>
      </c>
      <c r="K2377" s="168">
        <f t="shared" si="509"/>
        <v>1</v>
      </c>
      <c r="L2377" s="168">
        <f t="shared" si="510"/>
        <v>1</v>
      </c>
      <c r="M2377" s="168">
        <f t="shared" si="511"/>
        <v>1.4666666666666666</v>
      </c>
      <c r="N2377" s="241" t="s">
        <v>453</v>
      </c>
    </row>
    <row r="2378" spans="1:14" ht="15" customHeight="1">
      <c r="A2378" s="58">
        <v>2377</v>
      </c>
      <c r="B2378" s="331" t="s">
        <v>52</v>
      </c>
      <c r="C2378" s="331" t="s">
        <v>10</v>
      </c>
      <c r="D2378" s="292" t="s">
        <v>4793</v>
      </c>
      <c r="E2378" s="301">
        <v>90</v>
      </c>
      <c r="F2378" s="301">
        <v>0</v>
      </c>
      <c r="G2378" s="168">
        <f t="shared" si="505"/>
        <v>0.4</v>
      </c>
      <c r="H2378" s="168">
        <f t="shared" si="506"/>
        <v>0.8</v>
      </c>
      <c r="I2378" s="168">
        <f t="shared" si="507"/>
        <v>0.6</v>
      </c>
      <c r="J2378" s="168">
        <f t="shared" si="508"/>
        <v>1</v>
      </c>
      <c r="K2378" s="168">
        <f t="shared" si="509"/>
        <v>1</v>
      </c>
      <c r="L2378" s="168">
        <f t="shared" si="510"/>
        <v>1</v>
      </c>
      <c r="M2378" s="168">
        <f t="shared" si="511"/>
        <v>1.5</v>
      </c>
      <c r="N2378" s="241" t="s">
        <v>453</v>
      </c>
    </row>
    <row r="2379" spans="1:14" ht="15" customHeight="1">
      <c r="A2379" s="58">
        <v>2378</v>
      </c>
      <c r="B2379" s="331" t="s">
        <v>51</v>
      </c>
      <c r="C2379" s="331" t="s">
        <v>10</v>
      </c>
      <c r="D2379" s="292" t="s">
        <v>4794</v>
      </c>
      <c r="E2379" s="301">
        <v>495</v>
      </c>
      <c r="F2379" s="301">
        <v>0</v>
      </c>
      <c r="G2379" s="168">
        <f t="shared" si="505"/>
        <v>0.4</v>
      </c>
      <c r="H2379" s="168">
        <f t="shared" si="506"/>
        <v>0.8</v>
      </c>
      <c r="I2379" s="168">
        <f t="shared" si="507"/>
        <v>0.6</v>
      </c>
      <c r="J2379" s="168">
        <f t="shared" si="508"/>
        <v>1</v>
      </c>
      <c r="K2379" s="168">
        <f t="shared" si="509"/>
        <v>1</v>
      </c>
      <c r="L2379" s="168">
        <f t="shared" si="510"/>
        <v>1</v>
      </c>
      <c r="M2379" s="168">
        <f t="shared" si="511"/>
        <v>8.25</v>
      </c>
      <c r="N2379" s="241" t="s">
        <v>453</v>
      </c>
    </row>
    <row r="2380" spans="1:14" ht="15" customHeight="1">
      <c r="A2380" s="58">
        <v>2379</v>
      </c>
      <c r="B2380" s="331" t="s">
        <v>52</v>
      </c>
      <c r="C2380" s="331" t="s">
        <v>10</v>
      </c>
      <c r="D2380" s="292" t="s">
        <v>4795</v>
      </c>
      <c r="E2380" s="301">
        <v>300</v>
      </c>
      <c r="F2380" s="301">
        <v>0</v>
      </c>
      <c r="G2380" s="168">
        <f t="shared" si="505"/>
        <v>0.4</v>
      </c>
      <c r="H2380" s="168">
        <f t="shared" si="506"/>
        <v>0.8</v>
      </c>
      <c r="I2380" s="168">
        <f t="shared" si="507"/>
        <v>0.6</v>
      </c>
      <c r="J2380" s="168">
        <f t="shared" si="508"/>
        <v>1</v>
      </c>
      <c r="K2380" s="168">
        <f t="shared" si="509"/>
        <v>1</v>
      </c>
      <c r="L2380" s="168">
        <f t="shared" si="510"/>
        <v>1</v>
      </c>
      <c r="M2380" s="168">
        <f t="shared" si="511"/>
        <v>5</v>
      </c>
      <c r="N2380" s="241" t="s">
        <v>453</v>
      </c>
    </row>
    <row r="2381" spans="1:14" ht="15" customHeight="1">
      <c r="A2381" s="58">
        <v>2380</v>
      </c>
      <c r="B2381" s="331" t="s">
        <v>52</v>
      </c>
      <c r="C2381" s="331" t="s">
        <v>10</v>
      </c>
      <c r="D2381" s="292" t="s">
        <v>4790</v>
      </c>
      <c r="E2381" s="301">
        <v>235</v>
      </c>
      <c r="F2381" s="301">
        <v>0</v>
      </c>
      <c r="G2381" s="168">
        <f t="shared" si="505"/>
        <v>0.4</v>
      </c>
      <c r="H2381" s="168">
        <f t="shared" si="506"/>
        <v>0.8</v>
      </c>
      <c r="I2381" s="168">
        <f t="shared" si="507"/>
        <v>0.6</v>
      </c>
      <c r="J2381" s="168">
        <f t="shared" si="508"/>
        <v>1</v>
      </c>
      <c r="K2381" s="168">
        <f t="shared" si="509"/>
        <v>1</v>
      </c>
      <c r="L2381" s="168">
        <f t="shared" si="510"/>
        <v>1</v>
      </c>
      <c r="M2381" s="168">
        <f t="shared" si="511"/>
        <v>3.9166666666666665</v>
      </c>
      <c r="N2381" s="241" t="s">
        <v>453</v>
      </c>
    </row>
    <row r="2382" spans="1:14" ht="15" customHeight="1">
      <c r="A2382" s="58">
        <v>2381</v>
      </c>
      <c r="B2382" s="331" t="s">
        <v>52</v>
      </c>
      <c r="C2382" s="331" t="s">
        <v>10</v>
      </c>
      <c r="D2382" s="292" t="s">
        <v>4791</v>
      </c>
      <c r="E2382" s="301">
        <v>73</v>
      </c>
      <c r="F2382" s="301">
        <v>0</v>
      </c>
      <c r="G2382" s="168">
        <f t="shared" si="505"/>
        <v>0.4</v>
      </c>
      <c r="H2382" s="168">
        <f t="shared" si="506"/>
        <v>0.8</v>
      </c>
      <c r="I2382" s="168">
        <f t="shared" si="507"/>
        <v>0.6</v>
      </c>
      <c r="J2382" s="168">
        <f t="shared" si="508"/>
        <v>1</v>
      </c>
      <c r="K2382" s="168">
        <f t="shared" si="509"/>
        <v>1</v>
      </c>
      <c r="L2382" s="168">
        <f t="shared" si="510"/>
        <v>1</v>
      </c>
      <c r="M2382" s="168">
        <f t="shared" si="511"/>
        <v>1.2166666666666666</v>
      </c>
      <c r="N2382" s="241" t="s">
        <v>453</v>
      </c>
    </row>
    <row r="2383" spans="1:14" ht="15" customHeight="1">
      <c r="A2383" s="58">
        <v>2382</v>
      </c>
      <c r="B2383" s="331" t="s">
        <v>52</v>
      </c>
      <c r="C2383" s="331" t="s">
        <v>10</v>
      </c>
      <c r="D2383" s="292" t="s">
        <v>4816</v>
      </c>
      <c r="E2383" s="301">
        <v>88</v>
      </c>
      <c r="F2383" s="301">
        <v>0</v>
      </c>
      <c r="G2383" s="168">
        <f t="shared" si="505"/>
        <v>0.4</v>
      </c>
      <c r="H2383" s="168">
        <f t="shared" si="506"/>
        <v>0.8</v>
      </c>
      <c r="I2383" s="168">
        <f t="shared" si="507"/>
        <v>0.6</v>
      </c>
      <c r="J2383" s="168">
        <f t="shared" si="508"/>
        <v>1</v>
      </c>
      <c r="K2383" s="168">
        <f t="shared" si="509"/>
        <v>1</v>
      </c>
      <c r="L2383" s="168">
        <f t="shared" si="510"/>
        <v>1</v>
      </c>
      <c r="M2383" s="168">
        <f t="shared" si="511"/>
        <v>1.4666666666666666</v>
      </c>
      <c r="N2383" s="241" t="s">
        <v>453</v>
      </c>
    </row>
    <row r="2384" spans="1:14" ht="15" customHeight="1">
      <c r="A2384" s="58">
        <v>2383</v>
      </c>
      <c r="B2384" s="331" t="s">
        <v>52</v>
      </c>
      <c r="C2384" s="331" t="s">
        <v>10</v>
      </c>
      <c r="D2384" s="292" t="s">
        <v>4817</v>
      </c>
      <c r="E2384" s="301">
        <v>495</v>
      </c>
      <c r="F2384" s="301">
        <v>0</v>
      </c>
      <c r="G2384" s="168">
        <f t="shared" si="505"/>
        <v>0.4</v>
      </c>
      <c r="H2384" s="168">
        <f t="shared" si="506"/>
        <v>0.8</v>
      </c>
      <c r="I2384" s="168">
        <f t="shared" si="507"/>
        <v>0.6</v>
      </c>
      <c r="J2384" s="168">
        <f t="shared" si="508"/>
        <v>1</v>
      </c>
      <c r="K2384" s="168">
        <f t="shared" si="509"/>
        <v>1</v>
      </c>
      <c r="L2384" s="168">
        <f t="shared" si="510"/>
        <v>1</v>
      </c>
      <c r="M2384" s="168">
        <f t="shared" si="511"/>
        <v>8.25</v>
      </c>
      <c r="N2384" s="241" t="s">
        <v>453</v>
      </c>
    </row>
    <row r="2385" spans="1:14" ht="15" customHeight="1">
      <c r="A2385" s="58">
        <v>2384</v>
      </c>
      <c r="B2385" s="331" t="s">
        <v>52</v>
      </c>
      <c r="C2385" s="331" t="s">
        <v>10</v>
      </c>
      <c r="D2385" s="292" t="s">
        <v>4819</v>
      </c>
      <c r="E2385" s="301">
        <v>300</v>
      </c>
      <c r="F2385" s="301">
        <v>0</v>
      </c>
      <c r="G2385" s="168">
        <f t="shared" si="505"/>
        <v>0.4</v>
      </c>
      <c r="H2385" s="168">
        <f t="shared" si="506"/>
        <v>0.8</v>
      </c>
      <c r="I2385" s="168">
        <f t="shared" si="507"/>
        <v>0.6</v>
      </c>
      <c r="J2385" s="168">
        <f t="shared" si="508"/>
        <v>1</v>
      </c>
      <c r="K2385" s="168">
        <f t="shared" si="509"/>
        <v>1</v>
      </c>
      <c r="L2385" s="168">
        <f t="shared" si="510"/>
        <v>1</v>
      </c>
      <c r="M2385" s="168">
        <f t="shared" si="511"/>
        <v>5</v>
      </c>
      <c r="N2385" s="241" t="s">
        <v>453</v>
      </c>
    </row>
    <row r="2386" spans="1:14" ht="15" customHeight="1">
      <c r="A2386" s="58">
        <v>2385</v>
      </c>
      <c r="B2386" s="331" t="s">
        <v>52</v>
      </c>
      <c r="C2386" s="331" t="s">
        <v>10</v>
      </c>
      <c r="D2386" s="292" t="s">
        <v>4820</v>
      </c>
      <c r="E2386" s="301">
        <v>106</v>
      </c>
      <c r="F2386" s="301">
        <v>0</v>
      </c>
      <c r="G2386" s="168">
        <f t="shared" si="505"/>
        <v>0.4</v>
      </c>
      <c r="H2386" s="168">
        <f t="shared" si="506"/>
        <v>0.8</v>
      </c>
      <c r="I2386" s="168">
        <f t="shared" si="507"/>
        <v>0.6</v>
      </c>
      <c r="J2386" s="168">
        <f t="shared" si="508"/>
        <v>1</v>
      </c>
      <c r="K2386" s="168">
        <f t="shared" si="509"/>
        <v>1</v>
      </c>
      <c r="L2386" s="168">
        <f t="shared" si="510"/>
        <v>1</v>
      </c>
      <c r="M2386" s="168">
        <f t="shared" si="511"/>
        <v>1.7666666666666666</v>
      </c>
      <c r="N2386" s="241" t="s">
        <v>453</v>
      </c>
    </row>
    <row r="2387" spans="1:14" ht="15" customHeight="1">
      <c r="A2387" s="58">
        <v>2386</v>
      </c>
      <c r="B2387" s="331" t="s">
        <v>52</v>
      </c>
      <c r="C2387" s="331" t="s">
        <v>10</v>
      </c>
      <c r="D2387" s="292" t="s">
        <v>4822</v>
      </c>
      <c r="E2387" s="301">
        <v>459</v>
      </c>
      <c r="F2387" s="301">
        <v>0</v>
      </c>
      <c r="G2387" s="168">
        <f t="shared" si="505"/>
        <v>0.4</v>
      </c>
      <c r="H2387" s="168">
        <f t="shared" si="506"/>
        <v>0.8</v>
      </c>
      <c r="I2387" s="168">
        <f t="shared" si="507"/>
        <v>0.6</v>
      </c>
      <c r="J2387" s="168">
        <f t="shared" si="508"/>
        <v>1</v>
      </c>
      <c r="K2387" s="168">
        <f t="shared" si="509"/>
        <v>1</v>
      </c>
      <c r="L2387" s="168">
        <f t="shared" si="510"/>
        <v>1</v>
      </c>
      <c r="M2387" s="168">
        <f t="shared" si="511"/>
        <v>7.65</v>
      </c>
      <c r="N2387" s="241" t="s">
        <v>453</v>
      </c>
    </row>
    <row r="2388" spans="1:14" ht="15" customHeight="1">
      <c r="A2388" s="58">
        <v>2387</v>
      </c>
      <c r="B2388" s="331" t="s">
        <v>52</v>
      </c>
      <c r="C2388" s="331" t="s">
        <v>10</v>
      </c>
      <c r="D2388" s="292" t="s">
        <v>4824</v>
      </c>
      <c r="E2388" s="301">
        <v>155</v>
      </c>
      <c r="F2388" s="301">
        <v>0</v>
      </c>
      <c r="G2388" s="168">
        <f t="shared" si="505"/>
        <v>0.4</v>
      </c>
      <c r="H2388" s="168">
        <f t="shared" si="506"/>
        <v>0.8</v>
      </c>
      <c r="I2388" s="168">
        <f t="shared" si="507"/>
        <v>0.6</v>
      </c>
      <c r="J2388" s="168">
        <f t="shared" si="508"/>
        <v>1</v>
      </c>
      <c r="K2388" s="168">
        <f t="shared" si="509"/>
        <v>1</v>
      </c>
      <c r="L2388" s="168">
        <f t="shared" si="510"/>
        <v>1</v>
      </c>
      <c r="M2388" s="168">
        <f t="shared" si="511"/>
        <v>2.5833333333333335</v>
      </c>
      <c r="N2388" s="241" t="s">
        <v>453</v>
      </c>
    </row>
    <row r="2389" spans="1:14" ht="15" customHeight="1">
      <c r="A2389" s="58">
        <v>2388</v>
      </c>
      <c r="B2389" s="331" t="s">
        <v>52</v>
      </c>
      <c r="C2389" s="331" t="s">
        <v>10</v>
      </c>
      <c r="D2389" s="292" t="s">
        <v>4825</v>
      </c>
      <c r="E2389" s="301">
        <v>257</v>
      </c>
      <c r="F2389" s="301">
        <v>0</v>
      </c>
      <c r="G2389" s="168">
        <f t="shared" si="505"/>
        <v>0.4</v>
      </c>
      <c r="H2389" s="168">
        <f t="shared" si="506"/>
        <v>0.8</v>
      </c>
      <c r="I2389" s="168">
        <f t="shared" si="507"/>
        <v>0.6</v>
      </c>
      <c r="J2389" s="168">
        <f t="shared" si="508"/>
        <v>1</v>
      </c>
      <c r="K2389" s="168">
        <f t="shared" si="509"/>
        <v>1</v>
      </c>
      <c r="L2389" s="168">
        <f t="shared" si="510"/>
        <v>1</v>
      </c>
      <c r="M2389" s="168">
        <f t="shared" si="511"/>
        <v>4.2833333333333332</v>
      </c>
      <c r="N2389" s="241" t="s">
        <v>453</v>
      </c>
    </row>
    <row r="2390" spans="1:14" ht="15" customHeight="1">
      <c r="A2390" s="58">
        <v>2389</v>
      </c>
      <c r="B2390" s="331" t="s">
        <v>52</v>
      </c>
      <c r="C2390" s="331" t="s">
        <v>10</v>
      </c>
      <c r="D2390" s="292" t="s">
        <v>4826</v>
      </c>
      <c r="E2390" s="301">
        <v>329</v>
      </c>
      <c r="F2390" s="301">
        <v>0</v>
      </c>
      <c r="G2390" s="168">
        <f t="shared" si="505"/>
        <v>0.4</v>
      </c>
      <c r="H2390" s="168">
        <f t="shared" si="506"/>
        <v>0.8</v>
      </c>
      <c r="I2390" s="168">
        <f t="shared" si="507"/>
        <v>0.6</v>
      </c>
      <c r="J2390" s="168">
        <f t="shared" si="508"/>
        <v>1</v>
      </c>
      <c r="K2390" s="168">
        <f t="shared" si="509"/>
        <v>1</v>
      </c>
      <c r="L2390" s="168">
        <f t="shared" si="510"/>
        <v>1</v>
      </c>
      <c r="M2390" s="168">
        <f t="shared" si="511"/>
        <v>5.4833333333333334</v>
      </c>
      <c r="N2390" s="241" t="s">
        <v>453</v>
      </c>
    </row>
    <row r="2391" spans="1:14" ht="15" customHeight="1">
      <c r="A2391" s="58">
        <v>2390</v>
      </c>
      <c r="B2391" s="331" t="s">
        <v>52</v>
      </c>
      <c r="C2391" s="331" t="s">
        <v>10</v>
      </c>
      <c r="D2391" s="292" t="s">
        <v>4827</v>
      </c>
      <c r="E2391" s="301">
        <v>350</v>
      </c>
      <c r="F2391" s="301">
        <v>0</v>
      </c>
      <c r="G2391" s="168">
        <f t="shared" si="505"/>
        <v>0.4</v>
      </c>
      <c r="H2391" s="168">
        <f t="shared" si="506"/>
        <v>0.8</v>
      </c>
      <c r="I2391" s="168">
        <f t="shared" si="507"/>
        <v>0.6</v>
      </c>
      <c r="J2391" s="168">
        <f t="shared" si="508"/>
        <v>1</v>
      </c>
      <c r="K2391" s="168">
        <f t="shared" si="509"/>
        <v>1</v>
      </c>
      <c r="L2391" s="168">
        <f t="shared" si="510"/>
        <v>1</v>
      </c>
      <c r="M2391" s="168">
        <f t="shared" si="511"/>
        <v>5.833333333333333</v>
      </c>
      <c r="N2391" s="241" t="s">
        <v>453</v>
      </c>
    </row>
    <row r="2392" spans="1:14" ht="15" customHeight="1">
      <c r="A2392" s="58">
        <v>2391</v>
      </c>
      <c r="B2392" s="331" t="s">
        <v>52</v>
      </c>
      <c r="C2392" s="331" t="s">
        <v>10</v>
      </c>
      <c r="D2392" s="292" t="s">
        <v>4829</v>
      </c>
      <c r="E2392" s="301">
        <v>248</v>
      </c>
      <c r="F2392" s="301">
        <v>0</v>
      </c>
      <c r="G2392" s="168">
        <f t="shared" si="505"/>
        <v>0.4</v>
      </c>
      <c r="H2392" s="168">
        <f t="shared" si="506"/>
        <v>0.8</v>
      </c>
      <c r="I2392" s="168">
        <f t="shared" si="507"/>
        <v>0.6</v>
      </c>
      <c r="J2392" s="168">
        <f t="shared" si="508"/>
        <v>1</v>
      </c>
      <c r="K2392" s="168">
        <f t="shared" si="509"/>
        <v>1</v>
      </c>
      <c r="L2392" s="168">
        <f t="shared" si="510"/>
        <v>1</v>
      </c>
      <c r="M2392" s="168">
        <f t="shared" si="511"/>
        <v>4.1333333333333337</v>
      </c>
      <c r="N2392" s="241" t="s">
        <v>453</v>
      </c>
    </row>
    <row r="2393" spans="1:14" ht="15" customHeight="1">
      <c r="A2393" s="58">
        <v>2392</v>
      </c>
      <c r="B2393" s="331" t="s">
        <v>52</v>
      </c>
      <c r="C2393" s="331" t="s">
        <v>10</v>
      </c>
      <c r="D2393" s="292" t="s">
        <v>4831</v>
      </c>
      <c r="E2393" s="301">
        <v>79</v>
      </c>
      <c r="F2393" s="301">
        <v>0</v>
      </c>
      <c r="G2393" s="168">
        <f t="shared" si="505"/>
        <v>0.4</v>
      </c>
      <c r="H2393" s="168">
        <f t="shared" si="506"/>
        <v>0.8</v>
      </c>
      <c r="I2393" s="168">
        <f t="shared" si="507"/>
        <v>0.6</v>
      </c>
      <c r="J2393" s="168">
        <f t="shared" si="508"/>
        <v>1</v>
      </c>
      <c r="K2393" s="168">
        <f t="shared" si="509"/>
        <v>1</v>
      </c>
      <c r="L2393" s="168">
        <f t="shared" si="510"/>
        <v>1</v>
      </c>
      <c r="M2393" s="168">
        <f t="shared" si="511"/>
        <v>1.3166666666666667</v>
      </c>
      <c r="N2393" s="241" t="s">
        <v>453</v>
      </c>
    </row>
    <row r="2394" spans="1:14" ht="15" customHeight="1">
      <c r="A2394" s="58">
        <v>2393</v>
      </c>
      <c r="B2394" s="331" t="s">
        <v>52</v>
      </c>
      <c r="C2394" s="331" t="s">
        <v>10</v>
      </c>
      <c r="D2394" s="292" t="s">
        <v>4832</v>
      </c>
      <c r="E2394" s="301">
        <v>0</v>
      </c>
      <c r="F2394" s="301">
        <v>1500</v>
      </c>
      <c r="G2394" s="168">
        <f t="shared" si="505"/>
        <v>8.9714285714285715</v>
      </c>
      <c r="H2394" s="168">
        <f t="shared" si="506"/>
        <v>17.942857142857143</v>
      </c>
      <c r="I2394" s="168">
        <f t="shared" si="507"/>
        <v>13.457142857142856</v>
      </c>
      <c r="J2394" s="168">
        <f t="shared" si="508"/>
        <v>22.428571428571427</v>
      </c>
      <c r="K2394" s="168">
        <f t="shared" si="509"/>
        <v>22.428571428571427</v>
      </c>
      <c r="L2394" s="168">
        <f t="shared" si="510"/>
        <v>1.375</v>
      </c>
      <c r="M2394" s="168">
        <f t="shared" si="511"/>
        <v>0</v>
      </c>
      <c r="N2394" s="241" t="s">
        <v>453</v>
      </c>
    </row>
    <row r="2395" spans="1:14" ht="15" customHeight="1">
      <c r="A2395" s="58">
        <v>2394</v>
      </c>
      <c r="B2395" s="331" t="s">
        <v>52</v>
      </c>
      <c r="C2395" s="331" t="s">
        <v>10</v>
      </c>
      <c r="D2395" s="292" t="s">
        <v>4833</v>
      </c>
      <c r="E2395" s="301">
        <v>435</v>
      </c>
      <c r="F2395" s="301">
        <v>0</v>
      </c>
      <c r="G2395" s="168">
        <f t="shared" si="505"/>
        <v>0.4</v>
      </c>
      <c r="H2395" s="168">
        <f t="shared" si="506"/>
        <v>0.8</v>
      </c>
      <c r="I2395" s="168">
        <f t="shared" si="507"/>
        <v>0.6</v>
      </c>
      <c r="J2395" s="168">
        <f t="shared" si="508"/>
        <v>1</v>
      </c>
      <c r="K2395" s="168">
        <f t="shared" si="509"/>
        <v>1</v>
      </c>
      <c r="L2395" s="168">
        <f t="shared" si="510"/>
        <v>1</v>
      </c>
      <c r="M2395" s="168">
        <f t="shared" si="511"/>
        <v>7.25</v>
      </c>
      <c r="N2395" s="241" t="s">
        <v>453</v>
      </c>
    </row>
    <row r="2396" spans="1:14" ht="15" customHeight="1">
      <c r="A2396" s="58">
        <v>2395</v>
      </c>
      <c r="B2396" s="331" t="s">
        <v>52</v>
      </c>
      <c r="C2396" s="331" t="s">
        <v>10</v>
      </c>
      <c r="D2396" s="292" t="s">
        <v>4835</v>
      </c>
      <c r="E2396" s="301">
        <v>190</v>
      </c>
      <c r="F2396" s="301">
        <v>0</v>
      </c>
      <c r="G2396" s="168">
        <f t="shared" si="505"/>
        <v>0.4</v>
      </c>
      <c r="H2396" s="168">
        <f t="shared" si="506"/>
        <v>0.8</v>
      </c>
      <c r="I2396" s="168">
        <f t="shared" si="507"/>
        <v>0.6</v>
      </c>
      <c r="J2396" s="168">
        <f t="shared" si="508"/>
        <v>1</v>
      </c>
      <c r="K2396" s="168">
        <f t="shared" si="509"/>
        <v>1</v>
      </c>
      <c r="L2396" s="168">
        <f t="shared" si="510"/>
        <v>1</v>
      </c>
      <c r="M2396" s="168">
        <f t="shared" si="511"/>
        <v>3.1666666666666665</v>
      </c>
      <c r="N2396" s="241" t="s">
        <v>453</v>
      </c>
    </row>
    <row r="2397" spans="1:14" ht="15" customHeight="1">
      <c r="A2397" s="58">
        <v>2396</v>
      </c>
      <c r="B2397" s="331" t="s">
        <v>52</v>
      </c>
      <c r="C2397" s="331" t="s">
        <v>10</v>
      </c>
      <c r="D2397" s="292" t="s">
        <v>4837</v>
      </c>
      <c r="E2397" s="301">
        <v>577</v>
      </c>
      <c r="F2397" s="301">
        <v>0</v>
      </c>
      <c r="G2397" s="168">
        <f t="shared" si="505"/>
        <v>0.4</v>
      </c>
      <c r="H2397" s="168">
        <f t="shared" si="506"/>
        <v>0.8</v>
      </c>
      <c r="I2397" s="168">
        <f t="shared" si="507"/>
        <v>0.6</v>
      </c>
      <c r="J2397" s="168">
        <f t="shared" si="508"/>
        <v>1</v>
      </c>
      <c r="K2397" s="168">
        <f t="shared" si="509"/>
        <v>1</v>
      </c>
      <c r="L2397" s="168">
        <f t="shared" si="510"/>
        <v>1</v>
      </c>
      <c r="M2397" s="168">
        <f t="shared" si="511"/>
        <v>9.6166666666666671</v>
      </c>
      <c r="N2397" s="241" t="s">
        <v>453</v>
      </c>
    </row>
    <row r="2398" spans="1:14" ht="15" customHeight="1">
      <c r="A2398" s="58">
        <v>2397</v>
      </c>
      <c r="B2398" s="331" t="s">
        <v>52</v>
      </c>
      <c r="C2398" s="331" t="s">
        <v>10</v>
      </c>
      <c r="D2398" s="292" t="s">
        <v>4838</v>
      </c>
      <c r="E2398" s="301">
        <v>245</v>
      </c>
      <c r="F2398" s="301">
        <v>0</v>
      </c>
      <c r="G2398" s="168">
        <f t="shared" si="505"/>
        <v>0.4</v>
      </c>
      <c r="H2398" s="168">
        <f t="shared" si="506"/>
        <v>0.8</v>
      </c>
      <c r="I2398" s="168">
        <f t="shared" si="507"/>
        <v>0.6</v>
      </c>
      <c r="J2398" s="168">
        <f t="shared" si="508"/>
        <v>1</v>
      </c>
      <c r="K2398" s="168">
        <f t="shared" si="509"/>
        <v>1</v>
      </c>
      <c r="L2398" s="168">
        <f t="shared" si="510"/>
        <v>1</v>
      </c>
      <c r="M2398" s="168">
        <f t="shared" si="511"/>
        <v>4.083333333333333</v>
      </c>
      <c r="N2398" s="241" t="s">
        <v>453</v>
      </c>
    </row>
    <row r="2399" spans="1:14" ht="15" customHeight="1">
      <c r="A2399" s="58">
        <v>2398</v>
      </c>
      <c r="B2399" s="331" t="s">
        <v>52</v>
      </c>
      <c r="C2399" s="331" t="s">
        <v>10</v>
      </c>
      <c r="D2399" s="292" t="s">
        <v>4839</v>
      </c>
      <c r="E2399" s="301">
        <v>104</v>
      </c>
      <c r="F2399" s="301">
        <v>0</v>
      </c>
      <c r="G2399" s="168">
        <f t="shared" si="505"/>
        <v>0.4</v>
      </c>
      <c r="H2399" s="168">
        <f t="shared" si="506"/>
        <v>0.8</v>
      </c>
      <c r="I2399" s="168">
        <f t="shared" si="507"/>
        <v>0.6</v>
      </c>
      <c r="J2399" s="168">
        <f t="shared" si="508"/>
        <v>1</v>
      </c>
      <c r="K2399" s="168">
        <f t="shared" si="509"/>
        <v>1</v>
      </c>
      <c r="L2399" s="168">
        <f t="shared" si="510"/>
        <v>1</v>
      </c>
      <c r="M2399" s="168">
        <f t="shared" si="511"/>
        <v>1.7333333333333334</v>
      </c>
      <c r="N2399" s="241" t="s">
        <v>453</v>
      </c>
    </row>
    <row r="2400" spans="1:14" ht="15" customHeight="1">
      <c r="A2400" s="58">
        <v>2399</v>
      </c>
      <c r="B2400" s="331" t="s">
        <v>52</v>
      </c>
      <c r="C2400" s="331" t="s">
        <v>10</v>
      </c>
      <c r="D2400" s="292" t="s">
        <v>4841</v>
      </c>
      <c r="E2400" s="301">
        <v>124</v>
      </c>
      <c r="F2400" s="301">
        <v>0</v>
      </c>
      <c r="G2400" s="168">
        <f t="shared" si="505"/>
        <v>0.4</v>
      </c>
      <c r="H2400" s="168">
        <f t="shared" si="506"/>
        <v>0.8</v>
      </c>
      <c r="I2400" s="168">
        <f t="shared" si="507"/>
        <v>0.6</v>
      </c>
      <c r="J2400" s="168">
        <f t="shared" si="508"/>
        <v>1</v>
      </c>
      <c r="K2400" s="168">
        <f t="shared" si="509"/>
        <v>1</v>
      </c>
      <c r="L2400" s="168">
        <f t="shared" si="510"/>
        <v>1</v>
      </c>
      <c r="M2400" s="168">
        <f t="shared" si="511"/>
        <v>2.0666666666666669</v>
      </c>
      <c r="N2400" s="241" t="s">
        <v>453</v>
      </c>
    </row>
    <row r="2401" spans="1:14" ht="15" customHeight="1">
      <c r="A2401" s="58">
        <v>2400</v>
      </c>
      <c r="B2401" s="331" t="s">
        <v>52</v>
      </c>
      <c r="C2401" s="331" t="s">
        <v>10</v>
      </c>
      <c r="D2401" s="333" t="s">
        <v>4842</v>
      </c>
      <c r="E2401" s="335">
        <v>234</v>
      </c>
      <c r="F2401" s="301">
        <v>0</v>
      </c>
      <c r="G2401" s="168">
        <f t="shared" si="505"/>
        <v>0.4</v>
      </c>
      <c r="H2401" s="168">
        <f t="shared" si="506"/>
        <v>0.8</v>
      </c>
      <c r="I2401" s="168">
        <f t="shared" si="507"/>
        <v>0.6</v>
      </c>
      <c r="J2401" s="168">
        <f t="shared" si="508"/>
        <v>1</v>
      </c>
      <c r="K2401" s="168">
        <f t="shared" si="509"/>
        <v>1</v>
      </c>
      <c r="L2401" s="168">
        <f t="shared" si="510"/>
        <v>1</v>
      </c>
      <c r="M2401" s="168">
        <f t="shared" si="511"/>
        <v>3.9</v>
      </c>
      <c r="N2401" s="241" t="s">
        <v>453</v>
      </c>
    </row>
    <row r="2402" spans="1:14" ht="15" customHeight="1">
      <c r="A2402" s="58">
        <v>2401</v>
      </c>
      <c r="B2402" s="331" t="s">
        <v>52</v>
      </c>
      <c r="C2402" s="331" t="s">
        <v>10</v>
      </c>
      <c r="D2402" s="333" t="s">
        <v>4843</v>
      </c>
      <c r="E2402" s="335">
        <v>446</v>
      </c>
      <c r="F2402" s="301">
        <v>0</v>
      </c>
      <c r="G2402" s="168">
        <f t="shared" si="505"/>
        <v>0.4</v>
      </c>
      <c r="H2402" s="168">
        <f t="shared" si="506"/>
        <v>0.8</v>
      </c>
      <c r="I2402" s="168">
        <f t="shared" si="507"/>
        <v>0.6</v>
      </c>
      <c r="J2402" s="168">
        <f t="shared" si="508"/>
        <v>1</v>
      </c>
      <c r="K2402" s="168">
        <f t="shared" si="509"/>
        <v>1</v>
      </c>
      <c r="L2402" s="168">
        <f t="shared" si="510"/>
        <v>1</v>
      </c>
      <c r="M2402" s="168">
        <f t="shared" si="511"/>
        <v>7.4333333333333336</v>
      </c>
      <c r="N2402" s="241" t="s">
        <v>453</v>
      </c>
    </row>
    <row r="2403" spans="1:14" ht="15" customHeight="1">
      <c r="A2403" s="58">
        <v>2402</v>
      </c>
      <c r="B2403" s="331" t="s">
        <v>52</v>
      </c>
      <c r="C2403" s="331" t="s">
        <v>10</v>
      </c>
      <c r="D2403" s="333" t="s">
        <v>4844</v>
      </c>
      <c r="E2403" s="301">
        <v>0</v>
      </c>
      <c r="F2403" s="301">
        <v>300</v>
      </c>
      <c r="G2403" s="168">
        <f t="shared" si="505"/>
        <v>2.1142857142857143</v>
      </c>
      <c r="H2403" s="168">
        <f t="shared" si="506"/>
        <v>4.2285714285714286</v>
      </c>
      <c r="I2403" s="168">
        <f t="shared" si="507"/>
        <v>3.1714285714285713</v>
      </c>
      <c r="J2403" s="168">
        <f t="shared" si="508"/>
        <v>5.2857142857142856</v>
      </c>
      <c r="K2403" s="168">
        <f t="shared" si="509"/>
        <v>5.2857142857142856</v>
      </c>
      <c r="L2403" s="168">
        <f t="shared" si="510"/>
        <v>1.075</v>
      </c>
      <c r="M2403" s="168">
        <f t="shared" si="511"/>
        <v>0</v>
      </c>
      <c r="N2403" s="241" t="s">
        <v>453</v>
      </c>
    </row>
    <row r="2404" spans="1:14" ht="15" customHeight="1">
      <c r="A2404" s="58">
        <v>2403</v>
      </c>
      <c r="B2404" s="331" t="s">
        <v>52</v>
      </c>
      <c r="C2404" s="331" t="s">
        <v>10</v>
      </c>
      <c r="D2404" s="333" t="s">
        <v>4845</v>
      </c>
      <c r="E2404" s="335">
        <v>358</v>
      </c>
      <c r="F2404" s="301">
        <v>0</v>
      </c>
      <c r="G2404" s="168">
        <f t="shared" si="505"/>
        <v>0.4</v>
      </c>
      <c r="H2404" s="168">
        <f t="shared" si="506"/>
        <v>0.8</v>
      </c>
      <c r="I2404" s="168">
        <f t="shared" si="507"/>
        <v>0.6</v>
      </c>
      <c r="J2404" s="168">
        <f t="shared" si="508"/>
        <v>1</v>
      </c>
      <c r="K2404" s="168">
        <f t="shared" si="509"/>
        <v>1</v>
      </c>
      <c r="L2404" s="168">
        <f t="shared" si="510"/>
        <v>1</v>
      </c>
      <c r="M2404" s="168">
        <f t="shared" si="511"/>
        <v>5.9666666666666668</v>
      </c>
      <c r="N2404" s="241" t="s">
        <v>453</v>
      </c>
    </row>
    <row r="2405" spans="1:14" ht="15" customHeight="1">
      <c r="A2405" s="58">
        <v>2404</v>
      </c>
      <c r="B2405" s="331" t="s">
        <v>52</v>
      </c>
      <c r="C2405" s="331" t="s">
        <v>10</v>
      </c>
      <c r="D2405" s="333" t="s">
        <v>4846</v>
      </c>
      <c r="E2405" s="335">
        <v>208</v>
      </c>
      <c r="F2405" s="301">
        <v>0</v>
      </c>
      <c r="G2405" s="168">
        <f t="shared" si="505"/>
        <v>0.4</v>
      </c>
      <c r="H2405" s="168">
        <f t="shared" si="506"/>
        <v>0.8</v>
      </c>
      <c r="I2405" s="168">
        <f t="shared" si="507"/>
        <v>0.6</v>
      </c>
      <c r="J2405" s="168">
        <f t="shared" si="508"/>
        <v>1</v>
      </c>
      <c r="K2405" s="168">
        <f t="shared" si="509"/>
        <v>1</v>
      </c>
      <c r="L2405" s="168">
        <f t="shared" si="510"/>
        <v>1</v>
      </c>
      <c r="M2405" s="168">
        <f t="shared" si="511"/>
        <v>3.4666666666666668</v>
      </c>
      <c r="N2405" s="241" t="s">
        <v>453</v>
      </c>
    </row>
    <row r="2406" spans="1:14" ht="15" customHeight="1">
      <c r="A2406" s="58">
        <v>2405</v>
      </c>
      <c r="B2406" s="331" t="s">
        <v>52</v>
      </c>
      <c r="C2406" s="331" t="s">
        <v>10</v>
      </c>
      <c r="D2406" s="333" t="s">
        <v>4847</v>
      </c>
      <c r="E2406" s="335">
        <v>710</v>
      </c>
      <c r="F2406" s="301">
        <v>0</v>
      </c>
      <c r="G2406" s="168">
        <f t="shared" si="505"/>
        <v>0.4</v>
      </c>
      <c r="H2406" s="168">
        <f t="shared" si="506"/>
        <v>0.8</v>
      </c>
      <c r="I2406" s="168">
        <f t="shared" si="507"/>
        <v>0.6</v>
      </c>
      <c r="J2406" s="168">
        <f t="shared" si="508"/>
        <v>1</v>
      </c>
      <c r="K2406" s="168">
        <f t="shared" si="509"/>
        <v>1</v>
      </c>
      <c r="L2406" s="168">
        <f t="shared" si="510"/>
        <v>1</v>
      </c>
      <c r="M2406" s="168">
        <f t="shared" si="511"/>
        <v>11.833333333333334</v>
      </c>
      <c r="N2406" s="241" t="s">
        <v>453</v>
      </c>
    </row>
    <row r="2407" spans="1:14" ht="15" customHeight="1">
      <c r="A2407" s="58">
        <v>2406</v>
      </c>
      <c r="B2407" s="331" t="s">
        <v>52</v>
      </c>
      <c r="C2407" s="331" t="s">
        <v>10</v>
      </c>
      <c r="D2407" s="336" t="s">
        <v>4848</v>
      </c>
      <c r="E2407" s="301">
        <v>200</v>
      </c>
      <c r="F2407" s="301">
        <v>0</v>
      </c>
      <c r="G2407" s="168">
        <f t="shared" si="505"/>
        <v>0.4</v>
      </c>
      <c r="H2407" s="168">
        <f t="shared" si="506"/>
        <v>0.8</v>
      </c>
      <c r="I2407" s="168">
        <f t="shared" si="507"/>
        <v>0.6</v>
      </c>
      <c r="J2407" s="168">
        <f t="shared" si="508"/>
        <v>1</v>
      </c>
      <c r="K2407" s="168">
        <f t="shared" si="509"/>
        <v>1</v>
      </c>
      <c r="L2407" s="168">
        <f t="shared" si="510"/>
        <v>1</v>
      </c>
      <c r="M2407" s="168">
        <f t="shared" si="511"/>
        <v>3.3333333333333335</v>
      </c>
      <c r="N2407" s="241" t="s">
        <v>453</v>
      </c>
    </row>
    <row r="2408" spans="1:14" ht="15" customHeight="1">
      <c r="A2408" s="58">
        <v>2407</v>
      </c>
      <c r="B2408" s="331" t="s">
        <v>52</v>
      </c>
      <c r="C2408" s="331" t="s">
        <v>10</v>
      </c>
      <c r="D2408" s="333" t="s">
        <v>4849</v>
      </c>
      <c r="E2408" s="335">
        <v>200</v>
      </c>
      <c r="F2408" s="301">
        <v>0</v>
      </c>
      <c r="G2408" s="168">
        <f t="shared" si="505"/>
        <v>0.4</v>
      </c>
      <c r="H2408" s="168">
        <f t="shared" si="506"/>
        <v>0.8</v>
      </c>
      <c r="I2408" s="168">
        <f t="shared" si="507"/>
        <v>0.6</v>
      </c>
      <c r="J2408" s="168">
        <f t="shared" si="508"/>
        <v>1</v>
      </c>
      <c r="K2408" s="168">
        <f t="shared" si="509"/>
        <v>1</v>
      </c>
      <c r="L2408" s="168">
        <f t="shared" si="510"/>
        <v>1</v>
      </c>
      <c r="M2408" s="168">
        <f t="shared" si="511"/>
        <v>3.3333333333333335</v>
      </c>
      <c r="N2408" s="241" t="s">
        <v>453</v>
      </c>
    </row>
    <row r="2409" spans="1:14" ht="15" customHeight="1">
      <c r="A2409" s="58">
        <v>2408</v>
      </c>
      <c r="B2409" s="331" t="s">
        <v>52</v>
      </c>
      <c r="C2409" s="331" t="s">
        <v>10</v>
      </c>
      <c r="D2409" s="333" t="s">
        <v>4850</v>
      </c>
      <c r="E2409" s="301">
        <v>0</v>
      </c>
      <c r="F2409" s="335">
        <v>3500</v>
      </c>
      <c r="G2409" s="168">
        <f t="shared" si="505"/>
        <v>20.400000000000002</v>
      </c>
      <c r="H2409" s="168">
        <f t="shared" si="506"/>
        <v>40.800000000000004</v>
      </c>
      <c r="I2409" s="168">
        <f t="shared" si="507"/>
        <v>30.599999999999998</v>
      </c>
      <c r="J2409" s="168">
        <f t="shared" si="508"/>
        <v>51</v>
      </c>
      <c r="K2409" s="168">
        <f t="shared" si="509"/>
        <v>51</v>
      </c>
      <c r="L2409" s="168">
        <f t="shared" si="510"/>
        <v>1.875</v>
      </c>
      <c r="M2409" s="168">
        <f t="shared" si="511"/>
        <v>0</v>
      </c>
      <c r="N2409" s="241" t="s">
        <v>453</v>
      </c>
    </row>
    <row r="2410" spans="1:14" ht="15" customHeight="1">
      <c r="A2410" s="58">
        <v>2409</v>
      </c>
      <c r="B2410" s="331" t="s">
        <v>52</v>
      </c>
      <c r="C2410" s="331" t="s">
        <v>10</v>
      </c>
      <c r="D2410" s="333" t="s">
        <v>4851</v>
      </c>
      <c r="E2410" s="335">
        <v>216</v>
      </c>
      <c r="F2410" s="301">
        <v>0</v>
      </c>
      <c r="G2410" s="168">
        <f t="shared" si="505"/>
        <v>0.4</v>
      </c>
      <c r="H2410" s="168">
        <f t="shared" si="506"/>
        <v>0.8</v>
      </c>
      <c r="I2410" s="168">
        <f t="shared" si="507"/>
        <v>0.6</v>
      </c>
      <c r="J2410" s="168">
        <f t="shared" si="508"/>
        <v>1</v>
      </c>
      <c r="K2410" s="168">
        <f t="shared" si="509"/>
        <v>1</v>
      </c>
      <c r="L2410" s="168">
        <f t="shared" si="510"/>
        <v>1</v>
      </c>
      <c r="M2410" s="168">
        <f t="shared" si="511"/>
        <v>3.6</v>
      </c>
      <c r="N2410" s="241" t="s">
        <v>453</v>
      </c>
    </row>
    <row r="2411" spans="1:14" ht="15" customHeight="1">
      <c r="A2411" s="58">
        <v>2410</v>
      </c>
      <c r="B2411" s="331" t="s">
        <v>52</v>
      </c>
      <c r="C2411" s="331" t="s">
        <v>10</v>
      </c>
      <c r="D2411" s="333" t="s">
        <v>4852</v>
      </c>
      <c r="E2411" s="335">
        <v>52</v>
      </c>
      <c r="F2411" s="301">
        <v>0</v>
      </c>
      <c r="G2411" s="168">
        <f t="shared" si="505"/>
        <v>0.4</v>
      </c>
      <c r="H2411" s="168">
        <f t="shared" si="506"/>
        <v>0.8</v>
      </c>
      <c r="I2411" s="168">
        <f t="shared" si="507"/>
        <v>0.6</v>
      </c>
      <c r="J2411" s="168">
        <f t="shared" si="508"/>
        <v>1</v>
      </c>
      <c r="K2411" s="168">
        <f t="shared" si="509"/>
        <v>1</v>
      </c>
      <c r="L2411" s="168">
        <f t="shared" si="510"/>
        <v>1</v>
      </c>
      <c r="M2411" s="168">
        <f t="shared" si="511"/>
        <v>0.8666666666666667</v>
      </c>
      <c r="N2411" s="241" t="s">
        <v>453</v>
      </c>
    </row>
    <row r="2412" spans="1:14" ht="15" customHeight="1">
      <c r="A2412" s="58">
        <v>2411</v>
      </c>
      <c r="B2412" s="331" t="s">
        <v>52</v>
      </c>
      <c r="C2412" s="331" t="s">
        <v>10</v>
      </c>
      <c r="D2412" s="333" t="s">
        <v>4853</v>
      </c>
      <c r="E2412" s="335">
        <v>198</v>
      </c>
      <c r="F2412" s="301">
        <v>0</v>
      </c>
      <c r="G2412" s="168">
        <f t="shared" si="505"/>
        <v>0.4</v>
      </c>
      <c r="H2412" s="168">
        <f t="shared" si="506"/>
        <v>0.8</v>
      </c>
      <c r="I2412" s="168">
        <f t="shared" si="507"/>
        <v>0.6</v>
      </c>
      <c r="J2412" s="168">
        <f t="shared" si="508"/>
        <v>1</v>
      </c>
      <c r="K2412" s="168">
        <f t="shared" si="509"/>
        <v>1</v>
      </c>
      <c r="L2412" s="168">
        <f t="shared" si="510"/>
        <v>1</v>
      </c>
      <c r="M2412" s="168">
        <f t="shared" si="511"/>
        <v>3.3</v>
      </c>
      <c r="N2412" s="241" t="s">
        <v>453</v>
      </c>
    </row>
    <row r="2413" spans="1:14" ht="15" customHeight="1">
      <c r="A2413" s="58">
        <v>2412</v>
      </c>
      <c r="B2413" s="331" t="s">
        <v>52</v>
      </c>
      <c r="C2413" s="331" t="s">
        <v>10</v>
      </c>
      <c r="D2413" s="336" t="s">
        <v>4854</v>
      </c>
      <c r="E2413" s="335">
        <v>202</v>
      </c>
      <c r="F2413" s="301">
        <v>0</v>
      </c>
      <c r="G2413" s="168">
        <f t="shared" si="505"/>
        <v>0.4</v>
      </c>
      <c r="H2413" s="168">
        <f t="shared" si="506"/>
        <v>0.8</v>
      </c>
      <c r="I2413" s="168">
        <f t="shared" si="507"/>
        <v>0.6</v>
      </c>
      <c r="J2413" s="168">
        <f t="shared" si="508"/>
        <v>1</v>
      </c>
      <c r="K2413" s="168">
        <f t="shared" si="509"/>
        <v>1</v>
      </c>
      <c r="L2413" s="168">
        <f t="shared" si="510"/>
        <v>1</v>
      </c>
      <c r="M2413" s="168">
        <f t="shared" si="511"/>
        <v>3.3666666666666667</v>
      </c>
      <c r="N2413" s="241" t="s">
        <v>453</v>
      </c>
    </row>
    <row r="2414" spans="1:14" ht="15" customHeight="1">
      <c r="A2414" s="58">
        <v>2413</v>
      </c>
      <c r="B2414" s="331" t="s">
        <v>49</v>
      </c>
      <c r="C2414" s="331" t="s">
        <v>10</v>
      </c>
      <c r="D2414" s="333" t="s">
        <v>4855</v>
      </c>
      <c r="E2414" s="301">
        <v>0</v>
      </c>
      <c r="F2414" s="335">
        <v>900</v>
      </c>
      <c r="G2414" s="168">
        <f t="shared" si="505"/>
        <v>5.5428571428571436</v>
      </c>
      <c r="H2414" s="168">
        <f t="shared" si="506"/>
        <v>11.085714285714287</v>
      </c>
      <c r="I2414" s="168">
        <f t="shared" si="507"/>
        <v>8.3142857142857149</v>
      </c>
      <c r="J2414" s="168">
        <f t="shared" si="508"/>
        <v>13.857142857142858</v>
      </c>
      <c r="K2414" s="168">
        <f t="shared" si="509"/>
        <v>13.857142857142858</v>
      </c>
      <c r="L2414" s="168">
        <f t="shared" si="510"/>
        <v>1.2250000000000001</v>
      </c>
      <c r="M2414" s="168">
        <f t="shared" si="511"/>
        <v>0</v>
      </c>
      <c r="N2414" s="241" t="s">
        <v>453</v>
      </c>
    </row>
    <row r="2415" spans="1:14" ht="15" customHeight="1">
      <c r="A2415" s="58">
        <v>2414</v>
      </c>
      <c r="B2415" s="331" t="s">
        <v>52</v>
      </c>
      <c r="C2415" s="331" t="s">
        <v>10</v>
      </c>
      <c r="D2415" s="333" t="s">
        <v>4856</v>
      </c>
      <c r="E2415" s="335">
        <v>358</v>
      </c>
      <c r="F2415" s="301">
        <v>0</v>
      </c>
      <c r="G2415" s="168">
        <f t="shared" si="505"/>
        <v>0.4</v>
      </c>
      <c r="H2415" s="168">
        <f t="shared" si="506"/>
        <v>0.8</v>
      </c>
      <c r="I2415" s="168">
        <f t="shared" si="507"/>
        <v>0.6</v>
      </c>
      <c r="J2415" s="168">
        <f t="shared" si="508"/>
        <v>1</v>
      </c>
      <c r="K2415" s="168">
        <f t="shared" si="509"/>
        <v>1</v>
      </c>
      <c r="L2415" s="168">
        <f t="shared" si="510"/>
        <v>1</v>
      </c>
      <c r="M2415" s="168">
        <f t="shared" si="511"/>
        <v>5.9666666666666668</v>
      </c>
      <c r="N2415" s="241" t="s">
        <v>453</v>
      </c>
    </row>
    <row r="2416" spans="1:14" ht="15" customHeight="1">
      <c r="A2416" s="58">
        <v>2415</v>
      </c>
      <c r="B2416" s="331" t="s">
        <v>52</v>
      </c>
      <c r="C2416" s="331" t="s">
        <v>10</v>
      </c>
      <c r="D2416" s="333" t="s">
        <v>4857</v>
      </c>
      <c r="E2416" s="301">
        <v>0</v>
      </c>
      <c r="F2416" s="335">
        <v>1100</v>
      </c>
      <c r="G2416" s="168">
        <f t="shared" si="505"/>
        <v>6.6857142857142868</v>
      </c>
      <c r="H2416" s="168">
        <f t="shared" si="506"/>
        <v>13.371428571428574</v>
      </c>
      <c r="I2416" s="168">
        <f t="shared" si="507"/>
        <v>10.028571428571428</v>
      </c>
      <c r="J2416" s="168">
        <f t="shared" si="508"/>
        <v>16.714285714285715</v>
      </c>
      <c r="K2416" s="168">
        <f t="shared" si="509"/>
        <v>16.714285714285715</v>
      </c>
      <c r="L2416" s="168">
        <f t="shared" si="510"/>
        <v>1.2749999999999999</v>
      </c>
      <c r="M2416" s="168">
        <f t="shared" si="511"/>
        <v>0</v>
      </c>
      <c r="N2416" s="241" t="s">
        <v>453</v>
      </c>
    </row>
    <row r="2417" spans="1:14" ht="15" customHeight="1">
      <c r="A2417" s="58">
        <v>2416</v>
      </c>
      <c r="B2417" s="331" t="s">
        <v>52</v>
      </c>
      <c r="C2417" s="331" t="s">
        <v>10</v>
      </c>
      <c r="D2417" s="333" t="s">
        <v>4858</v>
      </c>
      <c r="E2417" s="301">
        <v>0</v>
      </c>
      <c r="F2417" s="335">
        <v>108</v>
      </c>
      <c r="G2417" s="168">
        <f t="shared" si="505"/>
        <v>1.0171428571428571</v>
      </c>
      <c r="H2417" s="168">
        <f t="shared" si="506"/>
        <v>2.0342857142857143</v>
      </c>
      <c r="I2417" s="168">
        <f t="shared" si="507"/>
        <v>1.5257142857142856</v>
      </c>
      <c r="J2417" s="168">
        <f t="shared" si="508"/>
        <v>2.5428571428571427</v>
      </c>
      <c r="K2417" s="168">
        <f t="shared" si="509"/>
        <v>2.5428571428571427</v>
      </c>
      <c r="L2417" s="168">
        <f t="shared" si="510"/>
        <v>1.0269999999999999</v>
      </c>
      <c r="M2417" s="168">
        <f t="shared" si="511"/>
        <v>0</v>
      </c>
      <c r="N2417" s="241" t="s">
        <v>453</v>
      </c>
    </row>
    <row r="2418" spans="1:14" ht="15" customHeight="1">
      <c r="A2418" s="58">
        <v>2417</v>
      </c>
      <c r="B2418" s="331" t="s">
        <v>49</v>
      </c>
      <c r="C2418" s="331" t="s">
        <v>10</v>
      </c>
      <c r="D2418" s="333" t="s">
        <v>4859</v>
      </c>
      <c r="E2418" s="335">
        <v>115</v>
      </c>
      <c r="F2418" s="301">
        <v>0</v>
      </c>
      <c r="G2418" s="168">
        <f t="shared" si="505"/>
        <v>0.4</v>
      </c>
      <c r="H2418" s="168">
        <f t="shared" si="506"/>
        <v>0.8</v>
      </c>
      <c r="I2418" s="168">
        <f t="shared" si="507"/>
        <v>0.6</v>
      </c>
      <c r="J2418" s="168">
        <f t="shared" si="508"/>
        <v>1</v>
      </c>
      <c r="K2418" s="168">
        <f t="shared" si="509"/>
        <v>1</v>
      </c>
      <c r="L2418" s="168">
        <f t="shared" si="510"/>
        <v>1</v>
      </c>
      <c r="M2418" s="168">
        <f t="shared" si="511"/>
        <v>1.9166666666666667</v>
      </c>
      <c r="N2418" s="241" t="s">
        <v>453</v>
      </c>
    </row>
    <row r="2419" spans="1:14" ht="15" customHeight="1">
      <c r="A2419" s="58">
        <v>2418</v>
      </c>
      <c r="B2419" s="331" t="s">
        <v>52</v>
      </c>
      <c r="C2419" s="331" t="s">
        <v>10</v>
      </c>
      <c r="D2419" s="333" t="s">
        <v>4860</v>
      </c>
      <c r="E2419" s="301">
        <v>0</v>
      </c>
      <c r="F2419" s="335">
        <v>712</v>
      </c>
      <c r="G2419" s="168">
        <f t="shared" si="505"/>
        <v>4.4685714285714289</v>
      </c>
      <c r="H2419" s="168">
        <f t="shared" si="506"/>
        <v>8.9371428571428577</v>
      </c>
      <c r="I2419" s="168">
        <f t="shared" si="507"/>
        <v>6.702857142857142</v>
      </c>
      <c r="J2419" s="168">
        <f t="shared" si="508"/>
        <v>11.171428571428571</v>
      </c>
      <c r="K2419" s="168">
        <f t="shared" si="509"/>
        <v>11.171428571428571</v>
      </c>
      <c r="L2419" s="168">
        <f t="shared" si="510"/>
        <v>1.1779999999999999</v>
      </c>
      <c r="M2419" s="168">
        <f t="shared" si="511"/>
        <v>0</v>
      </c>
      <c r="N2419" s="241" t="s">
        <v>453</v>
      </c>
    </row>
    <row r="2420" spans="1:14" ht="15" customHeight="1">
      <c r="A2420" s="58">
        <v>2419</v>
      </c>
      <c r="B2420" s="331" t="s">
        <v>52</v>
      </c>
      <c r="C2420" s="331" t="s">
        <v>10</v>
      </c>
      <c r="D2420" s="333" t="s">
        <v>4861</v>
      </c>
      <c r="E2420" s="335">
        <v>797</v>
      </c>
      <c r="F2420" s="301">
        <v>0</v>
      </c>
      <c r="G2420" s="168">
        <f t="shared" si="505"/>
        <v>0.4</v>
      </c>
      <c r="H2420" s="168">
        <f t="shared" si="506"/>
        <v>0.8</v>
      </c>
      <c r="I2420" s="168">
        <f t="shared" si="507"/>
        <v>0.6</v>
      </c>
      <c r="J2420" s="168">
        <f t="shared" si="508"/>
        <v>1</v>
      </c>
      <c r="K2420" s="168">
        <f t="shared" si="509"/>
        <v>1</v>
      </c>
      <c r="L2420" s="168">
        <f t="shared" si="510"/>
        <v>1</v>
      </c>
      <c r="M2420" s="168">
        <f t="shared" si="511"/>
        <v>13.283333333333333</v>
      </c>
      <c r="N2420" s="241" t="s">
        <v>453</v>
      </c>
    </row>
  </sheetData>
  <autoFilter ref="A1:P2420" xr:uid="{9BF11562-A090-40DB-A005-169CF7CC0B26}"/>
  <conditionalFormatting sqref="D1">
    <cfRule type="duplicateValues" dxfId="75" priority="266"/>
    <cfRule type="duplicateValues" dxfId="74" priority="267"/>
  </conditionalFormatting>
  <conditionalFormatting sqref="D2421:E1048576 D1">
    <cfRule type="duplicateValues" dxfId="73" priority="214"/>
  </conditionalFormatting>
  <conditionalFormatting sqref="D1412:D1420">
    <cfRule type="duplicateValues" dxfId="72" priority="64"/>
  </conditionalFormatting>
  <conditionalFormatting sqref="D1861">
    <cfRule type="duplicateValues" dxfId="71" priority="45"/>
  </conditionalFormatting>
  <conditionalFormatting sqref="D1876">
    <cfRule type="duplicateValues" dxfId="70" priority="44"/>
  </conditionalFormatting>
  <conditionalFormatting sqref="D1924">
    <cfRule type="duplicateValues" dxfId="69" priority="43"/>
  </conditionalFormatting>
  <conditionalFormatting sqref="D1971">
    <cfRule type="duplicateValues" dxfId="68" priority="46"/>
    <cfRule type="duplicateValues" dxfId="67" priority="47"/>
    <cfRule type="duplicateValues" dxfId="66" priority="48"/>
    <cfRule type="duplicateValues" dxfId="65" priority="49"/>
    <cfRule type="duplicateValues" dxfId="64" priority="50"/>
    <cfRule type="duplicateValues" dxfId="63" priority="51"/>
    <cfRule type="duplicateValues" dxfId="62" priority="52"/>
    <cfRule type="duplicateValues" dxfId="61" priority="53"/>
    <cfRule type="duplicateValues" dxfId="60" priority="54"/>
    <cfRule type="duplicateValues" dxfId="59" priority="55"/>
    <cfRule type="duplicateValues" dxfId="58" priority="56"/>
  </conditionalFormatting>
  <conditionalFormatting sqref="D2036">
    <cfRule type="duplicateValues" dxfId="57" priority="42"/>
  </conditionalFormatting>
  <conditionalFormatting sqref="D1862:D1875 D1877:D1923 D1925:D1987 D2:D1860">
    <cfRule type="duplicateValues" dxfId="56" priority="57"/>
  </conditionalFormatting>
  <conditionalFormatting sqref="D1944:D1949 D2:D1374">
    <cfRule type="duplicateValues" dxfId="55" priority="69"/>
  </conditionalFormatting>
  <conditionalFormatting sqref="D1944:D1949 D2:D1697">
    <cfRule type="duplicateValues" dxfId="54" priority="58"/>
    <cfRule type="duplicateValues" dxfId="53" priority="59"/>
    <cfRule type="duplicateValues" dxfId="52" priority="60"/>
    <cfRule type="duplicateValues" dxfId="51" priority="61"/>
    <cfRule type="duplicateValues" dxfId="50" priority="62"/>
    <cfRule type="duplicateValues" dxfId="49" priority="63"/>
  </conditionalFormatting>
  <conditionalFormatting sqref="D1944:D1949">
    <cfRule type="duplicateValues" dxfId="48" priority="65"/>
    <cfRule type="duplicateValues" dxfId="47" priority="66"/>
    <cfRule type="duplicateValues" dxfId="46" priority="67"/>
    <cfRule type="duplicateValues" dxfId="45" priority="68"/>
  </conditionalFormatting>
  <conditionalFormatting sqref="D2:D1374">
    <cfRule type="duplicateValues" dxfId="44" priority="70"/>
  </conditionalFormatting>
  <conditionalFormatting sqref="D2365">
    <cfRule type="duplicateValues" dxfId="43" priority="40"/>
  </conditionalFormatting>
  <conditionalFormatting sqref="D2378:D2400">
    <cfRule type="duplicateValues" dxfId="42" priority="2"/>
  </conditionalFormatting>
  <conditionalFormatting sqref="D2378:D2400">
    <cfRule type="duplicateValues" dxfId="41" priority="3"/>
  </conditionalFormatting>
  <conditionalFormatting sqref="D2378:D2400">
    <cfRule type="duplicateValues" dxfId="40" priority="14"/>
  </conditionalFormatting>
  <conditionalFormatting sqref="D2378:D2400">
    <cfRule type="duplicateValues" dxfId="39" priority="4"/>
    <cfRule type="duplicateValues" dxfId="38" priority="5"/>
    <cfRule type="duplicateValues" dxfId="37" priority="6"/>
    <cfRule type="duplicateValues" dxfId="36" priority="7"/>
    <cfRule type="duplicateValues" dxfId="35" priority="8"/>
    <cfRule type="duplicateValues" dxfId="34" priority="9"/>
  </conditionalFormatting>
  <conditionalFormatting sqref="D2378:D2400">
    <cfRule type="duplicateValues" dxfId="33" priority="10"/>
    <cfRule type="duplicateValues" dxfId="32" priority="11"/>
    <cfRule type="duplicateValues" dxfId="31" priority="12"/>
    <cfRule type="duplicateValues" dxfId="30" priority="13"/>
  </conditionalFormatting>
  <conditionalFormatting sqref="D2309">
    <cfRule type="duplicateValues" dxfId="29" priority="1807"/>
  </conditionalFormatting>
  <conditionalFormatting sqref="D2310">
    <cfRule type="duplicateValues" dxfId="28" priority="1918"/>
  </conditionalFormatting>
  <conditionalFormatting sqref="D2:D2306 D2308:D2361">
    <cfRule type="duplicateValues" dxfId="27" priority="1933"/>
  </conditionalFormatting>
  <conditionalFormatting sqref="D1:D1048576">
    <cfRule type="duplicateValues" dxfId="26" priority="1"/>
  </conditionalFormatting>
  <conditionalFormatting sqref="D2311:D2317 D2319:D2376">
    <cfRule type="duplicateValues" dxfId="25" priority="2505"/>
  </conditionalFormatting>
  <conditionalFormatting sqref="D2365 D2370:D2376">
    <cfRule type="duplicateValues" dxfId="24" priority="2507"/>
  </conditionalFormatting>
  <conditionalFormatting sqref="D2365 D2370:D2376">
    <cfRule type="duplicateValues" dxfId="23" priority="2509"/>
    <cfRule type="duplicateValues" dxfId="22" priority="2510"/>
    <cfRule type="duplicateValues" dxfId="21" priority="2511"/>
    <cfRule type="duplicateValues" dxfId="20" priority="2512"/>
    <cfRule type="duplicateValues" dxfId="19" priority="2513"/>
    <cfRule type="duplicateValues" dxfId="18" priority="2514"/>
  </conditionalFormatting>
  <conditionalFormatting sqref="D2365 D2370:D2376">
    <cfRule type="duplicateValues" dxfId="17" priority="2521"/>
    <cfRule type="duplicateValues" dxfId="16" priority="2522"/>
    <cfRule type="duplicateValues" dxfId="15" priority="2523"/>
    <cfRule type="duplicateValues" dxfId="14" priority="2524"/>
  </conditionalFormatting>
  <conditionalFormatting sqref="D2377">
    <cfRule type="duplicateValues" dxfId="13" priority="2543"/>
  </conditionalFormatting>
  <conditionalFormatting sqref="D2377">
    <cfRule type="duplicateValues" dxfId="12" priority="2544"/>
    <cfRule type="duplicateValues" dxfId="11" priority="2545"/>
    <cfRule type="duplicateValues" dxfId="10" priority="2546"/>
    <cfRule type="duplicateValues" dxfId="9" priority="2547"/>
    <cfRule type="duplicateValues" dxfId="8" priority="2548"/>
    <cfRule type="duplicateValues" dxfId="7" priority="2549"/>
  </conditionalFormatting>
  <conditionalFormatting sqref="D2377">
    <cfRule type="duplicateValues" dxfId="6" priority="2550"/>
    <cfRule type="duplicateValues" dxfId="5" priority="2551"/>
    <cfRule type="duplicateValues" dxfId="4" priority="2552"/>
    <cfRule type="duplicateValues" dxfId="3" priority="2553"/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39bad20-5c23-42c3-a461-0ac86f8c2ffa">
      <UserInfo>
        <DisplayName>Abeeku Debrah</DisplayName>
        <AccountId>14</AccountId>
        <AccountType/>
      </UserInfo>
      <UserInfo>
        <DisplayName>Frederick Obedekah</DisplayName>
        <AccountId>18</AccountId>
        <AccountType/>
      </UserInfo>
      <UserInfo>
        <DisplayName>Carl  Oscar S</DisplayName>
        <AccountId>21</AccountId>
        <AccountType/>
      </UserInfo>
      <UserInfo>
        <DisplayName>Emmanuel Aidoo</DisplayName>
        <AccountId>32</AccountId>
        <AccountType/>
      </UserInfo>
    </SharedWithUsers>
    <lcf76f155ced4ddcb4097134ff3c332f xmlns="58afd985-fa2b-47bd-9afc-d16b02579fce">
      <Terms xmlns="http://schemas.microsoft.com/office/infopath/2007/PartnerControls"/>
    </lcf76f155ced4ddcb4097134ff3c332f>
    <TaxCatchAll xmlns="839bad20-5c23-42c3-a461-0ac86f8c2ff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68457D5DAF534DB329EE7F7035F46D" ma:contentTypeVersion="14" ma:contentTypeDescription="Create a new document." ma:contentTypeScope="" ma:versionID="a602ba9536c29210e893fe8553e0a649">
  <xsd:schema xmlns:xsd="http://www.w3.org/2001/XMLSchema" xmlns:xs="http://www.w3.org/2001/XMLSchema" xmlns:p="http://schemas.microsoft.com/office/2006/metadata/properties" xmlns:ns2="58afd985-fa2b-47bd-9afc-d16b02579fce" xmlns:ns3="839bad20-5c23-42c3-a461-0ac86f8c2ffa" targetNamespace="http://schemas.microsoft.com/office/2006/metadata/properties" ma:root="true" ma:fieldsID="43bbfec8d767d8d70a6e05c5de0d162c" ns2:_="" ns3:_="">
    <xsd:import namespace="58afd985-fa2b-47bd-9afc-d16b02579fce"/>
    <xsd:import namespace="839bad20-5c23-42c3-a461-0ac86f8c2f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afd985-fa2b-47bd-9afc-d16b02579f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99338fd-642a-4f2c-acdd-2ff4f55901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9bad20-5c23-42c3-a461-0ac86f8c2f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f9bcc90-03ba-42a4-9b65-592bc979655a}" ma:internalName="TaxCatchAll" ma:showField="CatchAllData" ma:web="839bad20-5c23-42c3-a461-0ac86f8c2f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0FF395-21F5-48A1-A91E-61FDF9B0CE79}">
  <ds:schemaRefs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elements/1.1/"/>
    <ds:schemaRef ds:uri="839bad20-5c23-42c3-a461-0ac86f8c2ffa"/>
    <ds:schemaRef ds:uri="http://schemas.microsoft.com/office/2006/documentManagement/types"/>
    <ds:schemaRef ds:uri="http://schemas.microsoft.com/office/infopath/2007/PartnerControls"/>
    <ds:schemaRef ds:uri="58afd985-fa2b-47bd-9afc-d16b02579fce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FACBDE4-C190-47E8-9B37-36F10AB94B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afd985-fa2b-47bd-9afc-d16b02579fce"/>
    <ds:schemaRef ds:uri="839bad20-5c23-42c3-a461-0ac86f8c2f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2F90C7-8744-41EF-8DD1-A2ABA4608D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AGE</vt:lpstr>
      <vt:lpstr>TOTALS(ACTIVE)</vt:lpstr>
      <vt:lpstr>TOTALS(PASSIVE)</vt:lpstr>
      <vt:lpstr>PoP &amp; EQUIPMENT</vt:lpstr>
      <vt:lpstr>MASTER-BACKHAUL</vt:lpstr>
      <vt:lpstr>MASTER-ACCESSORIES - BACKHAUL</vt:lpstr>
      <vt:lpstr>MASTER-METRO</vt:lpstr>
      <vt:lpstr>POLES</vt:lpstr>
      <vt:lpstr>NEDCO - BACKHAUL</vt:lpstr>
      <vt:lpstr>NEDCO - METRO</vt:lpstr>
      <vt:lpstr>MASTER-ACCESSORIES- METRO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Frederick Obedekah</cp:lastModifiedBy>
  <cp:revision/>
  <dcterms:created xsi:type="dcterms:W3CDTF">2023-02-10T18:09:19Z</dcterms:created>
  <dcterms:modified xsi:type="dcterms:W3CDTF">2026-07-25T09:50:58Z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0x010100B468457D5DAF534DB329EE7F7035F46D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